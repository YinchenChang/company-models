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PxQ" sheetId="12" state="visible" r:id="rId14"/>
    <sheet name="Checks" sheetId="13" state="visible" r:id="rId15"/>
    <sheet name="Map_v05" sheetId="14" state="visible" r:id="rId16"/>
    <sheet name="_Defaults" sheetId="15" state="hidden" r:id="rId17"/>
  </sheets>
  <definedNames>
    <definedName function="false" hidden="false" name="CHK_Errors" vbProcedure="false">Checks!$C$169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FND_CashEnd" vbProcedure="false">Funding!$D$30:$I$30</definedName>
    <definedName function="false" hidden="false" name="FND_CashNoExt" vbProcedure="false">Funding!$D$34:$I$34</definedName>
    <definedName function="false" hidden="false" name="FND_CashOpen" vbProcedure="false">Funding!$D$27:$I$27</definedName>
    <definedName function="false" hidden="false" name="FND_CommitAfter2030" vbProcedure="false">Funding!$D$49</definedName>
    <definedName function="false" hidden="false" name="FND_Committed" vbProcedure="false">Funding!$D$21:$I$21</definedName>
    <definedName function="false" hidden="false" name="FND_Contingent" vbProcedure="false">Funding!$D$47</definedName>
    <definedName function="false" hidden="false" name="FND_EquityIn" vbProcedure="false">Funding!$D$24:$I$24</definedName>
    <definedName function="false" hidden="false" name="FND_ExtNeed" vbProcedure="false">Funding!$D$29:$I$29</definedName>
    <definedName function="false" hidden="false" name="FND_ExtNeedCum" vbProcedure="false">Funding!$D$31:$I$31</definedName>
    <definedName function="false" hidden="false" name="FND_ExtNeedCumAmzn" vbProcedure="false">Funding!$D$43:$I$43</definedName>
    <definedName function="false" hidden="false" name="FND_FCF" vbProcedure="false">Funding!$D$13:$I$13</definedName>
    <definedName function="false" hidden="false" name="FND_FCF2025Act" vbProcedure="false">Funding!$D$14</definedName>
    <definedName function="false" hidden="false" name="FND_GapFlag" vbProcedure="false">Funding!$D$32:$I$32</definedName>
    <definedName function="false" hidden="false" name="FND_MinCash" vbProcedure="false">Funding!$D$26:$I$26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INP_271" vbProcedure="false">Inputs!$E$263</definedName>
    <definedName function="false" hidden="false" name="INP_272" vbProcedure="false">Inputs!$E$264</definedName>
    <definedName function="false" hidden="false" name="INP_273" vbProcedure="false">Inputs!$E$265</definedName>
    <definedName function="false" hidden="false" name="INP_274" vbProcedure="false">Inputs!$E$266</definedName>
    <definedName function="false" hidden="false" name="INP_275" vbProcedure="false">Inputs!$E$267</definedName>
    <definedName function="false" hidden="false" name="INP_276" vbProcedure="false">Inputs!$E$268</definedName>
    <definedName function="false" hidden="false" name="INP_277" vbProcedure="false">Inputs!$E$269</definedName>
    <definedName function="false" hidden="false" name="INP_278" vbProcedure="false">Inputs!$E$270</definedName>
    <definedName function="false" hidden="false" name="INP_279" vbProcedure="false">Inputs!$E$271</definedName>
    <definedName function="false" hidden="false" name="INP_280" vbProcedure="false">Inputs!$E$272</definedName>
    <definedName function="false" hidden="false" name="INP_281" vbProcedure="false">Inputs!$E$273</definedName>
    <definedName function="false" hidden="false" name="INP_282" vbProcedure="false">Inputs!$E$274</definedName>
    <definedName function="false" hidden="false" name="INP_283" vbProcedure="false">Inputs!$E$275</definedName>
    <definedName function="false" hidden="false" name="INP_284" vbProcedure="false">Inputs!$E$276</definedName>
    <definedName function="false" hidden="false" name="INP_285" vbProcedure="false">Inputs!$E$277</definedName>
    <definedName function="false" hidden="false" name="INP_286" vbProcedure="false">Inputs!$E$278</definedName>
    <definedName function="false" hidden="false" name="INP_287" vbProcedure="false">Inputs!$E$279</definedName>
    <definedName function="false" hidden="false" name="INP_288" vbProcedure="false">Inputs!$E$280</definedName>
    <definedName function="false" hidden="false" name="INP_289" vbProcedure="false">Inputs!$E$281</definedName>
    <definedName function="false" hidden="false" name="INP_290" vbProcedure="false">Inputs!$E$282</definedName>
    <definedName function="false" hidden="false" name="INP_291" vbProcedure="false">Inputs!$E$283</definedName>
    <definedName function="false" hidden="false" name="INP_292" vbProcedure="false">Inputs!$E$284</definedName>
    <definedName function="false" hidden="false" name="INP_293" vbProcedure="false">Inputs!$E$285</definedName>
    <definedName function="false" hidden="false" name="INP_294" vbProcedure="false">Inputs!$E$286</definedName>
    <definedName function="false" hidden="false" name="INP_295" vbProcedure="false">Inputs!$E$287</definedName>
    <definedName function="false" hidden="false" name="INP_296" vbProcedure="false">Inputs!$E$288</definedName>
    <definedName function="false" hidden="false" name="INP_297" vbProcedure="false">Inputs!$E$289</definedName>
    <definedName function="false" hidden="false" name="INP_298" vbProcedure="false">Inputs!$E$290</definedName>
    <definedName function="false" hidden="false" name="INP_299" vbProcedure="false">Inputs!$E$291</definedName>
    <definedName function="false" hidden="false" name="INP_300" vbProcedure="false">Inputs!$E$292</definedName>
    <definedName function="false" hidden="false" name="INP_301" vbProcedure="false">Inputs!$E$293</definedName>
    <definedName function="false" hidden="false" name="INP_302" vbProcedure="false">Inputs!$E$294</definedName>
    <definedName function="false" hidden="false" name="INP_303" vbProcedure="false">Inputs!$E$295</definedName>
    <definedName function="false" hidden="false" name="INP_304" vbProcedure="false">Inputs!$E$296</definedName>
    <definedName function="false" hidden="false" name="INP_305" vbProcedure="false">Inputs!$E$297</definedName>
    <definedName function="false" hidden="false" name="INP_306" vbProcedure="false">Inputs!$E$298</definedName>
    <definedName function="false" hidden="false" name="INP_307" vbProcedure="false">Inputs!$E$299</definedName>
    <definedName function="false" hidden="false" name="INP_308" vbProcedure="false">Inputs!$E$300</definedName>
    <definedName function="false" hidden="false" name="INP_309" vbProcedure="false">Inputs!$E$301</definedName>
    <definedName function="false" hidden="false" name="INP_310" vbProcedure="false">Inputs!$E$302</definedName>
    <definedName function="false" hidden="false" name="INP_311" vbProcedure="false">Inputs!$E$303</definedName>
    <definedName function="false" hidden="false" name="INP_312" vbProcedure="false">Inputs!$E$304</definedName>
    <definedName function="false" hidden="false" name="INP_313" vbProcedure="false">Inputs!$E$305</definedName>
    <definedName function="false" hidden="false" name="INP_314" vbProcedure="false">Inputs!$E$306</definedName>
    <definedName function="false" hidden="false" name="INP_315" vbProcedure="false">Inputs!$E$307</definedName>
    <definedName function="false" hidden="false" name="INP_316" vbProcedure="false">Inputs!$E$308</definedName>
    <definedName function="false" hidden="false" name="INP_317" vbProcedure="false">Inputs!$E$309</definedName>
    <definedName function="false" hidden="false" name="INP_318" vbProcedure="false">Inputs!$E$310</definedName>
    <definedName function="false" hidden="false" name="INP_319" vbProcedure="false">Inputs!$E$311</definedName>
    <definedName function="false" hidden="false" name="INP_320" vbProcedure="false">Inputs!$E$312</definedName>
    <definedName function="false" hidden="false" name="PXQ_BE_Exp" vbProcedure="false">PxQ!$D$68:$N$68</definedName>
    <definedName function="false" hidden="false" name="PXQ_BE_Lin" vbProcedure="false">PxQ!$D$69:$N$69</definedName>
    <definedName function="false" hidden="false" name="PXQ_BE_Sel" vbProcedure="false">PxQ!$D$70:$N$70</definedName>
    <definedName function="false" hidden="false" name="PXQ_C" vbProcedure="false">PxQ!$D$55:$N$55</definedName>
    <definedName function="false" hidden="false" name="PXQ_D2ReconBad" vbProcedure="false">PxQ!$E$312</definedName>
    <definedName function="false" hidden="false" name="PXQ_ExtMultiple" vbProcedure="false">PxQ!$D$220:$N$220</definedName>
    <definedName function="false" hidden="false" name="PXQ_ExtSpend" vbProcedure="false">PxQ!$D$219:$N$219</definedName>
    <definedName function="false" hidden="false" name="PXQ_FW_GW" vbProcedure="false">PxQ!$D$267:$D$272</definedName>
    <definedName function="false" hidden="false" name="PXQ_FW_Mult" vbProcedure="false">PxQ!$F$267:$F$272</definedName>
    <definedName function="false" hidden="false" name="PXQ_GW" vbProcedure="false">PxQ!$D$34:$N$34</definedName>
    <definedName function="false" hidden="false" name="PXQ_h" vbProcedure="false">PxQ!$D$54:$N$54</definedName>
    <definedName function="false" hidden="false" name="PXQ_HoldPerGW" vbProcedure="false">PxQ!$D$39:$D$44</definedName>
    <definedName function="false" hidden="false" name="PXQ_Identity" vbProcedure="false">PxQ!$D$65:$N$65</definedName>
    <definedName function="false" hidden="false" name="PXQ_mL_Actual" vbProcedure="false">PxQ!$D$62:$N$62</definedName>
    <definedName function="false" hidden="false" name="PXQ_mL_Required" vbProcedure="false">PxQ!$D$63:$N$63</definedName>
    <definedName function="false" hidden="false" name="PXQ_Out_BE" vbProcedure="false">PxQ!$D$21:$G$23</definedName>
    <definedName function="false" hidden="false" name="PXQ_Out_Mult" vbProcedure="false">PxQ!$D$15:$F$17</definedName>
    <definedName function="false" hidden="false" name="PXQ_Out_Ratio" vbProcedure="false">PxQ!$D$9:$F$11</definedName>
    <definedName function="false" hidden="false" name="PXQ_PaidCapPerGW" vbProcedure="false">PxQ!$E$39:$E$44</definedName>
    <definedName function="false" hidden="false" name="PXQ_Peff" vbProcedure="false">PxQ!$D$59:$N$59</definedName>
    <definedName function="false" hidden="false" name="PXQ_Q" vbProcedure="false">PxQ!$D$57:$N$57</definedName>
    <definedName function="false" hidden="false" name="PXQ_Ratio" vbProcedure="false">PxQ!$D$64:$N$64</definedName>
    <definedName function="false" hidden="false" name="PXQ_Ratio2025Sel" vbProcedure="false">PxQ!$F$12</definedName>
    <definedName function="false" hidden="false" name="PXQ_Reading" vbProcedure="false">PxQ!$D$26:$D$28</definedName>
    <definedName function="false" hidden="false" name="PXQ_ReconBad" vbProcedure="false">PxQ!$E$264</definedName>
    <definedName function="false" hidden="false" name="PXQ_Rev" vbProcedure="false">PxQ!$D$35:$N$35</definedName>
    <definedName function="false" hidden="false" name="PXQ_TokLedger" vbProcedure="false">PxQ!$D$293:$F$293</definedName>
    <definedName function="false" hidden="false" name="PXQ_TokLedgerRel" vbProcedure="false">PxQ!$D$295:$E$295</definedName>
    <definedName function="false" hidden="false" name="PXQ_Year" vbProcedure="false">PxQ!$D$32:$N$32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RVS_ExtNeedCum" vbProcedure="false">Reverse!$D$53:$I$53</definedName>
    <definedName function="false" hidden="false" name="RVS_FCF" vbProcedure="false">Reverse!$D$47:$I$47</definedName>
    <definedName function="false" hidden="false" name="RVS_Gap" vbProcedure="false">Reverse!$D$18:$I$18</definedName>
    <definedName function="false" hidden="false" name="RVS_MSCum" vbProcedure="false">Reverse!$D$43:$I$43</definedName>
    <definedName function="false" hidden="false" name="RVS_MultAPI" vbProcedure="false">Reverse!$D$21:$I$21</definedName>
    <definedName function="false" hidden="false" name="RVS_MultProp" vbProcedure="false">Reverse!$D$23:$I$23</definedName>
    <definedName function="false" hidden="false" name="RVS_MultSub" vbProcedure="false">Reverse!$D$22:$I$22</definedName>
    <definedName function="false" hidden="false" name="RVS_Target" vbProcedure="false">Reverse!$D$8:$I$8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SRC_OAI_138" vbProcedure="false">SRC_OAI!$C$136</definedName>
    <definedName function="false" hidden="false" name="SRC_OAI_139" vbProcedure="false">SRC_OAI!$C$137</definedName>
    <definedName function="false" hidden="false" name="SRC_OAI_140" vbProcedure="false">SRC_OAI!$C$138</definedName>
    <definedName function="false" hidden="false" name="SRC_OAI_144" vbProcedure="false">SRC_OAI!$C$139</definedName>
    <definedName function="false" hidden="false" name="SRC_OAI_145" vbProcedure="false">SRC_OAI!$C$140</definedName>
    <definedName function="false" hidden="false" name="SRC_OAI_146" vbProcedure="false">SRC_OAI!$C$141</definedName>
    <definedName function="false" hidden="false" name="SRC_OAI_147" vbProcedure="false">SRC_OAI!$C$142</definedName>
    <definedName function="false" hidden="false" name="SRC_OAI_148" vbProcedure="false">SRC_OAI!$C$143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FileSHA256" vbProcedure="false">TK_Link!$B$7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Disc" vbProcedure="false">TK_Link!$J$74</definedName>
    <definedName function="false" hidden="false" name="TK_IF_FleetProdRatio_VR200" vbProcedure="false">TK_Link!$J$76</definedName>
    <definedName function="false" hidden="false" name="TK_IF_FreeShare" vbProcedure="false">TK_Link!$J$82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LTotalDisc" vbProcedure="false">TK_Link!$J$89</definedName>
    <definedName function="false" hidden="false" name="TK_IF_LTotalDisc_Hi" vbProcedure="false">TK_Link!$J$91</definedName>
    <definedName function="false" hidden="false" name="TK_IF_LTotalDisc_Lo" vbProcedure="false">TK_Link!$J$90</definedName>
    <definedName function="false" hidden="false" name="TK_IF_LTotalFleetVDisc" vbProcedure="false">TK_Link!$J$92</definedName>
    <definedName function="false" hidden="false" name="TK_IF_LTotalFleetVDisc_Hi" vbProcedure="false">TK_Link!$J$94</definedName>
    <definedName function="false" hidden="false" name="TK_IF_LTotalFleetVDisc_Lo" vbProcedure="false">TK_Link!$J$93</definedName>
    <definedName function="false" hidden="false" name="TK_IF_MixPaid_Astra" vbProcedure="false">TK_Link!$J$85</definedName>
    <definedName function="false" hidden="false" name="TK_IF_MixPaid_Luna" vbProcedure="false">TK_Link!$J$83</definedName>
    <definedName function="false" hidden="false" name="TK_IF_MixPaid_Sol" vbProcedure="false">TK_Link!$J$84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TK_Link!$J$75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PxEffMix" vbProcedure="false">TK_Link!$J$77</definedName>
    <definedName function="false" hidden="false" name="TK_IF_PxEffMix25" vbProcedure="false">TK_Link!$J$78</definedName>
    <definedName function="false" hidden="false" name="TK_IF_PxEffMix25_Hi" vbProcedure="false">TK_Link!$J$80</definedName>
    <definedName function="false" hidden="false" name="TK_IF_PxEffMix25_Lo" vbProcedure="false">TK_Link!$J$79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ServeShare" vbProcedure="false">TK_Link!$J$81</definedName>
    <definedName function="false" hidden="false" name="TK_IF_TokGWPaidMix" vbProcedure="false">TK_Link!$J$73:$X$73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TK_Link!$J$86</definedName>
    <definedName function="false" hidden="false" name="TK_IF_UtilActual_Hi" vbProcedure="false">TK_Link!$J$88</definedName>
    <definedName function="false" hidden="false" name="TK_IF_UtilActual_Lo" vbProcedure="false">TK_Link!$J$87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RNG_IF_AllocQ1_Hi" vbProcedure="false">TK_Link!$J$96</definedName>
    <definedName function="false" hidden="false" name="TK_RNG_IF_AllocQ1_Lo" vbProcedure="false">TK_Link!$J$95</definedName>
    <definedName function="false" hidden="false" name="TK_RNG_StaleFlag" vbProcedure="false">TK_Link!$J$97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<sst xmlns="http://schemas.openxmlformats.org/spreadsheetml/2006/main" count="17594" uniqueCount="5549">
  <si>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v0.6.4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</si>
  <si>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</si>
  <si>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</si>
  <si>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</si>
  <si>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</si>
  <si>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</si>
  <si>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</si>
  <si>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</si>
  <si>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</si>
  <si>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Noto Sans CJK SC"/>
        <family val="2"/>
      </rPr>
      <t xml:space="preserve">單一快照（</t>
    </r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併入，</t>
    </r>
    <r>
      <rPr>
        <sz val="10"/>
        <color rgb="FF000000"/>
        <rFont val="Arial"/>
        <family val="0"/>
        <charset val="1"/>
      </rPr>
      <t xml:space="preserve">TKQ_ </t>
    </r>
    <r>
      <rPr>
        <sz val="10"/>
        <color rgb="FF000000"/>
        <rFont val="Noto Sans CJK SC"/>
        <family val="2"/>
      </rPr>
      <t xml:space="preserve">前綴退役）：</t>
    </r>
    <r>
      <rPr>
        <sz val="10"/>
        <color rgb="FF000000"/>
        <rFont val="Arial"/>
        <family val="0"/>
        <charset val="1"/>
      </rPr>
      <t xml:space="preserve">Tokenomics v21.7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20261025_Tokenomics_v21.7.xlsx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8309fdb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</si>
  <si>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PxQ</t>
  </si>
  <si>
    <r>
      <rPr>
        <sz val="10"/>
        <color rgb="FF000000"/>
        <rFont val="Arial"/>
        <family val="0"/>
        <charset val="1"/>
      </rPr>
      <t xml:space="preserve">v0.6.4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起）</t>
    </r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與回本比值：實際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（＝營收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算力成本）；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指數／線性 </t>
    </r>
    <r>
      <rPr>
        <sz val="10"/>
        <color rgb="FF000000"/>
        <rFont val="Arial"/>
        <family val="0"/>
        <charset val="1"/>
      </rPr>
      <t xml:space="preserve">+ 2026 </t>
    </r>
    <r>
      <rPr>
        <sz val="10"/>
        <color rgb="FF000000"/>
        <rFont val="Noto Sans CJK SC"/>
        <family val="2"/>
      </rPr>
      <t xml:space="preserve">三口徑（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年化營收</t>
    </r>
    <r>
      <rPr>
        <sz val="10"/>
        <color rgb="FF000000"/>
        <rFont val="Arial"/>
        <family val="0"/>
        <charset val="1"/>
      </rPr>
      <t xml:space="preserve">÷Q2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 </t>
    </r>
    <r>
      <rPr>
        <sz val="10"/>
        <color rgb="FF000000"/>
        <rFont val="Arial"/>
        <family val="0"/>
        <charset val="1"/>
      </rPr>
      <t xml:space="preserve">run-rate÷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低／基準／高；頂部主輸出（比值、倍數、持平門檻）、中間量、敏感度 </t>
    </r>
    <r>
      <rPr>
        <sz val="10"/>
        <color rgb="FF000000"/>
        <rFont val="Arial"/>
        <family val="0"/>
        <charset val="1"/>
      </rPr>
      <t xml:space="preserve">4.1–4.7</t>
    </r>
    <r>
      <rPr>
        <sz val="10"/>
        <color rgb="FF000000"/>
        <rFont val="Noto Sans CJK SC"/>
        <family val="2"/>
      </rPr>
      <t xml:space="preserve">、外部支出對照、證據對帳（</t>
    </r>
    <r>
      <rPr>
        <sz val="10"/>
        <color rgb="FF000000"/>
        <rFont val="Arial"/>
        <family val="0"/>
        <charset val="1"/>
      </rPr>
      <t xml:space="preserve">6B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六情境（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帳（具名範圍 </t>
    </r>
    <r>
      <rPr>
        <sz val="10"/>
        <color rgb="FF000000"/>
        <rFont val="Arial"/>
        <family val="0"/>
        <charset val="1"/>
      </rPr>
      <t xml:space="preserve">PXQ_*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v0.6.4 </t>
    </r>
    <r>
      <rPr>
        <sz val="10"/>
        <color rgb="FF000000"/>
        <rFont val="Noto Sans CJK SC"/>
        <family val="2"/>
      </rPr>
      <t xml:space="preserve">新增第 </t>
    </r>
    <r>
      <rPr>
        <sz val="10"/>
        <color rgb="FF000000"/>
        <rFont val="Arial"/>
        <family val="0"/>
        <charset val="1"/>
      </rPr>
      <t xml:space="preserve">8.4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推導式（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× ChatGPT token </t>
    </r>
    <r>
      <rPr>
        <sz val="10"/>
        <color rgb="FF000000"/>
        <rFont val="Noto Sans CJK SC"/>
        <family val="2"/>
      </rPr>
      <t xml:space="preserve">量；候選因子，不進基準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帳）與第九節 </t>
    </r>
    <r>
      <rPr>
        <sz val="10"/>
        <color rgb="FF000000"/>
        <rFont val="Arial"/>
        <family val="0"/>
        <charset val="1"/>
      </rPr>
      <t xml:space="preserve">Microsoft 10-Q </t>
    </r>
    <r>
      <rPr>
        <sz val="10"/>
        <color rgb="FF000000"/>
        <rFont val="Noto Sans CJK SC"/>
        <family val="2"/>
      </rPr>
      <t xml:space="preserve">對照。</t>
    </r>
  </si>
  <si>
    <r>
      <rPr>
        <b val="true"/>
        <sz val="10"/>
        <rFont val="Arial"/>
        <family val="0"/>
        <charset val="1"/>
      </rPr>
      <t xml:space="preserve">v0.6.4 </t>
    </r>
    <r>
      <rPr>
        <b val="true"/>
        <sz val="10"/>
        <rFont val="Noto Sans CJK SC"/>
        <family val="2"/>
      </rPr>
      <t xml:space="preserve">變動</t>
    </r>
  </si>
  <si>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口徑一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 2.34→2.26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2.17–2.35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W2 PxQ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8.4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推導式；</t>
    </r>
    <r>
      <rPr>
        <sz val="10"/>
        <color rgb="FF000000"/>
        <rFont val="Arial"/>
        <family val="0"/>
        <charset val="1"/>
      </rPr>
      <t xml:space="preserve">W3 INP_303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W4 SRC_OAI_141–143 </t>
    </r>
    <r>
      <rPr>
        <sz val="10"/>
        <color rgb="FF000000"/>
        <rFont val="Noto Sans CJK SC"/>
        <family val="2"/>
      </rPr>
      <t xml:space="preserve">移入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（公式）；</t>
    </r>
    <r>
      <rPr>
        <sz val="10"/>
        <color rgb="FF000000"/>
        <rFont val="Arial"/>
        <family val="0"/>
        <charset val="1"/>
      </rPr>
      <t xml:space="preserve">W5 TK_Link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v21.4→v21.7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W6 Microsoft FY27 Q1 10-Q </t>
    </r>
    <r>
      <rPr>
        <sz val="10"/>
        <color rgb="FF000000"/>
        <rFont val="Noto Sans CJK SC"/>
        <family val="2"/>
      </rPr>
      <t xml:space="preserve">對照。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</si>
  <si>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</si>
  <si>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308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</si>
  <si>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</si>
  <si>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</si>
  <si>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</si>
  <si>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</si>
  <si>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</si>
  <si>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</si>
  <si>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</si>
  <si>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</si>
  <si>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</si>
  <si>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Noto Sans CJK SC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Noto Sans CJK SC"/>
        <family val="2"/>
      </rPr>
      <t xml:space="preserve">）。</t>
    </r>
  </si>
  <si>
    <t xml:space="preserve">Funding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</si>
  <si>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）：自由現金流（營收淨額 − 算力成本 − 非算力成本；股權報酬加回）、已到位融資（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輪無條件部分）、最低現金、外部資金需求（年底現金低於最低現金的累計差額）、缺口旗標、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條件式情境、或有負債（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，只列示）（具名範圍 </t>
    </r>
    <r>
      <rPr>
        <sz val="10"/>
        <color rgb="FF000000"/>
        <rFont val="Arial"/>
        <family val="0"/>
        <charset val="1"/>
      </rPr>
      <t xml:space="preserve">FND_*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</si>
  <si>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</si>
  <si>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）：管理層營收目標路徑、三組充分條件倍數、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可觀測量、橋接、反向資金、與簡報對帳；只作對照，不回饋基準（具名範圍 </t>
    </r>
    <r>
      <rPr>
        <sz val="10"/>
        <color rgb="FF000000"/>
        <rFont val="Arial"/>
        <family val="0"/>
        <charset val="1"/>
      </rPr>
      <t xml:space="preserve">RVS_*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</si>
  <si>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</si>
  <si>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檢查（含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實際值對帳、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快照狀態）；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</si>
  <si>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</si>
  <si>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</si>
  <si>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</si>
  <si>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</si>
  <si>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</si>
  <si>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</si>
  <si>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</si>
  <si>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</si>
  <si>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</si>
  <si>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</si>
  <si>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</si>
  <si>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</si>
  <si>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</si>
  <si>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</si>
  <si>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</si>
  <si>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</si>
  <si>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</si>
  <si>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</si>
  <si>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</si>
  <si>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</si>
  <si>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</si>
  <si>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</si>
  <si>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</si>
  <si>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</si>
  <si>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</si>
  <si>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</si>
  <si>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</si>
  <si>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</si>
  <si>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</si>
  <si>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</si>
  <si>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</si>
  <si>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</si>
  <si>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</si>
  <si>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</si>
  <si>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</si>
  <si>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</si>
  <si>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</si>
  <si>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</si>
  <si>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</si>
  <si>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</si>
  <si>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</si>
  <si>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</si>
  <si>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</si>
  <si>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</si>
  <si>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</si>
  <si>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</si>
  <si>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</si>
  <si>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</si>
  <si>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</si>
  <si>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</si>
  <si>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</si>
  <si>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</si>
  <si>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</si>
  <si>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</si>
  <si>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</si>
  <si>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</si>
  <si>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</si>
  <si>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</si>
  <si>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</si>
  <si>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</si>
  <si>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</si>
  <si>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</si>
  <si>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</si>
  <si>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</si>
  <si>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</si>
  <si>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</si>
  <si>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</si>
  <si>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</si>
  <si>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</si>
  <si>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</si>
  <si>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</si>
  <si>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</si>
  <si>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</si>
  <si>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</si>
  <si>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</si>
  <si>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</si>
  <si>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</si>
  <si>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</si>
  <si>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</si>
  <si>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</si>
  <si>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</si>
  <si>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</si>
  <si>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</si>
  <si>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</si>
  <si>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</si>
  <si>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</si>
  <si>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</si>
  <si>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</si>
  <si>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</si>
  <si>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</si>
  <si>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</si>
  <si>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</si>
  <si>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</si>
  <si>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</si>
  <si>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</si>
  <si>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</si>
  <si>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</si>
  <si>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</si>
  <si>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</si>
  <si>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</si>
  <si>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</si>
  <si>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</si>
  <si>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</si>
  <si>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</si>
  <si>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</si>
  <si>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</si>
  <si>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</si>
  <si>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</si>
  <si>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</si>
  <si>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</si>
  <si>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</si>
  <si>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</si>
  <si>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</si>
  <si>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</si>
  <si>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</si>
  <si>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</si>
  <si>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</si>
  <si>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</si>
  <si>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</si>
  <si>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</si>
  <si>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</si>
  <si>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</si>
  <si>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</si>
  <si>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</si>
  <si>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</si>
  <si>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</si>
  <si>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</si>
  <si>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</si>
  <si>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</si>
  <si>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</si>
  <si>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</si>
  <si>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</si>
  <si>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</si>
  <si>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</si>
  <si>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</si>
  <si>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</si>
  <si>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</si>
  <si>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</si>
  <si>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</si>
  <si>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</si>
  <si>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</si>
  <si>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</si>
  <si>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</si>
  <si>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</si>
  <si>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</si>
  <si>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</si>
  <si>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</si>
  <si>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</si>
  <si>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</si>
  <si>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</si>
  <si>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</si>
  <si>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</si>
  <si>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</si>
  <si>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</si>
  <si>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</si>
  <si>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</si>
  <si>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</si>
  <si>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</si>
  <si>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</si>
  <si>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</si>
  <si>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</si>
  <si>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</si>
  <si>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</si>
  <si>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</si>
  <si>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</si>
  <si>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</si>
  <si>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</si>
  <si>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</si>
  <si>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</si>
  <si>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</si>
  <si>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</si>
  <si>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</si>
  <si>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</si>
  <si>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</si>
  <si>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</si>
  <si>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</si>
  <si>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</si>
  <si>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</si>
  <si>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</si>
  <si>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</si>
  <si>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</si>
  <si>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</si>
  <si>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</si>
  <si>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</si>
  <si>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</si>
  <si>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</si>
  <si>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</si>
  <si>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</si>
  <si>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</si>
  <si>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</si>
  <si>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</si>
  <si>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</si>
  <si>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</si>
  <si>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</si>
  <si>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</si>
  <si>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</si>
  <si>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</si>
  <si>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</si>
  <si>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</si>
  <si>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</si>
  <si>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</si>
  <si>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</si>
  <si>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</si>
  <si>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</si>
  <si>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</si>
  <si>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</si>
  <si>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</si>
  <si>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</si>
  <si>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</si>
  <si>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</si>
  <si>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</si>
  <si>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</si>
  <si>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</si>
  <si>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</si>
  <si>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</si>
  <si>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</si>
  <si>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</si>
  <si>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</si>
  <si>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</si>
  <si>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</si>
  <si>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</si>
  <si>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</si>
  <si>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</si>
  <si>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</si>
  <si>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</si>
  <si>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</si>
  <si>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</si>
  <si>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</si>
  <si>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</si>
  <si>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</si>
  <si>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</si>
  <si>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</si>
  <si>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</si>
  <si>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</si>
  <si>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</si>
  <si>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</si>
  <si>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</si>
  <si>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</si>
  <si>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</si>
  <si>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</si>
  <si>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</si>
  <si>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</si>
  <si>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</si>
  <si>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</si>
  <si>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</si>
  <si>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</si>
  <si>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</si>
  <si>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</si>
  <si>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</si>
  <si>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</si>
  <si>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</si>
  <si>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</si>
  <si>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</si>
  <si>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</si>
  <si>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</si>
  <si>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</si>
  <si>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</si>
  <si>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</si>
  <si>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</si>
  <si>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</si>
  <si>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</si>
  <si>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</si>
  <si>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</si>
  <si>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</si>
  <si>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</si>
  <si>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</si>
  <si>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</si>
  <si>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</si>
  <si>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</si>
  <si>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</si>
  <si>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</si>
  <si>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</si>
  <si>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</si>
  <si>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</si>
  <si>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</si>
  <si>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</si>
  <si>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</si>
  <si>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</si>
  <si>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</si>
  <si>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</si>
  <si>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</si>
  <si>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</si>
  <si>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</si>
  <si>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</si>
  <si>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</si>
  <si>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</si>
  <si>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</si>
  <si>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</si>
  <si>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</si>
  <si>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</si>
  <si>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</si>
  <si>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</si>
  <si>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</si>
  <si>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</si>
  <si>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</si>
  <si>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</si>
  <si>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</si>
  <si>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</si>
  <si>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</si>
  <si>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</si>
  <si>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</si>
  <si>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</si>
  <si>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</si>
  <si>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</si>
  <si>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</si>
  <si>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</si>
  <si>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</si>
  <si>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</si>
  <si>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</si>
  <si>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</si>
  <si>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</si>
  <si>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</si>
  <si>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</si>
  <si>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</si>
  <si>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</si>
  <si>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</si>
  <si>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</si>
  <si>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</si>
  <si>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</si>
  <si>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</si>
  <si>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</si>
  <si>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</si>
  <si>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</si>
  <si>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</si>
  <si>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</si>
  <si>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</si>
  <si>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</si>
  <si>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</si>
  <si>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</si>
  <si>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</si>
  <si>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</si>
  <si>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</si>
  <si>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</si>
  <si>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</si>
  <si>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</si>
  <si>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</si>
  <si>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</si>
  <si>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</si>
  <si>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</si>
  <si>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</si>
  <si>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</si>
  <si>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</si>
  <si>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</si>
  <si>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</si>
  <si>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</si>
  <si>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</si>
  <si>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</si>
  <si>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</si>
  <si>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</si>
  <si>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</si>
  <si>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</si>
  <si>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</si>
  <si>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</si>
  <si>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</si>
  <si>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</si>
  <si>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</si>
  <si>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</si>
  <si>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</si>
  <si>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</si>
  <si>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</si>
  <si>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</si>
  <si>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</si>
  <si>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</si>
  <si>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</si>
  <si>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</si>
  <si>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</si>
  <si>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</si>
  <si>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</si>
  <si>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</si>
  <si>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</si>
  <si>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</si>
  <si>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</si>
  <si>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</si>
  <si>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</si>
  <si>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</si>
  <si>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</si>
  <si>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</si>
  <si>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</si>
  <si>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</si>
  <si>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</si>
  <si>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</si>
  <si>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</si>
  <si>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</si>
  <si>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</si>
  <si>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</si>
  <si>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</si>
  <si>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</si>
  <si>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</si>
  <si>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</si>
  <si>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</si>
  <si>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</si>
  <si>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</si>
  <si>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</si>
  <si>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</si>
  <si>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</si>
  <si>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</si>
  <si>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</si>
  <si>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</si>
  <si>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</si>
  <si>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</si>
  <si>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</si>
  <si>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</si>
  <si>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</si>
  <si>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</si>
  <si>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</si>
  <si>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</si>
  <si>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</si>
  <si>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</si>
  <si>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</si>
  <si>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</si>
  <si>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</si>
  <si>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</si>
  <si>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</si>
  <si>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</si>
  <si>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</si>
  <si>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</si>
  <si>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</si>
  <si>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</si>
  <si>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</si>
  <si>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</si>
  <si>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</si>
  <si>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</si>
  <si>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</si>
  <si>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</si>
  <si>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</si>
  <si>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</si>
  <si>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</si>
  <si>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</si>
  <si>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</si>
  <si>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</si>
  <si>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</si>
  <si>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</si>
  <si>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</si>
  <si>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</si>
  <si>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</si>
  <si>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</si>
  <si>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</si>
  <si>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</si>
  <si>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</si>
  <si>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</si>
  <si>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</si>
  <si>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</si>
  <si>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</si>
  <si>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</si>
  <si>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</si>
  <si>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</si>
  <si>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</si>
  <si>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</si>
  <si>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</si>
  <si>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</si>
  <si>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</si>
  <si>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</si>
  <si>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</si>
  <si>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</si>
  <si>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</si>
  <si>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</si>
  <si>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</si>
  <si>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</si>
  <si>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</si>
  <si>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</si>
  <si>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</si>
  <si>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</si>
  <si>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</si>
  <si>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</si>
  <si>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</si>
  <si>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</si>
  <si>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</si>
  <si>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</si>
  <si>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</si>
  <si>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</si>
  <si>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</si>
  <si>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</si>
  <si>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</si>
  <si>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</si>
  <si>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</si>
  <si>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</si>
  <si>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</si>
  <si>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</si>
  <si>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</si>
  <si>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</si>
  <si>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</si>
  <si>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</si>
  <si>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</si>
  <si>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</si>
  <si>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</si>
  <si>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</si>
  <si>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</si>
  <si>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</si>
  <si>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</si>
  <si>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</si>
  <si>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</si>
  <si>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</si>
  <si>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</si>
  <si>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</si>
  <si>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</si>
  <si>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</si>
  <si>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</si>
  <si>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</si>
  <si>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</si>
  <si>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</si>
  <si>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</si>
  <si>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</si>
  <si>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</si>
  <si>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</si>
  <si>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</si>
  <si>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</si>
  <si>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</si>
  <si>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</si>
  <si>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</si>
  <si>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</si>
  <si>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</si>
  <si>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</si>
  <si>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</si>
  <si>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</si>
  <si>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</si>
  <si>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</si>
  <si>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</si>
  <si>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</si>
  <si>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</si>
  <si>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</si>
  <si>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</si>
  <si>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</si>
  <si>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</si>
  <si>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</si>
  <si>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</si>
  <si>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</si>
  <si>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</si>
  <si>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</si>
  <si>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</si>
  <si>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</si>
  <si>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</si>
  <si>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</si>
  <si>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</si>
  <si>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</si>
  <si>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</si>
  <si>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</si>
  <si>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</si>
  <si>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</si>
  <si>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</si>
  <si>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</si>
  <si>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</si>
  <si>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</si>
  <si>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</si>
  <si>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</si>
  <si>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</si>
  <si>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</si>
  <si>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</si>
  <si>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</si>
  <si>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</si>
  <si>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</si>
  <si>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</si>
  <si>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</si>
  <si>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</si>
  <si>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</si>
  <si>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</si>
  <si>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</si>
  <si>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</si>
  <si>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</si>
  <si>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</si>
  <si>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</si>
  <si>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</si>
  <si>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</si>
  <si>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</si>
  <si>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</si>
  <si>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</si>
  <si>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</si>
  <si>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</si>
  <si>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</si>
  <si>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</si>
  <si>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</si>
  <si>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</si>
  <si>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</si>
  <si>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</si>
  <si>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</si>
  <si>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</si>
  <si>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</si>
  <si>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</si>
  <si>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</si>
  <si>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</si>
  <si>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</si>
  <si>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</si>
  <si>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</si>
  <si>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</si>
  <si>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</si>
  <si>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</si>
  <si>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</si>
  <si>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</si>
  <si>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</si>
  <si>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</si>
  <si>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</si>
  <si>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</si>
  <si>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</si>
  <si>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</si>
  <si>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</si>
  <si>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</si>
  <si>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</si>
  <si>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</si>
  <si>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</si>
  <si>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</si>
  <si>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</si>
  <si>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</si>
  <si>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</si>
  <si>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</si>
  <si>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</si>
  <si>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</si>
  <si>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</si>
  <si>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</si>
  <si>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</si>
  <si>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</si>
  <si>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</si>
  <si>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</si>
  <si>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</si>
  <si>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</si>
  <si>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</si>
  <si>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</si>
  <si>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</si>
  <si>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</si>
  <si>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</si>
  <si>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</si>
  <si>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</si>
  <si>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</si>
  <si>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</si>
  <si>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</si>
  <si>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</si>
  <si>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</si>
  <si>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</si>
  <si>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</si>
  <si>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</si>
  <si>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</si>
  <si>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</si>
  <si>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</si>
  <si>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</si>
  <si>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</si>
  <si>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</si>
  <si>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</si>
  <si>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</si>
  <si>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</si>
  <si>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</si>
  <si>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</si>
  <si>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</si>
  <si>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</si>
  <si>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</si>
  <si>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</si>
  <si>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</si>
  <si>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</si>
  <si>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</si>
  <si>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</si>
  <si>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</si>
  <si>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</si>
  <si>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</si>
  <si>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Noto Sans CJK SC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</si>
  <si>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Noto Sans CJK SC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</si>
  <si>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Noto Sans CJK SC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</si>
  <si>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Noto Sans CJK SC"/>
        <family val="2"/>
      </rPr>
      <t xml:space="preserve">同一份外流財報</t>
    </r>
  </si>
  <si>
    <t xml:space="preserve">SRC_OAI_130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</si>
  <si>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</si>
  <si>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</si>
  <si>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</si>
  <si>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Noto Sans CJK SC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</si>
  <si>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</si>
  <si>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Noto Sans CJK SC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</si>
  <si>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</si>
  <si>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</si>
  <si>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</si>
  <si>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</si>
  <si>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</si>
  <si>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Noto Sans CJK SC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</si>
  <si>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</si>
  <si>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</si>
  <si>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</si>
  <si>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</si>
  <si>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Noto Sans CJK SC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</si>
  <si>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</si>
  <si>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</si>
  <si>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</si>
  <si>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t xml:space="preserve">SRC_OAI_134</t>
  </si>
  <si>
    <r>
      <rPr>
        <sz val="10"/>
        <color rgb="FF000000"/>
        <rFont val="Noto Sans CJK SC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</si>
  <si>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</si>
  <si>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</t>
    </r>
  </si>
  <si>
    <t xml:space="preserve">SRC_OAI_135</t>
  </si>
  <si>
    <r>
      <rPr>
        <sz val="10"/>
        <color rgb="FF000000"/>
        <rFont val="Noto Sans CJK SC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</si>
  <si>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</si>
  <si>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</si>
  <si>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</si>
  <si>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</si>
  <si>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</si>
  <si>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Noto Sans CJK SC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</si>
  <si>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</si>
  <si>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Noto Sans CJK SC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</si>
  <si>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</si>
  <si>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</si>
  <si>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付費牆</t>
    </r>
  </si>
  <si>
    <t xml:space="preserve">SRC_OAI_137</t>
  </si>
  <si>
    <r>
      <rPr>
        <sz val="10"/>
        <color rgb="FF000000"/>
        <rFont val="Noto Sans CJK SC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</si>
  <si>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Noto Sans CJK SC"/>
        <family val="2"/>
      </rPr>
      <t xml:space="preserve">人（公司招募計畫；只作對照，不回饋基準）</t>
    </r>
  </si>
  <si>
    <t xml:space="preserve">SRC_OAI_138</t>
  </si>
  <si>
    <r>
      <rPr>
        <sz val="10"/>
        <color rgb="FF000000"/>
        <rFont val="Noto Sans CJK SC"/>
        <family val="2"/>
      </rPr>
      <t xml:space="preserve">算力（雲端）支出：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（媒體報導，經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</si>
  <si>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年雲端算力支出約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（媒體報導，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作交叉檢驗；口徑為雲端，未含自有）</t>
    </r>
  </si>
  <si>
    <t xml:space="preserve">2026-05-20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</si>
  <si>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Frontier labs don't use most AI compute</t>
    </r>
    <r>
      <rPr>
        <sz val="10"/>
        <color rgb="FF000000"/>
        <rFont val="Noto Sans CJK SC"/>
        <family val="2"/>
      </rPr>
      <t xml:space="preserve">』附錄（引媒體報導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，作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估計的交叉檢驗；頁面日期 </t>
    </r>
    <r>
      <rPr>
        <sz val="10"/>
        <color rgb="FF000000"/>
        <rFont val="Arial"/>
        <family val="0"/>
        <charset val="1"/>
      </rPr>
      <t xml:space="preserve">2026-05-20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https://epoch.ai/gradient-updates/frontier-labs-dont-use-most-ai-compute</t>
    </r>
  </si>
  <si>
    <t xml:space="preserve">利害關係方（原始數字）／第三方轉引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</si>
  <si>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（獨立研究機構，無直接利害）轉引媒體報導；原始報導與其消息來源未載明，數字最終源自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內部（誘因：募資與議價）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</si>
  <si>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外部算力支出對照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</si>
  <si>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對照列（不進主序列）：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）倍數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</si>
  <si>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頁面未載明原始媒體報導；與 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）並列對照；日期依獨立查核補正（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</t>
    </r>
  </si>
  <si>
    <t xml:space="preserve">SRC_OAI_139</t>
  </si>
  <si>
    <r>
      <rPr>
        <sz val="10"/>
        <color rgb="FF000000"/>
        <rFont val="Noto Sans CJK SC"/>
        <family val="2"/>
      </rPr>
      <t xml:space="preserve">算力支出：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</si>
  <si>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年算力支出約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審判作證；約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的三倍）</t>
    </r>
  </si>
  <si>
    <t xml:space="preserve">2026-05-05</t>
  </si>
  <si>
    <r>
      <rPr>
        <sz val="10"/>
        <color rgb="FF000000"/>
        <rFont val="Arial"/>
        <family val="0"/>
        <charset val="1"/>
      </rPr>
      <t xml:space="preserve">Bloomberg Law 2026-05-05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to Spend $50 Billion on Computing in 2026, Brockman Says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總裁 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作證第二日） </t>
    </r>
    <r>
      <rPr>
        <sz val="10"/>
        <color rgb="FF000000"/>
        <rFont val="Arial"/>
        <family val="0"/>
        <charset val="1"/>
      </rPr>
      <t xml:space="preserve">https://news.bloomberglaw.com/ip-law/openai-to-spend-50-billion-on-computing-in-2026-brockman-says 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AI 2026-09-09 </t>
    </r>
    <r>
      <rPr>
        <sz val="10"/>
        <color rgb="FF000000"/>
        <rFont val="Noto Sans CJK SC"/>
        <family val="2"/>
      </rPr>
      <t xml:space="preserve">亦引：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、約為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</si>
  <si>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SRC_OAI_078</t>
    </r>
    <r>
      <rPr>
        <sz val="10"/>
        <color rgb="FF000000"/>
        <rFont val="Noto Sans CJK SC"/>
        <family val="2"/>
      </rPr>
      <t xml:space="preserve">（同一證詞，</t>
    </r>
    <r>
      <rPr>
        <sz val="10"/>
        <color rgb="FF000000"/>
        <rFont val="Arial"/>
        <family val="0"/>
        <charset val="1"/>
      </rPr>
      <t xml:space="preserve">commitments tracker </t>
    </r>
    <r>
      <rPr>
        <sz val="10"/>
        <color rgb="FF000000"/>
        <rFont val="Noto Sans CJK SC"/>
        <family val="2"/>
      </rPr>
      <t xml:space="preserve">轉述）數值相同，本列補上可開啟的出處網址</t>
    </r>
  </si>
  <si>
    <t xml:space="preserve">SRC_OAI_140</t>
  </si>
  <si>
    <r>
      <rPr>
        <sz val="10"/>
        <color rgb="FF000000"/>
        <rFont val="Noto Sans CJK SC"/>
        <family val="2"/>
      </rPr>
      <t xml:space="preserve">對外服務占算力比：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：研發與推論約各半）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</si>
  <si>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算力在研發與推論間『大致平分』（</t>
    </r>
    <r>
      <rPr>
        <sz val="10"/>
        <color rgb="FF000000"/>
        <rFont val="Arial"/>
        <family val="0"/>
        <charset val="1"/>
      </rPr>
      <t xml:space="preserve">roughly evenly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為對『大致平分』的取值，非原文數字</t>
    </r>
  </si>
  <si>
    <t xml:space="preserve">2026-09-09</t>
  </si>
  <si>
    <r>
      <rPr>
        <sz val="10"/>
        <color rgb="FF000000"/>
        <rFont val="Arial"/>
        <family val="0"/>
        <charset val="1"/>
      </rPr>
      <t xml:space="preserve">Epoch AI 2026-09-09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Introducing the AI Chip Users explorer</t>
    </r>
    <r>
      <rPr>
        <sz val="10"/>
        <color rgb="FF000000"/>
        <rFont val="Noto Sans CJK SC"/>
        <family val="2"/>
      </rPr>
      <t xml:space="preserve">』：『</t>
    </r>
    <r>
      <rPr>
        <sz val="10"/>
        <color rgb="FF000000"/>
        <rFont val="Arial"/>
        <family val="0"/>
        <charset val="1"/>
      </rPr>
      <t xml:space="preserve">OpenAI's compute in 2025 was divided roughly evenly between R&amp;D and inference</t>
    </r>
    <r>
      <rPr>
        <sz val="10"/>
        <color rgb="FF000000"/>
        <rFont val="Noto Sans CJK SC"/>
        <family val="2"/>
      </rPr>
      <t xml:space="preserve">』（引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彙整之報導數字，非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揭露）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</si>
  <si>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t xml:space="preserve">第三方</t>
  </si>
  <si>
    <r>
      <rPr>
        <sz val="10"/>
        <color rgb="FF000000"/>
        <rFont val="Arial"/>
        <family val="0"/>
        <charset val="1"/>
      </rPr>
      <t xml:space="preserve">Epoch AI </t>
    </r>
    <r>
      <rPr>
        <sz val="10"/>
        <color rgb="FF000000"/>
        <rFont val="Noto Sans CJK SC"/>
        <family val="2"/>
      </rPr>
      <t xml:space="preserve">為獨立研究機構，無直接利害；係其彙整報導數字之敘述，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為本模型對『大致平分』的取值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</si>
  <si>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服務占比對照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</si>
  <si>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服務占比對照（基準取 </t>
    </r>
    <r>
      <rPr>
        <sz val="10"/>
        <color rgb="FF000000"/>
        <rFont val="Arial"/>
        <family val="0"/>
        <charset val="1"/>
      </rPr>
      <t xml:space="preserve">Tokenomics TK_IF_ServeShare 0.41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</si>
  <si>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）；原文無區間，本列不補值（待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判斷）；比值（營收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成本）不受服務占比影響，只影響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m×L </t>
    </r>
    <r>
      <rPr>
        <sz val="10"/>
        <color rgb="FF000000"/>
        <rFont val="Noto Sans CJK SC"/>
        <family val="2"/>
      </rPr>
      <t xml:space="preserve">的水準</t>
    </r>
  </si>
  <si>
    <t xml:space="preserve">SRC_OAI_144</t>
  </si>
  <si>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淨額口徑）</t>
    </r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</si>
  <si>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（非全年營收）：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淨額口徑）；</t>
    </r>
    <r>
      <rPr>
        <sz val="10"/>
        <color rgb="FF000000"/>
        <rFont val="Arial"/>
        <family val="0"/>
        <charset val="1"/>
      </rPr>
      <t xml:space="preserve">Bloomberg 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&gt;$40B</t>
    </r>
    <r>
      <rPr>
        <sz val="10"/>
        <color rgb="FF000000"/>
        <rFont val="Noto Sans CJK SC"/>
        <family val="2"/>
      </rPr>
      <t xml:space="preserve">；各口徑不可直接比</t>
    </r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</si>
  <si>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FutureSearch https://futuresearch.ai/openai-financial-forecast/ 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&gt;40B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月底約 </t>
    </r>
    <r>
      <rPr>
        <sz val="10"/>
        <color rgb="FF000000"/>
        <rFont val="Arial"/>
        <family val="0"/>
        <charset val="1"/>
      </rPr>
      <t xml:space="preserve">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）；原文未讀）。證據：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）『證據表』</t>
    </r>
    <r>
      <rPr>
        <sz val="10"/>
        <color rgb="FF000000"/>
        <rFont val="Arial"/>
        <family val="0"/>
        <charset val="1"/>
      </rPr>
      <t xml:space="preserve">R01</t>
    </r>
    <r>
      <rPr>
        <sz val="10"/>
        <color rgb="FF000000"/>
        <rFont val="Noto Sans CJK SC"/>
        <family val="2"/>
      </rPr>
      <t xml:space="preserve">、『比值』</t>
    </r>
    <r>
      <rPr>
        <sz val="10"/>
        <color rgb="FF000000"/>
        <rFont val="Arial"/>
        <family val="0"/>
        <charset val="1"/>
      </rPr>
      <t xml:space="preserve">B9</t>
    </r>
  </si>
  <si>
    <t xml:space="preserve">利害關係方（推測）／報導</t>
  </si>
  <si>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數字出自報導聚合頁，原文未讀；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有誘因呈現成長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</si>
  <si>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口徑三營收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</si>
  <si>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口徑三（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 </t>
    </r>
    <r>
      <rPr>
        <sz val="10"/>
        <color rgb="FF000000"/>
        <rFont val="Arial"/>
        <family val="0"/>
        <charset val="1"/>
      </rPr>
      <t xml:space="preserve">run-rate ÷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</si>
  <si>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J5</t>
    </r>
    <r>
      <rPr>
        <sz val="10"/>
        <color rgb="FF000000"/>
        <rFont val="Noto Sans CJK SC"/>
        <family val="2"/>
      </rPr>
      <t xml:space="preserve">（讀自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證據檔 </t>
    </r>
    <r>
      <rPr>
        <sz val="10"/>
        <color rgb="FF000000"/>
        <rFont val="Arial"/>
        <family val="0"/>
        <charset val="1"/>
      </rPr>
      <t xml:space="preserve">2026-10-25</t>
    </r>
    <r>
      <rPr>
        <sz val="10"/>
        <color rgb="FF000000"/>
        <rFont val="Noto Sans CJK SC"/>
        <family val="2"/>
      </rPr>
      <t xml:space="preserve">；本模型未重讀原網頁）。只見聚合頁摘述，未讀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原文；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與全年營收口徑不同，僅作第三口徑；原文未讀，等級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（待查核）</t>
    </r>
  </si>
  <si>
    <t xml:space="preserve">SRC_OAI_145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</si>
  <si>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（超過）</t>
    </r>
  </si>
  <si>
    <r>
      <rPr>
        <sz val="10"/>
        <color rgb="FF000000"/>
        <rFont val="Noto Sans CJK SC"/>
        <family val="2"/>
      </rPr>
      <t xml:space="preserve">時點值；『超過』；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全部。</t>
    </r>
    <r>
      <rPr>
        <sz val="10"/>
        <color rgb="FF000000"/>
        <rFont val="Arial"/>
        <family val="0"/>
        <charset val="1"/>
      </rPr>
      <t xml:space="preserve">Tokenomics SRC_DEM_011 </t>
    </r>
    <r>
      <rPr>
        <sz val="10"/>
        <color rgb="FF000000"/>
        <rFont val="Noto Sans CJK SC"/>
        <family val="2"/>
      </rPr>
      <t xml:space="preserve">原紀錄抄錄</t>
    </r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</si>
  <si>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</si>
  <si>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。」）；</t>
    </r>
    <r>
      <rPr>
        <sz val="10"/>
        <color rgb="FF000000"/>
        <rFont val="Arial"/>
        <family val="0"/>
        <charset val="1"/>
      </rPr>
      <t xml:space="preserve">Exponential View 2026-04-06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Mobile World Live 2026-06-03 </t>
    </r>
    <r>
      <rPr>
        <sz val="10"/>
        <color rgb="FF000000"/>
        <rFont val="Noto Sans CJK SC"/>
        <family val="2"/>
      </rPr>
      <t xml:space="preserve">同值</t>
    </r>
  </si>
  <si>
    <t xml:space="preserve">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</si>
  <si>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自己公告的用量：誘因為宣傳成長與用戶規模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</si>
  <si>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需求面付費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</si>
  <si>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第八節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帳：需求面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（時點值年化）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</si>
  <si>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J7</t>
    </r>
    <r>
      <rPr>
        <sz val="10"/>
        <color rgb="FF000000"/>
        <rFont val="Noto Sans CJK SC"/>
        <family val="2"/>
      </rPr>
      <t xml:space="preserve">：照 </t>
    </r>
    <r>
      <rPr>
        <sz val="10"/>
        <color rgb="FF000000"/>
        <rFont val="Arial"/>
        <family val="0"/>
        <charset val="1"/>
      </rPr>
      <t xml:space="preserve">Tokenomics SRC_DEM_011 </t>
    </r>
    <r>
      <rPr>
        <sz val="10"/>
        <color rgb="FF000000"/>
        <rFont val="Noto Sans CJK SC"/>
        <family val="2"/>
      </rPr>
      <t xml:space="preserve">原紀錄抄錄；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驗與 </t>
    </r>
    <r>
      <rPr>
        <sz val="10"/>
        <color rgb="FF000000"/>
        <rFont val="Arial"/>
        <family val="0"/>
        <charset val="1"/>
      </rPr>
      <t xml:space="preserve">TK_SRC_DEM_011 </t>
    </r>
    <r>
      <rPr>
        <sz val="10"/>
        <color rgb="FF000000"/>
        <rFont val="Noto Sans CJK SC"/>
        <family val="2"/>
      </rPr>
      <t xml:space="preserve">相等。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當期值：已搜尋，未找到（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之後無新值）</t>
    </r>
  </si>
  <si>
    <t xml:space="preserve">SRC_OAI_146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</si>
  <si>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占（</t>
    </r>
    <r>
      <rPr>
        <sz val="10"/>
        <color rgb="FF000000"/>
        <rFont val="Arial"/>
        <family val="0"/>
        <charset val="1"/>
      </rPr>
      <t xml:space="preserve">Codex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：組織用戶（截至 </t>
    </r>
    <r>
      <rPr>
        <sz val="10"/>
        <color rgb="FF000000"/>
        <rFont val="Arial"/>
        <family val="0"/>
        <charset val="1"/>
      </rPr>
      <t xml:space="preserve">2026-06-11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天窗口）</t>
    </r>
  </si>
  <si>
    <r>
      <rPr>
        <sz val="10"/>
        <color rgb="FF000000"/>
        <rFont val="Arial"/>
        <family val="0"/>
        <charset val="1"/>
      </rPr>
      <t xml:space="preserve">Business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方案用戶；截至 </t>
    </r>
    <r>
      <rPr>
        <sz val="10"/>
        <color rgb="FF000000"/>
        <rFont val="Arial"/>
        <family val="0"/>
        <charset val="1"/>
      </rPr>
      <t xml:space="preserve">2026-06-11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天窗口（非單日時點）；圖說定義為 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占兩者合計的比例，讀作彙總比（論文未明說）；無絕對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量、未提 </t>
    </r>
    <r>
      <rPr>
        <sz val="10"/>
        <color rgb="FF000000"/>
        <rFont val="Arial"/>
        <family val="0"/>
        <charset val="1"/>
      </rPr>
      <t xml:space="preserve">API</t>
    </r>
  </si>
  <si>
    <t xml:space="preserve">2026-06-25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</si>
  <si>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（研究團隊）</t>
    </r>
    <r>
      <rPr>
        <sz val="10"/>
        <color rgb="FF000000"/>
        <rFont val="Arial"/>
        <family val="0"/>
        <charset val="1"/>
      </rPr>
      <t xml:space="preserve">arXiv 2606.26959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The Shift to Agentic AI: Evidence from Codex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2026-06-25</t>
    </r>
    <r>
      <rPr>
        <sz val="10"/>
        <color rgb="FF000000"/>
        <rFont val="Noto Sans CJK SC"/>
        <family val="2"/>
      </rPr>
      <t xml:space="preserve">；作者多為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員工，兩位學者為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付費顧問；推廣 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的誘因）。證據：</t>
    </r>
    <r>
      <rPr>
        <sz val="10"/>
        <color rgb="FF000000"/>
        <rFont val="Arial"/>
        <family val="0"/>
        <charset val="1"/>
      </rPr>
      <t xml:space="preserve">Tokenomics docs/evidence/20261025_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（決定變數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帳』『輸入』頁；</t>
    </r>
    <r>
      <rPr>
        <sz val="10"/>
        <color rgb="FF000000"/>
        <rFont val="Arial"/>
        <family val="0"/>
        <charset val="1"/>
      </rPr>
      <t xml:space="preserve">PR #168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T03</t>
    </r>
  </si>
  <si>
    <r>
      <rPr>
        <sz val="10"/>
        <color rgb="FF000000"/>
        <rFont val="Arial"/>
        <family val="0"/>
        <charset val="1"/>
      </rPr>
      <t xml:space="preserve">v0.6.4.PxQ.D2 Codex </t>
    </r>
    <r>
      <rPr>
        <sz val="10"/>
        <color rgb="FF000000"/>
        <rFont val="Noto Sans CJK SC"/>
        <family val="2"/>
      </rPr>
      <t xml:space="preserve">份額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</si>
  <si>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8.4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推導式（候選因子；不進基準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</si>
  <si>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20261029 W2</t>
    </r>
    <r>
      <rPr>
        <sz val="10"/>
        <color rgb="FF000000"/>
        <rFont val="Noto Sans CJK SC"/>
        <family val="2"/>
      </rPr>
      <t xml:space="preserve">（讀自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證據檔 </t>
    </r>
    <r>
      <rPr>
        <sz val="10"/>
        <color rgb="FF000000"/>
        <rFont val="Arial"/>
        <family val="0"/>
        <charset val="1"/>
      </rPr>
      <t xml:space="preserve">2026-10-29</t>
    </r>
    <r>
      <rPr>
        <sz val="10"/>
        <color rgb="FF000000"/>
        <rFont val="Noto Sans CJK SC"/>
        <family val="2"/>
      </rPr>
      <t xml:space="preserve">；本模型未重讀原網頁）</t>
    </r>
  </si>
  <si>
    <t xml:space="preserve">SRC_OAI_147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</si>
  <si>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占（</t>
    </r>
    <r>
      <rPr>
        <sz val="10"/>
        <color rgb="FF000000"/>
        <rFont val="Arial"/>
        <family val="0"/>
        <charset val="1"/>
      </rPr>
      <t xml:space="preserve">Codex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：個人用戶（含免費；截至 </t>
    </r>
    <r>
      <rPr>
        <sz val="10"/>
        <color rgb="FF000000"/>
        <rFont val="Arial"/>
        <family val="0"/>
        <charset val="1"/>
      </rPr>
      <t xml:space="preserve">2026-06-11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天窗口）</t>
    </r>
  </si>
  <si>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個人用戶；截至 </t>
    </r>
    <r>
      <rPr>
        <sz val="10"/>
        <color rgb="FF000000"/>
        <rFont val="Arial"/>
        <family val="0"/>
        <charset val="1"/>
      </rPr>
      <t xml:space="preserve">2026-06-11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天窗口；彙總比或平均值未明（同上）；無絕對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量、未提 </t>
    </r>
    <r>
      <rPr>
        <sz val="10"/>
        <color rgb="FF000000"/>
        <rFont val="Arial"/>
        <family val="0"/>
        <charset val="1"/>
      </rPr>
      <t xml:space="preserve">API</t>
    </r>
  </si>
  <si>
    <t xml:space="preserve">SRC_OAI_148</t>
  </si>
  <si>
    <r>
      <rPr>
        <sz val="10"/>
        <color rgb="FF000000"/>
        <rFont val="Arial"/>
        <family val="0"/>
        <charset val="1"/>
      </rPr>
      <t xml:space="preserve">Microsoft FY27 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）來自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的營收（含分潤）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</si>
  <si>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全公司當季來自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的營收（</t>
    </r>
    <r>
      <rPr>
        <sz val="10"/>
        <color rgb="FF000000"/>
        <rFont val="Arial"/>
        <family val="0"/>
        <charset val="1"/>
      </rPr>
      <t xml:space="preserve">inclusive of revenue-sharing payments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總營收 </t>
    </r>
    <r>
      <rPr>
        <sz val="10"/>
        <color rgb="FF000000"/>
        <rFont val="Arial"/>
        <family val="0"/>
        <charset val="1"/>
      </rPr>
      <t xml:space="preserve">10.8%</t>
    </r>
    <r>
      <rPr>
        <sz val="10"/>
        <color rgb="FF000000"/>
        <rFont val="Noto Sans CJK SC"/>
        <family val="2"/>
      </rPr>
      <t xml:space="preserve">）；未拆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消費與分潤，也沒有站點；是全公司營收，不可換算成 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占比或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C1</t>
    </r>
    <r>
      <rPr>
        <sz val="10"/>
        <color rgb="FF000000"/>
        <rFont val="Noto Sans CJK SC"/>
        <family val="2"/>
      </rPr>
      <t xml:space="preserve">）</t>
    </r>
  </si>
  <si>
    <t xml:space="preserve">2026-10-28</t>
  </si>
  <si>
    <r>
      <rPr>
        <sz val="10"/>
        <color rgb="FF000000"/>
        <rFont val="Arial"/>
        <family val="0"/>
        <charset val="1"/>
      </rPr>
      <t xml:space="preserve">Microsoft FY27 Q1 10-Q </t>
    </r>
    <r>
      <rPr>
        <sz val="10"/>
        <color rgb="FF000000"/>
        <rFont val="Noto Sans CJK SC"/>
        <family val="2"/>
      </rPr>
      <t xml:space="preserve">關係人附註（</t>
    </r>
    <r>
      <rPr>
        <sz val="10"/>
        <color rgb="FF000000"/>
        <rFont val="Arial"/>
        <family val="0"/>
        <charset val="1"/>
      </rPr>
      <t xml:space="preserve">ASC 850 </t>
    </r>
    <r>
      <rPr>
        <sz val="10"/>
        <color rgb="FF000000"/>
        <rFont val="Noto Sans CJK SC"/>
        <family val="2"/>
      </rPr>
      <t xml:space="preserve">強制揭露，誤報誘因較低；一手）。證據：</t>
    </r>
    <r>
      <rPr>
        <sz val="10"/>
        <color rgb="FF000000"/>
        <rFont val="Arial"/>
        <family val="0"/>
        <charset val="1"/>
      </rPr>
      <t xml:space="preserve">Tokenomics docs/evidence/20261029_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8309fdb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C02</t>
    </r>
  </si>
  <si>
    <r>
      <rPr>
        <sz val="10"/>
        <color rgb="FF000000"/>
        <rFont val="Arial"/>
        <family val="0"/>
        <charset val="1"/>
      </rPr>
      <t xml:space="preserve">v0.6.4.PxQ.Microsoft 10-Q </t>
    </r>
    <r>
      <rPr>
        <sz val="10"/>
        <color rgb="FF000000"/>
        <rFont val="Noto Sans CJK SC"/>
        <family val="2"/>
      </rPr>
      <t xml:space="preserve">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</si>
  <si>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對照列（不參與任何計算；成本面對照）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</si>
  <si>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20261029 W6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待判斷 </t>
    </r>
    <r>
      <rPr>
        <sz val="10"/>
        <color rgb="FF000000"/>
        <rFont val="Arial"/>
        <family val="0"/>
        <charset val="1"/>
      </rPr>
      <t xml:space="preserve">C1</t>
    </r>
    <r>
      <rPr>
        <sz val="10"/>
        <color rgb="FF000000"/>
        <rFont val="Noto Sans CJK SC"/>
        <family val="2"/>
      </rPr>
      <t xml:space="preserve">：只作對照註記，不當算力成本輸入（讀自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證據檔 </t>
    </r>
    <r>
      <rPr>
        <sz val="10"/>
        <color rgb="FF000000"/>
        <rFont val="Arial"/>
        <family val="0"/>
        <charset val="1"/>
      </rPr>
      <t xml:space="preserve">2026-10-29</t>
    </r>
    <r>
      <rPr>
        <sz val="10"/>
        <color rgb="FF000000"/>
        <rFont val="Noto Sans CJK SC"/>
        <family val="2"/>
      </rPr>
      <t xml:space="preserve">；本模型未重讀原網頁）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</si>
  <si>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</si>
  <si>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</si>
  <si>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</si>
  <si>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20261025_Tokenomics_v21.7.xlsx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</si>
  <si>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</si>
  <si>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v21.7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</si>
  <si>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</si>
  <si>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8309fdb17a74b6045375870db47e81bd2f0a6c88</t>
  </si>
  <si>
    <t xml:space="preserve">讀取日期</t>
  </si>
  <si>
    <t xml:space="preserve">2026-10-29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</si>
  <si>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</si>
  <si>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6e55fc29b7aaab3cdad02001e86894d108bdf972b1b45ea3c838a4c134b9ec8c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</si>
  <si>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</si>
  <si>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</si>
  <si>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</si>
  <si>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</si>
  <si>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</si>
  <si>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</si>
  <si>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</si>
  <si>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</si>
  <si>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</si>
  <si>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</si>
  <si>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</si>
  <si>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</si>
  <si>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</si>
  <si>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</si>
  <si>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</si>
  <si>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</si>
  <si>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</si>
  <si>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</si>
  <si>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</si>
  <si>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</si>
  <si>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</si>
  <si>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</si>
  <si>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</si>
  <si>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</si>
  <si>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</si>
  <si>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</si>
  <si>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</si>
  <si>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</si>
  <si>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</si>
  <si>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</si>
  <si>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</si>
  <si>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</si>
  <si>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</si>
  <si>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</si>
  <si>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</si>
  <si>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8309fdb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</si>
  <si>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</si>
  <si>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</si>
  <si>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</si>
  <si>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</si>
  <si>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</si>
  <si>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</si>
  <si>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</si>
  <si>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</si>
  <si>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</si>
  <si>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</si>
  <si>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</si>
  <si>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</si>
  <si>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</si>
  <si>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</si>
  <si>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</si>
  <si>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</si>
  <si>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</si>
  <si>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</si>
  <si>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</si>
  <si>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</si>
  <si>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</si>
  <si>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</si>
  <si>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</si>
  <si>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</si>
  <si>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</si>
  <si>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</si>
  <si>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</si>
  <si>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</si>
  <si>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</si>
  <si>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</si>
  <si>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</si>
  <si>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</si>
  <si>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</si>
  <si>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</si>
  <si>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</si>
  <si>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</si>
  <si>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</si>
  <si>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</si>
  <si>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</si>
  <si>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</si>
  <si>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</si>
  <si>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</si>
  <si>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</si>
  <si>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</si>
  <si>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</si>
  <si>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</si>
  <si>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</si>
  <si>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</si>
  <si>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</si>
  <si>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</si>
  <si>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</si>
  <si>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</si>
  <si>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</si>
  <si>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</si>
  <si>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</si>
  <si>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</si>
  <si>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</si>
  <si>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</si>
  <si>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</si>
  <si>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</si>
  <si>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</si>
  <si>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</si>
  <si>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</si>
  <si>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</si>
  <si>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</si>
  <si>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</si>
  <si>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</si>
  <si>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</si>
  <si>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</si>
  <si>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</si>
  <si>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</si>
  <si>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</si>
  <si>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</si>
  <si>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</si>
  <si>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</si>
  <si>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</si>
  <si>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</si>
  <si>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</si>
  <si>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</si>
  <si>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</si>
  <si>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</si>
  <si>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</si>
  <si>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</si>
  <si>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</si>
  <si>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</si>
  <si>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</si>
  <si>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</si>
  <si>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</si>
  <si>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</si>
  <si>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</si>
  <si>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</si>
  <si>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</si>
  <si>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</si>
  <si>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</si>
  <si>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</si>
  <si>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</si>
  <si>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</si>
  <si>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</si>
  <si>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</si>
  <si>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</si>
  <si>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</si>
  <si>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</si>
  <si>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</si>
  <si>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</si>
  <si>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</si>
  <si>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</si>
  <si>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</si>
  <si>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</si>
  <si>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</si>
  <si>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</si>
  <si>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</si>
  <si>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</si>
  <si>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</si>
  <si>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</si>
  <si>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</si>
  <si>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</si>
  <si>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</si>
  <si>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</si>
  <si>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</si>
  <si>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</si>
  <si>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</si>
  <si>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</si>
  <si>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v20.0 </t>
    </r>
    <r>
      <rPr>
        <sz val="10"/>
        <color rgb="FF000000"/>
        <rFont val="Noto Sans CJK SC"/>
        <family val="2"/>
      </rPr>
      <t xml:space="preserve">起：支出路線為對照，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校準主口徑為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L1_ServeGW_GW25</t>
    </r>
    <r>
      <rPr>
        <sz val="10"/>
        <color rgb="FF000000"/>
        <rFont val="Noto Sans CJK SC"/>
        <family val="2"/>
      </rPr>
      <t xml:space="preserve">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</si>
  <si>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</si>
  <si>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</si>
  <si>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</si>
  <si>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</si>
  <si>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</si>
  <si>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</si>
  <si>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</si>
  <si>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</si>
  <si>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</si>
  <si>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</si>
  <si>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</si>
  <si>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</si>
  <si>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</si>
  <si>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</si>
  <si>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</si>
  <si>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</si>
  <si>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</si>
  <si>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</si>
  <si>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</si>
  <si>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</si>
  <si>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</si>
  <si>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</si>
  <si>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</si>
  <si>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</si>
  <si>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</si>
  <si>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</si>
  <si>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</si>
  <si>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</si>
  <si>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</si>
  <si>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</si>
  <si>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</si>
  <si>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</si>
  <si>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</si>
  <si>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</si>
  <si>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</si>
  <si>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</si>
  <si>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</si>
  <si>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</si>
  <si>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</si>
  <si>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</si>
  <si>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</si>
  <si>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</si>
  <si>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</si>
  <si>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</si>
  <si>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</si>
  <si>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</si>
  <si>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</si>
  <si>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</si>
  <si>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</si>
  <si>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IF_TokGWPaidMix</t>
  </si>
  <si>
    <t xml:space="preserve">TK_IF_TokGWPaidMix</t>
  </si>
  <si>
    <r>
      <rPr>
        <sz val="10"/>
        <color rgb="FF000000"/>
        <rFont val="Noto Sans CJK SC"/>
        <family val="2"/>
      </rPr>
      <t xml:space="preserve">付費層級組合下每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利用、全部付費；層級占比調和平均；實際＝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IF_ServeShare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 </t>
    </r>
    <r>
      <rPr>
        <sz val="10"/>
        <color rgb="FF000000"/>
        <rFont val="Arial"/>
        <family val="0"/>
        <charset val="1"/>
      </rPr>
      <t xml:space="preserve">IF_FreeShare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生產折減；欄 </t>
    </r>
    <r>
      <rPr>
        <sz val="10"/>
        <color rgb="FF000000"/>
        <rFont val="Arial"/>
        <family val="0"/>
        <charset val="1"/>
      </rPr>
      <t xml:space="preserve">C–Q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成本情境，同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</si>
  <si>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</si>
  <si>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IF_Disc</t>
  </si>
  <si>
    <t xml:space="preserve">TK_IF_Disc</t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</si>
  <si>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（有效牌價＝表列牌價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</si>
  <si>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IF_ProdDerate</t>
  </si>
  <si>
    <t xml:space="preserve">TK_IF_ProdDerate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</si>
  <si>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　</t>
    </r>
    <r>
      <rPr>
        <sz val="10"/>
        <color rgb="FF000000"/>
        <rFont val="Arial"/>
        <family val="0"/>
        <charset val="1"/>
      </rPr>
      <t xml:space="preserve">[IF_ProdDerate]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v20.0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欄＝效率區間 </t>
    </r>
    <r>
      <rPr>
        <sz val="10"/>
        <color rgb="FF000000"/>
        <rFont val="Arial"/>
        <family val="0"/>
        <charset val="1"/>
      </rPr>
      <t xml:space="preserve">AL_ProdDerate_Lo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欄不變）</t>
    </r>
  </si>
  <si>
    <t xml:space="preserve">IF_FleetProdRatio_VR200</t>
  </si>
  <si>
    <t xml:space="preserve">TK_IF_FleetProdRatio_VR200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</si>
  <si>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生產折減重解比（＝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；重解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理想產出；僅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；基準）</t>
    </r>
  </si>
  <si>
    <t xml:space="preserve">IF_PxEffMix</t>
  </si>
  <si>
    <t xml:space="preserve">TK_IF_PxEffMix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</si>
  <si>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快照（＝表列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IF_MixPaid_* </t>
    </r>
    <r>
      <rPr>
        <sz val="10"/>
        <color rgb="FF000000"/>
        <rFont val="Noto Sans CJK SC"/>
        <family val="2"/>
      </rPr>
      <t xml:space="preserve">加權；基準）</t>
    </r>
  </si>
  <si>
    <t xml:space="preserve">IF_PxEffMix25</t>
  </si>
  <si>
    <t xml:space="preserve">TK_IF_PxEffMix25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</si>
  <si>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；各層級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年度加權單價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</si>
  <si>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IF_PxEffMix25_Lo</t>
  </si>
  <si>
    <t xml:space="preserve">TK_IF_PxEffMix25_Lo</t>
  </si>
  <si>
    <t xml:space="preserve">IF_PxEffMix25_Hi</t>
  </si>
  <si>
    <t xml:space="preserve">TK_IF_PxEffMix25_Hi</t>
  </si>
  <si>
    <t xml:space="preserve">IF_ServeShare</t>
  </si>
  <si>
    <t xml:space="preserve">TK_IF_ServeShare</t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</si>
  <si>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</si>
  <si>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IF_FreeShare</t>
  </si>
  <si>
    <t xml:space="preserve">TK_IF_FreeShare</t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</si>
  <si>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</t>
    </r>
  </si>
  <si>
    <t xml:space="preserve">IF_MixPaid_Luna</t>
  </si>
  <si>
    <t xml:space="preserve">TK_IF_MixPaid_Luna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</si>
  <si>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</si>
  <si>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IF_MixPaid_Sol</t>
  </si>
  <si>
    <t xml:space="preserve">TK_IF_MixPaid_Sol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</si>
  <si>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</si>
  <si>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IF_MixPaid_Astra</t>
  </si>
  <si>
    <t xml:space="preserve">TK_IF_MixPaid_Astra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</si>
  <si>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</si>
  <si>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IF_UtilActual</t>
  </si>
  <si>
    <t xml:space="preserve">TK_IF_UtilActual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</si>
  <si>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</si>
  <si>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</si>
  <si>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</si>
  <si>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</si>
  <si>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</si>
  <si>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IF_LTotalDisc</t>
  </si>
  <si>
    <t xml:space="preserve">TK_IF_LTotalDisc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</si>
  <si>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（新世代自身起點、折現；＝</t>
    </r>
    <r>
      <rPr>
        <sz val="10"/>
        <color rgb="FF000000"/>
        <rFont val="Arial"/>
        <family val="0"/>
        <charset val="1"/>
      </rPr>
      <t xml:space="preserve">L1_LTotalDisc</t>
    </r>
    <r>
      <rPr>
        <sz val="10"/>
        <color rgb="FF000000"/>
        <rFont val="Noto Sans CJK SC"/>
        <family val="2"/>
      </rPr>
      <t xml:space="preserve">；壽命期年均產出占第一年的比例；基準／低／高）</t>
    </r>
  </si>
  <si>
    <t xml:space="preserve">IF_LTotalDisc_Lo</t>
  </si>
  <si>
    <t xml:space="preserve">TK_IF_LTotalDisc_Lo</t>
  </si>
  <si>
    <t xml:space="preserve">IF_LTotalDisc_Hi</t>
  </si>
  <si>
    <t xml:space="preserve">TK_IF_LTotalDisc_Hi</t>
  </si>
  <si>
    <t xml:space="preserve">IF_LTotalFleetVDisc</t>
  </si>
  <si>
    <t xml:space="preserve">TK_IF_LTotalFleetVDisc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</si>
  <si>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機隊、世代起點、折現；＝</t>
    </r>
    <r>
      <rPr>
        <sz val="10"/>
        <color rgb="FF000000"/>
        <rFont val="Arial"/>
        <family val="0"/>
        <charset val="1"/>
      </rPr>
      <t xml:space="preserve">L1_LTotalFleetVDisc</t>
    </r>
    <r>
      <rPr>
        <sz val="10"/>
        <color rgb="FF000000"/>
        <rFont val="Noto Sans CJK SC"/>
        <family val="2"/>
      </rPr>
      <t xml:space="preserve">；基準／低／高）</t>
    </r>
  </si>
  <si>
    <t xml:space="preserve">IF_LTotalFleetVDisc_Lo</t>
  </si>
  <si>
    <t xml:space="preserve">TK_IF_LTotalFleetVDisc_Lo</t>
  </si>
  <si>
    <t xml:space="preserve">IF_LTotalFleetVDisc_Hi</t>
  </si>
  <si>
    <t xml:space="preserve">TK_IF_LTotalFleetVDisc_Hi</t>
  </si>
  <si>
    <t xml:space="preserve">RNG_IF_AllocQ1_Lo</t>
  </si>
  <si>
    <t xml:space="preserve">TK_RNG_IF_AllocQ1_Lo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</si>
  <si>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</si>
  <si>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RNG_IF_AllocQ1_Hi</t>
  </si>
  <si>
    <t xml:space="preserve">TK_RNG_IF_AllocQ1_Hi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</si>
  <si>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</si>
  <si>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RNG_StaleFlag</t>
  </si>
  <si>
    <t xml:space="preserve">TK_RNG_StaleFlag</t>
  </si>
  <si>
    <t xml:space="preserve">區間時效旗標</t>
  </si>
  <si>
    <t xml:space="preserve">一致</t>
  </si>
  <si>
    <t xml:space="preserve">IF_PxEffMix_Lo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</si>
  <si>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現行版無此名稱；無具名範圍）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</si>
  <si>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缺口：見報告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</si>
  <si>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</t>
    </r>
  </si>
  <si>
    <t xml:space="preserve">IF_PxEffMix_Hi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</si>
  <si>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</si>
  <si>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</si>
  <si>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</si>
  <si>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</si>
  <si>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</si>
  <si>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</si>
  <si>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</si>
  <si>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</si>
  <si>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</si>
  <si>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</si>
  <si>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</si>
  <si>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</si>
  <si>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</si>
  <si>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</si>
  <si>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</si>
  <si>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</si>
  <si>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</si>
  <si>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</si>
  <si>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</si>
  <si>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</si>
  <si>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</si>
  <si>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</si>
  <si>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</si>
  <si>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</si>
  <si>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</si>
  <si>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</si>
  <si>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</si>
  <si>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</si>
  <si>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</si>
  <si>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</si>
  <si>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</si>
  <si>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</si>
  <si>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</si>
  <si>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</si>
  <si>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</si>
  <si>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</si>
  <si>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</si>
  <si>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</si>
  <si>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</si>
  <si>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</si>
  <si>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</si>
  <si>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</si>
  <si>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</si>
  <si>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</si>
  <si>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</si>
  <si>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</si>
  <si>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</si>
  <si>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</si>
  <si>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</si>
  <si>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</si>
  <si>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</si>
  <si>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</si>
  <si>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</si>
  <si>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</si>
  <si>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</si>
  <si>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</si>
  <si>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</si>
  <si>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</si>
  <si>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</si>
  <si>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</si>
  <si>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</si>
  <si>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</si>
  <si>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</si>
  <si>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</si>
  <si>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</si>
  <si>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</si>
  <si>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</si>
  <si>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</si>
  <si>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</si>
  <si>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</si>
  <si>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</si>
  <si>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</si>
  <si>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</si>
  <si>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</si>
  <si>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</si>
  <si>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</si>
  <si>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</si>
  <si>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</si>
  <si>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</si>
  <si>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</si>
  <si>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</si>
  <si>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</si>
  <si>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</si>
  <si>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</si>
  <si>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</si>
  <si>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</si>
  <si>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</si>
  <si>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</si>
  <si>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</si>
  <si>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</si>
  <si>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</si>
  <si>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</si>
  <si>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</si>
  <si>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</si>
  <si>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</si>
  <si>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</si>
  <si>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</si>
  <si>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</si>
  <si>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</si>
  <si>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</si>
  <si>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</si>
  <si>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</si>
  <si>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</si>
  <si>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</si>
  <si>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</si>
  <si>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</si>
  <si>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</si>
  <si>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</si>
  <si>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</si>
  <si>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</si>
  <si>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</si>
  <si>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</si>
  <si>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</si>
  <si>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</si>
  <si>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</si>
  <si>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</si>
  <si>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</si>
  <si>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</si>
  <si>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</si>
  <si>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</si>
  <si>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</si>
  <si>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</si>
  <si>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</si>
  <si>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</si>
  <si>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</si>
  <si>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</si>
  <si>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</si>
  <si>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</si>
  <si>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</si>
  <si>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</si>
  <si>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</si>
  <si>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</si>
  <si>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</si>
  <si>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</si>
  <si>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</si>
  <si>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</si>
  <si>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</si>
  <si>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</si>
  <si>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</si>
  <si>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</si>
  <si>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</si>
  <si>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</si>
  <si>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</si>
  <si>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</si>
  <si>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</si>
  <si>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</si>
  <si>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</si>
  <si>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</si>
  <si>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</si>
  <si>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</si>
  <si>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</si>
  <si>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</si>
  <si>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</si>
  <si>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</si>
  <si>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</si>
  <si>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</si>
  <si>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</si>
  <si>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</si>
  <si>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</si>
  <si>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</si>
  <si>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</si>
  <si>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</si>
  <si>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</si>
  <si>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</si>
  <si>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</si>
  <si>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</si>
  <si>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</si>
  <si>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</si>
  <si>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</si>
  <si>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</si>
  <si>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</si>
  <si>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</si>
  <si>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</si>
  <si>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</si>
  <si>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</si>
  <si>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</si>
  <si>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</si>
  <si>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</si>
  <si>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</si>
  <si>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</si>
  <si>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</si>
  <si>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</si>
  <si>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</si>
  <si>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</si>
  <si>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</si>
  <si>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</si>
  <si>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</si>
  <si>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</si>
  <si>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</si>
  <si>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</si>
  <si>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</si>
  <si>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</si>
  <si>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</si>
  <si>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</si>
  <si>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</si>
  <si>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</si>
  <si>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</si>
  <si>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</si>
  <si>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</si>
  <si>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</si>
  <si>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</si>
  <si>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</si>
  <si>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</si>
  <si>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</si>
  <si>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</si>
  <si>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</si>
  <si>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</si>
  <si>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</si>
  <si>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</si>
  <si>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</si>
  <si>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</si>
  <si>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</si>
  <si>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</si>
  <si>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</si>
  <si>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</si>
  <si>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</si>
  <si>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</si>
  <si>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</si>
  <si>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</si>
  <si>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</si>
  <si>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</si>
  <si>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</si>
  <si>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</si>
  <si>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</si>
  <si>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</si>
  <si>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</si>
  <si>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</si>
  <si>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</si>
  <si>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</si>
  <si>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</si>
  <si>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</si>
  <si>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</si>
  <si>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</si>
  <si>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</si>
  <si>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</si>
  <si>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</si>
  <si>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</si>
  <si>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</si>
  <si>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</si>
  <si>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</si>
  <si>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</si>
  <si>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</si>
  <si>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</si>
  <si>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</si>
  <si>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</si>
  <si>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</si>
  <si>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</si>
  <si>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</si>
  <si>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</si>
  <si>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</si>
  <si>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</si>
  <si>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</si>
  <si>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</si>
  <si>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</si>
  <si>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</si>
  <si>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</si>
  <si>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</si>
  <si>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</si>
  <si>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</si>
  <si>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</si>
  <si>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</si>
  <si>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</si>
  <si>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</si>
  <si>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</si>
  <si>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</si>
  <si>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</si>
  <si>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</si>
  <si>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</si>
  <si>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</si>
  <si>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</si>
  <si>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</si>
  <si>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</si>
  <si>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</si>
  <si>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</si>
  <si>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</si>
  <si>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</si>
  <si>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</si>
  <si>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</si>
  <si>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</si>
  <si>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</si>
  <si>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</si>
  <si>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</si>
  <si>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</si>
  <si>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</si>
  <si>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</si>
  <si>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</si>
  <si>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</si>
  <si>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</si>
  <si>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</si>
  <si>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</si>
  <si>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</si>
  <si>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</si>
  <si>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</si>
  <si>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</si>
  <si>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</si>
  <si>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</si>
  <si>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</si>
  <si>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</si>
  <si>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</si>
  <si>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</si>
  <si>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</si>
  <si>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</si>
  <si>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</si>
  <si>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</si>
  <si>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</si>
  <si>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</si>
  <si>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</si>
  <si>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</si>
  <si>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</si>
  <si>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</si>
  <si>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</si>
  <si>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</si>
  <si>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</si>
  <si>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</si>
  <si>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</si>
  <si>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</si>
  <si>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</si>
  <si>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</si>
  <si>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</si>
  <si>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</si>
  <si>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</si>
  <si>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</si>
  <si>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</si>
  <si>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</si>
  <si>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</si>
  <si>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</si>
  <si>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</si>
  <si>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</si>
  <si>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</si>
  <si>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</si>
  <si>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</si>
  <si>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</si>
  <si>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</si>
  <si>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</si>
  <si>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</si>
  <si>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</si>
  <si>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</si>
  <si>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</si>
  <si>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</si>
  <si>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</si>
  <si>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</si>
  <si>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</si>
  <si>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</si>
  <si>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</si>
  <si>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</si>
  <si>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</si>
  <si>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</si>
  <si>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</si>
  <si>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</si>
  <si>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</si>
  <si>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</si>
  <si>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</si>
  <si>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</si>
  <si>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</si>
  <si>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</si>
  <si>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</si>
  <si>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</si>
  <si>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</si>
  <si>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</si>
  <si>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</si>
  <si>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</si>
  <si>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</si>
  <si>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</si>
  <si>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</si>
  <si>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</si>
  <si>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</si>
  <si>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</si>
  <si>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</si>
  <si>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</si>
  <si>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</si>
  <si>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</si>
  <si>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</si>
  <si>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</si>
  <si>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</si>
  <si>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</si>
  <si>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</si>
  <si>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</si>
  <si>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</si>
  <si>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</si>
  <si>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</si>
  <si>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</si>
  <si>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</si>
  <si>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</si>
  <si>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</si>
  <si>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</si>
  <si>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</si>
  <si>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</si>
  <si>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</si>
  <si>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</si>
  <si>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</si>
  <si>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</si>
  <si>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</si>
  <si>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</si>
  <si>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</si>
  <si>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</si>
  <si>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</si>
  <si>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</si>
  <si>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</si>
  <si>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</si>
  <si>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</si>
  <si>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</si>
  <si>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</si>
  <si>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</si>
  <si>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</si>
  <si>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</si>
  <si>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</si>
  <si>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</si>
  <si>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</si>
  <si>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</si>
  <si>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</si>
  <si>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</si>
  <si>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</si>
  <si>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</si>
  <si>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</si>
  <si>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</si>
  <si>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</si>
  <si>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</si>
  <si>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</si>
  <si>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</si>
  <si>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</si>
  <si>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</si>
  <si>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</si>
  <si>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</si>
  <si>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</si>
  <si>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</si>
  <si>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</si>
  <si>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</si>
  <si>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</si>
  <si>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</si>
  <si>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</si>
  <si>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</si>
  <si>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</si>
  <si>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</si>
  <si>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</si>
  <si>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</si>
  <si>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</si>
  <si>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</si>
  <si>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</si>
  <si>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</si>
  <si>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</si>
  <si>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</si>
  <si>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</si>
  <si>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</si>
  <si>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</si>
  <si>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</si>
  <si>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</si>
  <si>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</si>
  <si>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</si>
  <si>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</si>
  <si>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</si>
  <si>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</si>
  <si>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</si>
  <si>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</si>
  <si>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</si>
  <si>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</si>
  <si>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</si>
  <si>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</si>
  <si>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</si>
  <si>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</si>
  <si>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</si>
  <si>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</si>
  <si>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</si>
  <si>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</si>
  <si>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</si>
  <si>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</si>
  <si>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</si>
  <si>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</si>
  <si>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</si>
  <si>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</si>
  <si>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</si>
  <si>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</si>
  <si>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</si>
  <si>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</si>
  <si>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</si>
  <si>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</si>
  <si>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</si>
  <si>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</si>
  <si>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</si>
  <si>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</si>
  <si>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</si>
  <si>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</si>
  <si>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</si>
  <si>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</si>
  <si>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</si>
  <si>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</si>
  <si>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</si>
  <si>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</si>
  <si>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</si>
  <si>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</si>
  <si>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</si>
  <si>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</si>
  <si>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</si>
  <si>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</si>
  <si>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</si>
  <si>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</si>
  <si>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</si>
  <si>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</si>
  <si>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</si>
  <si>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</si>
  <si>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</si>
  <si>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</si>
  <si>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</si>
  <si>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</si>
  <si>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</si>
  <si>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</si>
  <si>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</si>
  <si>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</si>
  <si>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</si>
  <si>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</si>
  <si>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</si>
  <si>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</si>
  <si>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</si>
  <si>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</si>
  <si>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</si>
  <si>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</si>
  <si>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</si>
  <si>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</si>
  <si>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</si>
  <si>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</si>
  <si>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</si>
  <si>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</si>
  <si>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</si>
  <si>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</si>
  <si>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</si>
  <si>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</si>
  <si>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</si>
  <si>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</si>
  <si>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</si>
  <si>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</si>
  <si>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</si>
  <si>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</si>
  <si>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</si>
  <si>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</si>
  <si>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</si>
  <si>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</si>
  <si>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</si>
  <si>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</si>
  <si>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</si>
  <si>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</si>
  <si>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</si>
  <si>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</si>
  <si>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</si>
  <si>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</si>
  <si>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</si>
  <si>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</si>
  <si>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</si>
  <si>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</si>
  <si>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</si>
  <si>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</si>
  <si>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</si>
  <si>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</si>
  <si>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</si>
  <si>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</si>
  <si>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</si>
  <si>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</si>
  <si>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</si>
  <si>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</si>
  <si>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</si>
  <si>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</si>
  <si>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</si>
  <si>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</si>
  <si>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</si>
  <si>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</si>
  <si>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</si>
  <si>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</si>
  <si>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</si>
  <si>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</si>
  <si>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</si>
  <si>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</si>
  <si>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</si>
  <si>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</si>
  <si>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</si>
  <si>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</si>
  <si>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</si>
  <si>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</si>
  <si>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</si>
  <si>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</si>
  <si>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</si>
  <si>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</si>
  <si>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</si>
  <si>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</si>
  <si>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</si>
  <si>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</si>
  <si>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</si>
  <si>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</si>
  <si>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</si>
  <si>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</si>
  <si>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</si>
  <si>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</si>
  <si>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</si>
  <si>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</si>
  <si>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</si>
  <si>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</si>
  <si>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</si>
  <si>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</si>
  <si>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</si>
  <si>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</si>
  <si>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</si>
  <si>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</si>
  <si>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</si>
  <si>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</si>
  <si>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</si>
  <si>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</si>
  <si>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</si>
  <si>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</si>
  <si>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</si>
  <si>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</si>
  <si>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</si>
  <si>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</si>
  <si>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</si>
  <si>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</si>
  <si>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</si>
  <si>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</si>
  <si>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</si>
  <si>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</si>
  <si>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</si>
  <si>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</si>
  <si>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</si>
  <si>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</si>
  <si>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</si>
  <si>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</si>
  <si>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</si>
  <si>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</si>
  <si>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</si>
  <si>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</si>
  <si>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</si>
  <si>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</si>
  <si>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</si>
  <si>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</si>
  <si>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</si>
  <si>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</si>
  <si>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</si>
  <si>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</si>
  <si>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</si>
  <si>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</si>
  <si>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</si>
  <si>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</si>
  <si>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</si>
  <si>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</si>
  <si>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</si>
  <si>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</si>
  <si>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</si>
  <si>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</si>
  <si>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</si>
  <si>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</si>
  <si>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t xml:space="preserve">INP_262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</si>
  <si>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</si>
  <si>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</si>
  <si>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</si>
  <si>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</si>
  <si>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</si>
  <si>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</si>
  <si>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</si>
  <si>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</si>
  <si>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</si>
  <si>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</si>
  <si>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Noto Sans CJK SC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</si>
  <si>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</si>
  <si>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</si>
  <si>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</si>
  <si>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</si>
  <si>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</si>
  <si>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</si>
  <si>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</si>
  <si>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</si>
  <si>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</si>
  <si>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</si>
  <si>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</si>
  <si>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</si>
  <si>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</si>
  <si>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』只作對照</t>
    </r>
  </si>
  <si>
    <t xml:space="preserve">INP_270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</si>
  <si>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</si>
  <si>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</si>
  <si>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</si>
  <si>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</si>
  <si>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Noto Sans CJK SC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</si>
  <si>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INP_271</t>
  </si>
  <si>
    <t xml:space="preserve">管理層營收目標擬合值（反向模式）</t>
  </si>
  <si>
    <t xml:space="preserve">R1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</si>
  <si>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新增（反向模式；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</si>
  <si>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</si>
  <si>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：成長率線性遞減，閉合 </t>
    </r>
    <r>
      <rPr>
        <sz val="10"/>
        <color rgb="FF000000"/>
        <rFont val="Arial"/>
        <family val="0"/>
        <charset val="1"/>
      </rPr>
      <t xml:space="preserve">2026 $36B→2030 $350B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沿用）。只驅動 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），不回饋基準。替代擬合：二次式 </t>
    </r>
    <r>
      <rPr>
        <sz val="10"/>
        <color rgb="FF000000"/>
        <rFont val="Arial"/>
        <family val="0"/>
        <charset val="1"/>
      </rPr>
      <t xml:space="preserve">77.0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殘差 </t>
    </r>
    <r>
      <rPr>
        <sz val="10"/>
        <color rgb="FF000000"/>
        <rFont val="Arial"/>
        <family val="0"/>
        <charset val="1"/>
      </rPr>
      <t xml:space="preserve">234.0</t>
    </r>
    <r>
      <rPr>
        <sz val="10"/>
        <color rgb="FF000000"/>
        <rFont val="Noto Sans CJK SC"/>
        <family val="2"/>
      </rPr>
      <t xml:space="preserve">）</t>
    </r>
  </si>
  <si>
    <t xml:space="preserve">INP_272</t>
  </si>
  <si>
    <t xml:space="preserve">INP_273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</si>
  <si>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融資輪無條件部分的現金到位年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</si>
  <si>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</si>
  <si>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r6.P5-1.</t>
    </r>
    <r>
      <rPr>
        <sz val="10"/>
        <color rgb="FF000000"/>
        <rFont val="Noto Sans CJK SC"/>
        <family val="2"/>
      </rPr>
      <t xml:space="preserve">融資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</si>
  <si>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列：無條件部分全額計入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股權流入；</t>
    </r>
    <r>
      <rPr>
        <sz val="10"/>
        <color rgb="FF000000"/>
        <rFont val="Arial"/>
        <family val="0"/>
        <charset val="1"/>
      </rPr>
      <t xml:space="preserve">SoftBank </t>
    </r>
    <r>
      <rPr>
        <sz val="10"/>
        <color rgb="FF000000"/>
        <rFont val="Noto Sans CJK SC"/>
        <family val="2"/>
      </rPr>
      <t xml:space="preserve">三期的實際分期未揭露（區間上限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</si>
  <si>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INP_274</t>
  </si>
  <si>
    <r>
      <rPr>
        <sz val="10"/>
        <color rgb="FF000000"/>
        <rFont val="Noto Sans CJK SC"/>
        <family val="2"/>
      </rPr>
      <t xml:space="preserve">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＝否）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</si>
  <si>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Noto Sans CJK SC"/>
        <family val="2"/>
      </rPr>
      <t xml:space="preserve">預設：不計入基準，列情境）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</si>
  <si>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輸入第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不計入）；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第四節另列計入情境，不受本開關影響</t>
    </r>
  </si>
  <si>
    <t xml:space="preserve">INP_275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</si>
  <si>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</si>
  <si>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</si>
  <si>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條件為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里程碑（</t>
    </r>
    <r>
      <rPr>
        <sz val="10"/>
        <color rgb="FF000000"/>
        <rFont val="Arial"/>
        <family val="0"/>
        <charset val="1"/>
      </rPr>
      <t xml:space="preserve">SRC_OAI_082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計入時與無條件部分同在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2026–2027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2026-06 </t>
    </r>
    <r>
      <rPr>
        <sz val="10"/>
        <color rgb="FF000000"/>
        <rFont val="Noto Sans CJK SC"/>
        <family val="2"/>
      </rPr>
      <t xml:space="preserve">已機密遞交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草稿，上市時點未定）</t>
    </r>
  </si>
  <si>
    <t xml:space="preserve">INP_276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</si>
  <si>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主值選擇（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＝指數內插；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＝線性內插）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</si>
  <si>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</si>
  <si>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</si>
  <si>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v0.6.1.PxQ.2025 GW </t>
    </r>
    <r>
      <rPr>
        <sz val="10"/>
        <color rgb="FF000000"/>
        <rFont val="Noto Sans CJK SC"/>
        <family val="2"/>
      </rPr>
      <t xml:space="preserve">主值</t>
    </r>
  </si>
  <si>
    <r>
      <rPr>
        <sz val="10"/>
        <color rgb="FF000000"/>
        <rFont val="Noto Sans CJK SC"/>
        <family val="2"/>
      </rPr>
      <t xml:space="preserve">兩種內插（端點 </t>
    </r>
    <r>
      <rPr>
        <sz val="10"/>
        <color rgb="FF000000"/>
        <rFont val="Arial"/>
        <family val="0"/>
        <charset val="1"/>
      </rPr>
      <t xml:space="preserve">TK_SRC_DEM_008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</t>
    </r>
    <r>
      <rPr>
        <sz val="10"/>
        <color rgb="FF000000"/>
        <rFont val="Noto Sans CJK SC"/>
        <family val="2"/>
      </rPr>
      <t xml:space="preserve">）並列顯示；本開關只決定『主值』（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頁頂部讀法句、持平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主值列）。基準＝指數</t>
    </r>
  </si>
  <si>
    <t xml:space="preserve">INP_277</t>
  </si>
  <si>
    <r>
      <rPr>
        <sz val="10"/>
        <color rgb="FF000000"/>
        <rFont val="Noto Sans CJK SC"/>
        <family val="2"/>
      </rPr>
      <t xml:space="preserve">口徑二：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</si>
  <si>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J3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</si>
  <si>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改為口徑二專用</t>
    </r>
  </si>
  <si>
    <t xml:space="preserve">v0.6.1.PxQ.2026 GW</t>
  </si>
  <si>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『約 </t>
    </r>
    <r>
      <rPr>
        <sz val="10"/>
        <color rgb="FF000000"/>
        <rFont val="Arial"/>
        <family val="0"/>
        <charset val="1"/>
      </rPr>
      <t xml:space="preserve">3 GW</t>
    </r>
    <r>
      <rPr>
        <sz val="10"/>
        <color rgb="FF000000"/>
        <rFont val="Noto Sans CJK SC"/>
        <family val="2"/>
      </rPr>
      <t xml:space="preserve">』；官方未公布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起區間 </t>
    </r>
    <r>
      <rPr>
        <sz val="10"/>
        <color rgb="FF000000"/>
        <rFont val="Arial"/>
        <family val="0"/>
        <charset val="1"/>
      </rPr>
      <t xml:space="preserve">2.5–3.8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：現值未被推翻，區間上緣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：本列改為口徑二（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）專用，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不變。電力口徑未明（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</si>
  <si>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INP_278</t>
  </si>
  <si>
    <r>
      <rPr>
        <sz val="10"/>
        <color rgb="FF000000"/>
        <rFont val="Noto Sans CJK SC"/>
        <family val="2"/>
      </rPr>
      <t xml:space="preserve">口徑二：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</si>
  <si>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r>
      <rPr>
        <sz val="10"/>
        <color rgb="FF000000"/>
        <rFont val="Noto Sans CJK SC"/>
        <family val="2"/>
      </rPr>
      <t xml:space="preserve">三欄情境之低端（＝基準列區間下緣；情境值，低＝高＝值）。</t>
    </r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：本列改為口徑二（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）專用，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不變。電力口徑未明（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</si>
  <si>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INP_279</t>
  </si>
  <si>
    <r>
      <rPr>
        <sz val="10"/>
        <color rgb="FF000000"/>
        <rFont val="Noto Sans CJK SC"/>
        <family val="2"/>
      </rPr>
      <t xml:space="preserve">口徑二：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</si>
  <si>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r>
      <rPr>
        <sz val="10"/>
        <color rgb="FF000000"/>
        <rFont val="Noto Sans CJK SC"/>
        <family val="2"/>
      </rPr>
      <t xml:space="preserve">三欄情境之高端（＝基準列區間上緣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改，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段上緣；情境值，低＝高＝值）。</t>
    </r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：本列改為口徑二（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）專用，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不變。電力口徑未明（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</si>
  <si>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INP_280</t>
  </si>
  <si>
    <r>
      <rPr>
        <sz val="10"/>
        <color rgb="FF000000"/>
        <rFont val="Noto Sans CJK SC"/>
        <family val="2"/>
      </rPr>
      <t xml:space="preserve">世代組合來源（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組合；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＝交接檔組合）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</si>
  <si>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</si>
  <si>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世代組合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</si>
  <si>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CMP_Share_*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 </t>
    </r>
    <r>
      <rPr>
        <sz val="10"/>
        <color rgb="FF000000"/>
        <rFont val="Arial"/>
        <family val="0"/>
        <charset val="1"/>
      </rPr>
      <t xml:space="preserve">INP_204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欄改用下列交接檔組合（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兩者相同：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</t>
    </r>
  </si>
  <si>
    <t xml:space="preserve">INP_281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</si>
  <si>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</si>
  <si>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交接檔第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Tokenomics Cap_In D211:F214 </t>
    </r>
    <r>
      <rPr>
        <sz val="10"/>
        <color rgb="FF000000"/>
        <rFont val="Noto Sans CJK SC"/>
        <family val="2"/>
      </rPr>
      <t xml:space="preserve">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與交接檔均無區間，本列不補值；合計須為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）</t>
    </r>
  </si>
  <si>
    <t xml:space="preserve">INP_282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</si>
  <si>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GB200</t>
    </r>
  </si>
  <si>
    <t xml:space="preserve">INP_283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</si>
  <si>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GB300</t>
    </r>
  </si>
  <si>
    <t xml:space="preserve">INP_284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</si>
  <si>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VR200</t>
    </r>
  </si>
  <si>
    <t xml:space="preserve">INP_285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</si>
  <si>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</si>
  <si>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INP_286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</si>
  <si>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世代組合：自研／其他</t>
    </r>
  </si>
  <si>
    <t xml:space="preserve">INP_287</t>
  </si>
  <si>
    <r>
      <rPr>
        <sz val="10"/>
        <color rgb="FF000000"/>
        <rFont val="Noto Sans CJK SC"/>
        <family val="2"/>
      </rPr>
      <t xml:space="preserve">生產折減讀法（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Noto Sans CJK SC"/>
        <family val="2"/>
      </rPr>
      <t xml:space="preserve">讀法：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用重解比、其他世代用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＝一律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</si>
  <si>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6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</si>
  <si>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</si>
  <si>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README v19.0 </t>
    </r>
    <r>
      <rPr>
        <sz val="10"/>
        <color rgb="FF000000"/>
        <rFont val="Noto Sans CJK SC"/>
        <family val="2"/>
      </rPr>
      <t xml:space="preserve">讀法）；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為交接檔讀法（一律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），預覽對帳用</t>
    </r>
  </si>
  <si>
    <t xml:space="preserve">INP_288</t>
  </si>
  <si>
    <t xml:space="preserve">預覽值對帳容許相對誤差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</si>
  <si>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</si>
  <si>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對帳容許誤差</t>
    </r>
  </si>
  <si>
    <r>
      <rPr>
        <sz val="10"/>
        <color rgb="FF000000"/>
        <rFont val="Noto Sans CJK SC"/>
        <family val="2"/>
      </rPr>
      <t xml:space="preserve">工作單：誤差 </t>
    </r>
    <r>
      <rPr>
        <sz val="10"/>
        <color rgb="FF000000"/>
        <rFont val="Arial"/>
        <family val="0"/>
        <charset val="1"/>
      </rPr>
      <t xml:space="preserve">&gt;0.5% </t>
    </r>
    <r>
      <rPr>
        <sz val="10"/>
        <color rgb="FF000000"/>
        <rFont val="Noto Sans CJK SC"/>
        <family val="2"/>
      </rPr>
      <t xml:space="preserve">須說明；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頁對帳表用此值標示『差異』；區間不適用（低＝高）</t>
    </r>
  </si>
  <si>
    <t xml:space="preserve">INP_289</t>
  </si>
  <si>
    <r>
      <rPr>
        <sz val="10"/>
        <color rgb="FF000000"/>
        <rFont val="Noto Sans CJK SC"/>
        <family val="2"/>
      </rPr>
      <t xml:space="preserve">口徑一：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</si>
  <si>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t xml:space="preserve">Derived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</si>
  <si>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20261029 W1</t>
    </r>
  </si>
  <si>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v0.6.4 W1 </t>
    </r>
    <r>
      <rPr>
        <sz val="10"/>
        <color rgb="FF000000"/>
        <rFont val="Noto Sans CJK SC"/>
        <family val="2"/>
      </rPr>
      <t xml:space="preserve">改值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</si>
  <si>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口徑一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</si>
  <si>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（判斷區間，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；其他站沿用 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低占比、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晚日期）→ </t>
    </r>
    <r>
      <rPr>
        <sz val="10"/>
        <color rgb="FF000000"/>
        <rFont val="Arial"/>
        <family val="0"/>
        <charset val="1"/>
      </rPr>
      <t xml:space="preserve">2.17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2.35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2.261 </t>
    </r>
    <r>
      <rPr>
        <sz val="10"/>
        <color rgb="FF000000"/>
        <rFont val="Noto Sans CJK SC"/>
        <family val="2"/>
      </rPr>
      <t xml:space="preserve">為中心；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表）；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Microsoft FY27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10-29</t>
    </r>
    <r>
      <rPr>
        <sz val="10"/>
        <color rgb="FF000000"/>
        <rFont val="Noto Sans CJK SC"/>
        <family val="2"/>
      </rPr>
      <t xml:space="preserve">）確認不改。舊值 </t>
    </r>
    <r>
      <rPr>
        <sz val="10"/>
        <color rgb="FF000000"/>
        <rFont val="Arial"/>
        <family val="0"/>
        <charset val="1"/>
      </rPr>
      <t xml:space="preserve">2.34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中占比＋晚）、</t>
    </r>
    <r>
      <rPr>
        <sz val="10"/>
        <color rgb="FF000000"/>
        <rFont val="Arial"/>
        <family val="0"/>
        <charset val="1"/>
      </rPr>
      <t xml:space="preserve">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段六情境上緣）見 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與本頁 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列。出處：</t>
    </r>
    <r>
      <rPr>
        <sz val="10"/>
        <color rgb="FF000000"/>
        <rFont val="Arial"/>
        <family val="0"/>
        <charset val="1"/>
      </rPr>
      <t xml:space="preserve">Tokenomics `docs/evidence/20261025_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.xlsx`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Fairwater</t>
    </r>
    <r>
      <rPr>
        <sz val="10"/>
        <color rgb="FF000000"/>
        <rFont val="Noto Sans CJK SC"/>
        <family val="2"/>
      </rPr>
      <t xml:space="preserve">』頁（</t>
    </r>
    <r>
      <rPr>
        <sz val="10"/>
        <color rgb="FF000000"/>
        <rFont val="Arial"/>
        <family val="0"/>
        <charset val="1"/>
      </rPr>
      <t xml:space="preserve">PR #168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`20261029_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/`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8309fdb</t>
    </r>
    <r>
      <rPr>
        <sz val="10"/>
        <color rgb="FF000000"/>
        <rFont val="Noto Sans CJK SC"/>
        <family val="2"/>
      </rPr>
      <t xml:space="preserve">）。電力口徑：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 </t>
    </r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報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）。</t>
    </r>
  </si>
  <si>
    <t xml:space="preserve">INP_290</t>
  </si>
  <si>
    <r>
      <rPr>
        <sz val="10"/>
        <color rgb="FF000000"/>
        <rFont val="Noto Sans CJK SC"/>
        <family val="2"/>
      </rPr>
      <t xml:space="preserve">口徑一：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</si>
  <si>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r>
      <rPr>
        <sz val="10"/>
        <color rgb="FF000000"/>
        <rFont val="Noto Sans CJK SC"/>
        <family val="2"/>
      </rPr>
      <t xml:space="preserve">三欄情境之低端（＝基準列區間下緣；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，取兩位小數 </t>
    </r>
    <r>
      <rPr>
        <sz val="10"/>
        <color rgb="FF000000"/>
        <rFont val="Arial"/>
        <family val="0"/>
        <charset val="1"/>
      </rPr>
      <t xml:space="preserve">2.17</t>
    </r>
    <r>
      <rPr>
        <sz val="10"/>
        <color rgb="FF000000"/>
        <rFont val="Noto Sans CJK SC"/>
        <family val="2"/>
      </rPr>
      <t xml:space="preserve">；情境值，低＝高＝值）。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（判斷區間，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；其他站沿用 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低占比、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晚日期）→ </t>
    </r>
    <r>
      <rPr>
        <sz val="10"/>
        <color rgb="FF000000"/>
        <rFont val="Arial"/>
        <family val="0"/>
        <charset val="1"/>
      </rPr>
      <t xml:space="preserve">2.17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2.35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2.261 </t>
    </r>
    <r>
      <rPr>
        <sz val="10"/>
        <color rgb="FF000000"/>
        <rFont val="Noto Sans CJK SC"/>
        <family val="2"/>
      </rPr>
      <t xml:space="preserve">為中心；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表）；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Microsoft FY27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10-29</t>
    </r>
    <r>
      <rPr>
        <sz val="10"/>
        <color rgb="FF000000"/>
        <rFont val="Noto Sans CJK SC"/>
        <family val="2"/>
      </rPr>
      <t xml:space="preserve">）確認不改。舊值 </t>
    </r>
    <r>
      <rPr>
        <sz val="10"/>
        <color rgb="FF000000"/>
        <rFont val="Arial"/>
        <family val="0"/>
        <charset val="1"/>
      </rPr>
      <t xml:space="preserve">2.34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中占比＋晚）、</t>
    </r>
    <r>
      <rPr>
        <sz val="10"/>
        <color rgb="FF000000"/>
        <rFont val="Arial"/>
        <family val="0"/>
        <charset val="1"/>
      </rPr>
      <t xml:space="preserve">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段六情境上緣）見 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與本頁 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列。出處：</t>
    </r>
    <r>
      <rPr>
        <sz val="10"/>
        <color rgb="FF000000"/>
        <rFont val="Arial"/>
        <family val="0"/>
        <charset val="1"/>
      </rPr>
      <t xml:space="preserve">Tokenomics `docs/evidence/20261025_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.xlsx`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Fairwater</t>
    </r>
    <r>
      <rPr>
        <sz val="10"/>
        <color rgb="FF000000"/>
        <rFont val="Noto Sans CJK SC"/>
        <family val="2"/>
      </rPr>
      <t xml:space="preserve">』頁（</t>
    </r>
    <r>
      <rPr>
        <sz val="10"/>
        <color rgb="FF000000"/>
        <rFont val="Arial"/>
        <family val="0"/>
        <charset val="1"/>
      </rPr>
      <t xml:space="preserve">PR #168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`20261029_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/`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8309fdb</t>
    </r>
    <r>
      <rPr>
        <sz val="10"/>
        <color rgb="FF000000"/>
        <rFont val="Noto Sans CJK SC"/>
        <family val="2"/>
      </rPr>
      <t xml:space="preserve">）。</t>
    </r>
  </si>
  <si>
    <t xml:space="preserve">INP_291</t>
  </si>
  <si>
    <r>
      <rPr>
        <sz val="10"/>
        <color rgb="FF000000"/>
        <rFont val="Noto Sans CJK SC"/>
        <family val="2"/>
      </rPr>
      <t xml:space="preserve">口徑一：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</si>
  <si>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r>
      <rPr>
        <sz val="10"/>
        <color rgb="FF000000"/>
        <rFont val="Noto Sans CJK SC"/>
        <family val="2"/>
      </rPr>
      <t xml:space="preserve">三欄情境之高端（＝基準列區間上緣；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，取兩位小數 </t>
    </r>
    <r>
      <rPr>
        <sz val="10"/>
        <color rgb="FF000000"/>
        <rFont val="Arial"/>
        <family val="0"/>
        <charset val="1"/>
      </rPr>
      <t xml:space="preserve">2.35</t>
    </r>
    <r>
      <rPr>
        <sz val="10"/>
        <color rgb="FF000000"/>
        <rFont val="Noto Sans CJK SC"/>
        <family val="2"/>
      </rPr>
      <t xml:space="preserve">；情境值，低＝高＝值）。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（判斷區間，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；其他站沿用 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低占比、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晚日期）→ </t>
    </r>
    <r>
      <rPr>
        <sz val="10"/>
        <color rgb="FF000000"/>
        <rFont val="Arial"/>
        <family val="0"/>
        <charset val="1"/>
      </rPr>
      <t xml:space="preserve">2.17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2.35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2.261 </t>
    </r>
    <r>
      <rPr>
        <sz val="10"/>
        <color rgb="FF000000"/>
        <rFont val="Noto Sans CJK SC"/>
        <family val="2"/>
      </rPr>
      <t xml:space="preserve">為中心；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表）；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Microsoft FY27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10-29</t>
    </r>
    <r>
      <rPr>
        <sz val="10"/>
        <color rgb="FF000000"/>
        <rFont val="Noto Sans CJK SC"/>
        <family val="2"/>
      </rPr>
      <t xml:space="preserve">）確認不改。舊值 </t>
    </r>
    <r>
      <rPr>
        <sz val="10"/>
        <color rgb="FF000000"/>
        <rFont val="Arial"/>
        <family val="0"/>
        <charset val="1"/>
      </rPr>
      <t xml:space="preserve">2.34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中占比＋晚）、</t>
    </r>
    <r>
      <rPr>
        <sz val="10"/>
        <color rgb="FF000000"/>
        <rFont val="Arial"/>
        <family val="0"/>
        <charset val="1"/>
      </rPr>
      <t xml:space="preserve">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段六情境上緣）見 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與本頁 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列。出處：</t>
    </r>
    <r>
      <rPr>
        <sz val="10"/>
        <color rgb="FF000000"/>
        <rFont val="Arial"/>
        <family val="0"/>
        <charset val="1"/>
      </rPr>
      <t xml:space="preserve">Tokenomics `docs/evidence/20261025_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.xlsx`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Fairwater</t>
    </r>
    <r>
      <rPr>
        <sz val="10"/>
        <color rgb="FF000000"/>
        <rFont val="Noto Sans CJK SC"/>
        <family val="2"/>
      </rPr>
      <t xml:space="preserve">』頁（</t>
    </r>
    <r>
      <rPr>
        <sz val="10"/>
        <color rgb="FF000000"/>
        <rFont val="Arial"/>
        <family val="0"/>
        <charset val="1"/>
      </rPr>
      <t xml:space="preserve">PR #168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`20261029_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/`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8309fdb</t>
    </r>
    <r>
      <rPr>
        <sz val="10"/>
        <color rgb="FF000000"/>
        <rFont val="Noto Sans CJK SC"/>
        <family val="2"/>
      </rPr>
      <t xml:space="preserve">）。</t>
    </r>
  </si>
  <si>
    <t xml:space="preserve">INP_292</t>
  </si>
  <si>
    <r>
      <rPr>
        <sz val="10"/>
        <color rgb="FF000000"/>
        <rFont val="Noto Sans CJK SC"/>
        <family val="2"/>
      </rPr>
      <t xml:space="preserve">口徑三：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</si>
  <si>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J4</t>
    </r>
  </si>
  <si>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</si>
  <si>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口徑三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</si>
  <si>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段三情境：基準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low double-digit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11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投資人備忘錄，</t>
    </r>
    <r>
      <rPr>
        <sz val="10"/>
        <color rgb="FF000000"/>
        <rFont val="Arial"/>
        <family val="0"/>
        <charset val="1"/>
      </rPr>
      <t xml:space="preserve">Bloomberg 2026-04-09</t>
    </r>
    <r>
      <rPr>
        <sz val="10"/>
        <color rgb="FF000000"/>
        <rFont val="Noto Sans CJK SC"/>
        <family val="2"/>
      </rPr>
      <t xml:space="preserve">）做幾何插值（</t>
    </r>
    <r>
      <rPr>
        <sz val="10"/>
        <color rgb="FF000000"/>
        <rFont val="Arial"/>
        <family val="0"/>
        <charset val="1"/>
      </rPr>
      <t xml:space="preserve">4.57</t>
    </r>
    <r>
      <rPr>
        <sz val="10"/>
        <color rgb="FF000000"/>
        <rFont val="Noto Sans CJK SC"/>
        <family val="2"/>
      </rPr>
      <t xml:space="preserve">）；低 </t>
    </r>
    <r>
      <rPr>
        <sz val="10"/>
        <color rgb="FF000000"/>
        <rFont val="Arial"/>
        <family val="0"/>
        <charset val="1"/>
      </rPr>
      <t xml:space="preserve">3.5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年底的估計中點（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）；高 </t>
    </r>
    <r>
      <rPr>
        <sz val="10"/>
        <color rgb="FF000000"/>
        <rFont val="Arial"/>
        <family val="0"/>
        <charset val="1"/>
      </rPr>
      <t xml:space="preserve">5.7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Friar 3 </t>
    </r>
    <r>
      <rPr>
        <sz val="10"/>
        <color rgb="FF000000"/>
        <rFont val="Noto Sans CJK SC"/>
        <family val="2"/>
      </rPr>
      <t xml:space="preserve">倍／年延續。出處：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）『換算』</t>
    </r>
    <r>
      <rPr>
        <sz val="10"/>
        <color rgb="FF000000"/>
        <rFont val="Arial"/>
        <family val="0"/>
        <charset val="1"/>
      </rPr>
      <t xml:space="preserve">B7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B19</t>
    </r>
    <r>
      <rPr>
        <sz val="10"/>
        <color rgb="FF000000"/>
        <rFont val="Noto Sans CJK SC"/>
        <family val="2"/>
      </rPr>
      <t xml:space="preserve">。年底時點、非平均；年底世代組合暫用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年組合（待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</si>
  <si>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INP_293</t>
  </si>
  <si>
    <r>
      <rPr>
        <sz val="10"/>
        <color rgb="FF000000"/>
        <rFont val="Noto Sans CJK SC"/>
        <family val="2"/>
      </rPr>
      <t xml:space="preserve">口徑三：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</si>
  <si>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t xml:space="preserve">三欄情境之低端（＝基準列區間下緣；情境值，低＝高＝值）</t>
  </si>
  <si>
    <t xml:space="preserve">INP_294</t>
  </si>
  <si>
    <r>
      <rPr>
        <sz val="10"/>
        <color rgb="FF000000"/>
        <rFont val="Noto Sans CJK SC"/>
        <family val="2"/>
      </rPr>
      <t xml:space="preserve">口徑三：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</si>
  <si>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t xml:space="preserve">三欄情境之高端（＝基準列區間上緣；情境值，低＝高＝值）</t>
  </si>
  <si>
    <t xml:space="preserve">INP_295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</si>
  <si>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：低占比＋晚日期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</si>
  <si>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W2-6</t>
    </r>
  </si>
  <si>
    <t xml:space="preserve">v0.6.3.PxQ.J7 Q2 GW</t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</si>
  <si>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2.2055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</si>
  <si>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INP_296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</si>
  <si>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：低占比＋早日期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</si>
  <si>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B10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2.3904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</si>
  <si>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INP_297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</si>
  <si>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：中占比＋晚日期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</si>
  <si>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B11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2.3401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</si>
  <si>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INP_298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</si>
  <si>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：中占比＋早日期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</si>
  <si>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B12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2.5876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</si>
  <si>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INP_299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</si>
  <si>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：高占比＋晚日期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</si>
  <si>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B13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2.5283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</si>
  <si>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INP_300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</si>
  <si>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：高占比＋早日期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</si>
  <si>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B14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2.8477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</si>
  <si>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INP_301</t>
  </si>
  <si>
    <r>
      <rPr>
        <sz val="10"/>
        <color rgb="FF000000"/>
        <rFont val="Arial"/>
        <family val="0"/>
        <charset val="1"/>
      </rPr>
      <t xml:space="preserve">J7 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（站點分布估）：低占比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</si>
  <si>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J6</t>
    </r>
  </si>
  <si>
    <t xml:space="preserve">v0.6.3.PxQ.J7 2025 GW</t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</si>
  <si>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B19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1.1143</t>
    </r>
    <r>
      <rPr>
        <sz val="10"/>
        <color rgb="FF000000"/>
        <rFont val="Noto Sans CJK SC"/>
        <family val="2"/>
      </rPr>
      <t xml:space="preserve">，取兩位小數）；同一批站點的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時間分布估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，低於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內插 </t>
    </r>
    <r>
      <rPr>
        <sz val="10"/>
        <color rgb="FF000000"/>
        <rFont val="Arial"/>
        <family val="0"/>
        <charset val="1"/>
      </rPr>
      <t xml:space="preserve">1.128 </t>
    </r>
    <r>
      <rPr>
        <sz val="10"/>
        <color rgb="FF000000"/>
        <rFont val="Noto Sans CJK SC"/>
        <family val="2"/>
      </rPr>
      <t xml:space="preserve">與線性 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；只作對照列，不進主序列、不改 </t>
    </r>
    <r>
      <rPr>
        <sz val="10"/>
        <color rgb="FF000000"/>
        <rFont val="Arial"/>
        <family val="0"/>
        <charset val="1"/>
      </rPr>
      <t xml:space="preserve">INP_276 </t>
    </r>
    <r>
      <rPr>
        <sz val="10"/>
        <color rgb="FF000000"/>
        <rFont val="Noto Sans CJK SC"/>
        <family val="2"/>
      </rPr>
      <t xml:space="preserve">開關（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</si>
  <si>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INP_302</t>
  </si>
  <si>
    <r>
      <rPr>
        <sz val="10"/>
        <color rgb="FF000000"/>
        <rFont val="Arial"/>
        <family val="0"/>
        <charset val="1"/>
      </rPr>
      <t xml:space="preserve">J7 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（站點分布估）：高占比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</si>
  <si>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B21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1.0601</t>
    </r>
    <r>
      <rPr>
        <sz val="10"/>
        <color rgb="FF000000"/>
        <rFont val="Noto Sans CJK SC"/>
        <family val="2"/>
      </rPr>
      <t xml:space="preserve">，取兩位小數）；同一批站點的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時間分布估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，低於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內插 </t>
    </r>
    <r>
      <rPr>
        <sz val="10"/>
        <color rgb="FF000000"/>
        <rFont val="Arial"/>
        <family val="0"/>
        <charset val="1"/>
      </rPr>
      <t xml:space="preserve">1.128 </t>
    </r>
    <r>
      <rPr>
        <sz val="10"/>
        <color rgb="FF000000"/>
        <rFont val="Noto Sans CJK SC"/>
        <family val="2"/>
      </rPr>
      <t xml:space="preserve">與線性 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；只作對照列，不進主序列、不改 </t>
    </r>
    <r>
      <rPr>
        <sz val="10"/>
        <color rgb="FF000000"/>
        <rFont val="Arial"/>
        <family val="0"/>
        <charset val="1"/>
      </rPr>
      <t xml:space="preserve">INP_276 </t>
    </r>
    <r>
      <rPr>
        <sz val="10"/>
        <color rgb="FF000000"/>
        <rFont val="Noto Sans CJK SC"/>
        <family val="2"/>
      </rPr>
      <t xml:space="preserve">開關（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</si>
  <si>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INP_303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</si>
  <si>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回本比值：上緣情境（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段表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</si>
  <si>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W2-5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20261029 W3</t>
    </r>
  </si>
  <si>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v0.6.4 W3 </t>
    </r>
    <r>
      <rPr>
        <sz val="10"/>
        <color rgb="FF000000"/>
        <rFont val="Noto Sans CJK SC"/>
        <family val="2"/>
      </rPr>
      <t xml:space="preserve">改註記</t>
    </r>
  </si>
  <si>
    <r>
      <rPr>
        <sz val="10"/>
        <color rgb="FF000000"/>
        <rFont val="Arial"/>
        <family val="0"/>
        <charset val="1"/>
      </rPr>
      <t xml:space="preserve">v0.6.3.PxQ.2025 </t>
    </r>
    <r>
      <rPr>
        <sz val="10"/>
        <color rgb="FF000000"/>
        <rFont val="Noto Sans CJK SC"/>
        <family val="2"/>
      </rPr>
      <t xml:space="preserve">比值上緣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</si>
  <si>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Tokenomics `L1_LReqFleet_Full_Lo`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v21.7 </t>
    </r>
    <r>
      <rPr>
        <sz val="10"/>
        <color rgb="FF000000"/>
        <rFont val="Noto Sans CJK SC"/>
        <family val="2"/>
      </rPr>
      <t xml:space="preserve">皆 </t>
    </r>
    <r>
      <rPr>
        <sz val="10"/>
        <color rgb="FF000000"/>
        <rFont val="Arial"/>
        <family val="0"/>
        <charset val="1"/>
      </rPr>
      <t xml:space="preserve">0.7156</t>
    </r>
    <r>
      <rPr>
        <sz val="10"/>
        <color rgb="FF000000"/>
        <rFont val="Noto Sans CJK SC"/>
        <family val="2"/>
      </rPr>
      <t xml:space="preserve">），即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時的比值（</t>
    </r>
    <r>
      <rPr>
        <sz val="10"/>
        <color rgb="FF000000"/>
        <rFont val="Arial"/>
        <family val="0"/>
        <charset val="1"/>
      </rPr>
      <t xml:space="preserve">13.07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 × 9.353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段『比值』</t>
    </r>
    <r>
      <rPr>
        <sz val="10"/>
        <color rgb="FF000000"/>
        <rFont val="Arial"/>
        <family val="0"/>
        <charset val="1"/>
      </rPr>
      <t xml:space="preserve">E57 </t>
    </r>
    <r>
      <rPr>
        <sz val="10"/>
        <color rgb="FF000000"/>
        <rFont val="Noto Sans CJK SC"/>
        <family val="2"/>
      </rPr>
      <t xml:space="preserve">點名該名稱。本模型不得讀 </t>
    </r>
    <r>
      <rPr>
        <sz val="10"/>
        <color rgb="FF000000"/>
        <rFont val="Arial"/>
        <family val="0"/>
        <charset val="1"/>
      </rPr>
      <t xml:space="preserve">`L1_`</t>
    </r>
    <r>
      <rPr>
        <sz val="10"/>
        <color rgb="FF000000"/>
        <rFont val="Noto Sans CJK SC"/>
        <family val="2"/>
      </rPr>
      <t xml:space="preserve">，故為手抄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改值時不會自動跟著動，換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快照時以 </t>
    </r>
    <r>
      <rPr>
        <sz val="10"/>
        <color rgb="FF000000"/>
        <rFont val="Arial"/>
        <family val="0"/>
        <charset val="1"/>
      </rPr>
      <t xml:space="preserve">check </t>
    </r>
    <r>
      <rPr>
        <sz val="10"/>
        <color rgb="FF000000"/>
        <rFont val="Noto Sans CJK SC"/>
        <family val="2"/>
      </rPr>
      <t xml:space="preserve">確認。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1.239 </t>
    </r>
    <r>
      <rPr>
        <sz val="10"/>
        <color rgb="FF000000"/>
        <rFont val="Noto Sans CJK SC"/>
        <family val="2"/>
      </rPr>
      <t xml:space="preserve">為本頁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線性／指數內插計得；只用於持平門檻表。出處：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）『比值』</t>
    </r>
    <r>
      <rPr>
        <sz val="10"/>
        <color rgb="FF000000"/>
        <rFont val="Arial"/>
        <family val="0"/>
        <charset val="1"/>
      </rPr>
      <t xml:space="preserve">D57</t>
    </r>
  </si>
  <si>
    <t xml:space="preserve">INP_304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</si>
  <si>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</si>
  <si>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J7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</si>
  <si>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需求面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</si>
  <si>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SRC_OAI_100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則／日，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 </t>
    </r>
    <r>
      <rPr>
        <sz val="10"/>
        <color rgb="FF000000"/>
        <rFont val="Arial"/>
        <family val="0"/>
        <charset val="1"/>
      </rPr>
      <t xml:space="preserve">1.0B ÷ 0.7B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Cap_In E197 Derived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3.2–3.8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官方新值與 </t>
    </r>
    <r>
      <rPr>
        <sz val="10"/>
        <color rgb="FF000000"/>
        <rFont val="Arial"/>
        <family val="0"/>
        <charset val="1"/>
      </rPr>
      <t xml:space="preserve">3.6 </t>
    </r>
    <r>
      <rPr>
        <sz val="10"/>
        <color rgb="FF000000"/>
        <rFont val="Noto Sans CJK SC"/>
        <family val="2"/>
      </rPr>
      <t xml:space="preserve">的出處：已搜尋，未找到（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T05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Tokenomics Cap_In D197:F197 </t>
    </r>
    <r>
      <rPr>
        <sz val="10"/>
        <color rgb="FF000000"/>
        <rFont val="Noto Sans CJK SC"/>
        <family val="2"/>
      </rPr>
      <t xml:space="preserve">抄錄，本模型不讀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Cap_In</t>
    </r>
  </si>
  <si>
    <t xml:space="preserve">INP_305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</si>
  <si>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</si>
  <si>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t xml:space="preserve">tok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</si>
  <si>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Alloc_In C15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原紀錄抄錄，本模型不讀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</t>
    </r>
  </si>
  <si>
    <t xml:space="preserve">INP_306</t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</si>
  <si>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</si>
  <si>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Alloc_In C16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AL_FreeShare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；只量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的免費占比（非支出口徑 </t>
    </r>
    <r>
      <rPr>
        <sz val="10"/>
        <color rgb="FF000000"/>
        <rFont val="Arial"/>
        <family val="0"/>
        <charset val="1"/>
      </rPr>
      <t xml:space="preserve">TK_IF_FreeShare 0.46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原紀錄抄錄</t>
    </r>
  </si>
  <si>
    <t xml:space="preserve">INP_307</t>
  </si>
  <si>
    <r>
      <rPr>
        <sz val="10"/>
        <color rgb="FF000000"/>
        <rFont val="Noto Sans CJK SC"/>
        <family val="2"/>
      </rPr>
      <t xml:space="preserve">證據對帳容許相對誤差（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段／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</si>
  <si>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W3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W4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</si>
  <si>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證據對帳容許誤差</t>
    </r>
  </si>
  <si>
    <r>
      <rPr>
        <sz val="10"/>
        <color rgb="FF000000"/>
        <rFont val="Noto Sans CJK SC"/>
        <family val="2"/>
      </rPr>
      <t xml:space="preserve">工作單：</t>
    </r>
    <r>
      <rPr>
        <sz val="10"/>
        <color rgb="FF000000"/>
        <rFont val="Arial"/>
        <family val="0"/>
        <charset val="1"/>
      </rPr>
      <t xml:space="preserve">W3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1.99 </t>
    </r>
    <r>
      <rPr>
        <sz val="10"/>
        <color rgb="FF000000"/>
        <rFont val="Noto Sans CJK SC"/>
        <family val="2"/>
      </rPr>
      <t xml:space="preserve">容差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新增對帳列容差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第六節 </t>
    </r>
    <r>
      <rPr>
        <sz val="10"/>
        <color rgb="FF000000"/>
        <rFont val="Arial"/>
        <family val="0"/>
        <charset val="1"/>
      </rPr>
      <t xml:space="preserve">6B </t>
    </r>
    <r>
      <rPr>
        <sz val="10"/>
        <color rgb="FF000000"/>
        <rFont val="Noto Sans CJK SC"/>
        <family val="2"/>
      </rPr>
      <t xml:space="preserve">與第八節用此值標示『差異』；區間不適用（低＝高）</t>
    </r>
  </si>
  <si>
    <t xml:space="preserve">INP_308</t>
  </si>
  <si>
    <r>
      <rPr>
        <sz val="10"/>
        <color rgb="FF000000"/>
        <rFont val="Noto Sans CJK SC"/>
        <family val="2"/>
      </rPr>
      <t xml:space="preserve">組織用戶占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的比例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</si>
  <si>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20261029 W2</t>
    </r>
  </si>
  <si>
    <r>
      <rPr>
        <sz val="10"/>
        <color rgb="FF000000"/>
        <rFont val="Arial"/>
        <family val="0"/>
        <charset val="1"/>
      </rPr>
      <t xml:space="preserve">v0.6.4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 8.4</t>
    </r>
    <r>
      <rPr>
        <sz val="10"/>
        <color rgb="FF000000"/>
        <rFont val="Noto Sans CJK SC"/>
        <family val="2"/>
      </rPr>
      <t xml:space="preserve">）</t>
    </r>
  </si>
  <si>
    <t xml:space="preserve">v0.6.4.PxQ.D2 w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</si>
  <si>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帳『輸入』</t>
    </r>
    <r>
      <rPr>
        <sz val="10"/>
        <color rgb="FF000000"/>
        <rFont val="Arial"/>
        <family val="0"/>
        <charset val="1"/>
      </rPr>
      <t xml:space="preserve">B53–B55</t>
    </r>
    <r>
      <rPr>
        <sz val="10"/>
        <color rgb="FF000000"/>
        <rFont val="Noto Sans CJK SC"/>
        <family val="2"/>
      </rPr>
      <t xml:space="preserve">（低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／基準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）；無來源（企業收入占比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OpenAI 2026-04-08</t>
    </r>
    <r>
      <rPr>
        <sz val="10"/>
        <color rgb="FF000000"/>
        <rFont val="Noto Sans CJK SC"/>
        <family val="2"/>
      </rPr>
      <t xml:space="preserve">〕不等於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占比）。出處：</t>
    </r>
    <r>
      <rPr>
        <sz val="10"/>
        <color rgb="FF000000"/>
        <rFont val="Arial"/>
        <family val="0"/>
        <charset val="1"/>
      </rPr>
      <t xml:space="preserve">Tokenomics docs/evidence/20261025_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（決定變數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帳』『輸入』頁；</t>
    </r>
    <r>
      <rPr>
        <sz val="10"/>
        <color rgb="FF000000"/>
        <rFont val="Arial"/>
        <family val="0"/>
        <charset val="1"/>
      </rPr>
      <t xml:space="preserve">PR #168</t>
    </r>
    <r>
      <rPr>
        <sz val="10"/>
        <color rgb="FF000000"/>
        <rFont val="Noto Sans CJK SC"/>
        <family val="2"/>
      </rPr>
      <t xml:space="preserve">）</t>
    </r>
  </si>
  <si>
    <t xml:space="preserve">INP_309</t>
  </si>
  <si>
    <r>
      <rPr>
        <sz val="10"/>
        <color rgb="FF000000"/>
        <rFont val="Noto Sans CJK SC"/>
        <family val="2"/>
      </rPr>
      <t xml:space="preserve">組織用戶占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的比例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：低情境</t>
    </r>
  </si>
  <si>
    <t xml:space="preserve">INP_310</t>
  </si>
  <si>
    <r>
      <rPr>
        <sz val="10"/>
        <color rgb="FF000000"/>
        <rFont val="Noto Sans CJK SC"/>
        <family val="2"/>
      </rPr>
      <t xml:space="preserve">組織用戶占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的比例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：高情境</t>
    </r>
  </si>
  <si>
    <t xml:space="preserve">INP_311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</si>
  <si>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用量時點比：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06-11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天窗口</t>
    </r>
  </si>
  <si>
    <r>
      <rPr>
        <sz val="10"/>
        <color rgb="FF000000"/>
        <rFont val="Arial"/>
        <family val="0"/>
        <charset val="1"/>
      </rPr>
      <t xml:space="preserve">v0.6.4.PxQ.D2 </t>
    </r>
    <r>
      <rPr>
        <sz val="10"/>
        <color rgb="FF000000"/>
        <rFont val="Noto Sans CJK SC"/>
        <family val="2"/>
      </rPr>
      <t xml:space="preserve">時點比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</si>
  <si>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帳『輸入』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週活 </t>
    </r>
    <r>
      <rPr>
        <sz val="10"/>
        <color rgb="FF000000"/>
        <rFont val="Arial"/>
        <family val="0"/>
        <charset val="1"/>
      </rPr>
      <t xml:space="preserve">4/8 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300 </t>
    </r>
    <r>
      <rPr>
        <sz val="10"/>
        <color rgb="FF000000"/>
        <rFont val="Noto Sans CJK SC"/>
        <family val="2"/>
      </rPr>
      <t xml:space="preserve">萬 → </t>
    </r>
    <r>
      <rPr>
        <sz val="10"/>
        <color rgb="FF000000"/>
        <rFont val="Arial"/>
        <family val="0"/>
        <charset val="1"/>
      </rPr>
      <t xml:space="preserve">4/21 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萬 → </t>
    </r>
    <r>
      <rPr>
        <sz val="10"/>
        <color rgb="FF000000"/>
        <rFont val="Arial"/>
        <family val="0"/>
        <charset val="1"/>
      </rPr>
      <t xml:space="preserve">6/2 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500 </t>
    </r>
    <r>
      <rPr>
        <sz val="10"/>
        <color rgb="FF000000"/>
        <rFont val="Noto Sans CJK SC"/>
        <family val="2"/>
      </rPr>
      <t xml:space="preserve">萬〔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〕；月增約 </t>
    </r>
    <r>
      <rPr>
        <sz val="10"/>
        <color rgb="FF000000"/>
        <rFont val="Arial"/>
        <family val="0"/>
        <charset val="1"/>
      </rPr>
      <t xml:space="preserve">70%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平均低於 </t>
    </r>
    <r>
      <rPr>
        <sz val="10"/>
        <color rgb="FF000000"/>
        <rFont val="Arial"/>
        <family val="0"/>
        <charset val="1"/>
      </rPr>
      <t xml:space="preserve">06-11 </t>
    </r>
    <r>
      <rPr>
        <sz val="10"/>
        <color rgb="FF000000"/>
        <rFont val="Noto Sans CJK SC"/>
        <family val="2"/>
      </rPr>
      <t xml:space="preserve">窗口）。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段未給區間，低＝高＝值（不自行補值）。出處：</t>
    </r>
    <r>
      <rPr>
        <sz val="10"/>
        <color rgb="FF000000"/>
        <rFont val="Arial"/>
        <family val="0"/>
        <charset val="1"/>
      </rPr>
      <t xml:space="preserve">Tokenomics docs/evidence/20261025_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（決定變數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帳』『輸入』頁；</t>
    </r>
    <r>
      <rPr>
        <sz val="10"/>
        <color rgb="FF000000"/>
        <rFont val="Arial"/>
        <family val="0"/>
        <charset val="1"/>
      </rPr>
      <t xml:space="preserve">PR #168</t>
    </r>
    <r>
      <rPr>
        <sz val="10"/>
        <color rgb="FF000000"/>
        <rFont val="Noto Sans CJK SC"/>
        <family val="2"/>
      </rPr>
      <t xml:space="preserve">）</t>
    </r>
  </si>
  <si>
    <t xml:space="preserve">INP_312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</si>
  <si>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輸入／輸出比相對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：基準</t>
    </r>
  </si>
  <si>
    <t xml:space="preserve">v0.6.4.PxQ.D2 k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</si>
  <si>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帳『輸入』</t>
    </r>
    <r>
      <rPr>
        <sz val="10"/>
        <color rgb="FF000000"/>
        <rFont val="Arial"/>
        <family val="0"/>
        <charset val="1"/>
      </rPr>
      <t xml:space="preserve">B57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（份額以輸出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即總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比＝輸出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比）；敏感度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（代理式編碼上下文重複讀入，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可能 </t>
    </r>
    <r>
      <rPr>
        <sz val="10"/>
        <color rgb="FF000000"/>
        <rFont val="Arial"/>
        <family val="0"/>
        <charset val="1"/>
      </rPr>
      <t xml:space="preserve">&gt;1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Tokenomics docs/evidence/20261025_</t>
    </r>
    <r>
      <rPr>
        <sz val="10"/>
        <color rgb="FF000000"/>
        <rFont val="Noto Sans CJK SC"/>
        <family val="2"/>
      </rPr>
      <t xml:space="preserve">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（決定變數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帳』『輸入』頁；</t>
    </r>
    <r>
      <rPr>
        <sz val="10"/>
        <color rgb="FF000000"/>
        <rFont val="Arial"/>
        <family val="0"/>
        <charset val="1"/>
      </rPr>
      <t xml:space="preserve">PR #168</t>
    </r>
    <r>
      <rPr>
        <sz val="10"/>
        <color rgb="FF000000"/>
        <rFont val="Noto Sans CJK SC"/>
        <family val="2"/>
      </rPr>
      <t xml:space="preserve">）</t>
    </r>
  </si>
  <si>
    <t xml:space="preserve">INP_313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</si>
  <si>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輸入／輸出比相對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：敏感度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</si>
  <si>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帳『輸入』</t>
    </r>
    <r>
      <rPr>
        <sz val="10"/>
        <color rgb="FF000000"/>
        <rFont val="Arial"/>
        <family val="0"/>
        <charset val="1"/>
      </rPr>
      <t xml:space="preserve">B58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；敏感度情境值（＝基準列區間上緣；低＝高＝值）</t>
    </r>
  </si>
  <si>
    <t xml:space="preserve">INP_314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</si>
  <si>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段候選 </t>
    </r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8.4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列用）</t>
    </r>
  </si>
  <si>
    <t xml:space="preserve">v0.6.4.PxQ.D2 D3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</si>
  <si>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帳缺口『輸入』</t>
    </r>
    <r>
      <rPr>
        <sz val="10"/>
        <color rgb="FF000000"/>
        <rFont val="Arial"/>
        <family val="0"/>
        <charset val="1"/>
      </rPr>
      <t xml:space="preserve">B31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／基準 </t>
    </r>
    <r>
      <rPr>
        <sz val="10"/>
        <color rgb="FF000000"/>
        <rFont val="Arial"/>
        <family val="0"/>
        <charset val="1"/>
      </rPr>
      <t xml:space="preserve">6,000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段基準組合用 </t>
    </r>
    <r>
      <rPr>
        <sz val="10"/>
        <color rgb="FF000000"/>
        <rFont val="Arial"/>
        <family val="0"/>
        <charset val="1"/>
      </rPr>
      <t xml:space="preserve">6,000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INP_305</t>
    </r>
    <r>
      <rPr>
        <sz val="10"/>
        <color rgb="FF000000"/>
        <rFont val="Noto Sans CJK SC"/>
        <family val="2"/>
      </rPr>
      <t xml:space="preserve">）為底，與 </t>
    </r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不是獨立因子，不可疊加。出處：</t>
    </r>
    <r>
      <rPr>
        <sz val="10"/>
        <color rgb="FF000000"/>
        <rFont val="Arial"/>
        <family val="0"/>
        <charset val="1"/>
      </rPr>
      <t xml:space="preserve">Tokenomics docs/evidence/20261024_token</t>
    </r>
    <r>
      <rPr>
        <sz val="10"/>
        <color rgb="FF000000"/>
        <rFont val="Noto Sans CJK SC"/>
        <family val="2"/>
      </rPr>
      <t xml:space="preserve">帳缺口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/token</t>
    </r>
    <r>
      <rPr>
        <sz val="10"/>
        <color rgb="FF000000"/>
        <rFont val="Noto Sans CJK SC"/>
        <family val="2"/>
      </rPr>
      <t xml:space="preserve">帳缺口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『輸入』頁（</t>
    </r>
    <r>
      <rPr>
        <sz val="10"/>
        <color rgb="FF000000"/>
        <rFont val="Arial"/>
        <family val="0"/>
        <charset val="1"/>
      </rPr>
      <t xml:space="preserve">PR #164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</t>
    </r>
  </si>
  <si>
    <t xml:space="preserve">INP_315</t>
  </si>
  <si>
    <r>
      <rPr>
        <sz val="10"/>
        <color rgb="FF000000"/>
        <rFont val="Noto Sans CJK SC"/>
        <family val="2"/>
      </rPr>
      <t xml:space="preserve">廣告營收年化：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</si>
  <si>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20261029 W4</t>
    </r>
  </si>
  <si>
    <r>
      <rPr>
        <sz val="10"/>
        <color rgb="FF000000"/>
        <rFont val="Arial"/>
        <family val="0"/>
        <charset val="1"/>
      </rPr>
      <t xml:space="preserve">v0.6.4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W4</t>
    </r>
    <r>
      <rPr>
        <sz val="10"/>
        <color rgb="FF000000"/>
        <rFont val="Noto Sans CJK SC"/>
        <family val="2"/>
      </rPr>
      <t xml:space="preserve">：自 </t>
    </r>
    <r>
      <rPr>
        <sz val="10"/>
        <color rgb="FF000000"/>
        <rFont val="Arial"/>
        <family val="0"/>
        <charset val="1"/>
      </rPr>
      <t xml:space="preserve">SRC_OAI_141–143 </t>
    </r>
    <r>
      <rPr>
        <sz val="10"/>
        <color rgb="FF000000"/>
        <rFont val="Noto Sans CJK SC"/>
        <family val="2"/>
      </rPr>
      <t xml:space="preserve">移入）</t>
    </r>
  </si>
  <si>
    <t xml:space="preserve">v0.6.4.PxQ.W4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</si>
  <si>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Cap_In E186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0.3–0.8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原紀錄抄錄，本模型不讀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。廣告為假設，非原始訊息，故自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移入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</si>
  <si>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t xml:space="preserve">INP_316</t>
  </si>
  <si>
    <r>
      <rPr>
        <sz val="10"/>
        <color rgb="FF000000"/>
        <rFont val="Noto Sans CJK SC"/>
        <family val="2"/>
      </rPr>
      <t xml:space="preserve">廣告營收：</t>
    </r>
    <r>
      <rPr>
        <sz val="10"/>
        <color rgb="FF000000"/>
        <rFont val="Arial"/>
        <family val="0"/>
        <charset val="1"/>
      </rPr>
      <t xml:space="preserve">FY2026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</si>
  <si>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Cap_In F186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原紀錄抄錄，本模型不讀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。</t>
    </r>
  </si>
  <si>
    <t xml:space="preserve">INP_317</t>
  </si>
  <si>
    <t xml:space="preserve">每年季數（定義常數）</t>
  </si>
  <si>
    <t xml:space="preserve">季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</si>
  <si>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20261029 W4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E6</t>
    </r>
  </si>
  <si>
    <r>
      <rPr>
        <sz val="10"/>
        <color rgb="FF000000"/>
        <rFont val="Noto Sans CJK SC"/>
        <family val="2"/>
      </rPr>
      <t xml:space="preserve">定義常數（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：公式內不得有常數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）；區間不適用（低＝高）</t>
    </r>
  </si>
  <si>
    <t xml:space="preserve">INP_318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</si>
  <si>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年化（含廣告；對照）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</si>
  <si>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『營收：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WSJ 2026-08-18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$6.7B</t>
    </r>
    <r>
      <rPr>
        <sz val="10"/>
        <color rgb="FF000000"/>
        <rFont val="Noto Sans CJK SC"/>
        <family val="2"/>
      </rPr>
      <t xml:space="preserve">；知情人士轉述、未經公司確認）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每年季數＝</t>
    </r>
    <r>
      <rPr>
        <sz val="10"/>
        <color rgb="FF000000"/>
        <rFont val="Arial"/>
        <family val="0"/>
        <charset val="1"/>
      </rPr>
      <t xml:space="preserve">26.8</t>
    </r>
    <r>
      <rPr>
        <sz val="10"/>
        <color rgb="FF000000"/>
        <rFont val="Noto Sans CJK SC"/>
        <family val="2"/>
      </rPr>
      <t xml:space="preserve">（含廣告；對照，原 </t>
    </r>
    <r>
      <rPr>
        <sz val="10"/>
        <color rgb="FF000000"/>
        <rFont val="Arial"/>
        <family val="0"/>
        <charset val="1"/>
      </rPr>
      <t xml:space="preserve">SRC_OAI_142</t>
    </r>
    <r>
      <rPr>
        <sz val="10"/>
        <color rgb="FF000000"/>
        <rFont val="Noto Sans CJK SC"/>
        <family val="2"/>
      </rPr>
      <t xml:space="preserve">）。低＝高＝值。出處：</t>
    </r>
    <r>
      <rPr>
        <sz val="10"/>
        <color rgb="FF000000"/>
        <rFont val="Arial"/>
        <family val="0"/>
        <charset val="1"/>
      </rPr>
      <t xml:space="preserve">WSJ 2026-08-18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Crypto Briefing https://cryptobriefing.com/openai-revenue-6-7-billion-q2-2026/ 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OpenAI generated $6.7 billion in revenue during the second quarter of 2026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people familiar</t>
    </r>
    <r>
      <rPr>
        <sz val="10"/>
        <color rgb="FF000000"/>
        <rFont val="Noto Sans CJK SC"/>
        <family val="2"/>
      </rPr>
      <t xml:space="preserve">，未經公司確認）；</t>
    </r>
    <r>
      <rPr>
        <sz val="10"/>
        <color rgb="FF000000"/>
        <rFont val="Arial"/>
        <family val="0"/>
        <charset val="1"/>
      </rPr>
      <t xml:space="preserve">FutureSearch https://futuresearch.ai/openai-financial-forecast/ </t>
    </r>
    <r>
      <rPr>
        <sz val="10"/>
        <color rgb="FF000000"/>
        <rFont val="Noto Sans CJK SC"/>
        <family val="2"/>
      </rPr>
      <t xml:space="preserve">。證據：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）『證據表』</t>
    </r>
    <r>
      <rPr>
        <sz val="10"/>
        <color rgb="FF000000"/>
        <rFont val="Arial"/>
        <family val="0"/>
        <charset val="1"/>
      </rPr>
      <t xml:space="preserve">R01</t>
    </r>
    <r>
      <rPr>
        <sz val="10"/>
        <color rgb="FF000000"/>
        <rFont val="Noto Sans CJK SC"/>
        <family val="2"/>
      </rPr>
      <t xml:space="preserve">、『比值』</t>
    </r>
    <r>
      <rPr>
        <sz val="10"/>
        <color rgb="FF000000"/>
        <rFont val="Arial"/>
        <family val="0"/>
        <charset val="1"/>
      </rPr>
      <t xml:space="preserve">B7</t>
    </r>
  </si>
  <si>
    <t xml:space="preserve">INP_319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</si>
  <si>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年化（不含廣告）</t>
    </r>
  </si>
  <si>
    <r>
      <rPr>
        <sz val="10"/>
        <color rgb="FF000000"/>
        <rFont val="Noto Sans CJK SC"/>
        <family val="2"/>
      </rPr>
      <t xml:space="preserve">＝上一列（含廣告）− 廣告年化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26.3</t>
    </r>
    <r>
      <rPr>
        <sz val="10"/>
        <color rgb="FF000000"/>
        <rFont val="Noto Sans CJK SC"/>
        <family val="2"/>
      </rPr>
      <t xml:space="preserve">；即 </t>
    </r>
    <r>
      <rPr>
        <sz val="10"/>
        <color rgb="FF000000"/>
        <rFont val="Arial"/>
        <family val="0"/>
        <charset val="1"/>
      </rPr>
      <t xml:space="preserve">Tokenomics Cap_In E187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分子營收』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年化（原 </t>
    </r>
    <r>
      <rPr>
        <sz val="10"/>
        <color rgb="FF000000"/>
        <rFont val="Arial"/>
        <family val="0"/>
        <charset val="1"/>
      </rPr>
      <t xml:space="preserve">SRC_OAI_141</t>
    </r>
    <r>
      <rPr>
        <sz val="10"/>
        <color rgb="FF000000"/>
        <rFont val="Noto Sans CJK SC"/>
        <family val="2"/>
      </rPr>
      <t xml:space="preserve">）。低＝含廣告 − 廣告高端（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）、高＝含廣告 − 廣告低端（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），即 </t>
    </r>
    <r>
      <rPr>
        <sz val="10"/>
        <color rgb="FF000000"/>
        <rFont val="Arial"/>
        <family val="0"/>
        <charset val="1"/>
      </rPr>
      <t xml:space="preserve">26.0–26.5</t>
    </r>
    <r>
      <rPr>
        <sz val="10"/>
        <color rgb="FF000000"/>
        <rFont val="Noto Sans CJK SC"/>
        <family val="2"/>
      </rPr>
      <t xml:space="preserve">（廣告區間反向帶出）。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口徑一營收</t>
    </r>
  </si>
  <si>
    <t xml:space="preserve">INP_320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</si>
  <si>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預測（不含廣告）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</si>
  <si>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『管理層營收目標：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月投資人簡報，含廣告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）− 廣告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；即 </t>
    </r>
    <r>
      <rPr>
        <sz val="10"/>
        <color rgb="FF000000"/>
        <rFont val="Arial"/>
        <family val="0"/>
        <charset val="1"/>
      </rPr>
      <t xml:space="preserve">Tokenomics Cap_In F187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預測（原 </t>
    </r>
    <r>
      <rPr>
        <sz val="10"/>
        <color rgb="FF000000"/>
        <rFont val="Arial"/>
        <family val="0"/>
        <charset val="1"/>
      </rPr>
      <t xml:space="preserve">SRC_OAI_143</t>
    </r>
    <r>
      <rPr>
        <sz val="10"/>
        <color rgb="FF000000"/>
        <rFont val="Noto Sans CJK SC"/>
        <family val="2"/>
      </rPr>
      <t xml:space="preserve">）。低＝</t>
    </r>
    <r>
      <rPr>
        <sz val="10"/>
        <color rgb="FF000000"/>
        <rFont val="Arial"/>
        <family val="0"/>
        <charset val="1"/>
      </rPr>
      <t xml:space="preserve">36 − </t>
    </r>
    <r>
      <rPr>
        <sz val="10"/>
        <color rgb="FF000000"/>
        <rFont val="Noto Sans CJK SC"/>
        <family val="2"/>
      </rPr>
      <t xml:space="preserve">廣告高端（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36 − </t>
    </r>
    <r>
      <rPr>
        <sz val="10"/>
        <color rgb="FF000000"/>
        <rFont val="Noto Sans CJK SC"/>
        <family val="2"/>
      </rPr>
      <t xml:space="preserve">廣告低端（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），即 </t>
    </r>
    <r>
      <rPr>
        <sz val="10"/>
        <color rgb="FF000000"/>
        <rFont val="Arial"/>
        <family val="0"/>
        <charset val="1"/>
      </rPr>
      <t xml:space="preserve">34.5–35.5</t>
    </r>
    <r>
      <rPr>
        <sz val="10"/>
        <color rgb="FF000000"/>
        <rFont val="Noto Sans CJK SC"/>
        <family val="2"/>
      </rPr>
      <t xml:space="preserve">。管理層預測，非實績。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口徑二營收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</si>
  <si>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</si>
  <si>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</si>
  <si>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</si>
  <si>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</si>
  <si>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</si>
  <si>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</si>
  <si>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</si>
  <si>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</si>
  <si>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</si>
  <si>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</si>
  <si>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</si>
  <si>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</si>
  <si>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</si>
  <si>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</si>
  <si>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</si>
  <si>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</si>
  <si>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</si>
  <si>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</si>
  <si>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</si>
  <si>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</si>
  <si>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</si>
  <si>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</si>
  <si>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</si>
  <si>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</si>
  <si>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</si>
  <si>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</si>
  <si>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</si>
  <si>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</si>
  <si>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</si>
  <si>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</si>
  <si>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</si>
  <si>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</si>
  <si>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</si>
  <si>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</si>
  <si>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</si>
  <si>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</si>
  <si>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</si>
  <si>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</si>
  <si>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</si>
  <si>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</si>
  <si>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</si>
  <si>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</si>
  <si>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</si>
  <si>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</si>
  <si>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</si>
  <si>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</si>
  <si>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</si>
  <si>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</si>
  <si>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</si>
  <si>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</si>
  <si>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</si>
  <si>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</si>
  <si>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</si>
  <si>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</si>
  <si>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</si>
  <si>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</si>
  <si>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</si>
  <si>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</si>
  <si>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</si>
  <si>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</si>
  <si>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</si>
  <si>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</si>
  <si>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</si>
  <si>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</si>
  <si>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</si>
  <si>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</si>
  <si>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</si>
  <si>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</si>
  <si>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</si>
  <si>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</si>
  <si>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</si>
  <si>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</si>
  <si>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</si>
  <si>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</si>
  <si>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</si>
  <si>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</si>
  <si>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</si>
  <si>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</si>
  <si>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</si>
  <si>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</si>
  <si>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</si>
  <si>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</si>
  <si>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</si>
  <si>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</si>
  <si>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</si>
  <si>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</si>
  <si>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</si>
  <si>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</si>
  <si>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</si>
  <si>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</si>
  <si>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</si>
  <si>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</si>
  <si>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</si>
  <si>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</si>
  <si>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</si>
  <si>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</si>
  <si>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</si>
  <si>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</si>
  <si>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</si>
  <si>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</si>
  <si>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</si>
  <si>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</si>
  <si>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</si>
  <si>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</si>
  <si>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</si>
  <si>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</si>
  <si>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</si>
  <si>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</si>
  <si>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</si>
  <si>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</si>
  <si>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</si>
  <si>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</si>
  <si>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</si>
  <si>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</si>
  <si>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</si>
  <si>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</si>
  <si>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</si>
  <si>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</si>
  <si>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</si>
  <si>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</si>
  <si>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</si>
  <si>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</si>
  <si>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</si>
  <si>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</si>
  <si>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</si>
  <si>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</si>
  <si>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</si>
  <si>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</si>
  <si>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</si>
  <si>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</si>
  <si>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</si>
  <si>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</si>
  <si>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</si>
  <si>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</si>
  <si>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</si>
  <si>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</si>
  <si>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</si>
  <si>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</si>
  <si>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</si>
  <si>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</si>
  <si>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</si>
  <si>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</si>
  <si>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</si>
  <si>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</si>
  <si>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</si>
  <si>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</si>
  <si>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</si>
  <si>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</si>
  <si>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</si>
  <si>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</si>
  <si>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</si>
  <si>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</si>
  <si>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</si>
  <si>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</si>
  <si>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</si>
  <si>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</si>
  <si>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</si>
  <si>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</si>
  <si>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</si>
  <si>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</si>
  <si>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</si>
  <si>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</si>
  <si>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</si>
  <si>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</si>
  <si>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</si>
  <si>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</si>
  <si>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</si>
  <si>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</si>
  <si>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</si>
  <si>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</si>
  <si>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</si>
  <si>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</si>
  <si>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</si>
  <si>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</si>
  <si>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</si>
  <si>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</si>
  <si>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</si>
  <si>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</si>
  <si>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</si>
  <si>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</si>
  <si>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</si>
  <si>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</si>
  <si>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</si>
  <si>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</si>
  <si>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</si>
  <si>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</si>
  <si>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</si>
  <si>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</si>
  <si>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</si>
  <si>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</si>
  <si>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</si>
  <si>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</si>
  <si>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</si>
  <si>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</si>
  <si>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</si>
  <si>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</si>
  <si>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</si>
  <si>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</si>
  <si>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</si>
  <si>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</si>
  <si>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</si>
  <si>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</si>
  <si>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</si>
  <si>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</si>
  <si>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</si>
  <si>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</si>
  <si>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</si>
  <si>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</si>
  <si>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</si>
  <si>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</si>
  <si>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</si>
  <si>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</si>
  <si>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</si>
  <si>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</si>
  <si>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</si>
  <si>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</si>
  <si>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</si>
  <si>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</si>
  <si>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</si>
  <si>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</si>
  <si>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</si>
  <si>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</si>
  <si>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</si>
  <si>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</si>
  <si>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</si>
  <si>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</si>
  <si>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</si>
  <si>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</si>
  <si>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</si>
  <si>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</si>
  <si>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</si>
  <si>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</si>
  <si>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</si>
  <si>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</si>
  <si>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</si>
  <si>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</si>
  <si>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</si>
  <si>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</si>
  <si>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</si>
  <si>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</si>
  <si>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</si>
  <si>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</si>
  <si>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</si>
  <si>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</si>
  <si>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</si>
  <si>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</si>
  <si>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</si>
  <si>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</si>
  <si>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</si>
  <si>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</si>
  <si>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</si>
  <si>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</si>
  <si>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</si>
  <si>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</si>
  <si>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</si>
  <si>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</si>
  <si>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</si>
  <si>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</si>
  <si>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</si>
  <si>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</si>
  <si>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</si>
  <si>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</si>
  <si>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</si>
  <si>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</si>
  <si>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</si>
  <si>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</si>
  <si>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</si>
  <si>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</si>
  <si>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</si>
  <si>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</si>
  <si>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</si>
  <si>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</si>
  <si>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</si>
  <si>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</si>
  <si>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</si>
  <si>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</si>
  <si>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</si>
  <si>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</si>
  <si>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</si>
  <si>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</si>
  <si>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</si>
  <si>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</si>
  <si>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</si>
  <si>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</si>
  <si>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</si>
  <si>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</si>
  <si>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</si>
  <si>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</si>
  <si>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</si>
  <si>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</si>
  <si>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</si>
  <si>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</si>
  <si>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</si>
  <si>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</si>
  <si>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</si>
  <si>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</si>
  <si>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</si>
  <si>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</si>
  <si>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</si>
  <si>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</si>
  <si>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</si>
  <si>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</si>
  <si>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</si>
  <si>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</si>
  <si>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</si>
  <si>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</si>
  <si>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</si>
  <si>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</si>
  <si>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</si>
  <si>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</si>
  <si>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</si>
  <si>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</si>
  <si>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</si>
  <si>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</si>
  <si>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</si>
  <si>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</si>
  <si>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</si>
  <si>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</si>
  <si>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</si>
  <si>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</si>
  <si>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</si>
  <si>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</si>
  <si>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</si>
  <si>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</si>
  <si>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</si>
  <si>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</si>
  <si>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</si>
  <si>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</si>
  <si>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</si>
  <si>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</si>
  <si>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</si>
  <si>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</si>
  <si>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</si>
  <si>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</si>
  <si>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</si>
  <si>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</si>
  <si>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</si>
  <si>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</si>
  <si>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</si>
  <si>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</si>
  <si>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</si>
  <si>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</si>
  <si>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</si>
  <si>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</si>
  <si>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</si>
  <si>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</si>
  <si>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</si>
  <si>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</si>
  <si>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</si>
  <si>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</si>
  <si>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</si>
  <si>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</si>
  <si>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</si>
  <si>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</si>
  <si>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</si>
  <si>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</si>
  <si>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</si>
  <si>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</si>
  <si>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</si>
  <si>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</si>
  <si>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</si>
  <si>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</si>
  <si>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</si>
  <si>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</si>
  <si>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</si>
  <si>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</si>
  <si>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</si>
  <si>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</si>
  <si>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</si>
  <si>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</si>
  <si>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</si>
  <si>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</si>
  <si>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</si>
  <si>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</si>
  <si>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</si>
  <si>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</si>
  <si>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</si>
  <si>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</si>
  <si>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</si>
  <si>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</si>
  <si>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</si>
  <si>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</si>
  <si>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</si>
  <si>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</si>
  <si>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</si>
  <si>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</si>
  <si>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</si>
  <si>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</si>
  <si>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</si>
  <si>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</si>
  <si>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</si>
  <si>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</si>
  <si>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</si>
  <si>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</si>
  <si>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</si>
  <si>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</si>
  <si>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</si>
  <si>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</si>
  <si>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</si>
  <si>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</si>
  <si>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</si>
  <si>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</si>
  <si>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</si>
  <si>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</si>
  <si>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</si>
  <si>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</si>
  <si>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</si>
  <si>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</si>
  <si>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</si>
  <si>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</si>
  <si>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</si>
  <si>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</si>
  <si>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</si>
  <si>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</si>
  <si>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</si>
  <si>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</si>
  <si>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</si>
  <si>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</si>
  <si>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</si>
  <si>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</si>
  <si>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</si>
  <si>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</si>
  <si>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</si>
  <si>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</si>
  <si>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</si>
  <si>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</si>
  <si>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</si>
  <si>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</si>
  <si>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</si>
  <si>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</si>
  <si>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</si>
  <si>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</si>
  <si>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</si>
  <si>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</si>
  <si>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</si>
  <si>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</si>
  <si>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</si>
  <si>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</si>
  <si>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</si>
  <si>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</si>
  <si>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</si>
  <si>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</si>
  <si>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</si>
  <si>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</si>
  <si>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</si>
  <si>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</si>
  <si>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</si>
  <si>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</si>
  <si>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</si>
  <si>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</si>
  <si>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</si>
  <si>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</si>
  <si>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</si>
  <si>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</si>
  <si>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</si>
  <si>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</si>
  <si>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</si>
  <si>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</si>
  <si>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</si>
  <si>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</si>
  <si>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</si>
  <si>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</si>
  <si>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</si>
  <si>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</si>
  <si>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</si>
  <si>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</si>
  <si>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</si>
  <si>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</si>
  <si>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</si>
  <si>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</si>
  <si>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</si>
  <si>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</si>
  <si>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</si>
  <si>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</si>
  <si>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</si>
  <si>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</si>
  <si>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</si>
  <si>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</si>
  <si>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</si>
  <si>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</si>
  <si>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</si>
  <si>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</si>
  <si>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</si>
  <si>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</si>
  <si>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</si>
  <si>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</si>
  <si>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</si>
  <si>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</si>
  <si>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</si>
  <si>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</si>
  <si>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</si>
  <si>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</si>
  <si>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</si>
  <si>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</si>
  <si>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</si>
  <si>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</si>
  <si>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</si>
  <si>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</si>
  <si>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</si>
  <si>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</si>
  <si>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</si>
  <si>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</si>
  <si>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</si>
  <si>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</si>
  <si>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</si>
  <si>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</si>
  <si>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</si>
  <si>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</si>
  <si>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</si>
  <si>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</si>
  <si>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</si>
  <si>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</si>
  <si>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</si>
  <si>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</si>
  <si>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</si>
  <si>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</si>
  <si>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</si>
  <si>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</si>
  <si>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</si>
  <si>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</si>
  <si>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</si>
  <si>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</si>
  <si>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</si>
  <si>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</si>
  <si>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</si>
  <si>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</si>
  <si>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</si>
  <si>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</si>
  <si>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</si>
  <si>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</si>
  <si>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</si>
  <si>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</si>
  <si>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</si>
  <si>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</si>
  <si>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</si>
  <si>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</si>
  <si>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</si>
  <si>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</si>
  <si>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</si>
  <si>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</si>
  <si>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</si>
  <si>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</si>
  <si>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</si>
  <si>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</si>
  <si>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</si>
  <si>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</si>
  <si>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</si>
  <si>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</si>
  <si>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</si>
  <si>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</si>
  <si>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</si>
  <si>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</si>
  <si>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</si>
  <si>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</si>
  <si>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</si>
  <si>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</si>
  <si>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</si>
  <si>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</si>
  <si>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</si>
  <si>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</si>
  <si>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</si>
  <si>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</si>
  <si>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</si>
  <si>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</si>
  <si>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</si>
  <si>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</si>
  <si>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</si>
  <si>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</si>
  <si>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</si>
  <si>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</si>
  <si>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</si>
  <si>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</si>
  <si>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</si>
  <si>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</si>
  <si>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</si>
  <si>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</si>
  <si>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</si>
  <si>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</si>
  <si>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</si>
  <si>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</si>
  <si>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</si>
  <si>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</si>
  <si>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</si>
  <si>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</si>
  <si>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</si>
  <si>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</si>
  <si>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</si>
  <si>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</si>
  <si>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</si>
  <si>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</si>
  <si>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</si>
  <si>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</si>
  <si>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</si>
  <si>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</si>
  <si>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</si>
  <si>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</si>
  <si>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</si>
  <si>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</si>
  <si>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</si>
  <si>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</si>
  <si>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</si>
  <si>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</si>
  <si>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</si>
  <si>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</si>
  <si>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</si>
  <si>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</si>
  <si>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</si>
  <si>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</si>
  <si>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</si>
  <si>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</si>
  <si>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</si>
  <si>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</si>
  <si>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</si>
  <si>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</si>
  <si>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</si>
  <si>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</si>
  <si>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</si>
  <si>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</si>
  <si>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</si>
  <si>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</si>
  <si>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</si>
  <si>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</si>
  <si>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</si>
  <si>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</si>
  <si>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</si>
  <si>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</si>
  <si>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</si>
  <si>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</si>
  <si>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</si>
  <si>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</si>
  <si>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</si>
  <si>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</si>
  <si>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</si>
  <si>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</si>
  <si>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</si>
  <si>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</si>
  <si>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Noto Sans CJK SC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</si>
  <si>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</si>
  <si>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</si>
  <si>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</si>
  <si>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</si>
  <si>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</si>
  <si>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</si>
  <si>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</si>
  <si>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</si>
  <si>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</si>
  <si>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</si>
  <si>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</si>
  <si>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</si>
  <si>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</si>
  <si>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</si>
  <si>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</si>
  <si>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</si>
  <si>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</si>
  <si>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</si>
  <si>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</si>
  <si>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</si>
  <si>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</si>
  <si>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</si>
  <si>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</si>
  <si>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</si>
  <si>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</si>
  <si>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</si>
  <si>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</si>
  <si>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</si>
  <si>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</si>
  <si>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</si>
  <si>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</si>
  <si>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</si>
  <si>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</si>
  <si>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</si>
  <si>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</si>
  <si>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</si>
  <si>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</si>
  <si>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</si>
  <si>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</si>
  <si>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</si>
  <si>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</si>
  <si>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</si>
  <si>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</si>
  <si>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</si>
  <si>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</si>
  <si>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</si>
  <si>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</si>
  <si>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</si>
  <si>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</si>
  <si>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</si>
  <si>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</si>
  <si>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</si>
  <si>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</si>
  <si>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</si>
  <si>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</si>
  <si>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</si>
  <si>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</si>
  <si>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</si>
  <si>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</si>
  <si>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</si>
  <si>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</si>
  <si>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</si>
  <si>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</si>
  <si>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</si>
  <si>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</si>
  <si>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</si>
  <si>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</si>
  <si>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</si>
  <si>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</si>
  <si>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</si>
  <si>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</si>
  <si>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</si>
  <si>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</si>
  <si>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</si>
  <si>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</si>
  <si>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</si>
  <si>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</si>
  <si>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</si>
  <si>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</si>
  <si>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</si>
  <si>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</si>
  <si>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</si>
  <si>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</si>
  <si>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</si>
  <si>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</si>
  <si>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</si>
  <si>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</si>
  <si>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</si>
  <si>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</si>
  <si>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</si>
  <si>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</si>
  <si>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</si>
  <si>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</si>
  <si>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</si>
  <si>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</si>
  <si>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</si>
  <si>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0"/>
        <rFont val="Noto Sans CJK SC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</si>
  <si>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</si>
  <si>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</si>
  <si>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</si>
  <si>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</si>
  <si>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</si>
  <si>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</si>
  <si>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G136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</si>
  <si>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</si>
  <si>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</si>
  <si>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</si>
  <si>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</si>
  <si>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</si>
  <si>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同式）</t>
    </r>
  </si>
  <si>
    <t xml:space="preserve">G138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</si>
  <si>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（不含自建）</t>
    </r>
  </si>
  <si>
    <r>
      <rPr>
        <sz val="9"/>
        <color rgb="FF595959"/>
        <rFont val="Noto Sans CJK SC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</si>
  <si>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Noto Sans CJK SC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Noto Sans CJK SC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</si>
  <si>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的營收、成本、差額（現金口徑為基準，經濟口徑並列）。</t>
    </r>
  </si>
  <si>
    <r>
      <rPr>
        <sz val="9"/>
        <color rgb="FF595959"/>
        <rFont val="Noto Sans CJK SC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</si>
  <si>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Noto Sans CJK SC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Noto Sans CJK SC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Noto Sans CJK SC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</si>
  <si>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</si>
  <si>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</si>
  <si>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</si>
  <si>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</si>
  <si>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</si>
  <si>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</si>
  <si>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</si>
  <si>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</si>
  <si>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</si>
  <si>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</si>
  <si>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</si>
  <si>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</si>
  <si>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</t>
    </r>
  </si>
  <si>
    <t xml:space="preserve">K06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</si>
  <si>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</si>
  <si>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</si>
  <si>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</si>
  <si>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</si>
  <si>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</si>
  <si>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</si>
  <si>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r>
      <rPr>
        <b val="true"/>
        <sz val="10"/>
        <rFont val="Noto Sans CJK SC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Noto Sans CJK SC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）＋自有資本支出</t>
    </r>
  </si>
  <si>
    <t xml:space="preserve">K09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</si>
  <si>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</si>
  <si>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Noto Sans CJK SC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Noto Sans CJK SC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</si>
  <si>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</si>
  <si>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</si>
  <si>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</si>
  <si>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</si>
  <si>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</si>
  <si>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K12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</si>
  <si>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</si>
  <si>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</si>
  <si>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</si>
  <si>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</si>
  <si>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</si>
  <si>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</si>
  <si>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</si>
  <si>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</si>
  <si>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</si>
  <si>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</si>
  <si>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</si>
  <si>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</si>
  <si>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</si>
  <si>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</si>
  <si>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</si>
  <si>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</si>
  <si>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</si>
  <si>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Noto Sans CJK SC"/>
        <family val="2"/>
      </rPr>
      <t xml:space="preserve">）；命題輸出基準</t>
    </r>
  </si>
  <si>
    <t xml:space="preserve">K20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</si>
  <si>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</si>
  <si>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</si>
  <si>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</si>
  <si>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</t>
    </r>
  </si>
  <si>
    <r>
      <rPr>
        <sz val="9"/>
        <color rgb="FF595959"/>
        <rFont val="Noto Sans CJK SC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Noto Sans CJK SC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已註）</t>
    </r>
  </si>
  <si>
    <t xml:space="preserve">K22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</si>
  <si>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</si>
  <si>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Noto Sans CJK SC"/>
        <family val="2"/>
      </rPr>
      <t xml:space="preserve">依爬升</t>
    </r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</si>
  <si>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Noto Sans CJK SC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</si>
  <si>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</si>
  <si>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</si>
  <si>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</si>
  <si>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</si>
  <si>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</si>
  <si>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</si>
  <si>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</si>
  <si>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</si>
  <si>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</si>
  <si>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</si>
  <si>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</si>
  <si>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</si>
  <si>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</si>
  <si>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Noto Sans CJK SC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Noto Sans CJK SC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</si>
  <si>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</si>
  <si>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</si>
  <si>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</si>
  <si>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</si>
  <si>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</si>
  <si>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</si>
  <si>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</si>
  <si>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</si>
  <si>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</si>
  <si>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</si>
  <si>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</si>
  <si>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</si>
  <si>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</si>
  <si>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</si>
  <si>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</si>
  <si>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</si>
  <si>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</si>
  <si>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</si>
  <si>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</si>
  <si>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Noto Sans CJK SC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</si>
  <si>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</si>
  <si>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</si>
  <si>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Noto Sans CJK SC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</si>
  <si>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Noto Sans CJK SC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</si>
  <si>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</si>
  <si>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</si>
  <si>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</si>
  <si>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</si>
  <si>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</si>
  <si>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Noto Sans CJK SC"/>
        <family val="2"/>
      </rPr>
      <t xml:space="preserve">的拆分來源）</t>
    </r>
  </si>
  <si>
    <t xml:space="preserve">K40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</si>
  <si>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</si>
  <si>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</si>
  <si>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</si>
  <si>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常見口徑）</t>
    </r>
  </si>
  <si>
    <t xml:space="preserve">K42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</si>
  <si>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</si>
  <si>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</t>
    </r>
  </si>
  <si>
    <t xml:space="preserve">K43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</si>
  <si>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）：銷售</t>
    </r>
  </si>
  <si>
    <t xml:space="preserve">K44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</si>
  <si>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</si>
  <si>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</si>
  <si>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</si>
  <si>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</si>
  <si>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</si>
  <si>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</si>
  <si>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</si>
  <si>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</si>
  <si>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</si>
  <si>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</si>
  <si>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</si>
  <si>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</si>
  <si>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</si>
  <si>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</si>
  <si>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</si>
  <si>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</si>
  <si>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</si>
  <si>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</si>
  <si>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Noto Sans CJK SC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Noto Sans CJK SC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</si>
  <si>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</si>
  <si>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</si>
  <si>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</si>
  <si>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</si>
  <si>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</si>
  <si>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</si>
  <si>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</si>
  <si>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</si>
  <si>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</si>
  <si>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</si>
  <si>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</si>
  <si>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</si>
  <si>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總額營收（截頂後）</t>
    </r>
  </si>
  <si>
    <t xml:space="preserve">K57</t>
  </si>
  <si>
    <r>
      <rPr>
        <sz val="10"/>
        <color rgb="FF000000"/>
        <rFont val="Noto Sans CJK SC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</si>
  <si>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</si>
  <si>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</si>
  <si>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</si>
  <si>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</si>
  <si>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</si>
  <si>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Noto Sans CJK SC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路徑</t>
    </r>
  </si>
  <si>
    <t xml:space="preserve">K60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</si>
  <si>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Noto Sans CJK SC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</si>
  <si>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</si>
  <si>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Noto Sans CJK SC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Noto Sans CJK SC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</si>
  <si>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</si>
  <si>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</si>
  <si>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</si>
  <si>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</si>
  <si>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</si>
  <si>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</si>
  <si>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</si>
  <si>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</si>
  <si>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</si>
  <si>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</si>
  <si>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</si>
  <si>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</si>
  <si>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</si>
  <si>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</si>
  <si>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</si>
  <si>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Noto Sans CJK SC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</si>
  <si>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</si>
  <si>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</si>
  <si>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</si>
  <si>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</si>
  <si>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</si>
  <si>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</si>
  <si>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</si>
  <si>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</si>
  <si>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</si>
  <si>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Noto Sans CJK SC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</si>
  <si>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：只列差距</t>
    </r>
  </si>
  <si>
    <t xml:space="preserve">K71</t>
  </si>
  <si>
    <r>
      <rPr>
        <sz val="10"/>
        <color rgb="FF000000"/>
        <rFont val="Noto Sans CJK SC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</si>
  <si>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物理下限約小一個數量級</t>
    </r>
  </si>
  <si>
    <r>
      <rPr>
        <b val="true"/>
        <sz val="10"/>
        <rFont val="Noto Sans CJK SC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</si>
  <si>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</si>
  <si>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</si>
  <si>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</si>
  <si>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</si>
  <si>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</si>
  <si>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</si>
  <si>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</si>
  <si>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</si>
  <si>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</si>
  <si>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</si>
  <si>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</si>
  <si>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</si>
  <si>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</si>
  <si>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融資）</t>
    </r>
  </si>
  <si>
    <t xml:space="preserve">K77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</si>
  <si>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</si>
  <si>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口徑）</t>
    </r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</si>
  <si>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</si>
  <si>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</si>
  <si>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</si>
  <si>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</si>
  <si>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</si>
  <si>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</si>
  <si>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</si>
  <si>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K81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</si>
  <si>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</si>
  <si>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</si>
  <si>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</si>
  <si>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</si>
  <si>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</si>
  <si>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</si>
  <si>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</si>
  <si>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</si>
  <si>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</si>
  <si>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Noto Sans CJK SC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</si>
  <si>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K86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</si>
  <si>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</si>
  <si>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</si>
  <si>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</si>
  <si>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</si>
  <si>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</si>
  <si>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</si>
  <si>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K89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</si>
  <si>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</si>
  <si>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</si>
  <si>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</si>
  <si>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</si>
  <si>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</si>
  <si>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r>
      <rPr>
        <sz val="9"/>
        <color rgb="FF595959"/>
        <rFont val="Noto Sans CJK SC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</si>
  <si>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</si>
  <si>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</si>
  <si>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</si>
  <si>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</si>
  <si>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</si>
  <si>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K94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</si>
  <si>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</si>
  <si>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t xml:space="preserve">K95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</si>
  <si>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</si>
  <si>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Noto Sans CJK SC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Noto Sans CJK SC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</si>
  <si>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</si>
  <si>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Noto Sans CJK SC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</si>
  <si>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Noto Sans CJK SC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</si>
  <si>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</si>
  <si>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</si>
  <si>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</si>
  <si>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</si>
  <si>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</si>
  <si>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Noto Sans CJK SC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</si>
  <si>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</t>
    </r>
  </si>
  <si>
    <t xml:space="preserve">K100</t>
  </si>
  <si>
    <r>
      <rPr>
        <sz val="10"/>
        <color rgb="FF000000"/>
        <rFont val="Noto Sans CJK SC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</si>
  <si>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Noto Sans CJK SC"/>
        <family val="2"/>
      </rPr>
      <t xml:space="preserve">）；終點不變</t>
    </r>
  </si>
  <si>
    <t xml:space="preserve">K101</t>
  </si>
  <si>
    <r>
      <rPr>
        <sz val="10"/>
        <color rgb="FF000000"/>
        <rFont val="Noto Sans CJK SC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</si>
  <si>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</si>
  <si>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</si>
  <si>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</si>
  <si>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</si>
  <si>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</si>
  <si>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</si>
  <si>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</si>
  <si>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</si>
  <si>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</si>
  <si>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Noto Sans CJK SC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</si>
  <si>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</si>
  <si>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</si>
  <si>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</si>
  <si>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融資（</t>
    </r>
    <r>
      <rPr>
        <b val="true"/>
        <sz val="13"/>
        <rFont val="Arial"/>
        <family val="0"/>
        <charset val="1"/>
      </rPr>
      <t xml:space="preserve">S7</t>
    </r>
    <r>
      <rPr>
        <b val="true"/>
        <sz val="13"/>
        <rFont val="Noto Sans CJK SC"/>
        <family val="2"/>
      </rPr>
      <t xml:space="preserve">）：自由現金流、已到位融資、最低現金與外部資金需求、</t>
    </r>
    <r>
      <rPr>
        <b val="true"/>
        <sz val="13"/>
        <rFont val="Arial"/>
        <family val="0"/>
        <charset val="1"/>
      </rPr>
      <t xml:space="preserve">Amazon </t>
    </r>
    <r>
      <rPr>
        <b val="true"/>
        <sz val="13"/>
        <rFont val="Noto Sans CJK SC"/>
        <family val="2"/>
      </rPr>
      <t xml:space="preserve">條件式情境、或有負債（</t>
    </r>
    <r>
      <rPr>
        <b val="true"/>
        <sz val="13"/>
        <rFont val="Arial"/>
        <family val="0"/>
        <charset val="1"/>
      </rPr>
      <t xml:space="preserve">S4b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</si>
  <si>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「資金與檢查」頁）：自由現金流＝營收淨額 − 算力成本（現金）− 非算力成本（不含股權報酬；股權報酬為非現金，加回）；來源順序：①期初現金（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年底，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）→ ②已到位股權融資（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輪無條件部分）→ ③外部資金（新股權、債務或延後承諾；不分種類）。外部資金需求＝各年年底現金低於最低現金的差額（補足至最低現金）之累計。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條件式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不計入基準（第四節另列情境）；供應商融資只列或有負債。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</si>
  <si>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支出列為負號者不列）。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</si>
  <si>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給 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股權報酬加回）</t>
    </r>
  </si>
  <si>
    <t xml:space="preserve">F01</t>
  </si>
  <si>
    <r>
      <rPr>
        <sz val="10"/>
        <color rgb="FF000000"/>
        <rFont val="Noto Sans CJK SC"/>
        <family val="2"/>
      </rPr>
      <t xml:space="preserve">營收淨額（截頂後；扣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</si>
  <si>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REV_NetCapped</t>
  </si>
  <si>
    <t xml:space="preserve">F02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</si>
  <si>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列，負號）</t>
    </r>
  </si>
  <si>
    <t xml:space="preserve">F03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</si>
  <si>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</si>
  <si>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COST_NonCompExSBC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列：營運費用，不含股票薪酬）</t>
    </r>
  </si>
  <si>
    <t xml:space="preserve">F04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</si>
  <si>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</si>
  <si>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：計算現金缺口時加回）</t>
    </r>
  </si>
  <si>
    <t xml:space="preserve">F05</t>
  </si>
  <si>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命題口徑）</t>
    </r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</si>
  <si>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的融資缺口起點）</t>
    </r>
  </si>
  <si>
    <t xml:space="preserve">F06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</si>
  <si>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</si>
  <si>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欄為模型值（合約實付口徑），不進現金流</t>
    </r>
  </si>
  <si>
    <t xml:space="preserve">F07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</si>
  <si>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）計的自由現金流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</si>
  <si>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現金對帳用實際算力支出（推論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＋訓練 </t>
    </r>
    <r>
      <rPr>
        <sz val="9"/>
        <color rgb="FF595959"/>
        <rFont val="Arial"/>
        <family val="0"/>
        <charset val="1"/>
      </rPr>
      <t xml:space="preserve">10.59</t>
    </r>
    <r>
      <rPr>
        <sz val="9"/>
        <color rgb="FF595959"/>
        <rFont val="Noto Sans CJK SC"/>
        <family val="2"/>
      </rPr>
      <t xml:space="preserve">＋其他雲端 </t>
    </r>
    <r>
      <rPr>
        <sz val="9"/>
        <color rgb="FF595959"/>
        <rFont val="Arial"/>
        <family val="0"/>
        <charset val="1"/>
      </rPr>
      <t xml:space="preserve">1.41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</si>
  <si>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二、已到位融資（來源順序 ②；</t>
    </r>
    <r>
      <rPr>
        <b val="true"/>
        <sz val="10"/>
        <rFont val="Arial"/>
        <family val="0"/>
        <charset val="1"/>
      </rPr>
      <t xml:space="preserve">2026-03 </t>
    </r>
    <r>
      <rPr>
        <b val="true"/>
        <sz val="10"/>
        <rFont val="Noto Sans CJK SC"/>
        <family val="2"/>
      </rPr>
      <t xml:space="preserve">輪無條件部分＝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四個組成；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以現金比例計，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）</t>
    </r>
  </si>
  <si>
    <t xml:space="preserve">F08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</si>
  <si>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輪到位年旗標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</si>
  <si>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：到位年（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：全額計入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</si>
  <si>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F09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</si>
  <si>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</si>
  <si>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t xml:space="preserve">F10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</si>
  <si>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</si>
  <si>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；三期分期時點未揭露，全額計入到位年</t>
    </r>
  </si>
  <si>
    <t xml:space="preserve">F11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</si>
  <si>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（現金部分）</t>
    </r>
  </si>
  <si>
    <r>
      <rPr>
        <sz val="9"/>
        <color rgb="FF595959"/>
        <rFont val="Arial"/>
        <family val="0"/>
        <charset val="1"/>
      </rPr>
      <t xml:space="preserve">SRC_OAI × Nvidia </t>
    </r>
    <r>
      <rPr>
        <sz val="9"/>
        <color rgb="FF595959"/>
        <rFont val="Noto Sans CJK SC"/>
        <family val="2"/>
      </rPr>
      <t xml:space="preserve">現金比例（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</si>
  <si>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F12</t>
  </si>
  <si>
    <t xml:space="preserve">已到位：其他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</si>
  <si>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（約）</t>
    </r>
  </si>
  <si>
    <t xml:space="preserve">F13</t>
  </si>
  <si>
    <t xml:space="preserve">已到位融資合計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</si>
  <si>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無條件部分 </t>
    </r>
    <r>
      <rPr>
        <sz val="9"/>
        <color rgb="FF595959"/>
        <rFont val="Arial"/>
        <family val="0"/>
        <charset val="1"/>
      </rPr>
      <t xml:space="preserve">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以現金計）</t>
    </r>
  </si>
  <si>
    <t xml:space="preserve">F14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</si>
  <si>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投資的非現金（算力）部分（只列示）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</si>
  <si>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：另有報導稱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投資多為算力；基準現金比例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</si>
  <si>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</si>
  <si>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（基準不計入；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</si>
  <si>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）；計入情境見第四節</t>
    </r>
  </si>
  <si>
    <t xml:space="preserve">F16</t>
  </si>
  <si>
    <t xml:space="preserve">計入基準的股權流入</t>
  </si>
  <si>
    <r>
      <rPr>
        <b val="true"/>
        <sz val="10"/>
        <rFont val="Noto Sans CJK SC"/>
        <family val="2"/>
      </rPr>
      <t xml:space="preserve">三、現金與外部資金需求（</t>
    </r>
    <r>
      <rPr>
        <b val="true"/>
        <sz val="10"/>
        <rFont val="Arial"/>
        <family val="0"/>
        <charset val="1"/>
      </rPr>
      <t xml:space="preserve">S7</t>
    </r>
    <r>
      <rPr>
        <b val="true"/>
        <sz val="10"/>
        <rFont val="Noto Sans CJK SC"/>
        <family val="2"/>
      </rPr>
      <t xml:space="preserve">：最低現金、來源順序、缺口旗標；外部資金需求＝年底現金低於最低現金的差額累計）</t>
    </r>
  </si>
  <si>
    <t xml:space="preserve">F17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</si>
  <si>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S7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5–20</t>
    </r>
    <r>
      <rPr>
        <sz val="9"/>
        <color rgb="FF595959"/>
        <rFont val="Noto Sans CJK SC"/>
        <family val="2"/>
      </rPr>
      <t xml:space="preserve">）</t>
    </r>
  </si>
  <si>
    <t xml:space="preserve">F18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</si>
  <si>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</si>
  <si>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35–45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</si>
  <si>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F19</t>
  </si>
  <si>
    <t xml:space="preserve">補足前年底現金＝期初＋自由現金流＋股權流入</t>
  </si>
  <si>
    <t xml:space="preserve">F20</t>
  </si>
  <si>
    <r>
      <rPr>
        <sz val="10"/>
        <color rgb="FF000000"/>
        <rFont val="Noto Sans CJK SC"/>
        <family val="2"/>
      </rPr>
      <t xml:space="preserve">當年外部資金需求（來源順序 ③）＝最低現金 − 補足前（補足前低於最低現金時；否則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</si>
  <si>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新股權、債務或延後承諾（</t>
    </r>
    <r>
      <rPr>
        <sz val="9"/>
        <color rgb="FF595959"/>
        <rFont val="Arial"/>
        <family val="0"/>
        <charset val="1"/>
      </rPr>
      <t xml:space="preserve">v0.5 externalNeed</t>
    </r>
    <r>
      <rPr>
        <sz val="9"/>
        <color rgb="FF595959"/>
        <rFont val="Noto Sans CJK SC"/>
        <family val="2"/>
      </rPr>
      <t xml:space="preserve">；不分種類）</t>
    </r>
  </si>
  <si>
    <t xml:space="preserve">F21</t>
  </si>
  <si>
    <t xml:space="preserve">年底現金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</si>
  <si>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起＝補足前＋外部資金</t>
    </r>
  </si>
  <si>
    <t xml:space="preserve">F22</t>
  </si>
  <si>
    <t xml:space="preserve">累計外部資金需求</t>
  </si>
  <si>
    <r>
      <rPr>
        <sz val="9"/>
        <color rgb="FF595959"/>
        <rFont val="Arial"/>
        <family val="0"/>
        <charset val="1"/>
      </rPr>
      <t xml:space="preserve">r6 P5-1</t>
    </r>
    <r>
      <rPr>
        <sz val="9"/>
        <color rgb="FF595959"/>
        <rFont val="Noto Sans CJK SC"/>
        <family val="2"/>
      </rPr>
      <t xml:space="preserve">：外部資金需求＝年底現金低於最低現金的累計差額</t>
    </r>
  </si>
  <si>
    <t xml:space="preserve">F23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</si>
  <si>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</si>
  <si>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</si>
  <si>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</si>
  <si>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Noto Sans CJK SC"/>
        <family val="2"/>
      </rPr>
      <t xml:space="preserve">缺口年度標示（旗標＝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的年度）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</si>
  <si>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取最小值＝首次需要外部資金的年度</t>
    </r>
  </si>
  <si>
    <t xml:space="preserve">F25</t>
  </si>
  <si>
    <t xml:space="preserve">只靠已到位融資（不另募）的年底現金</t>
  </si>
  <si>
    <t xml:space="preserve">顯示已到位融資能撐到哪一年（無外部資金時的現金路徑；可為負）</t>
  </si>
  <si>
    <t xml:space="preserve">F26</t>
  </si>
  <si>
    <t xml:space="preserve">只靠已到位融資：低於最低現金的年度標示</t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</si>
  <si>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取最小值＝已到位融資撐不過的第一年</t>
    </r>
  </si>
  <si>
    <t xml:space="preserve">F27</t>
  </si>
  <si>
    <r>
      <rPr>
        <sz val="10"/>
        <color rgb="FF000000"/>
        <rFont val="Noto Sans CJK SC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最大值）</t>
    </r>
  </si>
  <si>
    <r>
      <rPr>
        <b val="true"/>
        <sz val="10"/>
        <rFont val="Noto Sans CJK SC"/>
        <family val="2"/>
      </rPr>
      <t xml:space="preserve">四、情境：計入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Noto Sans CJK SC"/>
        <family val="2"/>
      </rPr>
      <t xml:space="preserve">條件式 </t>
    </r>
    <r>
      <rPr>
        <b val="true"/>
        <sz val="10"/>
        <rFont val="Arial"/>
        <family val="0"/>
        <charset val="1"/>
      </rPr>
      <t xml:space="preserve">$35B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預設：不計入基準，列情境；不受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開關影響）</t>
    </r>
  </si>
  <si>
    <t xml:space="preserve">F28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</si>
  <si>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條件式流入（情境）</t>
    </r>
  </si>
  <si>
    <r>
      <rPr>
        <sz val="9"/>
        <color rgb="FF595959"/>
        <rFont val="Arial"/>
        <family val="0"/>
        <charset val="1"/>
      </rPr>
      <t xml:space="preserve">SRC_OAI_082 × </t>
    </r>
    <r>
      <rPr>
        <sz val="9"/>
        <color rgb="FF595959"/>
        <rFont val="Noto Sans CJK SC"/>
        <family val="2"/>
      </rPr>
      <t xml:space="preserve">到位年（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2026–2027</t>
    </r>
    <r>
      <rPr>
        <sz val="9"/>
        <color rgb="FF595959"/>
        <rFont val="Noto Sans CJK SC"/>
        <family val="2"/>
      </rPr>
      <t xml:space="preserve">）</t>
    </r>
  </si>
  <si>
    <t xml:space="preserve">F29</t>
  </si>
  <si>
    <r>
      <rPr>
        <sz val="10"/>
        <color rgb="FF000000"/>
        <rFont val="Noto Sans CJK SC"/>
        <family val="2"/>
      </rPr>
      <t xml:space="preserve">股權流入（情境）＝已到位融資＋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</t>
    </r>
  </si>
  <si>
    <t xml:space="preserve">F30</t>
  </si>
  <si>
    <t xml:space="preserve">補足前年底現金（情境）</t>
  </si>
  <si>
    <t xml:space="preserve">F31</t>
  </si>
  <si>
    <t xml:space="preserve">當年外部資金需求（情境）</t>
  </si>
  <si>
    <t xml:space="preserve">F32</t>
  </si>
  <si>
    <t xml:space="preserve">年底現金（情境）</t>
  </si>
  <si>
    <t xml:space="preserve">F33</t>
  </si>
  <si>
    <t xml:space="preserve">累計外部資金需求（情境）</t>
  </si>
  <si>
    <r>
      <rPr>
        <b val="true"/>
        <sz val="10"/>
        <rFont val="Noto Sans CJK SC"/>
        <family val="2"/>
      </rPr>
      <t xml:space="preserve">五、或有負債與承諾（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</si>
  <si>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F34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</si>
  <si>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66 </t>
    </r>
    <r>
      <rPr>
        <sz val="9"/>
        <color rgb="FF595959"/>
        <rFont val="Noto Sans CJK SC"/>
        <family val="2"/>
      </rPr>
      <t xml:space="preserve">列</t>
    </r>
  </si>
  <si>
    <t xml:space="preserve">F35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</si>
  <si>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晶片融資（洽談中）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</si>
  <si>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</si>
  <si>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t xml:space="preserve">F36</t>
  </si>
  <si>
    <t xml:space="preserve">或有負債合計（只列示）</t>
  </si>
  <si>
    <r>
      <rPr>
        <sz val="9"/>
        <color rgb="FF595959"/>
        <rFont val="Noto Sans CJK SC"/>
        <family val="2"/>
      </rPr>
      <t xml:space="preserve">不進現金流與外部資金需求（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</si>
  <si>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F37</t>
  </si>
  <si>
    <r>
      <rPr>
        <sz val="10"/>
        <color rgb="FF000000"/>
        <rFont val="Noto Sans CJK SC"/>
        <family val="2"/>
      </rPr>
      <t xml:space="preserve">對照：表外承諾存量（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</si>
  <si>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；只對照</t>
    </r>
  </si>
  <si>
    <t xml:space="preserve">F38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</si>
  <si>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年後）＝各合約總額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實付合計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</si>
  <si>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支出頁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年後剩餘）；只列示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</si>
  <si>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R1–R3</t>
    </r>
    <r>
      <rPr>
        <b val="true"/>
        <sz val="13"/>
        <rFont val="Noto Sans CJK SC"/>
        <family val="2"/>
      </rPr>
      <t xml:space="preserve">）：假設管理層營收目標達成，反解充分條件；只作對照區塊，不回饋基準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</si>
  <si>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「反向」頁與「資金與檢查」反向段）：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目標只驅動本頁；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三組充分條件（只靠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、只靠訂閱、兩線等比例）以正向值的倍數表示；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廣告取正向值（內部廣告目標只作對照）。本頁不被任何基準頁引用（共同規則第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節：不以管理層目標反推參數）。</t>
    </r>
  </si>
  <si>
    <r>
      <rPr>
        <sz val="9"/>
        <color rgb="FF595959"/>
        <rFont val="Noto Sans CJK SC"/>
        <family val="2"/>
      </rPr>
      <t xml:space="preserve">目標路徑：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Σ840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月簡報）；</t>
    </r>
    <r>
      <rPr>
        <sz val="9"/>
        <color rgb="FF595959"/>
        <rFont val="Arial"/>
        <family val="0"/>
        <charset val="1"/>
      </rPr>
      <t xml:space="preserve">2027–28</t>
    </r>
    <r>
      <rPr>
        <sz val="9"/>
        <color rgb="FF595959"/>
        <rFont val="Noto Sans CJK SC"/>
        <family val="2"/>
      </rPr>
      <t xml:space="preserve">＝擬合值（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</t>
    </r>
    <r>
      <rPr>
        <sz val="9"/>
        <color rgb="FF595959"/>
        <rFont val="Noto Sans CJK SC"/>
        <family val="2"/>
      </rPr>
      <t xml:space="preserve">殘差。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原值（對照）。</t>
    </r>
  </si>
  <si>
    <r>
      <rPr>
        <b val="true"/>
        <sz val="10"/>
        <rFont val="Noto Sans CJK SC"/>
        <family val="2"/>
      </rPr>
      <t xml:space="preserve">一、管理層目標營收路徑（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：只驅動本頁）</t>
    </r>
  </si>
  <si>
    <t xml:space="preserve">X01</t>
  </si>
  <si>
    <t xml:space="preserve">管理層營收目標</t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</si>
  <si>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Σ840 − </t>
    </r>
    <r>
      <rPr>
        <sz val="9"/>
        <color rgb="FF595959"/>
        <rFont val="Noto Sans CJK SC"/>
        <family val="2"/>
      </rPr>
      <t xml:space="preserve">其餘四年（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Tokenomics v4 FT_Sep2026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）</t>
    </r>
  </si>
  <si>
    <t xml:space="preserve">X02</t>
  </si>
  <si>
    <r>
      <rPr>
        <sz val="10"/>
        <color rgb="FF000000"/>
        <rFont val="Noto Sans CJK SC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</si>
  <si>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</si>
  <si>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X03</t>
  </si>
  <si>
    <t xml:space="preserve">目標年增率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</si>
  <si>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：成長率約每年遞減 </t>
    </r>
    <r>
      <rPr>
        <sz val="9"/>
        <color rgb="FF595959"/>
        <rFont val="Arial"/>
        <family val="0"/>
        <charset val="1"/>
      </rPr>
      <t xml:space="preserve">0.2</t>
    </r>
  </si>
  <si>
    <t xml:space="preserve">X04</t>
  </si>
  <si>
    <r>
      <rPr>
        <sz val="10"/>
        <color rgb="FF000000"/>
        <rFont val="Noto Sans CJK SC"/>
        <family val="2"/>
      </rPr>
      <t xml:space="preserve">對照：舊版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</si>
  <si>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t xml:space="preserve">二、正向對照（本模型基準；截頂後）</t>
  </si>
  <si>
    <t xml:space="preserve">X05</t>
  </si>
  <si>
    <t xml:space="preserve">正向總額（截頂後）</t>
  </si>
  <si>
    <t xml:space="preserve">REV_GrossCapped</t>
  </si>
  <si>
    <t xml:space="preserve">X06</t>
  </si>
  <si>
    <t xml:space="preserve">正向訂閱（截頂後）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</si>
  <si>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</si>
  <si>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</si>
  <si>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</si>
  <si>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正向廣告（截頂後）</t>
  </si>
  <si>
    <t xml:space="preserve">X09</t>
  </si>
  <si>
    <t xml:space="preserve">正向其他（截頂後）</t>
  </si>
  <si>
    <t xml:space="preserve">X10</t>
  </si>
  <si>
    <t xml:space="preserve">差距（目標 − 正向）</t>
  </si>
  <si>
    <t xml:space="preserve">X11</t>
  </si>
  <si>
    <r>
      <rPr>
        <sz val="10"/>
        <color rgb="FF000000"/>
        <rFont val="Noto Sans CJK SC"/>
        <family val="2"/>
      </rPr>
      <t xml:space="preserve">核心需求＝目標 − 正向廣告 − 正向其他（</t>
    </r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：廣告取正向值）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</si>
  <si>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列（其他營收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</si>
  <si>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充分條件組：所需倍數（相對正向；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＝正向已足夠）</t>
    </r>
  </si>
  <si>
    <t xml:space="preserve">X12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</si>
  <si>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</si>
  <si>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X13</t>
  </si>
  <si>
    <t xml:space="preserve">只靠訂閱：訂閱營收所需倍數</t>
  </si>
  <si>
    <t xml:space="preserve">X14</t>
  </si>
  <si>
    <r>
      <rPr>
        <sz val="10"/>
        <color rgb="FF000000"/>
        <rFont val="Noto Sans CJK SC"/>
        <family val="2"/>
      </rPr>
      <t xml:space="preserve">兩線等比例：訂閱與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共同倍數</t>
    </r>
  </si>
  <si>
    <t xml:space="preserve">X15</t>
  </si>
  <si>
    <t xml:space="preserve">對照：廣告取內部路徑時的等比例倍數</t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</si>
  <si>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內部廣告營收目標（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）；只對照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</si>
  <si>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換算為可觀測量（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欄）</t>
    </r>
  </si>
  <si>
    <t xml:space="preserve">X16</t>
  </si>
  <si>
    <r>
      <rPr>
        <sz val="10"/>
        <color rgb="FF000000"/>
        <rFont val="Noto Sans CJK SC"/>
        <family val="2"/>
      </rPr>
      <t xml:space="preserve">正向付費用戶（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</si>
  <si>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DEM_Users_Paid</t>
  </si>
  <si>
    <t xml:space="preserve">X17</t>
  </si>
  <si>
    <r>
      <rPr>
        <sz val="10"/>
        <color rgb="FF000000"/>
        <rFont val="Noto Sans CJK SC"/>
        <family val="2"/>
      </rPr>
      <t xml:space="preserve">正向混合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＝訂閱營收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付費用戶</t>
    </r>
  </si>
  <si>
    <t xml:space="preserve">X18</t>
  </si>
  <si>
    <r>
      <rPr>
        <sz val="10"/>
        <color rgb="FF000000"/>
        <rFont val="Noto Sans CJK SC"/>
        <family val="2"/>
      </rPr>
      <t xml:space="preserve">只靠訂閱：所需付費用戶（同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）</t>
    </r>
  </si>
  <si>
    <t xml:space="preserve">X19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</si>
  <si>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</si>
  <si>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；廣告預測的用戶假設）</t>
    </r>
  </si>
  <si>
    <t xml:space="preserve">X20</t>
  </si>
  <si>
    <r>
      <rPr>
        <sz val="10"/>
        <color rgb="FF000000"/>
        <rFont val="Noto Sans CJK SC"/>
        <family val="2"/>
      </rPr>
      <t xml:space="preserve">正向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</si>
  <si>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</si>
  <si>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X21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</si>
  <si>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：所需計費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</si>
  <si>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</si>
  <si>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五、橋接 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（示意；簡報營收組成未揭露，順序不同則各項不同）</t>
    </r>
  </si>
  <si>
    <t xml:space="preserve">X22</t>
  </si>
  <si>
    <t xml:space="preserve">正向總額</t>
  </si>
  <si>
    <t xml:space="preserve">X23</t>
  </si>
  <si>
    <t xml:space="preserve">＋廣告由正向提高至內部路徑</t>
  </si>
  <si>
    <t xml:space="preserve">X24</t>
  </si>
  <si>
    <t xml:space="preserve">＋用戶提高至計畫（訂閱等比放大）</t>
  </si>
  <si>
    <r>
      <rPr>
        <sz val="9"/>
        <color rgb="FF595959"/>
        <rFont val="Noto Sans CJK SC"/>
        <family val="2"/>
      </rPr>
      <t xml:space="preserve">總用戶＝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＋付費（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同）</t>
    </r>
  </si>
  <si>
    <t xml:space="preserve">X25</t>
  </si>
  <si>
    <t xml:space="preserve">＋核心殘差</t>
  </si>
  <si>
    <t xml:space="preserve">X26</t>
  </si>
  <si>
    <t xml:space="preserve">＝管理層目標</t>
  </si>
  <si>
    <t xml:space="preserve">X27</t>
  </si>
  <si>
    <r>
      <rPr>
        <sz val="10"/>
        <color rgb="FF000000"/>
        <rFont val="Noto Sans CJK SC"/>
        <family val="2"/>
      </rPr>
      <t xml:space="preserve">核心殘差折算：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所需倍數</t>
    </r>
  </si>
  <si>
    <t xml:space="preserve">X28</t>
  </si>
  <si>
    <t xml:space="preserve">廣告步驟占差距比例</t>
  </si>
  <si>
    <t xml:space="preserve">X29</t>
  </si>
  <si>
    <r>
      <rPr>
        <sz val="10"/>
        <color rgb="FF000000"/>
        <rFont val="Noto Sans CJK SC"/>
        <family val="2"/>
      </rPr>
      <t xml:space="preserve">廣告內部路徑占管理層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</t>
    </r>
  </si>
  <si>
    <r>
      <rPr>
        <b val="true"/>
        <sz val="10"/>
        <rFont val="Noto Sans CJK SC"/>
        <family val="2"/>
      </rPr>
      <t xml:space="preserve">六、反向資金（管理層目標營收＋同一支出；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同一規則；只作對照）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</si>
  <si>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</si>
  <si>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分成（目標營收；同上限規則）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</si>
  <si>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Revenue R28 </t>
    </r>
    <r>
      <rPr>
        <sz val="9"/>
        <color rgb="FF595959"/>
        <rFont val="Noto Sans CJK SC"/>
        <family val="2"/>
      </rPr>
      <t xml:space="preserve">公式，以目標營收計</t>
    </r>
  </si>
  <si>
    <t xml:space="preserve">X31</t>
  </si>
  <si>
    <t xml:space="preserve">X32</t>
  </si>
  <si>
    <t xml:space="preserve">淨營收（目標）</t>
  </si>
  <si>
    <t xml:space="preserve">X33</t>
  </si>
  <si>
    <t xml:space="preserve">算力成本（現金；同正向）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</si>
  <si>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列，負號）</t>
    </r>
  </si>
  <si>
    <t xml:space="preserve">X34</t>
  </si>
  <si>
    <t xml:space="preserve">非算力成本（不含股權報酬；同正向，不隨目標營收放大）</t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</si>
  <si>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預設：『同一支出』（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非算力成本為人數法，不以營收占比推）；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列隨目標營收放大，見下方對照列</t>
    </r>
  </si>
  <si>
    <t xml:space="preserve">X35</t>
  </si>
  <si>
    <t xml:space="preserve">自由現金流（反向）</t>
  </si>
  <si>
    <t xml:space="preserve">X36</t>
  </si>
  <si>
    <t xml:space="preserve">股權流入（同基準）</t>
  </si>
  <si>
    <t xml:space="preserve">FND_EquityIn</t>
  </si>
  <si>
    <t xml:space="preserve">X37</t>
  </si>
  <si>
    <t xml:space="preserve">期初現金</t>
  </si>
  <si>
    <t xml:space="preserve">X38</t>
  </si>
  <si>
    <t xml:space="preserve">補足前年底現金</t>
  </si>
  <si>
    <t xml:space="preserve">X39</t>
  </si>
  <si>
    <t xml:space="preserve">當年外部資金需求</t>
  </si>
  <si>
    <t xml:space="preserve">X40</t>
  </si>
  <si>
    <t xml:space="preserve">X41</t>
  </si>
  <si>
    <t xml:space="preserve">累計外部資金需求（反向）</t>
  </si>
  <si>
    <t xml:space="preserve">X42</t>
  </si>
  <si>
    <r>
      <rPr>
        <sz val="10"/>
        <color rgb="FF000000"/>
        <rFont val="Noto Sans CJK SC"/>
        <family val="2"/>
      </rPr>
      <t xml:space="preserve">對照：非算力成本隨目標營收等比放大（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</si>
  <si>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：營運費用＝目標營收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營收占比；此列以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正向總額近似</t>
    </r>
  </si>
  <si>
    <t xml:space="preserve">X43</t>
  </si>
  <si>
    <t xml:space="preserve">對照：放大口徑下自由現金流的變動（放大 − 同一支出）</t>
  </si>
  <si>
    <t xml:space="preserve">負＝放大口徑的現金流較差</t>
  </si>
  <si>
    <r>
      <rPr>
        <b val="true"/>
        <sz val="10"/>
        <rFont val="Noto Sans CJK SC"/>
        <family val="2"/>
      </rPr>
      <t xml:space="preserve">七、與管理層簡報對帳（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累計；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</si>
  <si>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X44</t>
  </si>
  <si>
    <r>
      <rPr>
        <sz val="10"/>
        <color rgb="FF000000"/>
        <rFont val="Noto Sans CJK SC"/>
        <family val="2"/>
      </rPr>
      <t xml:space="preserve">本模型反向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</si>
  <si>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35 </t>
    </r>
    <r>
      <rPr>
        <sz val="9"/>
        <color rgb="FF595959"/>
        <rFont val="Noto Sans CJK SC"/>
        <family val="2"/>
      </rPr>
      <t xml:space="preserve">列</t>
    </r>
  </si>
  <si>
    <t xml:space="preserve">X45</t>
  </si>
  <si>
    <r>
      <rPr>
        <sz val="10"/>
        <color rgb="FF000000"/>
        <rFont val="Noto Sans CJK SC"/>
        <family val="2"/>
      </rPr>
      <t xml:space="preserve">簡報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</si>
  <si>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）</t>
    </r>
  </si>
  <si>
    <t xml:space="preserve">X46</t>
  </si>
  <si>
    <t xml:space="preserve">差異（本模型 − 簡報）</t>
  </si>
  <si>
    <t xml:space="preserve">X47</t>
  </si>
  <si>
    <r>
      <rPr>
        <sz val="10"/>
        <color rgb="FF000000"/>
        <rFont val="Noto Sans CJK SC"/>
        <family val="2"/>
      </rPr>
      <t xml:space="preserve">其中：算力（簡報 </t>
    </r>
    <r>
      <rPr>
        <sz val="10"/>
        <color rgb="FF000000"/>
        <rFont val="Arial"/>
        <family val="0"/>
        <charset val="1"/>
      </rPr>
      <t xml:space="preserve">856 −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2026–30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</si>
  <si>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$856B </t>
    </r>
    <r>
      <rPr>
        <sz val="9"/>
        <color rgb="FF595959"/>
        <rFont val="Noto Sans CJK SC"/>
        <family val="2"/>
      </rPr>
      <t xml:space="preserve">算力與基礎設施）</t>
    </r>
  </si>
  <si>
    <t xml:space="preserve">X48</t>
  </si>
  <si>
    <t xml:space="preserve">其中：其餘（營運費用、分成上限、口徑）</t>
  </si>
  <si>
    <t xml:space="preserve">X49</t>
  </si>
  <si>
    <r>
      <rPr>
        <sz val="10"/>
        <color rgb="FF000000"/>
        <rFont val="Noto Sans CJK SC"/>
        <family val="2"/>
      </rPr>
      <t xml:space="preserve">對照：本模型正向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</si>
  <si>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</si>
  <si>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PxQ — P×Q </t>
    </r>
    <r>
      <rPr>
        <b val="true"/>
        <sz val="13"/>
        <rFont val="Noto Sans CJK SC"/>
        <family val="2"/>
      </rPr>
      <t xml:space="preserve">與回本比值：實際 </t>
    </r>
    <r>
      <rPr>
        <b val="true"/>
        <sz val="13"/>
        <rFont val="Arial"/>
        <family val="0"/>
        <charset val="1"/>
      </rPr>
      <t xml:space="preserve">m×L ÷ </t>
    </r>
    <r>
      <rPr>
        <b val="true"/>
        <sz val="13"/>
        <rFont val="Noto Sans CJK SC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m×L</t>
    </r>
    <r>
      <rPr>
        <b val="true"/>
        <sz val="13"/>
        <rFont val="Noto Sans CJK SC"/>
        <family val="2"/>
      </rPr>
      <t xml:space="preserve">（＝營收 </t>
    </r>
    <r>
      <rPr>
        <b val="true"/>
        <sz val="13"/>
        <rFont val="Arial"/>
        <family val="0"/>
        <charset val="1"/>
      </rPr>
      <t xml:space="preserve">÷ </t>
    </r>
    <r>
      <rPr>
        <b val="true"/>
        <sz val="13"/>
        <rFont val="Noto Sans CJK SC"/>
        <family val="2"/>
      </rPr>
      <t xml:space="preserve">算力成本）的年度序列（</t>
    </r>
    <r>
      <rPr>
        <b val="true"/>
        <sz val="13"/>
        <rFont val="Arial"/>
        <family val="0"/>
        <charset val="1"/>
      </rPr>
      <t xml:space="preserve">v0.6.4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三口徑）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</si>
  <si>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參數只取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單一快照，</t>
    </r>
    <r>
      <rPr>
        <sz val="9"/>
        <color rgb="FF595959"/>
        <rFont val="Arial"/>
        <family val="0"/>
        <charset val="1"/>
      </rPr>
      <t xml:space="preserve">TK_</t>
    </r>
    <r>
      <rPr>
        <sz val="9"/>
        <color rgb="FF595959"/>
        <rFont val="Noto Sans CJK SC"/>
        <family val="2"/>
      </rPr>
      <t xml:space="preserve">）；公司層級（平均上線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、世代組合、營收）取本模型。看的不是回本的絕對數字，而是實際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所需的比值趨勢（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</si>
  <si>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＝付費服務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的實收單價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有效牌價（有效牌價＝表列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d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取壽命期價格係數（判斷題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預設）。比值中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與牌價約掉，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只決定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的水準。欄 </t>
    </r>
    <r>
      <rPr>
        <sz val="9"/>
        <color rgb="FF595959"/>
        <rFont val="Arial"/>
        <family val="0"/>
        <charset val="1"/>
      </rPr>
      <t xml:space="preserve">D–N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指數／線性內插 </t>
    </r>
    <r>
      <rPr>
        <sz val="9"/>
        <color rgb="FF595959"/>
        <rFont val="Arial"/>
        <family val="0"/>
        <charset val="1"/>
      </rPr>
      <t xml:space="preserve">+ 2026 </t>
    </r>
    <r>
      <rPr>
        <sz val="9"/>
        <color rgb="FF595959"/>
        <rFont val="Noto Sans CJK SC"/>
        <family val="2"/>
      </rPr>
      <t xml:space="preserve">三口徑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低／基準／高（口徑一：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年化營收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；口徑二：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；口徑三：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月底 </t>
    </r>
    <r>
      <rPr>
        <sz val="9"/>
        <color rgb="FF595959"/>
        <rFont val="Arial"/>
        <family val="0"/>
        <charset val="1"/>
      </rPr>
      <t xml:space="preserve">run-rate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）／年。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</si>
  <si>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指數內插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</si>
  <si>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線性內插</t>
    </r>
  </si>
  <si>
    <t xml:space="preserve">口徑一 低</t>
  </si>
  <si>
    <t xml:space="preserve">口徑一 基準</t>
  </si>
  <si>
    <t xml:space="preserve">口徑一 高</t>
  </si>
  <si>
    <t xml:space="preserve">口徑二 低</t>
  </si>
  <si>
    <t xml:space="preserve">口徑二 基準</t>
  </si>
  <si>
    <t xml:space="preserve">口徑二 高</t>
  </si>
  <si>
    <t xml:space="preserve">口徑三 低</t>
  </si>
  <si>
    <t xml:space="preserve">口徑三 基準</t>
  </si>
  <si>
    <t xml:space="preserve">口徑三 高</t>
  </si>
  <si>
    <r>
      <rPr>
        <b val="true"/>
        <sz val="10"/>
        <rFont val="Noto Sans CJK SC"/>
        <family val="2"/>
      </rPr>
      <t xml:space="preserve">主輸出（一）：回本比值（實際 </t>
    </r>
    <r>
      <rPr>
        <b val="true"/>
        <sz val="10"/>
        <rFont val="Arial"/>
        <family val="0"/>
        <charset val="1"/>
      </rPr>
      <t xml:space="preserve">m×L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＝ 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算力成本）—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三口徑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低／基準／高；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</t>
    </r>
  </si>
  <si>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</si>
  <si>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基準</t>
    </r>
  </si>
  <si>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</si>
  <si>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</si>
  <si>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口徑一｜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年化營收 </t>
    </r>
    <r>
      <rPr>
        <b val="true"/>
        <sz val="10"/>
        <rFont val="Arial"/>
        <family val="0"/>
        <charset val="1"/>
      </rPr>
      <t xml:space="preserve">÷ Q2 </t>
    </r>
    <r>
      <rPr>
        <b val="true"/>
        <sz val="10"/>
        <rFont val="Noto Sans CJK SC"/>
        <family val="2"/>
      </rPr>
      <t xml:space="preserve">季平均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</si>
  <si>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口徑二｜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全年平均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</si>
  <si>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口徑三｜</t>
    </r>
    <r>
      <rPr>
        <b val="true"/>
        <sz val="10"/>
        <rFont val="Arial"/>
        <family val="0"/>
        <charset val="1"/>
      </rPr>
      <t xml:space="preserve">9 </t>
    </r>
    <r>
      <rPr>
        <b val="true"/>
        <sz val="10"/>
        <rFont val="Noto Sans CJK SC"/>
        <family val="2"/>
      </rPr>
      <t xml:space="preserve">月底 </t>
    </r>
    <r>
      <rPr>
        <b val="true"/>
        <sz val="10"/>
        <rFont val="Arial"/>
        <family val="0"/>
        <charset val="1"/>
      </rPr>
      <t xml:space="preserve">run-rate ÷ </t>
    </r>
    <r>
      <rPr>
        <b val="true"/>
        <sz val="10"/>
        <rFont val="Noto Sans CJK SC"/>
        <family val="2"/>
      </rPr>
      <t xml:space="preserve">年底 </t>
    </r>
    <r>
      <rPr>
        <b val="true"/>
        <sz val="1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</si>
  <si>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看的並不是回本的絕對數字，而是實際除以所需這個比例的趨勢（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）；比值＞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＝實收足以覆蓋機隊持有成本。三口徑不可混用：營收是流量，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年化營收配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（口徑一為主）；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為時點值，只配年底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</si>
  <si>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＝指數內插、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＝線性內插、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＝主值〔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開關〕；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＝對應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＝營收）</t>
    </r>
  </si>
  <si>
    <r>
      <rPr>
        <b val="true"/>
        <sz val="10"/>
        <rFont val="Noto Sans CJK SC"/>
        <family val="2"/>
      </rPr>
      <t xml:space="preserve">主輸出（二）：倍數＝比值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主值比值</t>
    </r>
  </si>
  <si>
    <r>
      <rPr>
        <sz val="10"/>
        <color rgb="FF000000"/>
        <rFont val="Noto Sans CJK SC"/>
        <family val="2"/>
      </rPr>
      <t xml:space="preserve">口徑一｜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÷ 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</si>
  <si>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口徑二｜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</si>
  <si>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口徑三｜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 </t>
    </r>
    <r>
      <rPr>
        <sz val="10"/>
        <color rgb="FF000000"/>
        <rFont val="Arial"/>
        <family val="0"/>
        <charset val="1"/>
      </rPr>
      <t xml:space="preserve">run-rate ÷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</si>
  <si>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主輸出（三）：持平門檻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比值＝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比值時的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高於此值，比值低於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）— 以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比值的三個基準各算一次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</si>
  <si>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上緣（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段）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</si>
  <si>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主值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</si>
  <si>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比值（基準值）</t>
    </r>
  </si>
  <si>
    <t xml:space="preserve">讀法（公式文字；數字取自本頁儲存格）</t>
  </si>
  <si>
    <r>
      <rPr>
        <sz val="9"/>
        <color rgb="FF595959"/>
        <rFont val="Noto Sans CJK SC"/>
        <family val="2"/>
      </rPr>
      <t xml:space="preserve">三口徑的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比值基準本身有區間 </t>
    </r>
    <r>
      <rPr>
        <sz val="9"/>
        <color rgb="FF595959"/>
        <rFont val="Arial"/>
        <family val="0"/>
        <charset val="1"/>
      </rPr>
      <t xml:space="preserve">1.118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站點分布估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比值約 </t>
    </r>
    <r>
      <rPr>
        <sz val="9"/>
        <color rgb="FF595959"/>
        <rFont val="Arial"/>
        <family val="0"/>
        <charset val="1"/>
      </rPr>
      <t xml:space="preserve">1.25–1.32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7.2 </t>
    </r>
    <r>
      <rPr>
        <sz val="9"/>
        <color rgb="FF595959"/>
        <rFont val="Noto Sans CJK SC"/>
        <family val="2"/>
      </rPr>
      <t xml:space="preserve">節），</t>
    </r>
    <r>
      <rPr>
        <sz val="9"/>
        <color rgb="FF595959"/>
        <rFont val="Arial"/>
        <family val="0"/>
        <charset val="1"/>
      </rPr>
      <t xml:space="preserve">1.128 </t>
    </r>
    <r>
      <rPr>
        <sz val="9"/>
        <color rgb="FF595959"/>
        <rFont val="Noto Sans CJK SC"/>
        <family val="2"/>
      </rPr>
      <t xml:space="preserve">偏高、基準 </t>
    </r>
    <r>
      <rPr>
        <sz val="9"/>
        <color rgb="FF595959"/>
        <rFont val="Arial"/>
        <family val="0"/>
        <charset val="1"/>
      </rPr>
      <t xml:space="preserve">1.239 </t>
    </r>
    <r>
      <rPr>
        <sz val="9"/>
        <color rgb="FF595959"/>
        <rFont val="Noto Sans CJK SC"/>
        <family val="2"/>
      </rPr>
      <t xml:space="preserve">偏保守（</t>
    </r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</si>
  <si>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一、案例定義：年度、平均上線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（欄 </t>
    </r>
    <r>
      <rPr>
        <b val="true"/>
        <sz val="10"/>
        <rFont val="Arial"/>
        <family val="0"/>
        <charset val="1"/>
      </rPr>
      <t xml:space="preserve">D–N</t>
    </r>
    <r>
      <rPr>
        <b val="true"/>
        <sz val="10"/>
        <rFont val="Noto Sans CJK SC"/>
        <family val="2"/>
      </rPr>
      <t xml:space="preserve">）、營收（基準）</t>
    </r>
  </si>
  <si>
    <r>
      <rPr>
        <sz val="9"/>
        <color rgb="FF595959"/>
        <rFont val="Arial"/>
        <family val="0"/>
        <charset val="1"/>
      </rPr>
      <t xml:space="preserve">INP_005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INP_006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為實際校準年）</t>
    </r>
  </si>
  <si>
    <r>
      <rPr>
        <sz val="10"/>
        <color rgb="FF000000"/>
        <rFont val="Noto Sans CJK SC"/>
        <family val="2"/>
      </rPr>
      <t xml:space="preserve">年度序位（年度 − 起始年 </t>
    </r>
    <r>
      <rPr>
        <sz val="10"/>
        <color rgb="FF000000"/>
        <rFont val="Arial"/>
        <family val="0"/>
        <charset val="1"/>
      </rPr>
      <t xml:space="preserve">+ 1</t>
    </r>
    <r>
      <rPr>
        <sz val="10"/>
        <color rgb="FF000000"/>
        <rFont val="Noto Sans CJK SC"/>
        <family val="2"/>
      </rPr>
      <t xml:space="preserve">；供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CMP_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REV_ </t>
    </r>
    <r>
      <rPr>
        <sz val="10"/>
        <color rgb="FF000000"/>
        <rFont val="Noto Sans CJK SC"/>
        <family val="2"/>
      </rPr>
      <t xml:space="preserve">年度向量）</t>
    </r>
  </si>
  <si>
    <t xml:space="preserve">序位</t>
  </si>
  <si>
    <r>
      <rPr>
        <sz val="9"/>
        <color rgb="FF595959"/>
        <rFont val="Noto Sans CJK SC"/>
        <family val="2"/>
      </rPr>
      <t xml:space="preserve">年數含頭尾的 </t>
    </r>
    <r>
      <rPr>
        <sz val="9"/>
        <color rgb="FF595959"/>
        <rFont val="Arial"/>
        <family val="0"/>
        <charset val="1"/>
      </rPr>
      <t xml:space="preserve">+1</t>
    </r>
    <r>
      <rPr>
        <sz val="9"/>
        <color rgb="FF595959"/>
        <rFont val="Noto Sans CJK SC"/>
        <family val="2"/>
      </rPr>
      <t xml:space="preserve">（恆等式）</t>
    </r>
  </si>
  <si>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（口徑一＝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季平均；口徑二＝全年平均；口徑三＝年底時點）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</si>
  <si>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官方端點（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；電力口徑未明）內插——指數＝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端點差</t>
    </r>
    <r>
      <rPr>
        <sz val="9"/>
        <color rgb="FF595959"/>
        <rFont val="Arial"/>
        <family val="0"/>
        <charset val="1"/>
      </rPr>
      <t xml:space="preserve">)÷ln(</t>
    </r>
    <r>
      <rPr>
        <sz val="9"/>
        <color rgb="FF595959"/>
        <rFont val="Noto Sans CJK SC"/>
        <family val="2"/>
      </rPr>
      <t xml:space="preserve">端點比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，線性＝端點平均（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）；口徑一：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Fairwater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換算（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v0.6.4 W1</t>
    </r>
    <r>
      <rPr>
        <sz val="9"/>
        <color rgb="FF595959"/>
        <rFont val="Noto Sans CJK SC"/>
        <family val="2"/>
      </rPr>
      <t xml:space="preserve">，原 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中占比＋晚 </t>
    </r>
    <r>
      <rPr>
        <sz val="9"/>
        <color rgb="FF595959"/>
        <rFont val="Arial"/>
        <family val="0"/>
        <charset val="1"/>
      </rPr>
      <t xml:space="preserve">2.34</t>
    </r>
    <r>
      <rPr>
        <sz val="9"/>
        <color rgb="FF595959"/>
        <rFont val="Noto Sans CJK SC"/>
        <family val="2"/>
      </rPr>
      <t xml:space="preserve">）；口徑二：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『約 </t>
    </r>
    <r>
      <rPr>
        <sz val="9"/>
        <color rgb="FF595959"/>
        <rFont val="Arial"/>
        <family val="0"/>
        <charset val="1"/>
      </rPr>
      <t xml:space="preserve">3 GW</t>
    </r>
    <r>
      <rPr>
        <sz val="9"/>
        <color rgb="FF595959"/>
        <rFont val="Noto Sans CJK SC"/>
        <family val="2"/>
      </rPr>
      <t xml:space="preserve">』）；口徑三：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段年底三情境（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）。官方未公布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 </t>
    </r>
    <r>
      <rPr>
        <sz val="9"/>
        <color rgb="FF595959"/>
        <rFont val="Arial"/>
        <family val="0"/>
        <charset val="1"/>
      </rPr>
      <t xml:space="preserve">GW</t>
    </r>
  </si>
  <si>
    <t xml:space="preserve">營收（基準）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</si>
  <si>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13.07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驗等於 </t>
    </r>
    <r>
      <rPr>
        <sz val="9"/>
        <color rgb="FF595959"/>
        <rFont val="Arial"/>
        <family val="0"/>
        <charset val="1"/>
      </rPr>
      <t xml:space="preserve">TK_SRC_DEM_007</t>
    </r>
    <r>
      <rPr>
        <sz val="9"/>
        <color rgb="FF595959"/>
        <rFont val="Noto Sans CJK SC"/>
        <family val="2"/>
      </rPr>
      <t xml:space="preserve">）；口徑一＝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26.3</t>
    </r>
    <r>
      <rPr>
        <sz val="9"/>
        <color rgb="FF595959"/>
        <rFont val="Noto Sans CJK SC"/>
        <family val="2"/>
      </rPr>
      <t xml:space="preserve">（不含廣告；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公式，</t>
    </r>
    <r>
      <rPr>
        <sz val="9"/>
        <color rgb="FF595959"/>
        <rFont val="Arial"/>
        <family val="0"/>
        <charset val="1"/>
      </rPr>
      <t xml:space="preserve">v0.6.4 W4 </t>
    </r>
    <r>
      <rPr>
        <sz val="9"/>
        <color rgb="FF595959"/>
        <rFont val="Noto Sans CJK SC"/>
        <family val="2"/>
      </rPr>
      <t xml:space="preserve">起）；口徑二＝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（不含廣告；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公式）；口徑三＝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月底 </t>
    </r>
    <r>
      <rPr>
        <sz val="9"/>
        <color rgb="FF595959"/>
        <rFont val="Arial"/>
        <family val="0"/>
        <charset val="1"/>
      </rPr>
      <t xml:space="preserve">run-rate 50</t>
    </r>
    <r>
      <rPr>
        <sz val="9"/>
        <color rgb="FF595959"/>
        <rFont val="Noto Sans CJK SC"/>
        <family val="2"/>
      </rPr>
      <t xml:space="preserve">（二手，非全年營收）。三者皆為 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或二手報導，標記照 </t>
    </r>
    <r>
      <rPr>
        <sz val="9"/>
        <color rgb="FF595959"/>
        <rFont val="Arial"/>
        <family val="0"/>
        <charset val="1"/>
      </rPr>
      <t xml:space="preserve">SRC_OAI</t>
    </r>
  </si>
  <si>
    <r>
      <rPr>
        <b val="true"/>
        <sz val="10"/>
        <rFont val="Noto Sans CJK SC"/>
        <family val="2"/>
      </rPr>
      <t xml:space="preserve">二、世代參數（每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TK_Link </t>
    </r>
    <r>
      <rPr>
        <b val="true"/>
        <sz val="10"/>
        <rFont val="Noto Sans CJK SC"/>
        <family val="2"/>
      </rPr>
      <t xml:space="preserve">基準成本情境）：欄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年持有成本、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付費年產能、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生產折減（一律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採用（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開關）</t>
    </r>
  </si>
  <si>
    <r>
      <rPr>
        <b val="true"/>
        <sz val="10"/>
        <rFont val="Arial"/>
        <family val="0"/>
        <charset val="1"/>
      </rPr>
      <t xml:space="preserve">TK_HdrGen </t>
    </r>
    <r>
      <rPr>
        <b val="true"/>
        <sz val="10"/>
        <rFont val="Noto Sans CJK SC"/>
        <family val="2"/>
      </rPr>
      <t xml:space="preserve">對照名稱</t>
    </r>
  </si>
  <si>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$B/GW/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</si>
  <si>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付費年產能 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</si>
  <si>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</t>
    </r>
  </si>
  <si>
    <r>
      <rPr>
        <b val="true"/>
        <sz val="10"/>
        <rFont val="Noto Sans CJK SC"/>
        <family val="2"/>
      </rPr>
      <t xml:space="preserve">折減（一律 </t>
    </r>
    <r>
      <rPr>
        <b val="true"/>
        <sz val="10"/>
        <rFont val="Arial"/>
        <family val="0"/>
        <charset val="1"/>
      </rPr>
      <t xml:space="preserve">ProdDerate</t>
    </r>
    <r>
      <rPr>
        <b val="true"/>
        <sz val="10"/>
        <rFont val="Noto Sans CJK SC"/>
        <family val="2"/>
      </rPr>
      <t xml:space="preserve">）</t>
    </r>
  </si>
  <si>
    <t xml:space="preserve">折減（採用）</t>
  </si>
  <si>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；基準）</t>
    </r>
  </si>
  <si>
    <t xml:space="preserve">VR200</t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</si>
  <si>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Noto Sans CJK SC"/>
        <family val="2"/>
      </rPr>
      <t xml:space="preserve">（重解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後的比）；其他世代用 </t>
    </r>
    <r>
      <rPr>
        <sz val="9"/>
        <color rgb="FF595959"/>
        <rFont val="Arial"/>
        <family val="0"/>
        <charset val="1"/>
      </rPr>
      <t xml:space="preserve">IF_ProdDerate</t>
    </r>
  </si>
  <si>
    <t xml:space="preserve">Rubin Ultra</t>
  </si>
  <si>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時才影響（基準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占比為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</si>
  <si>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世代產能係數）</t>
    </r>
  </si>
  <si>
    <r>
      <rPr>
        <sz val="9"/>
        <color rgb="FF595959"/>
        <rFont val="Noto Sans CJK SC"/>
        <family val="2"/>
      </rPr>
      <t xml:space="preserve">自研晶片：持有成本與產能＝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世代產能係數（沿用 </t>
    </r>
    <r>
      <rPr>
        <sz val="9"/>
        <color rgb="FF595959"/>
        <rFont val="Arial"/>
        <family val="0"/>
        <charset val="1"/>
      </rPr>
      <t xml:space="preserve">v0.6 P4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做法；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，係數區間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）；折減用 </t>
    </r>
    <r>
      <rPr>
        <sz val="9"/>
        <color rgb="FF595959"/>
        <rFont val="Arial"/>
        <family val="0"/>
        <charset val="1"/>
      </rPr>
      <t xml:space="preserve">IF_ProdDerate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</si>
  <si>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三、主序列（基準）：世代組合依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OpenAI v0.6 </t>
    </r>
    <r>
      <rPr>
        <b val="true"/>
        <sz val="10"/>
        <rFont val="Noto Sans CJK SC"/>
        <family val="2"/>
      </rPr>
      <t xml:space="preserve">自有 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組合；口徑三年底暫用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年組合）、生產折減依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讀法）、服務占比＝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</si>
  <si>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</si>
  <si>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</si>
  <si>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</si>
  <si>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</si>
  <si>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</si>
  <si>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</si>
  <si>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世代占比：自研／其他</t>
  </si>
  <si>
    <r>
      <rPr>
        <sz val="10"/>
        <color rgb="FF000000"/>
        <rFont val="Noto Sans CJK SC"/>
        <family val="2"/>
      </rPr>
      <t xml:space="preserve">世代占比合計（應＝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</si>
  <si>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</si>
  <si>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（世代加權）</t>
    </r>
  </si>
  <si>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TK_IF_HoldEcon</t>
    </r>
    <r>
      <rPr>
        <sz val="9"/>
        <color rgb="FF595959"/>
        <rFont val="Noto Sans CJK SC"/>
        <family val="2"/>
      </rPr>
      <t xml:space="preserve">（基準欄）</t>
    </r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</si>
  <si>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＝平均 </t>
    </r>
    <r>
      <rPr>
        <sz val="10"/>
        <color rgb="FF000000"/>
        <rFont val="Arial"/>
        <family val="0"/>
        <charset val="1"/>
      </rPr>
      <t xml:space="preserve">GW × h</t>
    </r>
  </si>
  <si>
    <r>
      <rPr>
        <sz val="9"/>
        <color rgb="FF595959"/>
        <rFont val="Noto Sans CJK SC"/>
        <family val="2"/>
      </rPr>
      <t xml:space="preserve">年度算力成本（機隊持有成本口徑；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：『從持有的機隊成本去推算』）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</si>
  <si>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付費年產能（世代加權，已乘生產折減）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</si>
  <si>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TK_IF_TokGWPaidMix × </t>
    </r>
    <r>
      <rPr>
        <sz val="9"/>
        <color rgb="FF595959"/>
        <rFont val="Noto Sans CJK SC"/>
        <family val="2"/>
      </rPr>
      <t xml:space="preserve">生產折減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</si>
  <si>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</si>
  <si>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就是真正拿去用作服務的算力，去乘上每單位算力可以產生的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數』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</si>
  <si>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token</t>
    </r>
    <r>
      <rPr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</si>
  <si>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</si>
  <si>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顯示用（交接檔『約 </t>
    </r>
    <r>
      <rPr>
        <sz val="9"/>
        <color rgb="FF595959"/>
        <rFont val="Arial"/>
        <family val="0"/>
        <charset val="1"/>
      </rPr>
      <t xml:space="preserve">6.4×10¹⁵ token</t>
    </r>
    <r>
      <rPr>
        <sz val="9"/>
        <color rgb="FF595959"/>
        <rFont val="Noto Sans CJK SC"/>
        <family val="2"/>
      </rPr>
      <t xml:space="preserve">』＝</t>
    </r>
    <r>
      <rPr>
        <sz val="9"/>
        <color rgb="FF595959"/>
        <rFont val="Arial"/>
        <family val="0"/>
        <charset val="1"/>
      </rPr>
      <t xml:space="preserve">6,400 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</si>
  <si>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有效牌價 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（付費層級組合；已含折扣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</t>
    </r>
  </si>
  <si>
    <t xml:space="preserve">$/M tok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</si>
  <si>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IF_PxEffMix25</t>
    </r>
    <r>
      <rPr>
        <sz val="9"/>
        <color rgb="FF595959"/>
        <rFont val="Noto Sans CJK SC"/>
        <family val="2"/>
      </rPr>
      <t xml:space="preserve">（年度加權）；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</si>
  <si>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表列牌價＝</t>
    </r>
    <r>
      <rPr>
        <sz val="10"/>
        <color rgb="FF000000"/>
        <rFont val="Arial"/>
        <family val="0"/>
        <charset val="1"/>
      </rPr>
      <t xml:space="preserve">P_eff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</si>
  <si>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Noto Sans CJK SC"/>
        <family val="2"/>
      </rPr>
      <t xml:space="preserve">，不寫死</t>
    </r>
  </si>
  <si>
    <t xml:space="preserve">營收</t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</si>
  <si>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</si>
  <si>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只看收費業務、跟營收有關跟成本無關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</si>
  <si>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＝算力成本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</si>
  <si>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t xml:space="preserve">回本所需</t>
  </si>
  <si>
    <r>
      <rPr>
        <sz val="10"/>
        <color rgb="FF000000"/>
        <rFont val="Noto Sans CJK SC"/>
        <family val="2"/>
      </rPr>
      <t xml:space="preserve">比值＝實際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</si>
  <si>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9"/>
        <color rgb="FF595959"/>
        <rFont val="Noto Sans CJK SC"/>
        <family val="2"/>
      </rPr>
      <t xml:space="preserve">主輸出；＝營收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</t>
    </r>
  </si>
  <si>
    <r>
      <rPr>
        <sz val="10"/>
        <color rgb="FF000000"/>
        <rFont val="Noto Sans CJK SC"/>
        <family val="2"/>
      </rPr>
      <t xml:space="preserve">恆等式：比值 −（營收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</si>
  <si>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機隊，</t>
    </r>
    <r>
      <rPr>
        <sz val="10"/>
        <color rgb="FF000000"/>
        <rFont val="Arial"/>
        <family val="0"/>
        <charset val="1"/>
      </rPr>
      <t xml:space="preserve">TK_IF_LTotalFleetVDisc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</si>
  <si>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只作顯示（判斷題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讀法預設＝壽命期價格係數）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</si>
  <si>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＝新世代，</t>
    </r>
    <r>
      <rPr>
        <sz val="10"/>
        <color rgb="FF000000"/>
        <rFont val="Arial"/>
        <family val="0"/>
        <charset val="1"/>
      </rPr>
      <t xml:space="preserve">TK_IF_LTotalDisc</t>
    </r>
    <r>
      <rPr>
        <sz val="10"/>
        <color rgb="FF000000"/>
        <rFont val="Noto Sans CJK SC"/>
        <family val="2"/>
      </rPr>
      <t xml:space="preserve">）</t>
    </r>
  </si>
  <si>
    <t xml:space="preserve">只作顯示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</si>
  <si>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</si>
  <si>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</si>
  <si>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</si>
  <si>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9"/>
        <color rgb="FF595959"/>
        <rFont val="Noto Sans CJK SC"/>
        <family val="2"/>
      </rPr>
      <t xml:space="preserve">該案例的 </t>
    </r>
    <r>
      <rPr>
        <sz val="9"/>
        <color rgb="FF595959"/>
        <rFont val="Arial"/>
        <family val="0"/>
        <charset val="1"/>
      </rPr>
      <t xml:space="preserve">2026 GW </t>
    </r>
    <r>
      <rPr>
        <sz val="9"/>
        <color rgb="FF595959"/>
        <rFont val="Noto Sans CJK SC"/>
        <family val="2"/>
      </rPr>
      <t xml:space="preserve">低於此值，比值才高於 </t>
    </r>
    <r>
      <rPr>
        <sz val="9"/>
        <color rgb="FF595959"/>
        <rFont val="Arial"/>
        <family val="0"/>
        <charset val="1"/>
      </rPr>
      <t xml:space="preserve">2025</t>
    </r>
  </si>
  <si>
    <t xml:space="preserve">四、敏感度與對照基準（下列各區塊與主序列只差一個條件；比值不受服務占比影響；只建立適用的口徑欄）</t>
  </si>
  <si>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預覽值基準：交接檔世代組合（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）＋一律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（對帳與第八節用；其餘同基準）</t>
    </r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</si>
  <si>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</si>
  <si>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</si>
  <si>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</si>
  <si>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</si>
  <si>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</si>
  <si>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</si>
  <si>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</si>
  <si>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</si>
  <si>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</si>
  <si>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</si>
  <si>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</si>
  <si>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r>
      <rPr>
        <b val="true"/>
        <sz val="10"/>
        <rFont val="Arial"/>
        <family val="0"/>
        <charset val="1"/>
      </rPr>
      <t xml:space="preserve">4.2 </t>
    </r>
    <r>
      <rPr>
        <b val="true"/>
        <sz val="10"/>
        <rFont val="Noto Sans CJK SC"/>
        <family val="2"/>
      </rPr>
      <t xml:space="preserve">服務占比改為 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Noto Sans CJK SC"/>
        <family val="2"/>
      </rPr>
      <t xml:space="preserve">對照值（</t>
    </r>
    <r>
      <rPr>
        <b val="true"/>
        <sz val="10"/>
        <rFont val="Arial"/>
        <family val="0"/>
        <charset val="1"/>
      </rPr>
      <t xml:space="preserve">SRC_OAI</t>
    </r>
    <r>
      <rPr>
        <b val="true"/>
        <sz val="10"/>
        <rFont val="Noto Sans CJK SC"/>
        <family val="2"/>
      </rPr>
      <t xml:space="preserve">『研發與推論約各半』）：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改變，比值不變</t>
    </r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</si>
  <si>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</si>
  <si>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</si>
  <si>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</si>
  <si>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</si>
  <si>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</si>
  <si>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</si>
  <si>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</si>
  <si>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</si>
  <si>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</si>
  <si>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</si>
  <si>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</si>
  <si>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</si>
  <si>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</si>
  <si>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</si>
  <si>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</si>
  <si>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</si>
  <si>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</si>
  <si>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</si>
  <si>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</si>
  <si>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r>
      <rPr>
        <b val="true"/>
        <sz val="10"/>
        <rFont val="Arial"/>
        <family val="0"/>
        <charset val="1"/>
      </rPr>
      <t xml:space="preserve">4.3 </t>
    </r>
    <r>
      <rPr>
        <b val="true"/>
        <sz val="10"/>
        <rFont val="Noto Sans CJK SC"/>
        <family val="2"/>
      </rPr>
      <t xml:space="preserve">口徑二營收改用模型正向（</t>
    </r>
    <r>
      <rPr>
        <b val="true"/>
        <sz val="10"/>
        <rFont val="Arial"/>
        <family val="0"/>
        <charset val="1"/>
      </rPr>
      <t xml:space="preserve">REV_GrossCapped 2026</t>
    </r>
    <r>
      <rPr>
        <b val="true"/>
        <sz val="10"/>
        <rFont val="Noto Sans CJK SC"/>
        <family val="2"/>
      </rPr>
      <t xml:space="preserve">；截頂後總額）</t>
    </r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</si>
  <si>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</si>
  <si>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</si>
  <si>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</si>
  <si>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</si>
  <si>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</si>
  <si>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</si>
  <si>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</si>
  <si>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</si>
  <si>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</si>
  <si>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</si>
  <si>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</si>
  <si>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</si>
  <si>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</si>
  <si>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</si>
  <si>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</si>
  <si>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</si>
  <si>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</si>
  <si>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</si>
  <si>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</si>
  <si>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r>
      <rPr>
        <b val="true"/>
        <sz val="10"/>
        <rFont val="Arial"/>
        <family val="0"/>
        <charset val="1"/>
      </rPr>
      <t xml:space="preserve">4.4 </t>
    </r>
    <r>
      <rPr>
        <b val="true"/>
        <sz val="10"/>
        <rFont val="Noto Sans CJK SC"/>
        <family val="2"/>
      </rPr>
      <t xml:space="preserve">世代組合改用交接檔（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生產折減讀法不變）</t>
    </r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</si>
  <si>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</si>
  <si>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</si>
  <si>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</si>
  <si>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</si>
  <si>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</si>
  <si>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</si>
  <si>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</si>
  <si>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</si>
  <si>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</si>
  <si>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</si>
  <si>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</si>
  <si>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</si>
  <si>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</si>
  <si>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</si>
  <si>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</si>
  <si>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</si>
  <si>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</si>
  <si>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</si>
  <si>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</si>
  <si>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r>
      <rPr>
        <b val="true"/>
        <sz val="10"/>
        <rFont val="Arial"/>
        <family val="0"/>
        <charset val="1"/>
      </rPr>
      <t xml:space="preserve">4.5 </t>
    </r>
    <r>
      <rPr>
        <b val="true"/>
        <sz val="10"/>
        <rFont val="Noto Sans CJK SC"/>
        <family val="2"/>
      </rPr>
      <t xml:space="preserve">口徑二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改用 </t>
    </r>
    <r>
      <rPr>
        <b val="true"/>
        <sz val="10"/>
        <rFont val="Arial"/>
        <family val="0"/>
        <charset val="1"/>
      </rPr>
      <t xml:space="preserve">v0.6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CMP_SupplyGW 2026</t>
    </r>
    <r>
      <rPr>
        <b val="true"/>
        <sz val="10"/>
        <rFont val="Noto Sans CJK SC"/>
        <family val="2"/>
      </rPr>
      <t xml:space="preserve">；合約＋自建；是否年平均未明）</t>
    </r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</si>
  <si>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</si>
  <si>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</si>
  <si>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</si>
  <si>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</si>
  <si>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</si>
  <si>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</si>
  <si>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</si>
  <si>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</si>
  <si>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</si>
  <si>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</si>
  <si>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</si>
  <si>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</si>
  <si>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</si>
  <si>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</si>
  <si>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</si>
  <si>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</si>
  <si>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</si>
  <si>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</si>
  <si>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</si>
  <si>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r>
      <rPr>
        <b val="true"/>
        <sz val="10"/>
        <rFont val="Arial"/>
        <family val="0"/>
        <charset val="1"/>
      </rPr>
      <t xml:space="preserve">4.6 </t>
    </r>
    <r>
      <rPr>
        <b val="true"/>
        <sz val="10"/>
        <rFont val="Noto Sans CJK SC"/>
        <family val="2"/>
      </rPr>
      <t xml:space="preserve">口徑二營收改用管理層目標 </t>
    </r>
    <r>
      <rPr>
        <b val="true"/>
        <sz val="10"/>
        <rFont val="Arial"/>
        <family val="0"/>
        <charset val="1"/>
      </rPr>
      <t xml:space="preserve">36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SRC_OAI_043</t>
    </r>
    <r>
      <rPr>
        <b val="true"/>
        <sz val="10"/>
        <rFont val="Noto Sans CJK SC"/>
        <family val="2"/>
      </rPr>
      <t xml:space="preserve">；含廣告；原『市場傳聞 </t>
    </r>
    <r>
      <rPr>
        <b val="true"/>
        <sz val="10"/>
        <rFont val="Arial"/>
        <family val="0"/>
        <charset val="1"/>
      </rPr>
      <t xml:space="preserve">360 </t>
    </r>
    <r>
      <rPr>
        <b val="true"/>
        <sz val="10"/>
        <rFont val="Noto Sans CJK SC"/>
        <family val="2"/>
      </rPr>
      <t xml:space="preserve">億』，</t>
    </r>
    <r>
      <rPr>
        <b val="true"/>
        <sz val="10"/>
        <rFont val="Arial"/>
        <family val="0"/>
        <charset val="1"/>
      </rPr>
      <t xml:space="preserve">v0.6.3 </t>
    </r>
    <r>
      <rPr>
        <b val="true"/>
        <sz val="10"/>
        <rFont val="Noto Sans CJK SC"/>
        <family val="2"/>
      </rPr>
      <t xml:space="preserve">起僅作對照）</t>
    </r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</si>
  <si>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</si>
  <si>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</si>
  <si>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</si>
  <si>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</si>
  <si>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</si>
  <si>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</si>
  <si>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</si>
  <si>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</si>
  <si>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</si>
  <si>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</si>
  <si>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</si>
  <si>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</si>
  <si>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</si>
  <si>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</si>
  <si>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</si>
  <si>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</si>
  <si>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</si>
  <si>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</si>
  <si>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</si>
  <si>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r>
      <rPr>
        <b val="true"/>
        <sz val="10"/>
        <rFont val="Arial"/>
        <family val="0"/>
        <charset val="1"/>
      </rPr>
      <t xml:space="preserve">4.7 </t>
    </r>
    <r>
      <rPr>
        <b val="true"/>
        <sz val="10"/>
        <rFont val="Noto Sans CJK SC"/>
        <family val="2"/>
      </rPr>
      <t xml:space="preserve">口徑一營收改用 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季營收 </t>
    </r>
    <r>
      <rPr>
        <b val="true"/>
        <sz val="10"/>
        <rFont val="Arial"/>
        <family val="0"/>
        <charset val="1"/>
      </rPr>
      <t xml:space="preserve">× 4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26.8</t>
    </r>
    <r>
      <rPr>
        <b val="true"/>
        <sz val="10"/>
        <rFont val="Noto Sans CJK SC"/>
        <family val="2"/>
      </rPr>
      <t xml:space="preserve">（含廣告；對照）</t>
    </r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</si>
  <si>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</si>
  <si>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</si>
  <si>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</si>
  <si>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</si>
  <si>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</si>
  <si>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</si>
  <si>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</si>
  <si>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</si>
  <si>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</si>
  <si>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</si>
  <si>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</si>
  <si>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</si>
  <si>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</si>
  <si>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</si>
  <si>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</si>
  <si>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</si>
  <si>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</si>
  <si>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</si>
  <si>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</si>
  <si>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r>
      <rPr>
        <b val="true"/>
        <sz val="10"/>
        <rFont val="Noto Sans CJK SC"/>
        <family val="2"/>
      </rPr>
      <t xml:space="preserve">五、對照列（外部報導的算力支出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；不進主序列）</t>
    </r>
  </si>
  <si>
    <t xml:space="preserve">X175</t>
  </si>
  <si>
    <r>
      <rPr>
        <sz val="10"/>
        <color rgb="FF000000"/>
        <rFont val="Noto Sans CJK SC"/>
        <family val="2"/>
      </rPr>
      <t xml:space="preserve">外部報導算力支出（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：雲端，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引媒體；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</si>
  <si>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（新列；出處網址見該列）</t>
    </r>
  </si>
  <si>
    <t xml:space="preserve">X176</t>
  </si>
  <si>
    <r>
      <rPr>
        <sz val="10"/>
        <color rgb="FF000000"/>
        <rFont val="Noto Sans CJK SC"/>
        <family val="2"/>
      </rPr>
      <t xml:space="preserve">倍數＝外部支出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</si>
  <si>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固定倍數在比值趨勢中約掉，但須逐年用同一口徑；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支出為全年數，與口徑二（全年平均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）可比，口徑一、三僅供參考</t>
    </r>
  </si>
  <si>
    <t xml:space="preserve">X177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</si>
  <si>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推論＋訓練支出（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</si>
  <si>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：『兩百零四億，很明顯是高估了』——只作對照，不作算力成本</t>
    </r>
  </si>
  <si>
    <t xml:space="preserve">X178</t>
  </si>
  <si>
    <r>
      <rPr>
        <sz val="10"/>
        <color rgb="FF000000"/>
        <rFont val="Noto Sans CJK SC"/>
        <family val="2"/>
      </rPr>
      <t xml:space="preserve">倍數＝（推論＋訓練）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</si>
  <si>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六、預覽值對帳。</t>
    </r>
    <r>
      <rPr>
        <b val="true"/>
        <sz val="10"/>
        <rFont val="Arial"/>
        <family val="0"/>
        <charset val="1"/>
      </rPr>
      <t xml:space="preserve">6A</t>
    </r>
    <r>
      <rPr>
        <b val="true"/>
        <sz val="10"/>
        <rFont val="Noto Sans CJK SC"/>
        <family val="2"/>
      </rPr>
      <t xml:space="preserve">＝交接檔第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端以 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計得）的歷史對照，</t>
    </r>
    <r>
      <rPr>
        <b val="true"/>
        <sz val="10"/>
        <rFont val="Arial"/>
        <family val="0"/>
        <charset val="1"/>
      </rPr>
      <t xml:space="preserve">v0.6.3 </t>
    </r>
    <r>
      <rPr>
        <b val="true"/>
        <sz val="10"/>
        <rFont val="Noto Sans CJK SC"/>
        <family val="2"/>
      </rPr>
      <t xml:space="preserve">起不再計入『超出容許誤差項數』；</t>
    </r>
    <r>
      <rPr>
        <b val="true"/>
        <sz val="10"/>
        <rFont val="Arial"/>
        <family val="0"/>
        <charset val="1"/>
      </rPr>
      <t xml:space="preserve">6B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段／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證據與工作單驗收值（容差見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『證據對帳容許相對誤差』）</t>
    </r>
  </si>
  <si>
    <r>
      <rPr>
        <b val="true"/>
        <sz val="10"/>
        <rFont val="Arial"/>
        <family val="0"/>
        <charset val="1"/>
      </rPr>
      <t xml:space="preserve">6A </t>
    </r>
    <r>
      <rPr>
        <b val="true"/>
        <sz val="10"/>
        <rFont val="Noto Sans CJK SC"/>
        <family val="2"/>
      </rPr>
      <t xml:space="preserve">歷史對照項目</t>
    </r>
  </si>
  <si>
    <r>
      <rPr>
        <b val="true"/>
        <sz val="10"/>
        <rFont val="Noto Sans CJK SC"/>
        <family val="2"/>
      </rPr>
      <t xml:space="preserve">交接檔值（</t>
    </r>
    <r>
      <rPr>
        <b val="true"/>
        <sz val="10"/>
        <rFont val="Arial"/>
        <family val="0"/>
        <charset val="1"/>
      </rPr>
      <t xml:space="preserve">v18.0</t>
    </r>
    <r>
      <rPr>
        <b val="true"/>
        <sz val="10"/>
        <rFont val="Noto Sans CJK SC"/>
        <family val="2"/>
      </rPr>
      <t xml:space="preserve">）</t>
    </r>
  </si>
  <si>
    <t xml:space="preserve">模型（預覽基準）</t>
  </si>
  <si>
    <t xml:space="preserve">相對差</t>
  </si>
  <si>
    <t xml:space="preserve">判定（不計數）</t>
  </si>
  <si>
    <t xml:space="preserve">模型（主序列）</t>
  </si>
  <si>
    <t xml:space="preserve">主序列相對差</t>
  </si>
  <si>
    <t xml:space="preserve">X179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</si>
  <si>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93.5 </t>
    </r>
    <r>
      <rPr>
        <sz val="10"/>
        <color rgb="FF000000"/>
        <rFont val="Noto Sans CJK SC"/>
        <family val="2"/>
      </rPr>
      <t xml:space="preserve">億）</t>
    </r>
  </si>
  <si>
    <t xml:space="preserve">X180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</si>
  <si>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97.3 </t>
    </r>
    <r>
      <rPr>
        <sz val="10"/>
        <color rgb="FF000000"/>
        <rFont val="Noto Sans CJK SC"/>
        <family val="2"/>
      </rPr>
      <t xml:space="preserve">億）</t>
    </r>
  </si>
  <si>
    <t xml:space="preserve">X181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</si>
  <si>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指數（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億）</t>
    </r>
  </si>
  <si>
    <t xml:space="preserve">X182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</si>
  <si>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線性（</t>
    </r>
    <r>
      <rPr>
        <sz val="10"/>
        <color rgb="FF000000"/>
        <rFont val="Arial"/>
        <family val="0"/>
        <charset val="1"/>
      </rPr>
      <t xml:space="preserve">117 </t>
    </r>
    <r>
      <rPr>
        <sz val="10"/>
        <color rgb="FF000000"/>
        <rFont val="Noto Sans CJK SC"/>
        <family val="2"/>
      </rPr>
      <t xml:space="preserve">億）</t>
    </r>
  </si>
  <si>
    <t xml:space="preserve">X183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</si>
  <si>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2.5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億；口徑二低）</t>
    </r>
  </si>
  <si>
    <t xml:space="preserve">X184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</si>
  <si>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3.0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292 </t>
    </r>
    <r>
      <rPr>
        <sz val="10"/>
        <color rgb="FF000000"/>
        <rFont val="Noto Sans CJK SC"/>
        <family val="2"/>
      </rPr>
      <t xml:space="preserve">億；口徑二基準）</t>
    </r>
  </si>
  <si>
    <t xml:space="preserve">X185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</si>
  <si>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3.5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341 </t>
    </r>
    <r>
      <rPr>
        <sz val="10"/>
        <color rgb="FF000000"/>
        <rFont val="Noto Sans CJK SC"/>
        <family val="2"/>
      </rPr>
      <t xml:space="preserve">億）；口徑二高端已改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，不再可比</t>
    </r>
  </si>
  <si>
    <t xml:space="preserve">X186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</si>
  <si>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</t>
    </r>
  </si>
  <si>
    <t xml:space="preserve">X187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</si>
  <si>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</t>
    </r>
  </si>
  <si>
    <t xml:space="preserve">X188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</si>
  <si>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2.5 GW</t>
    </r>
    <r>
      <rPr>
        <sz val="10"/>
        <color rgb="FF000000"/>
        <rFont val="Noto Sans CJK SC"/>
        <family val="2"/>
      </rPr>
      <t xml:space="preserve">（口徑二低）</t>
    </r>
  </si>
  <si>
    <t xml:space="preserve">X189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</si>
  <si>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3.0 GW</t>
    </r>
    <r>
      <rPr>
        <sz val="10"/>
        <color rgb="FF000000"/>
        <rFont val="Noto Sans CJK SC"/>
        <family val="2"/>
      </rPr>
      <t xml:space="preserve">（口徑二基準）</t>
    </r>
  </si>
  <si>
    <t xml:space="preserve">X190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</si>
  <si>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3.5 GW</t>
    </r>
    <r>
      <rPr>
        <sz val="10"/>
        <color rgb="FF000000"/>
        <rFont val="Noto Sans CJK SC"/>
        <family val="2"/>
      </rPr>
      <t xml:space="preserve">；口徑二高端已改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，不再可比</t>
    </r>
  </si>
  <si>
    <t xml:space="preserve">X191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</si>
  <si>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指數比值；口徑二）</t>
    </r>
  </si>
  <si>
    <t xml:space="preserve">X192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</si>
  <si>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線性比值；口徑二）</t>
    </r>
  </si>
  <si>
    <t xml:space="preserve">X193</t>
  </si>
  <si>
    <r>
      <rPr>
        <sz val="10"/>
        <color rgb="FF000000"/>
        <rFont val="Arial"/>
        <family val="0"/>
        <charset val="1"/>
      </rPr>
      <t xml:space="preserve">Q 2025 </t>
    </r>
    <r>
      <rPr>
        <sz val="10"/>
        <color rgb="FF000000"/>
        <rFont val="Noto Sans CJK SC"/>
        <family val="2"/>
      </rPr>
      <t xml:space="preserve">線性 </t>
    </r>
    <r>
      <rPr>
        <sz val="10"/>
        <color rgb="FF000000"/>
        <rFont val="Arial"/>
        <family val="0"/>
        <charset val="1"/>
      </rPr>
      <t xml:space="preserve">1.25 GW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6.4×10¹⁵ token</t>
    </r>
    <r>
      <rPr>
        <sz val="10"/>
        <color rgb="FF000000"/>
        <rFont val="Noto Sans CJK SC"/>
        <family val="2"/>
      </rPr>
      <t xml:space="preserve">）</t>
    </r>
  </si>
  <si>
    <t xml:space="preserve">T tok</t>
  </si>
  <si>
    <r>
      <rPr>
        <sz val="9"/>
        <color rgb="FF595959"/>
        <rFont val="Noto Sans CJK SC"/>
        <family val="2"/>
      </rPr>
      <t xml:space="preserve">交接檔值為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計得的預覽（金額由『億』換算為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的常數，只作對照）；</t>
    </r>
    <r>
      <rPr>
        <sz val="9"/>
        <color rgb="FF595959"/>
        <rFont val="Arial"/>
        <family val="0"/>
        <charset val="1"/>
      </rPr>
      <t xml:space="preserve">v0.6.3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欄對應口徑二（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3.0 GW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v0.6.1 </t>
    </r>
    <r>
      <rPr>
        <sz val="9"/>
        <color rgb="FF595959"/>
        <rFont val="Noto Sans CJK SC"/>
        <family val="2"/>
      </rPr>
      <t xml:space="preserve">相同；高端 </t>
    </r>
    <r>
      <rPr>
        <sz val="9"/>
        <color rgb="FF595959"/>
        <rFont val="Arial"/>
        <family val="0"/>
        <charset val="1"/>
      </rPr>
      <t xml:space="preserve">3.5→3.8</t>
    </r>
    <r>
      <rPr>
        <sz val="9"/>
        <color rgb="FF595959"/>
        <rFont val="Noto Sans CJK SC"/>
        <family val="2"/>
      </rPr>
      <t xml:space="preserve">）。歷史對照，不計入超出容許誤差項數</t>
    </r>
  </si>
  <si>
    <r>
      <rPr>
        <b val="true"/>
        <sz val="10"/>
        <rFont val="Arial"/>
        <family val="0"/>
        <charset val="1"/>
      </rPr>
      <t xml:space="preserve">6B </t>
    </r>
    <r>
      <rPr>
        <b val="true"/>
        <sz val="10"/>
        <rFont val="Noto Sans CJK SC"/>
        <family val="2"/>
      </rPr>
      <t xml:space="preserve">證據對帳項目</t>
    </r>
  </si>
  <si>
    <t xml:space="preserve">證據值</t>
  </si>
  <si>
    <t xml:space="preserve">模型值</t>
  </si>
  <si>
    <t xml:space="preserve">判定（計數）</t>
  </si>
  <si>
    <t xml:space="preserve">出處</t>
  </si>
  <si>
    <t xml:space="preserve">X194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</si>
  <si>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比值：指數內插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</si>
  <si>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B4</t>
    </r>
    <r>
      <rPr>
        <sz val="9"/>
        <color rgb="FF595959"/>
        <rFont val="Noto Sans CJK SC"/>
        <family val="2"/>
      </rPr>
      <t xml:space="preserve">（任務給定 </t>
    </r>
    <r>
      <rPr>
        <sz val="9"/>
        <color rgb="FF595959"/>
        <rFont val="Arial"/>
        <family val="0"/>
        <charset val="1"/>
      </rPr>
      <t xml:space="preserve">1.239</t>
    </r>
    <r>
      <rPr>
        <sz val="9"/>
        <color rgb="FF595959"/>
        <rFont val="Noto Sans CJK SC"/>
        <family val="2"/>
      </rPr>
      <t xml:space="preserve">）</t>
    </r>
  </si>
  <si>
    <t xml:space="preserve">X195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</si>
  <si>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比值：線性內插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</si>
  <si>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段『比值』表 </t>
    </r>
    <r>
      <rPr>
        <sz val="9"/>
        <color rgb="FF595959"/>
        <rFont val="Arial"/>
        <family val="0"/>
        <charset val="1"/>
      </rPr>
      <t xml:space="preserve">E B57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1.118</t>
    </r>
    <r>
      <rPr>
        <sz val="9"/>
        <color rgb="FF595959"/>
        <rFont val="Noto Sans CJK SC"/>
        <family val="2"/>
      </rPr>
      <t xml:space="preserve">）</t>
    </r>
  </si>
  <si>
    <t xml:space="preserve">X196</t>
  </si>
  <si>
    <r>
      <rPr>
        <sz val="10"/>
        <color rgb="FF000000"/>
        <rFont val="Noto Sans CJK SC"/>
        <family val="2"/>
      </rPr>
      <t xml:space="preserve">持平門檻 口徑一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1.239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</si>
  <si>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 9.796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J7 B4</t>
    </r>
  </si>
  <si>
    <t xml:space="preserve">X197</t>
  </si>
  <si>
    <r>
      <rPr>
        <sz val="10"/>
        <color rgb="FF000000"/>
        <rFont val="Noto Sans CJK SC"/>
        <family val="2"/>
      </rPr>
      <t xml:space="preserve">持平門檻 口徑二 </t>
    </r>
    <r>
      <rPr>
        <sz val="10"/>
        <color rgb="FF000000"/>
        <rFont val="Arial"/>
        <family val="0"/>
        <charset val="1"/>
      </rPr>
      <t xml:space="preserve">FY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1.239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</si>
  <si>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J7 B5</t>
    </r>
  </si>
  <si>
    <t xml:space="preserve">X198</t>
  </si>
  <si>
    <r>
      <rPr>
        <sz val="10"/>
        <color rgb="FF000000"/>
        <rFont val="Noto Sans CJK SC"/>
        <family val="2"/>
      </rPr>
      <t xml:space="preserve">持平門檻 口徑三 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1.239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</si>
  <si>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J7 B6</t>
    </r>
  </si>
  <si>
    <t xml:space="preserve">X199</t>
  </si>
  <si>
    <r>
      <rPr>
        <sz val="10"/>
        <color rgb="FF000000"/>
        <rFont val="Noto Sans CJK SC"/>
        <family val="2"/>
      </rPr>
      <t xml:space="preserve">持平門檻 口徑一（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</si>
  <si>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B58</t>
    </r>
  </si>
  <si>
    <t xml:space="preserve">X200</t>
  </si>
  <si>
    <r>
      <rPr>
        <sz val="10"/>
        <color rgb="FF000000"/>
        <rFont val="Noto Sans CJK SC"/>
        <family val="2"/>
      </rPr>
      <t xml:space="preserve">持平門檻 口徑二（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</si>
  <si>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B59</t>
    </r>
  </si>
  <si>
    <t xml:space="preserve">X201</t>
  </si>
  <si>
    <r>
      <rPr>
        <sz val="10"/>
        <color rgb="FF000000"/>
        <rFont val="Noto Sans CJK SC"/>
        <family val="2"/>
      </rPr>
      <t xml:space="preserve">持平門檻 口徑三（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</si>
  <si>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B60</t>
    </r>
  </si>
  <si>
    <t xml:space="preserve">X202</t>
  </si>
  <si>
    <r>
      <rPr>
        <sz val="10"/>
        <color rgb="FF000000"/>
        <rFont val="Noto Sans CJK SC"/>
        <family val="2"/>
      </rPr>
      <t xml:space="preserve">持平門檻 口徑一（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1.397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</si>
  <si>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D58</t>
    </r>
  </si>
  <si>
    <t xml:space="preserve">X203</t>
  </si>
  <si>
    <r>
      <rPr>
        <sz val="10"/>
        <color rgb="FF000000"/>
        <rFont val="Noto Sans CJK SC"/>
        <family val="2"/>
      </rPr>
      <t xml:space="preserve">持平門檻 口徑二（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1.397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</si>
  <si>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D59</t>
    </r>
  </si>
  <si>
    <t xml:space="preserve">X204</t>
  </si>
  <si>
    <r>
      <rPr>
        <sz val="10"/>
        <color rgb="FF000000"/>
        <rFont val="Noto Sans CJK SC"/>
        <family val="2"/>
      </rPr>
      <t xml:space="preserve">持平門檻 口徑三（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1.397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</si>
  <si>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D60</t>
    </r>
  </si>
  <si>
    <t xml:space="preserve">X205</t>
  </si>
  <si>
    <r>
      <rPr>
        <sz val="10"/>
        <color rgb="FF000000"/>
        <rFont val="Noto Sans CJK SC"/>
        <family val="2"/>
      </rPr>
      <t xml:space="preserve">口徑一基準倍數（</t>
    </r>
    <r>
      <rPr>
        <sz val="10"/>
        <color rgb="FF000000"/>
        <rFont val="Arial"/>
        <family val="0"/>
        <charset val="1"/>
      </rPr>
      <t xml:space="preserve">2.26 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億）≈</t>
    </r>
    <r>
      <rPr>
        <sz val="10"/>
        <color rgb="FF000000"/>
        <rFont val="Arial"/>
        <family val="0"/>
        <charset val="1"/>
      </rPr>
      <t xml:space="preserve">0.96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</si>
  <si>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：倍數 </t>
    </r>
    <r>
      <rPr>
        <sz val="9"/>
        <color rgb="FF595959"/>
        <rFont val="Arial"/>
        <family val="0"/>
        <charset val="1"/>
      </rPr>
      <t xml:space="preserve">0.959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v0.6.4 W1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2.34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0.93</t>
    </r>
    <r>
      <rPr>
        <sz val="9"/>
        <color rgb="FF595959"/>
        <rFont val="Noto Sans CJK SC"/>
        <family val="2"/>
      </rPr>
      <t xml:space="preserve">）</t>
    </r>
  </si>
  <si>
    <t xml:space="preserve">X206</t>
  </si>
  <si>
    <r>
      <rPr>
        <sz val="10"/>
        <color rgb="FF000000"/>
        <rFont val="Noto Sans CJK SC"/>
        <family val="2"/>
      </rPr>
      <t xml:space="preserve">口徑二基準倍數（</t>
    </r>
    <r>
      <rPr>
        <sz val="10"/>
        <color rgb="FF000000"/>
        <rFont val="Arial"/>
        <family val="0"/>
        <charset val="1"/>
      </rPr>
      <t xml:space="preserve">3.0 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億）≈</t>
    </r>
    <r>
      <rPr>
        <sz val="10"/>
        <color rgb="FF000000"/>
        <rFont val="Arial"/>
        <family val="0"/>
        <charset val="1"/>
      </rPr>
      <t xml:space="preserve">0.96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</si>
  <si>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20261025 </t>
    </r>
    <r>
      <rPr>
        <sz val="9"/>
        <color rgb="FF595959"/>
        <rFont val="Noto Sans CJK SC"/>
        <family val="2"/>
      </rPr>
      <t xml:space="preserve">驗收 </t>
    </r>
    <r>
      <rPr>
        <sz val="9"/>
        <color rgb="FF595959"/>
        <rFont val="Arial"/>
        <family val="0"/>
        <charset val="1"/>
      </rPr>
      <t xml:space="preserve">3</t>
    </r>
  </si>
  <si>
    <t xml:space="preserve">X207</t>
  </si>
  <si>
    <r>
      <rPr>
        <sz val="10"/>
        <color rgb="FF000000"/>
        <rFont val="Noto Sans CJK SC"/>
        <family val="2"/>
      </rPr>
      <t xml:space="preserve">口徑三基準倍數（</t>
    </r>
    <r>
      <rPr>
        <sz val="10"/>
        <color rgb="FF000000"/>
        <rFont val="Arial"/>
        <family val="0"/>
        <charset val="1"/>
      </rPr>
      <t xml:space="preserve">4.6 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500 </t>
    </r>
    <r>
      <rPr>
        <sz val="10"/>
        <color rgb="FF000000"/>
        <rFont val="Noto Sans CJK SC"/>
        <family val="2"/>
      </rPr>
      <t xml:space="preserve">億）≈</t>
    </r>
    <r>
      <rPr>
        <sz val="10"/>
        <color rgb="FF000000"/>
        <rFont val="Arial"/>
        <family val="0"/>
        <charset val="1"/>
      </rPr>
      <t xml:space="preserve">0.90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</si>
  <si>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20261025 </t>
    </r>
    <r>
      <rPr>
        <sz val="9"/>
        <color rgb="FF595959"/>
        <rFont val="Noto Sans CJK SC"/>
        <family val="2"/>
      </rPr>
      <t xml:space="preserve">驗收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4.57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0.901</t>
    </r>
    <r>
      <rPr>
        <sz val="9"/>
        <color rgb="FF595959"/>
        <rFont val="Noto Sans CJK SC"/>
        <family val="2"/>
      </rPr>
      <t xml:space="preserve">）</t>
    </r>
  </si>
  <si>
    <t xml:space="preserve">X208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</si>
  <si>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倍數（低占比＋晚）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</si>
  <si>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C9</t>
    </r>
  </si>
  <si>
    <t xml:space="preserve">X209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</si>
  <si>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倍數（低占比＋早）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</si>
  <si>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C10</t>
    </r>
  </si>
  <si>
    <t xml:space="preserve">X210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</si>
  <si>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倍數（中占比＋晚）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</si>
  <si>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C11</t>
    </r>
  </si>
  <si>
    <t xml:space="preserve">X211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</si>
  <si>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倍數（中占比＋早）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</si>
  <si>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C12</t>
    </r>
  </si>
  <si>
    <t xml:space="preserve">X212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</si>
  <si>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倍數（高占比＋晚）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</si>
  <si>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C13</t>
    </r>
  </si>
  <si>
    <t xml:space="preserve">X213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</si>
  <si>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倍數（高占比＋早）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</si>
  <si>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C14</t>
    </r>
  </si>
  <si>
    <t xml:space="preserve">X214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</si>
  <si>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站點估比值（低占比，</t>
    </r>
    <r>
      <rPr>
        <sz val="10"/>
        <color rgb="FF000000"/>
        <rFont val="Arial"/>
        <family val="0"/>
        <charset val="1"/>
      </rPr>
      <t xml:space="preserve">GW 1.11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</si>
  <si>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C19</t>
    </r>
  </si>
  <si>
    <t xml:space="preserve">X215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</si>
  <si>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站點估比值（高占比，</t>
    </r>
    <r>
      <rPr>
        <sz val="10"/>
        <color rgb="FF000000"/>
        <rFont val="Arial"/>
        <family val="0"/>
        <charset val="1"/>
      </rPr>
      <t xml:space="preserve">GW 1.06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</si>
  <si>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C21</t>
    </r>
  </si>
  <si>
    <t xml:space="preserve">X216</t>
  </si>
  <si>
    <r>
      <rPr>
        <sz val="10"/>
        <color rgb="FF000000"/>
        <rFont val="Noto Sans CJK SC"/>
        <family val="2"/>
      </rPr>
      <t xml:space="preserve">對帳超出容許誤差（</t>
    </r>
    <r>
      <rPr>
        <sz val="10"/>
        <color rgb="FF000000"/>
        <rFont val="Arial"/>
        <family val="0"/>
        <charset val="1"/>
      </rPr>
      <t xml:space="preserve">6B</t>
    </r>
    <r>
      <rPr>
        <sz val="10"/>
        <color rgb="FF000000"/>
        <rFont val="Noto Sans CJK SC"/>
        <family val="2"/>
      </rPr>
      <t xml:space="preserve">）的項數</t>
    </r>
  </si>
  <si>
    <r>
      <rPr>
        <sz val="9"/>
        <color rgb="FF595959"/>
        <rFont val="Noto Sans CJK SC"/>
        <family val="2"/>
      </rPr>
      <t xml:space="preserve">逐項說明見報告：超出者是否來自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快照差異（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段／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TK v21.2</t>
    </r>
    <r>
      <rPr>
        <sz val="9"/>
        <color rgb="FF595959"/>
        <rFont val="Noto Sans CJK SC"/>
        <family val="2"/>
      </rPr>
      <t xml:space="preserve">，本模型用 </t>
    </r>
    <r>
      <rPr>
        <sz val="9"/>
        <color rgb="FF595959"/>
        <rFont val="Arial"/>
        <family val="0"/>
        <charset val="1"/>
      </rPr>
      <t xml:space="preserve">v21.7</t>
    </r>
    <r>
      <rPr>
        <sz val="9"/>
        <color rgb="FF595959"/>
        <rFont val="Noto Sans CJK SC"/>
        <family val="2"/>
      </rPr>
      <t xml:space="preserve">）或證據值取整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</si>
  <si>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季平均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的六組情境（占比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上線日期；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Noto Sans CJK SC"/>
        <family val="2"/>
      </rPr>
      <t xml:space="preserve">站點由下而上）與 </t>
    </r>
    <r>
      <rPr>
        <b val="true"/>
        <sz val="10"/>
        <rFont val="Arial"/>
        <family val="0"/>
        <charset val="1"/>
      </rPr>
      <t xml:space="preserve">Fairwater </t>
    </r>
    <r>
      <rPr>
        <b val="true"/>
        <sz val="10"/>
        <rFont val="Noto Sans CJK SC"/>
        <family val="2"/>
      </rPr>
      <t xml:space="preserve">條件；</t>
    </r>
    <r>
      <rPr>
        <b val="true"/>
        <sz val="10"/>
        <rFont val="Arial"/>
        <family val="0"/>
        <charset val="1"/>
      </rPr>
      <t xml:space="preserve">7.2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平均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的站點分布估（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</si>
  <si>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7.1 </t>
    </r>
    <r>
      <rPr>
        <b val="true"/>
        <sz val="10"/>
        <rFont val="Noto Sans CJK SC"/>
        <family val="2"/>
      </rPr>
      <t xml:space="preserve">情境（占比／上線日期）</t>
    </r>
  </si>
  <si>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季平均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</si>
  <si>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比值＝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年化營收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</si>
  <si>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倍數（對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主值）</t>
    </r>
  </si>
  <si>
    <r>
      <rPr>
        <b val="true"/>
        <sz val="10"/>
        <rFont val="Noto Sans CJK SC"/>
        <family val="2"/>
      </rPr>
      <t xml:space="preserve">倍數（營收 </t>
    </r>
    <r>
      <rPr>
        <b val="true"/>
        <sz val="10"/>
        <rFont val="Arial"/>
        <family val="0"/>
        <charset val="1"/>
      </rPr>
      <t xml:space="preserve">WSJ 26.8</t>
    </r>
    <r>
      <rPr>
        <b val="true"/>
        <sz val="10"/>
        <rFont val="Noto Sans CJK SC"/>
        <family val="2"/>
      </rPr>
      <t xml:space="preserve">）</t>
    </r>
  </si>
  <si>
    <t xml:space="preserve">X217</t>
  </si>
  <si>
    <r>
      <rPr>
        <sz val="10"/>
        <color rgb="FF000000"/>
        <rFont val="Noto Sans CJK SC"/>
        <family val="2"/>
      </rPr>
      <t xml:space="preserve">低占比＋晚日期（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</si>
  <si>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</si>
  <si>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X218</t>
  </si>
  <si>
    <t xml:space="preserve">低占比＋早日期（證據下限）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</si>
  <si>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</si>
  <si>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X219</t>
  </si>
  <si>
    <r>
      <rPr>
        <sz val="10"/>
        <color rgb="FF000000"/>
        <rFont val="Noto Sans CJK SC"/>
        <family val="2"/>
      </rPr>
      <t xml:space="preserve">中占比＋晚日期（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</si>
  <si>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</si>
  <si>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X220</t>
  </si>
  <si>
    <t xml:space="preserve">中占比＋早日期（證據下限）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</si>
  <si>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</si>
  <si>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X221</t>
  </si>
  <si>
    <r>
      <rPr>
        <sz val="10"/>
        <color rgb="FF000000"/>
        <rFont val="Noto Sans CJK SC"/>
        <family val="2"/>
      </rPr>
      <t xml:space="preserve">高占比＋晚日期（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</si>
  <si>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</si>
  <si>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X222</t>
  </si>
  <si>
    <t xml:space="preserve">高占比＋早日期（證據下限）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</si>
  <si>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</si>
  <si>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X223</t>
  </si>
  <si>
    <t xml:space="preserve">六組最小</t>
  </si>
  <si>
    <r>
      <rPr>
        <sz val="9"/>
        <color rgb="FF595959"/>
        <rFont val="Noto Sans CJK SC"/>
        <family val="2"/>
      </rPr>
      <t xml:space="preserve">驗收：倍數範圍 </t>
    </r>
    <r>
      <rPr>
        <sz val="9"/>
        <color rgb="FF595959"/>
        <rFont val="Arial"/>
        <family val="0"/>
        <charset val="1"/>
      </rPr>
      <t xml:space="preserve">0.76–0.98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）</t>
    </r>
  </si>
  <si>
    <t xml:space="preserve">X224</t>
  </si>
  <si>
    <t xml:space="preserve">六組最大</t>
  </si>
  <si>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結論（說明文字，非本模型計算）：『若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用到 </t>
    </r>
    <r>
      <rPr>
        <sz val="9"/>
        <color rgb="FF595959"/>
        <rFont val="Arial"/>
        <family val="0"/>
        <charset val="1"/>
      </rPr>
      <t xml:space="preserve">Microsoft Fairwater </t>
    </r>
    <r>
      <rPr>
        <sz val="9"/>
        <color rgb="FF595959"/>
        <rFont val="Noto Sans CJK SC"/>
        <family val="2"/>
      </rPr>
      <t xml:space="preserve">兩站四成以上，或新站實際上線早於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快照日，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比值低於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；兩個條件都不成立時，比值約持平到略升。』</t>
    </r>
    <r>
      <rPr>
        <sz val="9"/>
        <color rgb="FF595959"/>
        <rFont val="Arial"/>
        <family val="0"/>
        <charset val="1"/>
      </rPr>
      <t xml:space="preserve">Fairwater Wisconsin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Atlanta </t>
    </r>
    <r>
      <rPr>
        <sz val="9"/>
        <color rgb="FF595959"/>
        <rFont val="Noto Sans CJK SC"/>
        <family val="2"/>
      </rPr>
      <t xml:space="preserve">約占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58%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占比未揭露（不可分離）；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未涵蓋的增量（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其他、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其他、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  <r>
      <rPr>
        <sz val="9"/>
        <color rgb="FF595959"/>
        <rFont val="Noto Sans CJK SC"/>
        <family val="2"/>
      </rPr>
      <t xml:space="preserve">）只會使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更高。</t>
    </r>
  </si>
  <si>
    <r>
      <rPr>
        <b val="true"/>
        <sz val="10"/>
        <rFont val="Arial"/>
        <family val="0"/>
        <charset val="1"/>
      </rPr>
      <t xml:space="preserve">7.2 2025 </t>
    </r>
    <r>
      <rPr>
        <b val="true"/>
        <sz val="10"/>
        <rFont val="Noto Sans CJK SC"/>
        <family val="2"/>
      </rPr>
      <t xml:space="preserve">站點分布估（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</si>
  <si>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</si>
  <si>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比值＝營收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</si>
  <si>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相對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指數內插比值</t>
    </r>
  </si>
  <si>
    <t xml:space="preserve">X225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</si>
  <si>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站點分布估：低占比（</t>
    </r>
    <r>
      <rPr>
        <sz val="10"/>
        <color rgb="FF000000"/>
        <rFont val="Arial"/>
        <family val="0"/>
        <charset val="1"/>
      </rPr>
      <t xml:space="preserve">J7 B19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</si>
  <si>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；對照列，不進主序列、不改 </t>
    </r>
    <r>
      <rPr>
        <sz val="9"/>
        <color rgb="FF595959"/>
        <rFont val="Arial"/>
        <family val="0"/>
        <charset val="1"/>
      </rPr>
      <t xml:space="preserve">INP_276 </t>
    </r>
    <r>
      <rPr>
        <sz val="9"/>
        <color rgb="FF595959"/>
        <rFont val="Noto Sans CJK SC"/>
        <family val="2"/>
      </rPr>
      <t xml:space="preserve">開關（</t>
    </r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1.128 </t>
    </r>
    <r>
      <rPr>
        <sz val="9"/>
        <color rgb="FF595959"/>
        <rFont val="Noto Sans CJK SC"/>
        <family val="2"/>
      </rPr>
      <t xml:space="preserve">偏高、基準 </t>
    </r>
    <r>
      <rPr>
        <sz val="9"/>
        <color rgb="FF595959"/>
        <rFont val="Arial"/>
        <family val="0"/>
        <charset val="1"/>
      </rPr>
      <t xml:space="preserve">1.239 </t>
    </r>
    <r>
      <rPr>
        <sz val="9"/>
        <color rgb="FF595959"/>
        <rFont val="Noto Sans CJK SC"/>
        <family val="2"/>
      </rPr>
      <t xml:space="preserve">偏保守）</t>
    </r>
  </si>
  <si>
    <t xml:space="preserve">X226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</si>
  <si>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站點分布估：高占比（</t>
    </r>
    <r>
      <rPr>
        <sz val="10"/>
        <color rgb="FF000000"/>
        <rFont val="Arial"/>
        <family val="0"/>
        <charset val="1"/>
      </rPr>
      <t xml:space="preserve">J7 B21</t>
    </r>
    <r>
      <rPr>
        <sz val="10"/>
        <color rgb="FF000000"/>
        <rFont val="Noto Sans CJK SC"/>
        <family val="2"/>
      </rPr>
      <t xml:space="preserve">）</t>
    </r>
  </si>
  <si>
    <t xml:space="preserve">X227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</si>
  <si>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比值上緣（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段表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</si>
  <si>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D57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1.397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相合（營收 </t>
    </r>
    <r>
      <rPr>
        <sz val="9"/>
        <color rgb="FF595959"/>
        <rFont val="Arial"/>
        <family val="0"/>
        <charset val="1"/>
      </rPr>
      <t xml:space="preserve">13.07 ÷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9.353</t>
    </r>
    <r>
      <rPr>
        <sz val="9"/>
        <color rgb="FF595959"/>
        <rFont val="Noto Sans CJK SC"/>
        <family val="2"/>
      </rPr>
      <t xml:space="preserve">），起源待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確認；只用於頂部持平門檻表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</si>
  <si>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路線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帳（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，口徑一基準）＝</t>
    </r>
    <r>
      <rPr>
        <b val="true"/>
        <sz val="10"/>
        <rFont val="Arial"/>
        <family val="0"/>
        <charset val="1"/>
      </rPr>
      <t xml:space="preserve">Q</t>
    </r>
    <r>
      <rPr>
        <b val="true"/>
        <sz val="10"/>
        <rFont val="Noto Sans CJK SC"/>
        <family val="2"/>
      </rPr>
      <t xml:space="preserve">（口徑一基準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需求面付費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時點值年化 ＋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）；＝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表示完全閉合</t>
    </r>
  </si>
  <si>
    <r>
      <rPr>
        <b val="true"/>
        <sz val="10"/>
        <rFont val="Arial"/>
        <family val="0"/>
        <charset val="1"/>
      </rPr>
      <t xml:space="preserve">8.1 </t>
    </r>
    <r>
      <rPr>
        <b val="true"/>
        <sz val="10"/>
        <rFont val="Noto Sans CJK SC"/>
        <family val="2"/>
      </rPr>
      <t xml:space="preserve">項目</t>
    </r>
  </si>
  <si>
    <r>
      <rPr>
        <b val="true"/>
        <sz val="10"/>
        <rFont val="Arial"/>
        <family val="0"/>
        <charset val="1"/>
      </rPr>
      <t xml:space="preserve">(A) </t>
    </r>
    <r>
      <rPr>
        <b val="true"/>
        <sz val="10"/>
        <rFont val="Noto Sans CJK SC"/>
        <family val="2"/>
      </rPr>
      <t xml:space="preserve">交接檔組合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折減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（證據重現）</t>
    </r>
  </si>
  <si>
    <r>
      <rPr>
        <b val="true"/>
        <sz val="10"/>
        <rFont val="Arial"/>
        <family val="0"/>
        <charset val="1"/>
      </rPr>
      <t xml:space="preserve">(B) </t>
    </r>
    <r>
      <rPr>
        <b val="true"/>
        <sz val="10"/>
        <rFont val="Noto Sans CJK SC"/>
        <family val="2"/>
      </rPr>
      <t xml:space="preserve">交接檔組合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重解比 </t>
    </r>
    <r>
      <rPr>
        <b val="true"/>
        <sz val="10"/>
        <rFont val="Arial"/>
        <family val="0"/>
        <charset val="1"/>
      </rPr>
      <t xml:space="preserve">0.806</t>
    </r>
    <r>
      <rPr>
        <b val="true"/>
        <sz val="10"/>
        <rFont val="Noto Sans CJK SC"/>
        <family val="2"/>
      </rPr>
      <t xml:space="preserve">（證據重現）</t>
    </r>
  </si>
  <si>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本模型基準（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組合、</t>
    </r>
    <r>
      <rPr>
        <b val="true"/>
        <sz val="10"/>
        <rFont val="Arial"/>
        <family val="0"/>
        <charset val="1"/>
      </rPr>
      <t xml:space="preserve">INP_287 </t>
    </r>
    <r>
      <rPr>
        <b val="true"/>
        <sz val="10"/>
        <rFont val="Noto Sans CJK SC"/>
        <family val="2"/>
      </rPr>
      <t xml:space="preserve">讀法）</t>
    </r>
  </si>
  <si>
    <t xml:space="preserve">X228</t>
  </si>
  <si>
    <r>
      <rPr>
        <sz val="10"/>
        <color rgb="FF000000"/>
        <rFont val="Noto Sans CJK SC"/>
        <family val="2"/>
      </rPr>
      <t xml:space="preserve">口徑一基準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(A)(B) </t>
    </r>
    <r>
      <rPr>
        <sz val="10"/>
        <color rgb="FF000000"/>
        <rFont val="Noto Sans CJK SC"/>
        <family val="2"/>
      </rPr>
      <t xml:space="preserve">用證據原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中占比＋晚〕，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用本模型基準）</t>
    </r>
  </si>
  <si>
    <r>
      <rPr>
        <sz val="9"/>
        <color rgb="FF595959"/>
        <rFont val="Arial"/>
        <family val="0"/>
        <charset val="1"/>
      </rPr>
      <t xml:space="preserve">v0.6.4 W1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段的 </t>
    </r>
    <r>
      <rPr>
        <sz val="9"/>
        <color rgb="FF595959"/>
        <rFont val="Arial"/>
        <family val="0"/>
        <charset val="1"/>
      </rPr>
      <t xml:space="preserve">(A)(B) </t>
    </r>
    <r>
      <rPr>
        <sz val="9"/>
        <color rgb="FF595959"/>
        <rFont val="Noto Sans CJK SC"/>
        <family val="2"/>
      </rPr>
      <t xml:space="preserve">是以 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中占比＋晚 </t>
    </r>
    <r>
      <rPr>
        <sz val="9"/>
        <color rgb="FF595959"/>
        <rFont val="Arial"/>
        <family val="0"/>
        <charset val="1"/>
      </rPr>
      <t xml:space="preserve">2.34 GW </t>
    </r>
    <r>
      <rPr>
        <sz val="9"/>
        <color rgb="FF595959"/>
        <rFont val="Noto Sans CJK SC"/>
        <family val="2"/>
      </rPr>
      <t xml:space="preserve">算的證據重現，故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欄固定取 </t>
    </r>
    <r>
      <rPr>
        <sz val="9"/>
        <color rgb="FF595959"/>
        <rFont val="Arial"/>
        <family val="0"/>
        <charset val="1"/>
      </rPr>
      <t xml:space="preserve">INP_297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列不改）；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隨口徑一基準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INP_289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v0.6.4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2.26</t>
    </r>
    <r>
      <rPr>
        <sz val="9"/>
        <color rgb="FF595959"/>
        <rFont val="Noto Sans CJK SC"/>
        <family val="2"/>
      </rPr>
      <t xml:space="preserve">）</t>
    </r>
  </si>
  <si>
    <t xml:space="preserve">X229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</si>
  <si>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付費年產能（世代加權，未乘生產折減）</t>
    </r>
  </si>
  <si>
    <r>
      <rPr>
        <sz val="9"/>
        <color rgb="FF595959"/>
        <rFont val="Arial"/>
        <family val="0"/>
        <charset val="1"/>
      </rPr>
      <t xml:space="preserve">(A)(B)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Cap_In 2026 </t>
    </r>
    <r>
      <rPr>
        <sz val="9"/>
        <color rgb="FF595959"/>
        <rFont val="Noto Sans CJK SC"/>
        <family val="2"/>
      </rPr>
      <t xml:space="preserve">服務世代組合（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，即交接檔組合 </t>
    </r>
    <r>
      <rPr>
        <sz val="9"/>
        <color rgb="FF595959"/>
        <rFont val="Arial"/>
        <family val="0"/>
        <charset val="1"/>
      </rPr>
      <t xml:space="preserve">INP_281–286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組合（</t>
    </r>
    <r>
      <rPr>
        <sz val="9"/>
        <color rgb="FF595959"/>
        <rFont val="Arial"/>
        <family val="0"/>
        <charset val="1"/>
      </rPr>
      <t xml:space="preserve">INP_280 </t>
    </r>
    <r>
      <rPr>
        <sz val="9"/>
        <color rgb="FF595959"/>
        <rFont val="Noto Sans CJK SC"/>
        <family val="2"/>
      </rPr>
      <t xml:space="preserve">開關）</t>
    </r>
  </si>
  <si>
    <t xml:space="preserve">X230</t>
  </si>
  <si>
    <t xml:space="preserve">生產折減</t>
  </si>
  <si>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一律 </t>
    </r>
    <r>
      <rPr>
        <sz val="9"/>
        <color rgb="FF595959"/>
        <rFont val="Arial"/>
        <family val="0"/>
        <charset val="1"/>
      </rPr>
      <t xml:space="preserve">IF_ProdDerate 0.85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Noto Sans CJK SC"/>
        <family val="2"/>
      </rPr>
      <t xml:space="preserve">一律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的重解比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，證據『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』）；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為基準欄實際加權折減（隨 </t>
    </r>
    <r>
      <rPr>
        <sz val="9"/>
        <color rgb="FF595959"/>
        <rFont val="Arial"/>
        <family val="0"/>
        <charset val="1"/>
      </rPr>
      <t xml:space="preserve">INP_287 </t>
    </r>
    <r>
      <rPr>
        <sz val="9"/>
        <color rgb="FF595959"/>
        <rFont val="Noto Sans CJK SC"/>
        <family val="2"/>
      </rPr>
      <t xml:space="preserve">與組合）</t>
    </r>
  </si>
  <si>
    <t xml:space="preserve">X231</t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</si>
  <si>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</si>
  <si>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PxQ </t>
    </r>
    <r>
      <rPr>
        <sz val="9"/>
        <color rgb="FF595959"/>
        <rFont val="Noto Sans CJK SC"/>
        <family val="2"/>
      </rPr>
      <t xml:space="preserve">主序列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同式（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路線＝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所用口徑）；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應等於主序列口徑一基準欄的 </t>
    </r>
    <r>
      <rPr>
        <sz val="9"/>
        <color rgb="FF595959"/>
        <rFont val="Arial"/>
        <family val="0"/>
        <charset val="1"/>
      </rPr>
      <t xml:space="preserve">Q</t>
    </r>
  </si>
  <si>
    <t xml:space="preserve">X232</t>
  </si>
  <si>
    <r>
      <rPr>
        <sz val="10"/>
        <color rgb="FF000000"/>
        <rFont val="Noto Sans CJK SC"/>
        <family val="2"/>
      </rPr>
      <t xml:space="preserve">核對：（</t>
    </r>
    <r>
      <rPr>
        <sz val="10"/>
        <color rgb="FF000000"/>
        <rFont val="Arial"/>
        <family val="0"/>
        <charset val="1"/>
      </rPr>
      <t xml:space="preserve">Q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預覽基準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／主序列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；相對差）</t>
    </r>
  </si>
  <si>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預覽基準區塊（交接檔組合＋一律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區塊的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為本模型基準（口徑一），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用證據原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INP_297</t>
    </r>
    <r>
      <rPr>
        <sz val="9"/>
        <color rgb="FF595959"/>
        <rFont val="Noto Sans CJK SC"/>
        <family val="2"/>
      </rPr>
      <t xml:space="preserve">），故比較『同式、同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』——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區塊 </t>
    </r>
    <r>
      <rPr>
        <sz val="9"/>
        <color rgb="FF595959"/>
        <rFont val="Arial"/>
        <family val="0"/>
        <charset val="1"/>
      </rPr>
      <t xml:space="preserve">Q × (A)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本模型基準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成正比；</t>
    </r>
    <r>
      <rPr>
        <sz val="9"/>
        <color rgb="FF595959"/>
        <rFont val="Arial"/>
        <family val="0"/>
        <charset val="1"/>
      </rPr>
      <t xml:space="preserve">v0.6.4 W1 </t>
    </r>
    <r>
      <rPr>
        <sz val="9"/>
        <color rgb="FF595959"/>
        <rFont val="Noto Sans CJK SC"/>
        <family val="2"/>
      </rPr>
      <t xml:space="preserve">工程類改寫）；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對主序列；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</t>
    </r>
  </si>
  <si>
    <r>
      <rPr>
        <b val="true"/>
        <sz val="10"/>
        <rFont val="Arial"/>
        <family val="0"/>
        <charset val="1"/>
      </rPr>
      <t xml:space="preserve">8.2 </t>
    </r>
    <r>
      <rPr>
        <b val="true"/>
        <sz val="10"/>
        <rFont val="Noto Sans CJK SC"/>
        <family val="2"/>
      </rPr>
      <t xml:space="preserve">需求面付費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，年化）</t>
    </r>
  </si>
  <si>
    <t xml:space="preserve">(A)</t>
  </si>
  <si>
    <t xml:space="preserve">(B)</t>
  </si>
  <si>
    <t xml:space="preserve">(C)</t>
  </si>
  <si>
    <t xml:space="preserve">X233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</si>
  <si>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（時點值）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每年分鐘數 → 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</si>
  <si>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每分鐘處理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2026-03-31</t>
    </r>
    <r>
      <rPr>
        <sz val="9"/>
        <color rgb="FF595959"/>
        <rFont val="Noto Sans CJK SC"/>
        <family val="2"/>
      </rPr>
      <t xml:space="preserve">』</t>
    </r>
    <r>
      <rPr>
        <sz val="9"/>
        <color rgb="FF595959"/>
        <rFont val="Arial"/>
        <family val="0"/>
        <charset val="1"/>
      </rPr>
      <t xml:space="preserve">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當期值已搜尋，未找到，以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月底時點值年化（證據檔 </t>
    </r>
    <r>
      <rPr>
        <sz val="9"/>
        <color rgb="FF595959"/>
        <rFont val="Arial"/>
        <family val="0"/>
        <charset val="1"/>
      </rPr>
      <t xml:space="preserve">D1 </t>
    </r>
    <r>
      <rPr>
        <sz val="9"/>
        <color rgb="FF595959"/>
        <rFont val="Noto Sans CJK SC"/>
        <family val="2"/>
      </rPr>
      <t xml:space="preserve">候選因子『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月底』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1.35 </t>
    </r>
    <r>
      <rPr>
        <sz val="9"/>
        <color rgb="FF595959"/>
        <rFont val="Noto Sans CJK SC"/>
        <family val="2"/>
      </rPr>
      <t xml:space="preserve">未納入）</t>
    </r>
  </si>
  <si>
    <t xml:space="preserve">X234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</si>
  <si>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＝每日則數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每年天數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免費占比）→ 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</si>
  <si>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：每日則數 </t>
    </r>
    <r>
      <rPr>
        <sz val="9"/>
        <color rgb="FF595959"/>
        <rFont val="Arial"/>
        <family val="0"/>
        <charset val="1"/>
      </rPr>
      <t xml:space="preserve">3.6 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2.5 B×</t>
    </r>
    <r>
      <rPr>
        <sz val="9"/>
        <color rgb="FF595959"/>
        <rFont val="Noto Sans CJK SC"/>
        <family val="2"/>
      </rPr>
      <t xml:space="preserve">週活比）、每則 </t>
    </r>
    <r>
      <rPr>
        <sz val="9"/>
        <color rgb="FF595959"/>
        <rFont val="Arial"/>
        <family val="0"/>
        <charset val="1"/>
      </rPr>
      <t xml:space="preserve">4,000 token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0.6——</t>
    </r>
    <r>
      <rPr>
        <sz val="9"/>
        <color rgb="FF595959"/>
        <rFont val="Noto Sans CJK SC"/>
        <family val="2"/>
      </rPr>
      <t xml:space="preserve">照 </t>
    </r>
    <r>
      <rPr>
        <sz val="9"/>
        <color rgb="FF595959"/>
        <rFont val="Arial"/>
        <family val="0"/>
        <charset val="1"/>
      </rPr>
      <t xml:space="preserve">Tokenomics Alloc_In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原紀錄抄錄</t>
    </r>
  </si>
  <si>
    <t xml:space="preserve">X235</t>
  </si>
  <si>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</si>
  <si>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8.3 </t>
    </r>
    <r>
      <rPr>
        <b val="true"/>
        <sz val="10"/>
        <rFont val="Noto Sans CJK SC"/>
        <family val="2"/>
      </rPr>
      <t xml:space="preserve">結果與對帳</t>
    </r>
  </si>
  <si>
    <t xml:space="preserve">X236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</si>
  <si>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帳＝</t>
    </r>
    <r>
      <rPr>
        <sz val="10"/>
        <color rgb="FF000000"/>
        <rFont val="Arial"/>
        <family val="0"/>
        <charset val="1"/>
      </rPr>
      <t xml:space="preserve">Q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＝完全閉合）</t>
    </r>
  </si>
  <si>
    <r>
      <rPr>
        <sz val="9"/>
        <color rgb="FF595959"/>
        <rFont val="Arial"/>
        <family val="0"/>
        <charset val="1"/>
      </rPr>
      <t xml:space="preserve">(A)(B) </t>
    </r>
    <r>
      <rPr>
        <sz val="9"/>
        <color rgb="FF595959"/>
        <rFont val="Noto Sans CJK SC"/>
        <family val="2"/>
      </rPr>
      <t xml:space="preserve">重現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段『拆解』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2.10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1.99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為本模型基準口徑（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組合、</t>
    </r>
    <r>
      <rPr>
        <sz val="9"/>
        <color rgb="FF595959"/>
        <rFont val="Arial"/>
        <family val="0"/>
        <charset val="1"/>
      </rPr>
      <t xml:space="preserve">INP_287 </t>
    </r>
    <r>
      <rPr>
        <sz val="9"/>
        <color rgb="FF595959"/>
        <rFont val="Noto Sans CJK SC"/>
        <family val="2"/>
      </rPr>
      <t xml:space="preserve">讀法），與 </t>
    </r>
    <r>
      <rPr>
        <sz val="9"/>
        <color rgb="FF595959"/>
        <rFont val="Arial"/>
        <family val="0"/>
        <charset val="1"/>
      </rPr>
      <t xml:space="preserve">(A)(B) </t>
    </r>
    <r>
      <rPr>
        <sz val="9"/>
        <color rgb="FF595959"/>
        <rFont val="Noto Sans CJK SC"/>
        <family val="2"/>
      </rPr>
      <t xml:space="preserve">的差來自世代組合與折減讀法</t>
    </r>
  </si>
  <si>
    <t xml:space="preserve">X237</t>
  </si>
  <si>
    <r>
      <rPr>
        <sz val="10"/>
        <color rgb="FF000000"/>
        <rFont val="Noto Sans CJK SC"/>
        <family val="2"/>
      </rPr>
      <t xml:space="preserve">證據值（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帳缺口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段）</t>
    </r>
  </si>
  <si>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</t>
    </r>
    <r>
      <rPr>
        <sz val="9"/>
        <color rgb="FF595959"/>
        <rFont val="Arial"/>
        <family val="0"/>
        <charset val="1"/>
      </rPr>
      <t xml:space="preserve">_A</t>
    </r>
    <r>
      <rPr>
        <sz val="9"/>
        <color rgb="FF595959"/>
        <rFont val="Noto Sans CJK SC"/>
        <family val="2"/>
      </rPr>
      <t xml:space="preserve">段</t>
    </r>
    <r>
      <rPr>
        <sz val="9"/>
        <color rgb="FF595959"/>
        <rFont val="Arial"/>
        <family val="0"/>
        <charset val="1"/>
      </rPr>
      <t xml:space="preserve">.xlsx</t>
    </r>
    <r>
      <rPr>
        <sz val="9"/>
        <color rgb="FF595959"/>
        <rFont val="Noto Sans CJK SC"/>
        <family val="2"/>
      </rPr>
      <t xml:space="preserve">『拆解』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2.0966</t>
    </r>
    <r>
      <rPr>
        <sz val="9"/>
        <color rgb="FF595959"/>
        <rFont val="Noto Sans CJK SC"/>
        <family val="2"/>
      </rPr>
      <t xml:space="preserve">（生產折減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1.9876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）；工作單驗收取 </t>
    </r>
    <r>
      <rPr>
        <sz val="9"/>
        <color rgb="FF595959"/>
        <rFont val="Arial"/>
        <family val="0"/>
        <charset val="1"/>
      </rPr>
      <t xml:space="preserve">2.10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1.99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1%</t>
    </r>
  </si>
  <si>
    <t xml:space="preserve">X238</t>
  </si>
  <si>
    <t xml:space="preserve">X239</t>
  </si>
  <si>
    <r>
      <rPr>
        <sz val="10"/>
        <color rgb="FF000000"/>
        <rFont val="Noto Sans CJK SC"/>
        <family val="2"/>
      </rPr>
      <t xml:space="preserve">判定（容差＝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『證據對帳容許相對誤差』）</t>
    </r>
  </si>
  <si>
    <t xml:space="preserve">X240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</si>
  <si>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帳（本模型基準口徑；口徑一 低／基準／高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</si>
  <si>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＝口徑一 低／基準／高（主序列 </t>
    </r>
    <r>
      <rPr>
        <sz val="9"/>
        <color rgb="FF595959"/>
        <rFont val="Arial"/>
        <family val="0"/>
        <charset val="1"/>
      </rPr>
      <t xml:space="preserve">Q ÷ </t>
    </r>
    <r>
      <rPr>
        <sz val="9"/>
        <color rgb="FF595959"/>
        <rFont val="Noto Sans CJK SC"/>
        <family val="2"/>
      </rPr>
      <t xml:space="preserve">需求面付費 </t>
    </r>
    <r>
      <rPr>
        <sz val="9"/>
        <color rgb="FF595959"/>
        <rFont val="Arial"/>
        <family val="0"/>
        <charset val="1"/>
      </rPr>
      <t xml:space="preserve">token (C)</t>
    </r>
    <r>
      <rPr>
        <sz val="9"/>
        <color rgb="FF595959"/>
        <rFont val="Noto Sans CJK SC"/>
        <family val="2"/>
      </rPr>
      <t xml:space="preserve">）</t>
    </r>
  </si>
  <si>
    <t xml:space="preserve">X241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</si>
  <si>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P×Q </t>
    </r>
    <r>
      <rPr>
        <sz val="10"/>
        <color rgb="FF000000"/>
        <rFont val="Noto Sans CJK SC"/>
        <family val="2"/>
      </rPr>
      <t xml:space="preserve">營收的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路線折算</t>
    </r>
  </si>
  <si>
    <t xml:space="preserve">未建</t>
  </si>
  <si>
    <r>
      <rPr>
        <sz val="9"/>
        <color rgb="FF595959"/>
        <rFont val="Arial"/>
        <family val="0"/>
        <charset val="1"/>
      </rPr>
      <t xml:space="preserve">TK `IFW_`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`IF_` </t>
    </r>
    <r>
      <rPr>
        <sz val="9"/>
        <color rgb="FF595959"/>
        <rFont val="Noto Sans CJK SC"/>
        <family val="2"/>
      </rPr>
      <t xml:space="preserve">名稱中沒有 </t>
    </r>
    <r>
      <rPr>
        <sz val="9"/>
        <color rgb="FF595959"/>
        <rFont val="Arial"/>
        <family val="0"/>
        <charset val="1"/>
      </rPr>
      <t xml:space="preserve">VR200 P×Q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`IF_RevGW*`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`IFW_RevGW*` </t>
    </r>
    <r>
      <rPr>
        <sz val="9"/>
        <color rgb="FF595959"/>
        <rFont val="Noto Sans CJK SC"/>
        <family val="2"/>
      </rPr>
      <t xml:space="preserve">為理論營收上限，不含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、服務占比、免費占比）；只有 </t>
    </r>
    <r>
      <rPr>
        <sz val="9"/>
        <color rgb="FF595959"/>
        <rFont val="Arial"/>
        <family val="0"/>
        <charset val="1"/>
      </rPr>
      <t xml:space="preserve">`L1_RevGW_PQ_VR200`</t>
    </r>
    <r>
      <rPr>
        <sz val="9"/>
        <color rgb="FF595959"/>
        <rFont val="Noto Sans CJK SC"/>
        <family val="2"/>
      </rPr>
      <t xml:space="preserve">（本模型不得讀 </t>
    </r>
    <r>
      <rPr>
        <sz val="9"/>
        <color rgb="FF595959"/>
        <rFont val="Arial"/>
        <family val="0"/>
        <charset val="1"/>
      </rPr>
      <t xml:space="preserve">`L1_`</t>
    </r>
    <r>
      <rPr>
        <sz val="9"/>
        <color rgb="FF595959"/>
        <rFont val="Noto Sans CJK SC"/>
        <family val="2"/>
      </rPr>
      <t xml:space="preserve">）。照工作單不建，列入報告『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缺 </t>
    </r>
    <r>
      <rPr>
        <sz val="9"/>
        <color rgb="FF595959"/>
        <rFont val="Arial"/>
        <family val="0"/>
        <charset val="1"/>
      </rPr>
      <t xml:space="preserve">IF </t>
    </r>
    <r>
      <rPr>
        <sz val="9"/>
        <color rgb="FF595959"/>
        <rFont val="Noto Sans CJK SC"/>
        <family val="2"/>
      </rPr>
      <t xml:space="preserve">名稱』</t>
    </r>
  </si>
  <si>
    <r>
      <rPr>
        <b val="true"/>
        <sz val="10"/>
        <rFont val="Arial"/>
        <family val="0"/>
        <charset val="1"/>
      </rPr>
      <t xml:space="preserve">8.4 D2 </t>
    </r>
    <r>
      <rPr>
        <b val="true"/>
        <sz val="10"/>
        <rFont val="Noto Sans CJK SC"/>
        <family val="2"/>
      </rPr>
      <t xml:space="preserve">推導式（候選因子；只作對照，不進基準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帳）</t>
    </r>
  </si>
  <si>
    <r>
      <rPr>
        <b val="true"/>
        <sz val="10"/>
        <rFont val="Arial"/>
        <family val="0"/>
        <charset val="1"/>
      </rPr>
      <t xml:space="preserve">w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</si>
  <si>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w </t>
    </r>
    <r>
      <rPr>
        <b val="true"/>
        <sz val="10"/>
        <rFont val="Noto Sans CJK SC"/>
        <family val="2"/>
      </rPr>
      <t xml:space="preserve">基準</t>
    </r>
  </si>
  <si>
    <r>
      <rPr>
        <b val="true"/>
        <sz val="10"/>
        <rFont val="Arial"/>
        <family val="0"/>
        <charset val="1"/>
      </rPr>
      <t xml:space="preserve">w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</si>
  <si>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Noto Sans CJK SC"/>
        <family val="2"/>
      </rPr>
      <t xml:space="preserve">證據 </t>
    </r>
    <r>
      <rPr>
        <b val="true"/>
        <sz val="10"/>
        <rFont val="Arial"/>
        <family val="0"/>
        <charset val="1"/>
      </rPr>
      <t xml:space="preserve">w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</si>
  <si>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證據 </t>
    </r>
    <r>
      <rPr>
        <b val="true"/>
        <sz val="10"/>
        <rFont val="Arial"/>
        <family val="0"/>
        <charset val="1"/>
      </rPr>
      <t xml:space="preserve">w </t>
    </r>
    <r>
      <rPr>
        <b val="true"/>
        <sz val="1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</si>
  <si>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證據 </t>
    </r>
    <r>
      <rPr>
        <b val="true"/>
        <sz val="10"/>
        <rFont val="Arial"/>
        <family val="0"/>
        <charset val="1"/>
      </rPr>
      <t xml:space="preserve">w </t>
    </r>
    <r>
      <rPr>
        <b val="true"/>
        <sz val="10"/>
        <rFont val="Noto Sans CJK SC"/>
        <family val="2"/>
      </rPr>
      <t xml:space="preserve">高</t>
    </r>
  </si>
  <si>
    <t xml:space="preserve">最大相對差</t>
  </si>
  <si>
    <r>
      <rPr>
        <b val="true"/>
        <sz val="10"/>
        <rFont val="Noto Sans CJK SC"/>
        <family val="2"/>
      </rPr>
      <t xml:space="preserve">判定（容差＝</t>
    </r>
    <r>
      <rPr>
        <b val="true"/>
        <sz val="10"/>
        <rFont val="Arial"/>
        <family val="0"/>
        <charset val="1"/>
      </rPr>
      <t xml:space="preserve">INP_307</t>
    </r>
    <r>
      <rPr>
        <b val="true"/>
        <sz val="10"/>
        <rFont val="Noto Sans CJK SC"/>
        <family val="2"/>
      </rPr>
      <t xml:space="preserve">）</t>
    </r>
  </si>
  <si>
    <t xml:space="preserve">X242</t>
  </si>
  <si>
    <r>
      <rPr>
        <sz val="10"/>
        <color rgb="FF000000"/>
        <rFont val="Arial"/>
        <family val="0"/>
        <charset val="1"/>
      </rPr>
      <t xml:space="preserve">1. ChatGPT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／日（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，含免費）＝每日則數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 ÷ (B→T)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</si>
  <si>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抄錄值 </t>
    </r>
    <r>
      <rPr>
        <sz val="9"/>
        <color rgb="FF595959"/>
        <rFont val="Arial"/>
        <family val="0"/>
        <charset val="1"/>
      </rPr>
      <t xml:space="preserve">INP_304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INP_305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無關</t>
    </r>
  </si>
  <si>
    <t xml:space="preserve">X243</t>
  </si>
  <si>
    <r>
      <rPr>
        <sz val="10"/>
        <color rgb="FF000000"/>
        <rFont val="Arial"/>
        <family val="0"/>
        <charset val="1"/>
      </rPr>
      <t xml:space="preserve">2a. </t>
    </r>
    <r>
      <rPr>
        <sz val="10"/>
        <color rgb="FF000000"/>
        <rFont val="Noto Sans CJK SC"/>
        <family val="2"/>
      </rPr>
      <t xml:space="preserve">個人用戶 </t>
    </r>
    <r>
      <rPr>
        <sz val="10"/>
        <color rgb="FF000000"/>
        <rFont val="Arial"/>
        <family val="0"/>
        <charset val="1"/>
      </rPr>
      <t xml:space="preserve">Codex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輸出比 ＝ </t>
    </r>
    <r>
      <rPr>
        <sz val="10"/>
        <color rgb="FF000000"/>
        <rFont val="Arial"/>
        <family val="0"/>
        <charset val="1"/>
      </rPr>
      <t xml:space="preserve">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</si>
  <si>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個人用戶 </t>
    </r>
    <r>
      <rPr>
        <sz val="9"/>
        <color rgb="FF595959"/>
        <rFont val="Arial"/>
        <family val="0"/>
        <charset val="1"/>
      </rPr>
      <t xml:space="preserve">Codex </t>
    </r>
    <r>
      <rPr>
        <sz val="9"/>
        <color rgb="FF595959"/>
        <rFont val="Noto Sans CJK SC"/>
        <family val="2"/>
      </rPr>
      <t xml:space="preserve">占輸出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份額（</t>
    </r>
    <r>
      <rPr>
        <sz val="9"/>
        <color rgb="FF595959"/>
        <rFont val="Arial"/>
        <family val="0"/>
        <charset val="1"/>
      </rPr>
      <t xml:space="preserve">0.165</t>
    </r>
    <r>
      <rPr>
        <sz val="9"/>
        <color rgb="FF595959"/>
        <rFont val="Noto Sans CJK SC"/>
        <family val="2"/>
      </rPr>
      <t xml:space="preserve">）</t>
    </r>
  </si>
  <si>
    <t xml:space="preserve">X244</t>
  </si>
  <si>
    <r>
      <rPr>
        <sz val="10"/>
        <color rgb="FF000000"/>
        <rFont val="Arial"/>
        <family val="0"/>
        <charset val="1"/>
      </rPr>
      <t xml:space="preserve">2b. </t>
    </r>
    <r>
      <rPr>
        <sz val="10"/>
        <color rgb="FF000000"/>
        <rFont val="Noto Sans CJK SC"/>
        <family val="2"/>
      </rPr>
      <t xml:space="preserve">組織用戶 </t>
    </r>
    <r>
      <rPr>
        <sz val="10"/>
        <color rgb="FF000000"/>
        <rFont val="Arial"/>
        <family val="0"/>
        <charset val="1"/>
      </rPr>
      <t xml:space="preserve">Codex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輸出比 ＝ </t>
    </r>
    <r>
      <rPr>
        <sz val="10"/>
        <color rgb="FF000000"/>
        <rFont val="Arial"/>
        <family val="0"/>
        <charset val="1"/>
      </rPr>
      <t xml:space="preserve">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</si>
  <si>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組織用戶 </t>
    </r>
    <r>
      <rPr>
        <sz val="9"/>
        <color rgb="FF595959"/>
        <rFont val="Arial"/>
        <family val="0"/>
        <charset val="1"/>
      </rPr>
      <t xml:space="preserve">Codex </t>
    </r>
    <r>
      <rPr>
        <sz val="9"/>
        <color rgb="FF595959"/>
        <rFont val="Noto Sans CJK SC"/>
        <family val="2"/>
      </rPr>
      <t xml:space="preserve">占輸出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份額（</t>
    </r>
    <r>
      <rPr>
        <sz val="9"/>
        <color rgb="FF595959"/>
        <rFont val="Arial"/>
        <family val="0"/>
        <charset val="1"/>
      </rPr>
      <t xml:space="preserve">0.633</t>
    </r>
    <r>
      <rPr>
        <sz val="9"/>
        <color rgb="FF595959"/>
        <rFont val="Noto Sans CJK SC"/>
        <family val="2"/>
      </rPr>
      <t xml:space="preserve">）</t>
    </r>
  </si>
  <si>
    <t xml:space="preserve">X245</t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</si>
  <si>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Codex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比 ＝（</t>
    </r>
    <r>
      <rPr>
        <sz val="10"/>
        <color rgb="FF000000"/>
        <rFont val="Arial"/>
        <family val="0"/>
        <charset val="1"/>
      </rPr>
      <t xml:space="preserve">1 − 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個人比 ＋ </t>
    </r>
    <r>
      <rPr>
        <sz val="10"/>
        <color rgb="FF000000"/>
        <rFont val="Arial"/>
        <family val="0"/>
        <charset val="1"/>
      </rPr>
      <t xml:space="preserve">w × </t>
    </r>
    <r>
      <rPr>
        <sz val="10"/>
        <color rgb="FF000000"/>
        <rFont val="Noto Sans CJK SC"/>
        <family val="2"/>
      </rPr>
      <t xml:space="preserve">組織比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</si>
  <si>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＝組織用戶占 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的比例（低／基準／高＝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B14:D14</t>
    </r>
  </si>
  <si>
    <t xml:space="preserve">X246</t>
  </si>
  <si>
    <r>
      <rPr>
        <sz val="10"/>
        <color rgb="FF000000"/>
        <rFont val="Arial"/>
        <family val="0"/>
        <charset val="1"/>
      </rPr>
      <t xml:space="preserve">4. Codex T</t>
    </r>
    <r>
      <rPr>
        <sz val="10"/>
        <color rgb="FF000000"/>
        <rFont val="Noto Sans CJK SC"/>
        <family val="2"/>
      </rPr>
      <t xml:space="preserve">／日，截至 </t>
    </r>
    <r>
      <rPr>
        <sz val="10"/>
        <color rgb="FF000000"/>
        <rFont val="Arial"/>
        <family val="0"/>
        <charset val="1"/>
      </rPr>
      <t xml:space="preserve">06-11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天窗口（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k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</si>
  <si>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B15:D15</t>
    </r>
  </si>
  <si>
    <t xml:space="preserve">X247</t>
  </si>
  <si>
    <r>
      <rPr>
        <sz val="10"/>
        <color rgb="FF000000"/>
        <rFont val="Arial"/>
        <family val="0"/>
        <charset val="1"/>
      </rPr>
      <t xml:space="preserve">5. Codex T</t>
    </r>
    <r>
      <rPr>
        <sz val="10"/>
        <color rgb="FF000000"/>
        <rFont val="Noto Sans CJK SC"/>
        <family val="2"/>
      </rPr>
      <t xml:space="preserve">／日，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平均（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）＝第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時點比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</si>
  <si>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B16:D16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驗收：</t>
    </r>
    <r>
      <rPr>
        <sz val="9"/>
        <color rgb="FF595959"/>
        <rFont val="Arial"/>
        <family val="0"/>
        <charset val="1"/>
      </rPr>
      <t xml:space="preserve">5.071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INP_305</t>
    </r>
    <r>
      <rPr>
        <sz val="9"/>
        <color rgb="FF595959"/>
        <rFont val="Noto Sans CJK SC"/>
        <family val="2"/>
      </rPr>
      <t xml:space="preserve">）為底</t>
    </r>
  </si>
  <si>
    <t xml:space="preserve">X248</t>
  </si>
  <si>
    <r>
      <rPr>
        <sz val="10"/>
        <color rgb="FF000000"/>
        <rFont val="Arial"/>
        <family val="0"/>
        <charset val="1"/>
      </rPr>
      <t xml:space="preserve">5′. Codex T</t>
    </r>
    <r>
      <rPr>
        <sz val="10"/>
        <color rgb="FF000000"/>
        <rFont val="Noto Sans CJK SC"/>
        <family val="2"/>
      </rPr>
      <t xml:space="preserve">／日，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平均（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；敏感度）＝第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k </t>
    </r>
    <r>
      <rPr>
        <sz val="10"/>
        <color rgb="FF000000"/>
        <rFont val="Noto Sans CJK SC"/>
        <family val="2"/>
      </rPr>
      <t xml:space="preserve">敏感度 </t>
    </r>
    <r>
      <rPr>
        <sz val="10"/>
        <color rgb="FF000000"/>
        <rFont val="Arial"/>
        <family val="0"/>
        <charset val="1"/>
      </rPr>
      <t xml:space="preserve">÷ k </t>
    </r>
    <r>
      <rPr>
        <sz val="10"/>
        <color rgb="FF000000"/>
        <rFont val="Noto Sans CJK SC"/>
        <family val="2"/>
      </rPr>
      <t xml:space="preserve">基準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</si>
  <si>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B17:D17</t>
    </r>
  </si>
  <si>
    <t xml:space="preserve">X249</t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</si>
  <si>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時的 </t>
    </r>
    <r>
      <rPr>
        <sz val="10"/>
        <color rgb="FF000000"/>
        <rFont val="Arial"/>
        <family val="0"/>
        <charset val="1"/>
      </rPr>
      <t xml:space="preserve">Codex T</t>
    </r>
    <r>
      <rPr>
        <sz val="10"/>
        <color rgb="FF000000"/>
        <rFont val="Noto Sans CJK SC"/>
        <family val="2"/>
      </rPr>
      <t xml:space="preserve">／日（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D3 ÷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</si>
  <si>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基準；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驗收：</t>
    </r>
    <r>
      <rPr>
        <sz val="9"/>
        <color rgb="FF595959"/>
        <rFont val="Arial"/>
        <family val="0"/>
        <charset val="1"/>
      </rPr>
      <t xml:space="preserve">7.606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D3 </t>
    </r>
    <r>
      <rPr>
        <sz val="9"/>
        <color rgb="FF595959"/>
        <rFont val="Noto Sans CJK SC"/>
        <family val="2"/>
      </rPr>
      <t xml:space="preserve">不是獨立因子，不可疊加</t>
    </r>
  </si>
  <si>
    <t xml:space="preserve">X250</t>
  </si>
  <si>
    <r>
      <rPr>
        <sz val="10"/>
        <color rgb="FF000000"/>
        <rFont val="Arial"/>
        <family val="0"/>
        <charset val="1"/>
      </rPr>
      <t xml:space="preserve">7a. token </t>
    </r>
    <r>
      <rPr>
        <sz val="10"/>
        <color rgb="FF000000"/>
        <rFont val="Noto Sans CJK SC"/>
        <family val="2"/>
      </rPr>
      <t xml:space="preserve">帳（加入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證據重現，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 ÷</t>
    </r>
    <r>
      <rPr>
        <sz val="10"/>
        <color rgb="FF000000"/>
        <rFont val="Noto Sans CJK SC"/>
        <family val="2"/>
      </rPr>
      <t xml:space="preserve">（需求面付費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年化）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</si>
  <si>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B18:D18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驗收：</t>
    </r>
    <r>
      <rPr>
        <sz val="9"/>
        <color rgb="FF595959"/>
        <rFont val="Arial"/>
        <family val="0"/>
        <charset val="1"/>
      </rPr>
      <t xml:space="preserve">1.857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1.769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1.689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年化＝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／日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× (T→M)</t>
    </r>
  </si>
  <si>
    <t xml:space="preserve">X251</t>
  </si>
  <si>
    <r>
      <rPr>
        <sz val="10"/>
        <color rgb="FF000000"/>
        <rFont val="Arial"/>
        <family val="0"/>
        <charset val="1"/>
      </rPr>
      <t xml:space="preserve">7b. token </t>
    </r>
    <r>
      <rPr>
        <sz val="10"/>
        <color rgb="FF000000"/>
        <rFont val="Noto Sans CJK SC"/>
        <family val="2"/>
      </rPr>
      <t xml:space="preserve">帳（加入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證據重現，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</si>
  <si>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B19:D19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驗收：</t>
    </r>
    <r>
      <rPr>
        <sz val="9"/>
        <color rgb="FF595959"/>
        <rFont val="Arial"/>
        <family val="0"/>
        <charset val="1"/>
      </rPr>
      <t xml:space="preserve">1.666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1.414</t>
    </r>
    <r>
      <rPr>
        <sz val="9"/>
        <color rgb="FF595959"/>
        <rFont val="Noto Sans CJK SC"/>
        <family val="2"/>
      </rPr>
      <t xml:space="preserve">）</t>
    </r>
  </si>
  <si>
    <t xml:space="preserve">X252</t>
  </si>
  <si>
    <r>
      <rPr>
        <sz val="10"/>
        <color rgb="FF000000"/>
        <rFont val="Arial"/>
        <family val="0"/>
        <charset val="1"/>
      </rPr>
      <t xml:space="preserve">7c. token </t>
    </r>
    <r>
      <rPr>
        <sz val="10"/>
        <color rgb="FF000000"/>
        <rFont val="Noto Sans CJK SC"/>
        <family val="2"/>
      </rPr>
      <t xml:space="preserve">帳（加入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本模型基準欄，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（隨 </t>
    </r>
    <r>
      <rPr>
        <sz val="10"/>
        <color rgb="FF000000"/>
        <rFont val="Arial"/>
        <family val="0"/>
        <charset val="1"/>
      </rPr>
      <t xml:space="preserve">W1</t>
    </r>
    <r>
      <rPr>
        <sz val="10"/>
        <color rgb="FF000000"/>
        <rFont val="Noto Sans CJK SC"/>
        <family val="2"/>
      </rPr>
      <t xml:space="preserve">；只顯示）</t>
    </r>
  </si>
  <si>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＝本模型基準口徑（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組合、口徑一基準 </t>
    </r>
    <r>
      <rPr>
        <sz val="9"/>
        <color rgb="FF595959"/>
        <rFont val="Arial"/>
        <family val="0"/>
        <charset val="1"/>
      </rPr>
      <t xml:space="preserve">GW 2.26</t>
    </r>
    <r>
      <rPr>
        <sz val="9"/>
        <color rgb="FF595959"/>
        <rFont val="Noto Sans CJK SC"/>
        <family val="2"/>
      </rPr>
      <t xml:space="preserve">）；不是證據重現，無證據值</t>
    </r>
  </si>
  <si>
    <t xml:space="preserve">X253</t>
  </si>
  <si>
    <r>
      <rPr>
        <sz val="10"/>
        <color rgb="FF000000"/>
        <rFont val="Arial"/>
        <family val="0"/>
        <charset val="1"/>
      </rPr>
      <t xml:space="preserve">7d. token </t>
    </r>
    <r>
      <rPr>
        <sz val="10"/>
        <color rgb="FF000000"/>
        <rFont val="Noto Sans CJK SC"/>
        <family val="2"/>
      </rPr>
      <t xml:space="preserve">帳（加入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本模型基準欄，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（隨 </t>
    </r>
    <r>
      <rPr>
        <sz val="10"/>
        <color rgb="FF000000"/>
        <rFont val="Arial"/>
        <family val="0"/>
        <charset val="1"/>
      </rPr>
      <t xml:space="preserve">W1</t>
    </r>
    <r>
      <rPr>
        <sz val="10"/>
        <color rgb="FF000000"/>
        <rFont val="Noto Sans CJK SC"/>
        <family val="2"/>
      </rPr>
      <t xml:space="preserve">；只顯示）</t>
    </r>
  </si>
  <si>
    <t xml:space="preserve">X254</t>
  </si>
  <si>
    <r>
      <rPr>
        <sz val="10"/>
        <color rgb="FF000000"/>
        <rFont val="Arial"/>
        <family val="0"/>
        <charset val="1"/>
      </rPr>
      <t xml:space="preserve">8.4 </t>
    </r>
    <r>
      <rPr>
        <sz val="10"/>
        <color rgb="FF000000"/>
        <rFont val="Noto Sans CJK SC"/>
        <family val="2"/>
      </rPr>
      <t xml:space="preserve">對帳超出容許誤差的項數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</si>
  <si>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驗證；證據＝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B10:D19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</si>
  <si>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8.</t>
    </r>
    <r>
      <rPr>
        <sz val="9"/>
        <color rgb="FF595959"/>
        <rFont val="Noto Sans CJK SC"/>
        <family val="2"/>
      </rPr>
      <t xml:space="preserve">　說明：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為底，與 </t>
    </r>
    <r>
      <rPr>
        <sz val="9"/>
        <color rgb="FF595959"/>
        <rFont val="Arial"/>
        <family val="0"/>
        <charset val="1"/>
      </rPr>
      <t xml:space="preserve">D3</t>
    </r>
    <r>
      <rPr>
        <sz val="9"/>
        <color rgb="FF595959"/>
        <rFont val="Noto Sans CJK SC"/>
        <family val="2"/>
      </rPr>
      <t xml:space="preserve">（每則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）不是獨立因子，不可疊加；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段（</t>
    </r>
    <r>
      <rPr>
        <sz val="9"/>
        <color rgb="FF595959"/>
        <rFont val="Arial"/>
        <family val="0"/>
        <charset val="1"/>
      </rPr>
      <t xml:space="preserve">10-29</t>
    </r>
    <r>
      <rPr>
        <sz val="9"/>
        <color rgb="FF595959"/>
        <rFont val="Noto Sans CJK SC"/>
        <family val="2"/>
      </rPr>
      <t xml:space="preserve">）無新用量數字，基準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帳（</t>
    </r>
    <r>
      <rPr>
        <sz val="9"/>
        <color rgb="FF595959"/>
        <rFont val="Arial"/>
        <family val="0"/>
        <charset val="1"/>
      </rPr>
      <t xml:space="preserve">X236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X240</t>
    </r>
    <r>
      <rPr>
        <sz val="9"/>
        <color rgb="FF595959"/>
        <rFont val="Noto Sans CJK SC"/>
        <family val="2"/>
      </rPr>
      <t xml:space="preserve">）不變，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只作候選因子。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8 T</t>
    </r>
    <r>
      <rPr>
        <sz val="9"/>
        <color rgb="FF595959"/>
        <rFont val="Noto Sans CJK SC"/>
        <family val="2"/>
      </rPr>
      <t xml:space="preserve">／日』在本模型內沒有任何列使用，未新增；若要比較，用第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列（每則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）或第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列（每則 </t>
    </r>
    <r>
      <rPr>
        <sz val="9"/>
        <color rgb="FF595959"/>
        <rFont val="Arial"/>
        <family val="0"/>
        <charset val="1"/>
      </rPr>
      <t xml:space="preserve">6,000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</si>
  <si>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九、對照列（</t>
    </r>
    <r>
      <rPr>
        <b val="true"/>
        <sz val="10"/>
        <rFont val="Arial"/>
        <family val="0"/>
        <charset val="1"/>
      </rPr>
      <t xml:space="preserve">Microsoft 10-Q</t>
    </r>
    <r>
      <rPr>
        <b val="true"/>
        <sz val="10"/>
        <rFont val="Noto Sans CJK SC"/>
        <family val="2"/>
      </rPr>
      <t xml:space="preserve">；只顯示，不參與任何計算、不進任何比值或檢查期望值）</t>
    </r>
  </si>
  <si>
    <t xml:space="preserve">當季</t>
  </si>
  <si>
    <r>
      <rPr>
        <b val="true"/>
        <sz val="10"/>
        <rFont val="Noto Sans CJK SC"/>
        <family val="2"/>
      </rPr>
      <t xml:space="preserve">年化（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每年季數；顯示）</t>
    </r>
  </si>
  <si>
    <t xml:space="preserve">X255</t>
  </si>
  <si>
    <r>
      <rPr>
        <sz val="10"/>
        <color rgb="FF000000"/>
        <rFont val="Arial"/>
        <family val="0"/>
        <charset val="1"/>
      </rPr>
      <t xml:space="preserve">Microsoft FY27 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）來自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的營收（含分潤；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關係人附註）</t>
    </r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</si>
  <si>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C02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PR #187</t>
    </r>
    <r>
      <rPr>
        <sz val="9"/>
        <color rgb="FF595959"/>
        <rFont val="Noto Sans CJK SC"/>
        <family val="2"/>
      </rPr>
      <t xml:space="preserve">）；全公司營收、含分潤，未拆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消費；不可換算成 </t>
    </r>
    <r>
      <rPr>
        <sz val="9"/>
        <color rgb="FF595959"/>
        <rFont val="Arial"/>
        <family val="0"/>
        <charset val="1"/>
      </rPr>
      <t xml:space="preserve">Fairwater </t>
    </r>
    <r>
      <rPr>
        <sz val="9"/>
        <color rgb="FF595959"/>
        <rFont val="Noto Sans CJK SC"/>
        <family val="2"/>
      </rPr>
      <t xml:space="preserve">占比或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C1</t>
    </r>
    <r>
      <rPr>
        <sz val="9"/>
        <color rgb="FF595959"/>
        <rFont val="Noto Sans CJK SC"/>
        <family val="2"/>
      </rPr>
      <t xml:space="preserve">）；只作成本面對照，不當算力成本輸入</t>
    </r>
  </si>
  <si>
    <r>
      <rPr>
        <b val="true"/>
        <sz val="13"/>
        <rFont val="Arial"/>
        <family val="0"/>
        <charset val="1"/>
      </rPr>
      <t xml:space="preserve">Checks — P1–P5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</si>
  <si>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</si>
  <si>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</si>
  <si>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</si>
  <si>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</si>
  <si>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</si>
  <si>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</si>
  <si>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</si>
  <si>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</si>
  <si>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</si>
  <si>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</si>
  <si>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</si>
  <si>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</si>
  <si>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</si>
  <si>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</si>
  <si>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</si>
  <si>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</si>
  <si>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</si>
  <si>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</si>
  <si>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</si>
  <si>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</si>
  <si>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</si>
  <si>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</si>
  <si>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</si>
  <si>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</si>
  <si>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</si>
  <si>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</si>
  <si>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</si>
  <si>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</si>
  <si>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</si>
  <si>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</si>
  <si>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</si>
  <si>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</si>
  <si>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</si>
  <si>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</si>
  <si>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</si>
  <si>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</si>
  <si>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</si>
  <si>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</si>
  <si>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</si>
  <si>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</si>
  <si>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</si>
  <si>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</si>
  <si>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</si>
  <si>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</si>
  <si>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</si>
  <si>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</si>
  <si>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</si>
  <si>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</si>
  <si>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</si>
  <si>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</si>
  <si>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</si>
  <si>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</si>
  <si>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</si>
  <si>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</si>
  <si>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</si>
  <si>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</si>
  <si>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</si>
  <si>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</si>
  <si>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</si>
  <si>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</si>
  <si>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</si>
  <si>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</si>
  <si>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</si>
  <si>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</si>
  <si>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</si>
  <si>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</si>
  <si>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</si>
  <si>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</si>
  <si>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</si>
  <si>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</si>
  <si>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</si>
  <si>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</si>
  <si>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</si>
  <si>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</si>
  <si>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</si>
  <si>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</si>
  <si>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</si>
  <si>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</si>
  <si>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</si>
  <si>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</si>
  <si>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</si>
  <si>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</si>
  <si>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</si>
  <si>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</si>
  <si>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</si>
  <si>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</si>
  <si>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</si>
  <si>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</si>
  <si>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</si>
  <si>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</si>
  <si>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</si>
  <si>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</si>
  <si>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</si>
  <si>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</si>
  <si>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</si>
  <si>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</si>
  <si>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</si>
  <si>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</si>
  <si>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</si>
  <si>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</si>
  <si>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</si>
  <si>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</si>
  <si>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</si>
  <si>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</si>
  <si>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</si>
  <si>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</si>
  <si>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</si>
  <si>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</si>
  <si>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</si>
  <si>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</si>
  <si>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</si>
  <si>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</si>
  <si>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</si>
  <si>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</si>
  <si>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</si>
  <si>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</si>
  <si>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</si>
  <si>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</si>
  <si>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</si>
  <si>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</si>
  <si>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</si>
  <si>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</si>
  <si>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</si>
  <si>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</si>
  <si>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</si>
  <si>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</si>
  <si>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</si>
  <si>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</si>
  <si>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</si>
  <si>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</si>
  <si>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</si>
  <si>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</si>
  <si>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</si>
  <si>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</si>
  <si>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</si>
  <si>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</si>
  <si>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</si>
  <si>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</si>
  <si>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</si>
  <si>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</si>
  <si>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</si>
  <si>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</si>
  <si>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</si>
  <si>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</si>
  <si>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</si>
  <si>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</si>
  <si>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</si>
  <si>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</si>
  <si>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</si>
  <si>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</si>
  <si>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</si>
  <si>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</si>
  <si>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</si>
  <si>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</si>
  <si>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</si>
  <si>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</si>
  <si>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</si>
  <si>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</si>
  <si>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</si>
  <si>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</si>
  <si>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</si>
  <si>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</si>
  <si>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</si>
  <si>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</si>
  <si>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</si>
  <si>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</si>
  <si>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</si>
  <si>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</si>
  <si>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</si>
  <si>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</si>
  <si>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</si>
  <si>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</si>
  <si>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</si>
  <si>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</si>
  <si>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</si>
  <si>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</si>
  <si>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</si>
  <si>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</si>
  <si>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</si>
  <si>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</si>
  <si>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</si>
  <si>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</si>
  <si>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</si>
  <si>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</si>
  <si>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</si>
  <si>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</si>
  <si>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</si>
  <si>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</si>
  <si>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</si>
  <si>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</si>
  <si>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</si>
  <si>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</si>
  <si>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</si>
  <si>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</si>
  <si>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</si>
  <si>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</si>
  <si>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</si>
  <si>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</si>
  <si>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</si>
  <si>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</si>
  <si>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</si>
  <si>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</si>
  <si>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</si>
  <si>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</si>
  <si>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</si>
  <si>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</si>
  <si>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</si>
  <si>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</si>
  <si>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</si>
  <si>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</si>
  <si>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</si>
  <si>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Noto Sans CJK SC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</si>
  <si>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</si>
  <si>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Noto Sans CJK SC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</si>
  <si>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</si>
  <si>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</si>
  <si>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</si>
  <si>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</si>
  <si>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</si>
  <si>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</si>
  <si>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</si>
  <si>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Noto Sans CJK SC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</si>
  <si>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</si>
  <si>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</si>
  <si>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</si>
  <si>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</si>
  <si>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</si>
  <si>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</si>
  <si>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</si>
  <si>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</si>
  <si>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</si>
  <si>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</si>
  <si>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</si>
  <si>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</si>
  <si>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</si>
  <si>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</si>
  <si>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</si>
  <si>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</si>
  <si>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</si>
  <si>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</si>
  <si>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</si>
  <si>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</si>
  <si>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</si>
  <si>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</si>
  <si>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Noto Sans CJK SC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</si>
  <si>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</si>
  <si>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</si>
  <si>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</si>
  <si>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</si>
  <si>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</si>
  <si>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</si>
  <si>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Noto Sans CJK SC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</si>
  <si>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</si>
  <si>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</si>
  <si>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計入供給</t>
    </r>
  </si>
  <si>
    <t xml:space="preserve">C91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</si>
  <si>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（營收淨額 − 算力成本 − 非算力成本）（各年絕對值合計，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</si>
  <si>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現金流恆等式</t>
  </si>
  <si>
    <t xml:space="preserve">C92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</si>
  <si>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</t>
    </r>
    <r>
      <rPr>
        <sz val="10"/>
        <color rgb="FF000000"/>
        <rFont val="Arial"/>
        <family val="0"/>
        <charset val="1"/>
      </rPr>
      <t xml:space="preserve">COST_GapCash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Noto Sans CJK SC"/>
        <family val="2"/>
      </rPr>
      <t xml:space="preserve">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</si>
  <si>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：股權報酬為非現金，加回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</si>
  <si>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</si>
  <si>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</si>
  <si>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現金流量恆等式（來源順序 ①②③）</t>
  </si>
  <si>
    <t xml:space="preserve">C94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</si>
  <si>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：已到位融資＋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非現金部分 −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</si>
  <si>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到位年須落在 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；組成＝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四列（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）</t>
    </r>
  </si>
  <si>
    <t xml:space="preserve">C95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</si>
  <si>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：最低現金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&lt;0</t>
    </r>
    <r>
      <rPr>
        <sz val="10"/>
        <color rgb="FF000000"/>
        <rFont val="Noto Sans CJK SC"/>
        <family val="2"/>
      </rPr>
      <t xml:space="preserve">（違反數）</t>
    </r>
  </si>
  <si>
    <t xml:space="preserve">C96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</si>
  <si>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條件式開關 ∉ </t>
    </r>
    <r>
      <rPr>
        <sz val="10"/>
        <color rgb="FF000000"/>
        <rFont val="Arial"/>
        <family val="0"/>
        <charset val="1"/>
      </rPr>
      <t xml:space="preserve">{0,1}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</si>
  <si>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（不計入）</t>
    </r>
  </si>
  <si>
    <t xml:space="preserve">C97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</si>
  <si>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的年數＋年底現金低於最低現金的年數（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</si>
  <si>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補足至最低現金的定義</t>
  </si>
  <si>
    <t xml:space="preserve">C98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</si>
  <si>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</si>
  <si>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r6 P5-1</t>
  </si>
  <si>
    <t xml:space="preserve">C99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</si>
  <si>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</si>
  <si>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</si>
  <si>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結果：峰值年度</t>
    </r>
  </si>
  <si>
    <t xml:space="preserve">C101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</si>
  <si>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結果：首次需要外部資金的年度（現金跌破最低現金）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</si>
  <si>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</t>
    </r>
  </si>
  <si>
    <t xml:space="preserve">C102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</si>
  <si>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結果：只靠已到位融資，現金首次低於最低現金的年度</t>
    </r>
  </si>
  <si>
    <t xml:space="preserve">已到位融資能撐到此年度的前一年</t>
  </si>
  <si>
    <t xml:space="preserve">C103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</si>
  <si>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結果：缺口旗標年數（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</si>
  <si>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C104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</si>
  <si>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</si>
  <si>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＝最低現金（有缺口時）</t>
  </si>
  <si>
    <t xml:space="preserve">C105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</si>
  <si>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的累計外部資金需求（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</si>
  <si>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預設：不計入基準，列情境</t>
    </r>
  </si>
  <si>
    <t xml:space="preserve">C106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</si>
  <si>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條件式使累計外部資金需求減少（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</si>
  <si>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</si>
  <si>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或有負債合計（只列示，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</si>
  <si>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擔保＋晶片融資洽談；不作資金來源</t>
    </r>
  </si>
  <si>
    <t xml:space="preserve">C108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</si>
  <si>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或有：合約剩餘承諾（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</si>
  <si>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</t>
    </r>
  </si>
  <si>
    <t xml:space="preserve">C109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</si>
  <si>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營收：模型總額（截頂後）−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</si>
  <si>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</t>
    </r>
  </si>
  <si>
    <t xml:space="preserve">C110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</si>
  <si>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推論支出：有效推論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</t>
    </r>
    <r>
      <rPr>
        <sz val="10"/>
        <color rgb="FF000000"/>
        <rFont val="Arial"/>
        <family val="0"/>
        <charset val="1"/>
      </rPr>
      <t xml:space="preserve">SRC 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</si>
  <si>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推論支出校準，故為 </t>
    </r>
    <r>
      <rPr>
        <sz val="9"/>
        <color rgb="FF595959"/>
        <rFont val="Arial"/>
        <family val="0"/>
        <charset val="1"/>
      </rPr>
      <t xml:space="preserve">0</t>
    </r>
  </si>
  <si>
    <t xml:space="preserve">C111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</si>
  <si>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− 財報營業成本（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</si>
  <si>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（口徑差異；營業成本可能不含部分推論或已扣折扣）</t>
    </r>
  </si>
  <si>
    <t xml:space="preserve">C112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</si>
  <si>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訓練支出：研發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</si>
  <si>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</si>
  <si>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C113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</si>
  <si>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：模型總需求 </t>
    </r>
    <r>
      <rPr>
        <sz val="10"/>
        <color rgb="FF000000"/>
        <rFont val="Arial"/>
        <family val="0"/>
        <charset val="1"/>
      </rPr>
      <t xml:space="preserve">GW − SRC 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</si>
  <si>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只列差距（口徑未明：年底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年均）</t>
    </r>
  </si>
  <si>
    <t xml:space="preserve">C114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</si>
  <si>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：合約推得供給 </t>
    </r>
    <r>
      <rPr>
        <sz val="10"/>
        <color rgb="FF000000"/>
        <rFont val="Arial"/>
        <family val="0"/>
        <charset val="1"/>
      </rPr>
      <t xml:space="preserve">GW − SRC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(0.6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1.9)÷2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</si>
  <si>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：合約推得 </t>
    </r>
    <r>
      <rPr>
        <sz val="9"/>
        <color rgb="FF595959"/>
        <rFont val="Arial"/>
        <family val="0"/>
        <charset val="1"/>
      </rPr>
      <t xml:space="preserve">1.23 </t>
    </r>
    <r>
      <rPr>
        <sz val="9"/>
        <color rgb="FF595959"/>
        <rFont val="Noto Sans CJK SC"/>
        <family val="2"/>
      </rPr>
      <t xml:space="preserve">對年均 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C65 </t>
    </r>
    <r>
      <rPr>
        <sz val="9"/>
        <color rgb="FF595959"/>
        <rFont val="Noto Sans CJK SC"/>
        <family val="2"/>
      </rPr>
      <t xml:space="preserve">同源）</t>
    </r>
  </si>
  <si>
    <t xml:space="preserve">C115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</si>
  <si>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算力成本：合約實付 − 實際算力支出 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</si>
  <si>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預設：基準用合約實付（</t>
    </r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）</t>
    </r>
  </si>
  <si>
    <t xml:space="preserve">C116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</si>
  <si>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營業損益：模型（總額 − 實際算力 − 非算力 − 股權報酬）（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</si>
  <si>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以實際算力支出 </t>
    </r>
    <r>
      <rPr>
        <sz val="9"/>
        <color rgb="FF595959"/>
        <rFont val="Arial"/>
        <family val="0"/>
        <charset val="1"/>
      </rPr>
      <t xml:space="preserve">20.4 </t>
    </r>
    <r>
      <rPr>
        <sz val="9"/>
        <color rgb="FF595959"/>
        <rFont val="Noto Sans CJK SC"/>
        <family val="2"/>
      </rPr>
      <t xml:space="preserve">計</t>
    </r>
  </si>
  <si>
    <t xml:space="preserve">C117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</si>
  <si>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 − 財報（−營業損失）（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</si>
  <si>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差距主要＝推論 </t>
    </r>
    <r>
      <rPr>
        <sz val="9"/>
        <color rgb="FF595959"/>
        <rFont val="Arial"/>
        <family val="0"/>
        <charset val="1"/>
      </rPr>
      <t xml:space="preserve">8.4 −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（下一列為扣除後殘差）</t>
    </r>
  </si>
  <si>
    <t xml:space="preserve">C118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</si>
  <si>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營業損益殘差：差距 ＋（推論 − 營業成本）（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</si>
  <si>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≈0</t>
    </r>
    <r>
      <rPr>
        <sz val="9"/>
        <color rgb="FF595959"/>
        <rFont val="Noto Sans CJK SC"/>
        <family val="2"/>
      </rPr>
      <t xml:space="preserve">（財報各列四捨五入）</t>
    </r>
  </si>
  <si>
    <t xml:space="preserve">C119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</si>
  <si>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Microsoft </t>
    </r>
    <r>
      <rPr>
        <sz val="10"/>
        <color rgb="FF000000"/>
        <rFont val="Noto Sans CJK SC"/>
        <family val="2"/>
      </rPr>
      <t xml:space="preserve">分成（現金流已扣；財報位置未揭露，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</si>
  <si>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若財報營業成本已含分成，現金流有重複扣除之虞（資料缺口）</t>
  </si>
  <si>
    <t xml:space="preserve">C120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</si>
  <si>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自由現金流（實際算力支出口徑，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</si>
  <si>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只對照；現金流自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</si>
  <si>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</si>
  <si>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</si>
  <si>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＝殘差，恆為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</si>
  <si>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C122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</si>
  <si>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反向：目標路徑非遞增的年數（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</si>
  <si>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）使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殘差低於前一年時轉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</si>
  <si>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C123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</si>
  <si>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</si>
  <si>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同上限規則</t>
  </si>
  <si>
    <t xml:space="preserve">C124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</si>
  <si>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的倍數</t>
    </r>
  </si>
  <si>
    <t xml:space="preserve">v0.5 4.55</t>
  </si>
  <si>
    <t xml:space="preserve">C125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</si>
  <si>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只靠訂閱的倍數</t>
    </r>
  </si>
  <si>
    <t xml:space="preserve">v0.5 5.66</t>
  </si>
  <si>
    <t xml:space="preserve">C126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</si>
  <si>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兩線等比例倍數</t>
    </r>
  </si>
  <si>
    <t xml:space="preserve">v0.5 3.01</t>
  </si>
  <si>
    <t xml:space="preserve">C127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</si>
  <si>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累計外部資金需求（目標營收、同一支出，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</si>
  <si>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v0.5 115.5</t>
  </si>
  <si>
    <t xml:space="preserve">C128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</si>
  <si>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2026–30 − </t>
    </r>
    <r>
      <rPr>
        <sz val="10"/>
        <color rgb="FF000000"/>
        <rFont val="Noto Sans CJK SC"/>
        <family val="2"/>
      </rPr>
      <t xml:space="preserve">簡報 −</t>
    </r>
    <r>
      <rPr>
        <sz val="10"/>
        <color rgb="FF000000"/>
        <rFont val="Arial"/>
        <family val="0"/>
        <charset val="1"/>
      </rPr>
      <t xml:space="preserve">278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</si>
  <si>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+118.3</t>
  </si>
  <si>
    <t xml:space="preserve">C129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</si>
  <si>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</si>
  <si>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</si>
  <si>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t xml:space="preserve">C130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</si>
  <si>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</si>
  <si>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</si>
  <si>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：比值恆等式（比值 − 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成本）平方和（主序列；應＝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</si>
  <si>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m×L ÷ </t>
    </r>
    <r>
      <rPr>
        <sz val="9"/>
        <color rgb="FF595959"/>
        <rFont val="Noto Sans CJK SC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＝ 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與牌價約掉）</t>
    </r>
  </si>
  <si>
    <t xml:space="preserve">C139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</si>
  <si>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頁錯誤值格數</t>
    </r>
  </si>
  <si>
    <t xml:space="preserve">C142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</si>
  <si>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開關值不在 </t>
    </r>
    <r>
      <rPr>
        <sz val="10"/>
        <color rgb="FF000000"/>
        <rFont val="Arial"/>
        <family val="0"/>
        <charset val="1"/>
      </rPr>
      <t xml:space="preserve">{0,1} </t>
    </r>
    <r>
      <rPr>
        <sz val="10"/>
        <color rgb="FF000000"/>
        <rFont val="Noto Sans CJK SC"/>
        <family val="2"/>
      </rPr>
      <t xml:space="preserve">的程度（</t>
    </r>
    <r>
      <rPr>
        <sz val="10"/>
        <color rgb="FF000000"/>
        <rFont val="Arial"/>
        <family val="0"/>
        <charset val="1"/>
      </rPr>
      <t xml:space="preserve">x(1−x) </t>
    </r>
    <r>
      <rPr>
        <sz val="10"/>
        <color rgb="FF000000"/>
        <rFont val="Noto Sans CJK SC"/>
        <family val="2"/>
      </rPr>
      <t xml:space="preserve">之和）</t>
    </r>
  </si>
  <si>
    <r>
      <rPr>
        <sz val="9"/>
        <color rgb="FF595959"/>
        <rFont val="Arial"/>
        <family val="0"/>
        <charset val="1"/>
      </rPr>
      <t xml:space="preserve">2025 GW </t>
    </r>
    <r>
      <rPr>
        <sz val="9"/>
        <color rgb="FF595959"/>
        <rFont val="Noto Sans CJK SC"/>
        <family val="2"/>
      </rPr>
      <t xml:space="preserve">主值、世代組合來源、生產折減讀法</t>
    </r>
  </si>
  <si>
    <t xml:space="preserve">C143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</si>
  <si>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：平均上線 </t>
    </r>
    <r>
      <rPr>
        <sz val="10"/>
        <color rgb="FF000000"/>
        <rFont val="Arial"/>
        <family val="0"/>
        <charset val="1"/>
      </rPr>
      <t xml:space="preserve">GW ≤ 0 </t>
    </r>
    <r>
      <rPr>
        <sz val="10"/>
        <color rgb="FF000000"/>
        <rFont val="Noto Sans CJK SC"/>
        <family val="2"/>
      </rPr>
      <t xml:space="preserve">的案例數</t>
    </r>
  </si>
  <si>
    <t xml:space="preserve">C144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</si>
  <si>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 ≤ 0 </t>
    </r>
    <r>
      <rPr>
        <sz val="10"/>
        <color rgb="FF000000"/>
        <rFont val="Noto Sans CJK SC"/>
        <family val="2"/>
      </rPr>
      <t xml:space="preserve">的案例數</t>
    </r>
  </si>
  <si>
    <t xml:space="preserve">C146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</si>
  <si>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</si>
  <si>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1.239</t>
    </r>
  </si>
  <si>
    <t xml:space="preserve">C147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</si>
  <si>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</si>
  <si>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1.118</t>
    </r>
  </si>
  <si>
    <t xml:space="preserve">C151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</si>
  <si>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雲端支出（</t>
    </r>
    <r>
      <rPr>
        <sz val="10"/>
        <color rgb="FF000000"/>
        <rFont val="Arial"/>
        <family val="0"/>
        <charset val="1"/>
      </rPr>
      <t xml:space="preserve">Epoch 16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），指數內插</t>
    </r>
  </si>
  <si>
    <t xml:space="preserve">不進主序列</t>
  </si>
  <si>
    <t xml:space="preserve">C153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</si>
  <si>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的絕對差之和（主序列）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</si>
  <si>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開關與交接檔組合（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</si>
  <si>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</si>
  <si>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的絕對差之和（預覽基準＝交接檔組合）</t>
    </r>
  </si>
  <si>
    <r>
      <rPr>
        <sz val="9"/>
        <color rgb="FF595959"/>
        <rFont val="Noto Sans CJK SC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組合六列合計須為 </t>
    </r>
    <r>
      <rPr>
        <sz val="9"/>
        <color rgb="FF595959"/>
        <rFont val="Arial"/>
        <family val="0"/>
        <charset val="1"/>
      </rPr>
      <t xml:space="preserve">1</t>
    </r>
  </si>
  <si>
    <t xml:space="preserve">C155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</si>
  <si>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營收兩來源相等（</t>
    </r>
    <r>
      <rPr>
        <sz val="10"/>
        <color rgb="FF000000"/>
        <rFont val="Arial"/>
        <family val="0"/>
        <charset val="1"/>
      </rPr>
      <t xml:space="preserve">SRC_OAI_002 − TK_SRC_DEM_007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</si>
  <si>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13.07</t>
  </si>
  <si>
    <t xml:space="preserve">C157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</si>
  <si>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已取值名稱數（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原名＋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併入／新增）</t>
    </r>
  </si>
  <si>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取數名稱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RNG_ 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006–009 </t>
    </r>
    <r>
      <rPr>
        <sz val="9"/>
        <color rgb="FF595959"/>
        <rFont val="Noto Sans CJK SC"/>
        <family val="2"/>
      </rPr>
      <t xml:space="preserve">原已在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名內</t>
    </r>
  </si>
  <si>
    <t xml:space="preserve">C158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</si>
  <si>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 </t>
    </r>
    <r>
      <rPr>
        <sz val="10"/>
        <color rgb="FF000000"/>
        <rFont val="Noto Sans CJK SC"/>
        <family val="2"/>
      </rPr>
      <t xml:space="preserve">已記錄（非空）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</si>
  <si>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檔案 </t>
    </r>
    <r>
      <rPr>
        <sz val="9"/>
        <color rgb="FF595959"/>
        <rFont val="Arial"/>
        <family val="0"/>
        <charset val="1"/>
      </rPr>
      <t xml:space="preserve">SHA-256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64 </t>
    </r>
    <r>
      <rPr>
        <sz val="9"/>
        <color rgb="FF595959"/>
        <rFont val="Noto Sans CJK SC"/>
        <family val="2"/>
      </rPr>
      <t xml:space="preserve">位十六進位）</t>
    </r>
  </si>
  <si>
    <t xml:space="preserve">C159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</si>
  <si>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占（研發＋推論）比，本模型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</si>
  <si>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口徑對應 </t>
    </r>
    <r>
      <rPr>
        <sz val="9"/>
        <color rgb="FF595959"/>
        <rFont val="Arial"/>
        <family val="0"/>
        <charset val="1"/>
      </rPr>
      <t xml:space="preserve">Tokenomics Q1</t>
    </r>
    <r>
      <rPr>
        <sz val="9"/>
        <color rgb="FF595959"/>
        <rFont val="Noto Sans CJK SC"/>
        <family val="2"/>
      </rPr>
      <t xml:space="preserve">（研發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研發＋服務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）；本模型研發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為殘差（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</si>
  <si>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C160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</si>
  <si>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，支出路線；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起口徑改變，原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</si>
  <si>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0.184</t>
    </r>
    <r>
      <rPr>
        <sz val="9"/>
        <color rgb="FF595959"/>
        <rFont val="Noto Sans CJK SC"/>
        <family val="2"/>
      </rPr>
      <t xml:space="preserve">；現行快照（</t>
    </r>
    <r>
      <rPr>
        <sz val="9"/>
        <color rgb="FF595959"/>
        <rFont val="Arial"/>
        <family val="0"/>
        <charset val="1"/>
      </rPr>
      <t xml:space="preserve">v21.7</t>
    </r>
    <r>
      <rPr>
        <sz val="9"/>
        <color rgb="FF595959"/>
        <rFont val="Noto Sans CJK SC"/>
        <family val="2"/>
      </rPr>
      <t xml:space="preserve">）見 </t>
    </r>
    <r>
      <rPr>
        <sz val="9"/>
        <color rgb="FF595959"/>
        <rFont val="Arial"/>
        <family val="0"/>
        <charset val="1"/>
      </rPr>
      <t xml:space="preserve">TK_Link</t>
    </r>
  </si>
  <si>
    <t xml:space="preserve">C161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</si>
  <si>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Noto Sans CJK SC"/>
        <family val="2"/>
      </rPr>
      <t xml:space="preserve">區間下限（</t>
    </r>
    <r>
      <rPr>
        <sz val="10"/>
        <color rgb="FF000000"/>
        <rFont val="Arial"/>
        <family val="0"/>
        <charset val="1"/>
      </rPr>
      <t xml:space="preserve">RNG_IF_AllocQ1_Lo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</si>
  <si>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v13.0 </t>
    </r>
    <r>
      <rPr>
        <sz val="9"/>
        <color rgb="FF595959"/>
        <rFont val="Noto Sans CJK SC"/>
        <family val="2"/>
      </rPr>
      <t xml:space="preserve">起視為區間</t>
    </r>
  </si>
  <si>
    <t xml:space="preserve">C162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</si>
  <si>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Noto Sans CJK SC"/>
        <family val="2"/>
      </rPr>
      <t xml:space="preserve">區間上限（</t>
    </r>
    <r>
      <rPr>
        <sz val="10"/>
        <color rgb="FF000000"/>
        <rFont val="Arial"/>
        <family val="0"/>
        <charset val="1"/>
      </rPr>
      <t xml:space="preserve">RNG_IF_AllocQ1_Hi</t>
    </r>
    <r>
      <rPr>
        <sz val="10"/>
        <color rgb="FF000000"/>
        <rFont val="Noto Sans CJK SC"/>
        <family val="2"/>
      </rPr>
      <t xml:space="preserve">）</t>
    </r>
  </si>
  <si>
    <t xml:space="preserve">C163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</si>
  <si>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區間時效旗標 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＝『一致』</t>
    </r>
  </si>
  <si>
    <r>
      <rPr>
        <sz val="9"/>
        <color rgb="FF595959"/>
        <rFont val="Noto Sans CJK SC"/>
        <family val="2"/>
      </rPr>
      <t xml:space="preserve">使用 </t>
    </r>
    <r>
      <rPr>
        <sz val="9"/>
        <color rgb="FF595959"/>
        <rFont val="Arial"/>
        <family val="0"/>
        <charset val="1"/>
      </rPr>
      <t xml:space="preserve">IF_AllocQ1 </t>
    </r>
    <r>
      <rPr>
        <sz val="9"/>
        <color rgb="FF595959"/>
        <rFont val="Noto Sans CJK SC"/>
        <family val="2"/>
      </rPr>
      <t xml:space="preserve">區間前須確認（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規定）；不一致時此列 </t>
    </r>
    <r>
      <rPr>
        <sz val="9"/>
        <color rgb="FF595959"/>
        <rFont val="Arial"/>
        <family val="0"/>
        <charset val="1"/>
      </rPr>
      <t xml:space="preserve">ERR</t>
    </r>
  </si>
  <si>
    <t xml:space="preserve">C164</t>
  </si>
  <si>
    <r>
      <rPr>
        <sz val="10"/>
        <color rgb="FF000000"/>
        <rFont val="Arial"/>
        <family val="0"/>
        <charset val="1"/>
      </rPr>
      <t xml:space="preserve">v0.6.4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為單一快照，版本＝</t>
    </r>
    <r>
      <rPr>
        <sz val="10"/>
        <color rgb="FF000000"/>
        <rFont val="Arial"/>
        <family val="0"/>
        <charset val="1"/>
      </rPr>
      <t xml:space="preserve">v21.7</t>
    </r>
  </si>
  <si>
    <r>
      <rPr>
        <sz val="9"/>
        <color rgb="FF595959"/>
        <rFont val="Arial"/>
        <family val="0"/>
        <charset val="1"/>
      </rPr>
      <t xml:space="preserve">v0.6.2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TK_PxQ </t>
    </r>
    <r>
      <rPr>
        <sz val="9"/>
        <color rgb="FF595959"/>
        <rFont val="Noto Sans CJK SC"/>
        <family val="2"/>
      </rPr>
      <t xml:space="preserve">併入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v0.6.3 </t>
    </r>
    <r>
      <rPr>
        <sz val="9"/>
        <color rgb="FF595959"/>
        <rFont val="Noto Sans CJK SC"/>
        <family val="2"/>
      </rPr>
      <t xml:space="preserve">換快照至 </t>
    </r>
    <r>
      <rPr>
        <sz val="9"/>
        <color rgb="FF595959"/>
        <rFont val="Arial"/>
        <family val="0"/>
        <charset val="1"/>
      </rPr>
      <t xml:space="preserve">v21.4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master 693792f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v0.6.4 </t>
    </r>
    <r>
      <rPr>
        <sz val="9"/>
        <color rgb="FF595959"/>
        <rFont val="Noto Sans CJK SC"/>
        <family val="2"/>
      </rPr>
      <t xml:space="preserve">換快照至 </t>
    </r>
    <r>
      <rPr>
        <sz val="9"/>
        <color rgb="FF595959"/>
        <rFont val="Arial"/>
        <family val="0"/>
        <charset val="1"/>
      </rPr>
      <t xml:space="preserve">Tokenomics v21.7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master 8309fdb</t>
    </r>
    <r>
      <rPr>
        <sz val="9"/>
        <color rgb="FF595959"/>
        <rFont val="Noto Sans CJK SC"/>
        <family val="2"/>
      </rPr>
      <t xml:space="preserve">；本模型讀取的 </t>
    </r>
    <r>
      <rPr>
        <sz val="9"/>
        <color rgb="FF595959"/>
        <rFont val="Arial"/>
        <family val="0"/>
        <charset val="1"/>
      </rPr>
      <t xml:space="preserve">88 </t>
    </r>
    <r>
      <rPr>
        <sz val="9"/>
        <color rgb="FF595959"/>
        <rFont val="Noto Sans CJK SC"/>
        <family val="2"/>
      </rPr>
      <t xml:space="preserve">名數值與 </t>
    </r>
    <r>
      <rPr>
        <sz val="9"/>
        <color rgb="FF595959"/>
        <rFont val="Arial"/>
        <family val="0"/>
        <charset val="1"/>
      </rPr>
      <t xml:space="preserve">v21.4 </t>
    </r>
    <r>
      <rPr>
        <sz val="9"/>
        <color rgb="FF595959"/>
        <rFont val="Noto Sans CJK SC"/>
        <family val="2"/>
      </rPr>
      <t xml:space="preserve">逐名相同）</t>
    </r>
  </si>
  <si>
    <t xml:space="preserve">C165</t>
  </si>
  <si>
    <r>
      <rPr>
        <sz val="10"/>
        <color rgb="FF000000"/>
        <rFont val="Arial"/>
        <family val="0"/>
        <charset val="1"/>
      </rPr>
      <t xml:space="preserve">v0.6.3 P×Q</t>
    </r>
    <r>
      <rPr>
        <sz val="10"/>
        <color rgb="FF000000"/>
        <rFont val="Noto Sans CJK SC"/>
        <family val="2"/>
      </rPr>
      <t xml:space="preserve">：證據對帳（</t>
    </r>
    <r>
      <rPr>
        <sz val="10"/>
        <color rgb="FF000000"/>
        <rFont val="Arial"/>
        <family val="0"/>
        <charset val="1"/>
      </rPr>
      <t xml:space="preserve">6B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段／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／工作單驗收值）超出容許誤差的項數</t>
    </r>
  </si>
  <si>
    <r>
      <rPr>
        <sz val="9"/>
        <color rgb="FF595959"/>
        <rFont val="Noto Sans CJK SC"/>
        <family val="2"/>
      </rPr>
      <t xml:space="preserve">容許誤差 </t>
    </r>
    <r>
      <rPr>
        <sz val="9"/>
        <color rgb="FF595959"/>
        <rFont val="Arial"/>
        <family val="0"/>
        <charset val="1"/>
      </rPr>
      <t xml:space="preserve">INP_307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歷史對照不再計入</t>
    </r>
  </si>
  <si>
    <t xml:space="preserve">C166</t>
  </si>
  <si>
    <r>
      <rPr>
        <sz val="10"/>
        <color rgb="FF000000"/>
        <rFont val="Arial"/>
        <family val="0"/>
        <charset val="1"/>
      </rPr>
      <t xml:space="preserve">v0.6.3 W3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交接檔組合</t>
    </r>
    <r>
      <rPr>
        <sz val="10"/>
        <color rgb="FF000000"/>
        <rFont val="Arial"/>
        <family val="0"/>
        <charset val="1"/>
      </rPr>
      <t xml:space="preserve">×0.85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2.10 </t>
    </r>
    <r>
      <rPr>
        <sz val="10"/>
        <color rgb="FF000000"/>
        <rFont val="Noto Sans CJK SC"/>
        <family val="2"/>
      </rPr>
      <t xml:space="preserve">的相對差絕對值</t>
    </r>
  </si>
  <si>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2.0966</t>
    </r>
    <r>
      <rPr>
        <sz val="9"/>
        <color rgb="FF595959"/>
        <rFont val="Noto Sans CJK SC"/>
        <family val="2"/>
      </rPr>
      <t xml:space="preserve">；工作單驗收 </t>
    </r>
    <r>
      <rPr>
        <sz val="9"/>
        <color rgb="FF595959"/>
        <rFont val="Arial"/>
        <family val="0"/>
        <charset val="1"/>
      </rPr>
      <t xml:space="preserve">2.10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1%</t>
    </r>
  </si>
  <si>
    <t xml:space="preserve">C167</t>
  </si>
  <si>
    <r>
      <rPr>
        <sz val="10"/>
        <color rgb="FF000000"/>
        <rFont val="Arial"/>
        <family val="0"/>
        <charset val="1"/>
      </rPr>
      <t xml:space="preserve">v0.6.3 W3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 </t>
    </r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交接檔組合</t>
    </r>
    <r>
      <rPr>
        <sz val="10"/>
        <color rgb="FF000000"/>
        <rFont val="Arial"/>
        <family val="0"/>
        <charset val="1"/>
      </rPr>
      <t xml:space="preserve">×0.806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1.99 </t>
    </r>
    <r>
      <rPr>
        <sz val="10"/>
        <color rgb="FF000000"/>
        <rFont val="Noto Sans CJK SC"/>
        <family val="2"/>
      </rPr>
      <t xml:space="preserve">的相對差絕對值</t>
    </r>
  </si>
  <si>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1.9876</t>
    </r>
    <r>
      <rPr>
        <sz val="9"/>
        <color rgb="FF595959"/>
        <rFont val="Noto Sans CJK SC"/>
        <family val="2"/>
      </rPr>
      <t xml:space="preserve">；工作單驗收 </t>
    </r>
    <r>
      <rPr>
        <sz val="9"/>
        <color rgb="FF595959"/>
        <rFont val="Arial"/>
        <family val="0"/>
        <charset val="1"/>
      </rPr>
      <t xml:space="preserve">1.99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1%</t>
    </r>
  </si>
  <si>
    <t xml:space="preserve">C169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</si>
  <si>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TK_SRC_DEM_011 </t>
    </r>
    <r>
      <rPr>
        <sz val="10"/>
        <color rgb="FF000000"/>
        <rFont val="Noto Sans CJK SC"/>
        <family val="2"/>
      </rPr>
      <t xml:space="preserve">相等（</t>
    </r>
    <r>
      <rPr>
        <sz val="10"/>
        <color rgb="FF000000"/>
        <rFont val="Arial"/>
        <family val="0"/>
        <charset val="1"/>
      </rPr>
      <t xml:space="preserve">B tok/min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</si>
  <si>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照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原紀錄抄錄</t>
    </r>
  </si>
  <si>
    <t xml:space="preserve">C170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</si>
  <si>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六情境倍數最小值（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0.76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</si>
  <si>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：倍數 </t>
    </r>
    <r>
      <rPr>
        <sz val="9"/>
        <color rgb="FF595959"/>
        <rFont val="Arial"/>
        <family val="0"/>
        <charset val="1"/>
      </rPr>
      <t xml:space="preserve">0.76–0.98</t>
    </r>
  </si>
  <si>
    <t xml:space="preserve">C171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</si>
  <si>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六情境倍數最大值（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0.98</t>
    </r>
    <r>
      <rPr>
        <sz val="10"/>
        <color rgb="FF000000"/>
        <rFont val="Noto Sans CJK SC"/>
        <family val="2"/>
      </rPr>
      <t xml:space="preserve">）</t>
    </r>
  </si>
  <si>
    <t xml:space="preserve">C172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</si>
  <si>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比值：口徑一 低／基準／高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</si>
  <si>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年化營收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GW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</si>
  <si>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</si>
  <si>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比值：口徑二 基準</t>
    </r>
  </si>
  <si>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GW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</si>
  <si>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</si>
  <si>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比值：口徑三 基準</t>
    </r>
  </si>
  <si>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月底 </t>
    </r>
    <r>
      <rPr>
        <sz val="9"/>
        <color rgb="FF595959"/>
        <rFont val="Arial"/>
        <family val="0"/>
        <charset val="1"/>
      </rPr>
      <t xml:space="preserve">run-rate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</si>
  <si>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</si>
  <si>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倍數（對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主值）：口徑一／二／三 基準</t>
    </r>
  </si>
  <si>
    <r>
      <rPr>
        <sz val="9"/>
        <color rgb="FF595959"/>
        <rFont val="Noto Sans CJK SC"/>
        <family val="2"/>
      </rPr>
      <t xml:space="preserve">預期 </t>
    </r>
    <r>
      <rPr>
        <sz val="9"/>
        <color rgb="FF595959"/>
        <rFont val="Arial"/>
        <family val="0"/>
        <charset val="1"/>
      </rPr>
      <t xml:space="preserve">0.96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v0.6.4 W1</t>
    </r>
    <r>
      <rPr>
        <sz val="9"/>
        <color rgb="FF595959"/>
        <rFont val="Noto Sans CJK SC"/>
        <family val="2"/>
      </rPr>
      <t xml:space="preserve">：口徑一基準 </t>
    </r>
    <r>
      <rPr>
        <sz val="9"/>
        <color rgb="FF595959"/>
        <rFont val="Arial"/>
        <family val="0"/>
        <charset val="1"/>
      </rPr>
      <t xml:space="preserve">GW 2.26</t>
    </r>
    <r>
      <rPr>
        <sz val="9"/>
        <color rgb="FF595959"/>
        <rFont val="Noto Sans CJK SC"/>
        <family val="2"/>
      </rPr>
      <t xml:space="preserve">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</si>
  <si>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</si>
  <si>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支出（</t>
    </r>
    <r>
      <rPr>
        <sz val="10"/>
        <color rgb="FF000000"/>
        <rFont val="Arial"/>
        <family val="0"/>
        <charset val="1"/>
      </rPr>
      <t xml:space="preserve">Brockman 50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），口徑二基準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</si>
  <si>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</si>
  <si>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v0.6.3 W3</t>
    </r>
    <r>
      <rPr>
        <sz val="10"/>
        <color rgb="FF000000"/>
        <rFont val="Noto Sans CJK SC"/>
        <family val="2"/>
      </rPr>
      <t xml:space="preserve">：第八節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與主序列／預覽基準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的相對差（應＝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</si>
  <si>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浮點誤差內為 </t>
    </r>
    <r>
      <rPr>
        <sz val="9"/>
        <color rgb="FF595959"/>
        <rFont val="Arial"/>
        <family val="0"/>
        <charset val="1"/>
      </rPr>
      <t xml:space="preserve">0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</si>
  <si>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</si>
  <si>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v0.6.4 W2</t>
    </r>
    <r>
      <rPr>
        <sz val="10"/>
        <color rgb="FF000000"/>
        <rFont val="Noto Sans CJK SC"/>
        <family val="2"/>
      </rPr>
      <t xml:space="preserve">：第 </t>
    </r>
    <r>
      <rPr>
        <sz val="10"/>
        <color rgb="FF000000"/>
        <rFont val="Arial"/>
        <family val="0"/>
        <charset val="1"/>
      </rPr>
      <t xml:space="preserve">8.4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推導式（證據重現欄）超出容許誤差的項數</t>
    </r>
  </si>
  <si>
    <r>
      <rPr>
        <sz val="9"/>
        <color rgb="FF595959"/>
        <rFont val="Noto Sans CJK SC"/>
        <family val="2"/>
      </rPr>
      <t xml:space="preserve">容許誤差 </t>
    </r>
    <r>
      <rPr>
        <sz val="9"/>
        <color rgb="FF595959"/>
        <rFont val="Arial"/>
        <family val="0"/>
        <charset val="1"/>
      </rPr>
      <t xml:space="preserve">INP_307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）；對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 </t>
    </r>
    <r>
      <rPr>
        <sz val="9"/>
        <color rgb="FF595959"/>
        <rFont val="Arial"/>
        <family val="0"/>
        <charset val="1"/>
      </rPr>
      <t xml:space="preserve">B10:D19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證據檔）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</si>
  <si>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</si>
  <si>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v0.6.4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 Codex T</t>
    </r>
    <r>
      <rPr>
        <sz val="10"/>
        <color rgb="FF000000"/>
        <rFont val="Noto Sans CJK SC"/>
        <family val="2"/>
      </rPr>
      <t xml:space="preserve">／日，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平均（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</si>
  <si>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5.071</t>
    </r>
    <r>
      <rPr>
        <sz val="9"/>
        <color rgb="FF595959"/>
        <rFont val="Noto Sans CJK SC"/>
        <family val="2"/>
      </rPr>
      <t xml:space="preserve">；候選因子，不進基準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</si>
  <si>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</si>
  <si>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v0.6.4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帳加入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證據重現（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</si>
  <si>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1.769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帳（</t>
    </r>
    <r>
      <rPr>
        <sz val="9"/>
        <color rgb="FF595959"/>
        <rFont val="Arial"/>
        <family val="0"/>
        <charset val="1"/>
      </rPr>
      <t xml:space="preserve">8.3 </t>
    </r>
    <r>
      <rPr>
        <sz val="9"/>
        <color rgb="FF595959"/>
        <rFont val="Noto Sans CJK SC"/>
        <family val="2"/>
      </rPr>
      <t xml:space="preserve">節）不變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</si>
  <si>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</si>
  <si>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</si>
  <si>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</si>
  <si>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</si>
  <si>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</si>
  <si>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</si>
  <si>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</si>
  <si>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</si>
  <si>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</si>
  <si>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</si>
  <si>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</si>
  <si>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</si>
  <si>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</si>
  <si>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</si>
  <si>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</si>
  <si>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</si>
  <si>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</si>
  <si>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</si>
  <si>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</si>
  <si>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</si>
  <si>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</si>
  <si>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</si>
  <si>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</si>
  <si>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</si>
  <si>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</si>
  <si>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</si>
  <si>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</si>
  <si>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</si>
  <si>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</si>
  <si>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</si>
  <si>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</si>
  <si>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</si>
  <si>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</si>
  <si>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</si>
  <si>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</si>
  <si>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</si>
  <si>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</si>
  <si>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</si>
  <si>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</si>
  <si>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</si>
  <si>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</si>
  <si>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</si>
  <si>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</si>
  <si>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</si>
  <si>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</si>
  <si>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</si>
  <si>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</si>
  <si>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</si>
  <si>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</si>
  <si>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</si>
  <si>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</si>
  <si>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</si>
  <si>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</si>
  <si>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</si>
  <si>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</si>
  <si>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</si>
  <si>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</si>
  <si>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</si>
  <si>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</si>
  <si>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</si>
  <si>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</si>
  <si>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</si>
  <si>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</si>
  <si>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</si>
  <si>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</si>
  <si>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</si>
  <si>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</si>
  <si>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</si>
  <si>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</si>
  <si>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</si>
  <si>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</si>
  <si>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</si>
  <si>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</si>
  <si>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</si>
  <si>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</si>
  <si>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</si>
  <si>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</si>
  <si>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</si>
  <si>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</si>
  <si>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</si>
  <si>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</si>
  <si>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</si>
  <si>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</si>
  <si>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</si>
  <si>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</si>
  <si>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</si>
  <si>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</si>
  <si>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</si>
  <si>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</si>
  <si>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</si>
  <si>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</si>
  <si>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</si>
  <si>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</si>
  <si>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</si>
  <si>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</si>
  <si>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</si>
  <si>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</si>
  <si>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</si>
  <si>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</si>
  <si>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</si>
  <si>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</si>
  <si>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</si>
  <si>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</si>
  <si>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</si>
  <si>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</si>
  <si>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</si>
  <si>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</si>
  <si>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</si>
  <si>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</si>
  <si>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</si>
  <si>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</si>
  <si>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</si>
  <si>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</si>
  <si>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</si>
  <si>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</si>
  <si>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</si>
  <si>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</si>
  <si>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</si>
  <si>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</si>
  <si>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</si>
  <si>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</si>
  <si>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</si>
  <si>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</si>
  <si>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</si>
  <si>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</si>
  <si>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</si>
  <si>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</si>
  <si>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</si>
  <si>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</si>
  <si>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</si>
  <si>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</si>
  <si>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</si>
  <si>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</si>
  <si>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</si>
  <si>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</si>
  <si>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</si>
  <si>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</si>
  <si>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</si>
  <si>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</si>
  <si>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</si>
  <si>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</si>
  <si>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</si>
  <si>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</si>
  <si>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</si>
  <si>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</si>
  <si>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</si>
  <si>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</si>
  <si>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</si>
  <si>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</si>
  <si>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</si>
  <si>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</si>
  <si>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</si>
  <si>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</si>
  <si>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</si>
  <si>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</si>
  <si>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</si>
  <si>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</si>
  <si>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</si>
  <si>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</si>
  <si>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</si>
  <si>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</si>
  <si>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</si>
  <si>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</si>
  <si>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</si>
  <si>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</si>
  <si>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</si>
  <si>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</si>
  <si>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</si>
  <si>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</si>
  <si>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</si>
  <si>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</si>
  <si>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</si>
  <si>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</si>
  <si>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</si>
  <si>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</si>
  <si>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</si>
  <si>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</si>
  <si>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</si>
  <si>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</si>
  <si>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</si>
  <si>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</si>
  <si>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</si>
  <si>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</si>
  <si>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</si>
  <si>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</si>
  <si>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</si>
  <si>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</si>
  <si>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</si>
  <si>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</si>
  <si>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</si>
  <si>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</si>
  <si>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</si>
  <si>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</si>
  <si>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</si>
  <si>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</si>
  <si>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</si>
  <si>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</si>
  <si>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</si>
  <si>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</si>
  <si>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</si>
  <si>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</si>
  <si>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</si>
  <si>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</si>
  <si>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</si>
  <si>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</si>
  <si>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</si>
  <si>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</si>
  <si>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</si>
  <si>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</si>
  <si>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</si>
  <si>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</si>
  <si>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</si>
  <si>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</si>
  <si>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</si>
  <si>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</si>
  <si>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</si>
  <si>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</si>
  <si>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</si>
  <si>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</si>
  <si>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</si>
  <si>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</si>
  <si>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</si>
  <si>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</si>
  <si>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</si>
  <si>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</si>
  <si>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</si>
  <si>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</si>
  <si>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</si>
  <si>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</si>
  <si>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</si>
  <si>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</si>
  <si>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</si>
  <si>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</si>
  <si>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</si>
  <si>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</si>
  <si>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</si>
  <si>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</si>
  <si>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</si>
  <si>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</si>
  <si>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</si>
  <si>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</si>
  <si>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</si>
  <si>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</si>
  <si>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</si>
  <si>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</si>
  <si>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</si>
  <si>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</si>
  <si>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</si>
  <si>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</si>
  <si>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</si>
  <si>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</si>
  <si>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</si>
  <si>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</si>
  <si>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</si>
  <si>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</si>
  <si>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</si>
  <si>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</si>
  <si>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</si>
  <si>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</si>
  <si>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</si>
  <si>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</si>
  <si>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</si>
  <si>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</si>
  <si>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</si>
  <si>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</si>
  <si>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</si>
  <si>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</si>
  <si>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</si>
  <si>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</si>
  <si>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</si>
  <si>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</si>
  <si>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</si>
  <si>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</si>
  <si>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</si>
  <si>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</si>
  <si>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</si>
  <si>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</si>
  <si>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</si>
  <si>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</si>
  <si>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</si>
  <si>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</si>
  <si>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</si>
  <si>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</si>
  <si>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</si>
  <si>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</si>
  <si>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</si>
  <si>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</si>
  <si>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</si>
  <si>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</si>
  <si>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</si>
  <si>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</si>
  <si>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</si>
  <si>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</si>
  <si>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</si>
  <si>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</si>
  <si>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</si>
  <si>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</si>
  <si>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</si>
  <si>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</si>
  <si>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</si>
  <si>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</si>
  <si>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</si>
  <si>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</si>
  <si>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</si>
  <si>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</si>
  <si>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</si>
  <si>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</si>
  <si>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</si>
  <si>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</si>
  <si>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</si>
  <si>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</si>
  <si>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</si>
  <si>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</si>
  <si>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</si>
  <si>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</si>
  <si>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</si>
  <si>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</si>
  <si>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</si>
  <si>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</si>
  <si>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</si>
  <si>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</si>
  <si>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</si>
  <si>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</si>
  <si>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</si>
  <si>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</si>
  <si>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</si>
  <si>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</si>
  <si>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</si>
  <si>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</si>
  <si>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</si>
  <si>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</si>
  <si>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</si>
  <si>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</si>
  <si>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</si>
  <si>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</si>
  <si>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</si>
  <si>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</si>
  <si>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</si>
  <si>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</si>
  <si>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</si>
  <si>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</si>
  <si>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</si>
  <si>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</si>
  <si>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</si>
  <si>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</si>
  <si>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</si>
  <si>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</si>
  <si>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</si>
  <si>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</si>
  <si>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</si>
  <si>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</si>
  <si>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</si>
  <si>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</si>
  <si>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</si>
  <si>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</si>
  <si>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</si>
  <si>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</si>
  <si>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</si>
  <si>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</si>
  <si>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</si>
  <si>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</si>
  <si>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</si>
  <si>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</si>
  <si>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</si>
  <si>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</si>
  <si>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</si>
  <si>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</si>
  <si>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</si>
  <si>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</si>
  <si>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</si>
  <si>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</si>
  <si>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</si>
  <si>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</si>
  <si>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</si>
  <si>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</si>
  <si>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</si>
  <si>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</si>
  <si>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</si>
  <si>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</si>
  <si>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</si>
  <si>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</si>
  <si>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</si>
  <si>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</si>
  <si>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</si>
  <si>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</si>
  <si>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</si>
  <si>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</si>
  <si>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</si>
  <si>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</si>
  <si>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</si>
  <si>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</si>
  <si>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</si>
  <si>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</si>
  <si>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</si>
  <si>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</si>
  <si>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</si>
  <si>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</si>
  <si>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</si>
  <si>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</si>
  <si>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</si>
  <si>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</si>
  <si>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</si>
  <si>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</si>
  <si>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</si>
  <si>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</si>
  <si>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</si>
  <si>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</si>
  <si>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</si>
  <si>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</si>
  <si>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</si>
  <si>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</si>
  <si>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</si>
  <si>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</si>
  <si>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</si>
  <si>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</si>
  <si>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</si>
  <si>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</si>
  <si>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</si>
  <si>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</si>
  <si>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</si>
  <si>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</si>
  <si>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</si>
  <si>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</si>
  <si>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</si>
  <si>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</si>
  <si>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</si>
  <si>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</si>
  <si>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</si>
  <si>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</si>
  <si>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</si>
  <si>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</si>
  <si>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</si>
  <si>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</si>
  <si>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</si>
  <si>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</si>
  <si>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</si>
  <si>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</si>
  <si>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</si>
  <si>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</si>
  <si>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</si>
  <si>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</si>
  <si>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</si>
  <si>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</si>
  <si>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</si>
  <si>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</si>
  <si>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</si>
  <si>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</si>
  <si>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</si>
  <si>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</si>
  <si>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</si>
  <si>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</si>
  <si>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</si>
  <si>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</si>
  <si>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</si>
  <si>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</si>
  <si>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</si>
  <si>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</si>
  <si>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</si>
  <si>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</si>
  <si>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</si>
  <si>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</si>
  <si>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</si>
  <si>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</si>
  <si>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</si>
  <si>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</si>
  <si>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</si>
  <si>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</si>
  <si>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</si>
  <si>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</si>
  <si>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</si>
  <si>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</si>
  <si>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</si>
  <si>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</si>
  <si>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</si>
  <si>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</si>
  <si>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</si>
  <si>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</si>
  <si>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</si>
  <si>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</si>
  <si>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</si>
  <si>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</si>
  <si>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</si>
  <si>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</si>
  <si>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</si>
  <si>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</si>
  <si>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</si>
  <si>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</si>
  <si>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</si>
  <si>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</si>
  <si>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</si>
  <si>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</si>
  <si>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</si>
  <si>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</si>
  <si>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</si>
  <si>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</si>
  <si>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</si>
  <si>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</si>
  <si>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</si>
  <si>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</si>
  <si>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</si>
  <si>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</si>
  <si>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</si>
  <si>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</si>
  <si>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</si>
  <si>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</si>
  <si>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</si>
  <si>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</si>
  <si>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</si>
  <si>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</si>
  <si>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</si>
  <si>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</si>
  <si>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</si>
  <si>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</si>
  <si>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</si>
  <si>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</si>
  <si>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</si>
  <si>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</si>
  <si>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</si>
  <si>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</si>
  <si>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</si>
  <si>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</si>
  <si>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</si>
  <si>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</si>
  <si>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</si>
  <si>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</si>
  <si>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</si>
  <si>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</si>
  <si>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</si>
  <si>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</si>
  <si>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</si>
  <si>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</si>
  <si>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</si>
  <si>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</si>
  <si>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</si>
  <si>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</si>
  <si>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</si>
  <si>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</si>
  <si>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</si>
  <si>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</si>
  <si>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</si>
  <si>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</si>
  <si>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</si>
  <si>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</si>
  <si>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</si>
  <si>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</si>
  <si>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</si>
  <si>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</si>
  <si>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</si>
  <si>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</si>
  <si>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</si>
  <si>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</si>
  <si>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</si>
  <si>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</si>
  <si>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</si>
  <si>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</si>
  <si>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</si>
  <si>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</si>
  <si>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</si>
  <si>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</si>
  <si>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</si>
  <si>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</si>
  <si>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</si>
  <si>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</si>
  <si>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</si>
  <si>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</si>
  <si>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</si>
  <si>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</si>
  <si>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</si>
  <si>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</si>
  <si>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</si>
  <si>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</si>
  <si>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</si>
  <si>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</si>
  <si>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</si>
  <si>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</si>
  <si>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</si>
  <si>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</si>
  <si>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</si>
  <si>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</si>
  <si>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</si>
  <si>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</si>
  <si>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</si>
  <si>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</si>
  <si>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</si>
  <si>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</si>
  <si>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</si>
  <si>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</si>
  <si>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</si>
  <si>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</si>
  <si>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</si>
  <si>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</si>
  <si>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</si>
  <si>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</si>
  <si>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</si>
  <si>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</si>
  <si>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</si>
  <si>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</si>
  <si>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</si>
  <si>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</si>
  <si>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</si>
  <si>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</si>
  <si>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</si>
  <si>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</si>
  <si>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</si>
  <si>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</si>
  <si>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</si>
  <si>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</si>
  <si>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</si>
  <si>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</si>
  <si>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</si>
  <si>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</si>
  <si>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</si>
  <si>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</si>
  <si>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</si>
  <si>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</si>
  <si>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</si>
  <si>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</si>
  <si>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</si>
  <si>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</si>
  <si>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</si>
  <si>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</si>
  <si>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</si>
  <si>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</si>
  <si>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</si>
  <si>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</si>
  <si>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</si>
  <si>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</si>
  <si>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</si>
  <si>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</si>
  <si>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</si>
  <si>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</si>
  <si>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</si>
  <si>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</si>
  <si>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</si>
  <si>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</si>
  <si>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</si>
  <si>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</si>
  <si>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</si>
  <si>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</si>
  <si>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</si>
  <si>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</si>
  <si>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</si>
  <si>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</si>
  <si>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</si>
  <si>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</si>
  <si>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</si>
  <si>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</si>
  <si>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</si>
  <si>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</si>
  <si>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</si>
  <si>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</si>
  <si>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</si>
  <si>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</si>
  <si>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</si>
  <si>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</si>
  <si>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</si>
  <si>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</si>
  <si>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</si>
  <si>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</si>
  <si>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</si>
  <si>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</si>
  <si>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</si>
  <si>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</si>
  <si>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</si>
  <si>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</si>
  <si>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</si>
  <si>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</si>
  <si>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</si>
  <si>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</si>
  <si>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</si>
  <si>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</si>
  <si>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</si>
  <si>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</si>
  <si>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</si>
  <si>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</si>
  <si>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</si>
  <si>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</si>
  <si>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</si>
  <si>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</si>
  <si>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</si>
  <si>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</si>
  <si>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</si>
  <si>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</si>
  <si>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</si>
  <si>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</si>
  <si>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</si>
  <si>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</si>
  <si>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</si>
  <si>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</si>
  <si>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</si>
  <si>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</si>
  <si>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</si>
  <si>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</si>
  <si>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</si>
  <si>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</si>
  <si>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</si>
  <si>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</si>
  <si>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</si>
  <si>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</si>
  <si>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</si>
  <si>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</si>
  <si>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</si>
  <si>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</si>
  <si>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</si>
  <si>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</si>
  <si>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</si>
  <si>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</si>
  <si>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</si>
  <si>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</si>
  <si>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</si>
  <si>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</si>
  <si>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</si>
  <si>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</si>
  <si>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</si>
  <si>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</si>
  <si>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</si>
  <si>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</si>
  <si>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</si>
  <si>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</si>
  <si>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</si>
  <si>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</si>
  <si>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</si>
  <si>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</si>
  <si>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</si>
  <si>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</si>
  <si>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</si>
  <si>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</si>
  <si>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</si>
  <si>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</si>
  <si>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</si>
  <si>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</si>
  <si>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</si>
  <si>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</si>
  <si>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</si>
  <si>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</si>
  <si>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</si>
  <si>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</si>
  <si>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</si>
  <si>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</si>
  <si>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</si>
  <si>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</si>
  <si>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</si>
  <si>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</si>
  <si>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</si>
  <si>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</si>
  <si>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</si>
  <si>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</si>
  <si>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</si>
  <si>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</si>
  <si>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</si>
  <si>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</si>
  <si>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</si>
  <si>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</si>
  <si>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</si>
  <si>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</si>
  <si>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</si>
  <si>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</si>
  <si>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</si>
  <si>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</si>
  <si>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</si>
  <si>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</si>
  <si>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</si>
  <si>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</si>
  <si>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</si>
  <si>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</si>
  <si>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</si>
  <si>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</si>
  <si>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</si>
  <si>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</si>
  <si>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</si>
  <si>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</si>
  <si>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</si>
  <si>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</si>
  <si>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</si>
  <si>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</si>
  <si>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</si>
  <si>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</si>
  <si>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</si>
  <si>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</si>
  <si>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</si>
  <si>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</si>
  <si>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</si>
  <si>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</si>
  <si>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</si>
  <si>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</si>
  <si>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</si>
  <si>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</si>
  <si>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</si>
  <si>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</si>
  <si>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</si>
  <si>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</si>
  <si>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</si>
  <si>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</si>
  <si>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</si>
  <si>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</si>
  <si>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</si>
  <si>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</si>
  <si>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</si>
  <si>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</si>
  <si>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</si>
  <si>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</si>
  <si>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</si>
  <si>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</si>
  <si>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</si>
  <si>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</si>
  <si>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</si>
  <si>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</si>
  <si>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</si>
  <si>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</si>
  <si>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</si>
  <si>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</si>
  <si>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</si>
  <si>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</si>
  <si>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</si>
  <si>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</si>
  <si>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</si>
  <si>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</si>
  <si>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</si>
  <si>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</si>
  <si>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</si>
  <si>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</si>
  <si>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</si>
  <si>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</si>
  <si>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</si>
  <si>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</si>
  <si>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</si>
  <si>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</si>
  <si>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</si>
  <si>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</si>
  <si>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</si>
  <si>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</si>
  <si>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</si>
  <si>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</si>
  <si>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</si>
  <si>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</si>
  <si>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</si>
  <si>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</si>
  <si>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</si>
  <si>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</si>
  <si>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</si>
  <si>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</si>
  <si>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</si>
  <si>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</si>
  <si>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</si>
  <si>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</si>
  <si>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</si>
  <si>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</si>
  <si>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</si>
  <si>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</si>
  <si>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</si>
  <si>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</si>
  <si>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</si>
  <si>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</si>
  <si>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</si>
  <si>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</si>
  <si>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</si>
  <si>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</si>
  <si>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</si>
  <si>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</si>
  <si>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</si>
  <si>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</si>
  <si>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</si>
  <si>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</si>
  <si>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</si>
  <si>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</si>
  <si>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</si>
  <si>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</si>
  <si>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</si>
  <si>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</si>
  <si>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</si>
  <si>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</si>
  <si>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</si>
  <si>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</si>
  <si>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</si>
  <si>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</si>
  <si>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</si>
  <si>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</si>
  <si>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</si>
  <si>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</si>
  <si>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</si>
  <si>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</si>
  <si>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</si>
  <si>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</si>
  <si>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</si>
  <si>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</si>
  <si>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</si>
  <si>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</si>
  <si>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</si>
  <si>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</si>
  <si>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</si>
  <si>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</si>
  <si>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</si>
  <si>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</si>
  <si>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</si>
  <si>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</si>
  <si>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</si>
  <si>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</si>
  <si>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</si>
  <si>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</si>
  <si>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</si>
  <si>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</si>
  <si>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</si>
  <si>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</si>
  <si>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</si>
  <si>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</si>
  <si>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</si>
  <si>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</si>
  <si>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</si>
  <si>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</si>
  <si>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</si>
  <si>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</si>
  <si>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</si>
  <si>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</si>
  <si>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</si>
  <si>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</si>
  <si>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</si>
  <si>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</si>
  <si>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</si>
  <si>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</si>
  <si>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</si>
  <si>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</si>
  <si>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</si>
  <si>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</si>
  <si>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</si>
  <si>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</si>
  <si>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</si>
  <si>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</si>
  <si>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</si>
  <si>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</si>
  <si>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</si>
  <si>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</si>
  <si>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</si>
  <si>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</si>
  <si>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</si>
  <si>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</si>
  <si>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</si>
  <si>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</si>
  <si>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</si>
  <si>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</si>
  <si>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</si>
  <si>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</si>
  <si>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</si>
  <si>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</si>
  <si>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</si>
  <si>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</si>
  <si>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</si>
  <si>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</si>
  <si>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</si>
  <si>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</si>
  <si>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</si>
  <si>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</si>
  <si>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</si>
  <si>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</si>
  <si>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</si>
  <si>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</si>
  <si>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</si>
  <si>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</si>
  <si>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</si>
  <si>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</si>
  <si>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</si>
  <si>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</si>
  <si>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</si>
  <si>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</si>
  <si>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</si>
  <si>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</si>
  <si>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</si>
  <si>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</si>
  <si>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</si>
  <si>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t xml:space="preserve">reverse.targetRevenue.v.3</t>
  </si>
  <si>
    <t xml:space="preserve">141.5</t>
  </si>
  <si>
    <t xml:space="preserve">reverse.targetRevenue.v.4</t>
  </si>
  <si>
    <t xml:space="preserve">237.4</t>
  </si>
  <si>
    <r>
      <rPr>
        <sz val="10"/>
        <color rgb="FF000000"/>
        <rFont val="Arial"/>
        <family val="0"/>
        <charset val="1"/>
      </rPr>
      <t xml:space="preserve">Reverse X01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Σ840 − 2026 − 2027 − 2028 − 2030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</si>
  <si>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為殘差使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合計＝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</si>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</sst>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0"/>
    <numFmt numFmtId="167" formatCode="0.000"/>
    <numFmt numFmtId="168" formatCode="0.00E+00"/>
    <numFmt numFmtId="169" formatCode="0.0%"/>
    <numFmt numFmtId="170" formatCode="#,##0"/>
    <numFmt numFmtId="171" formatCode="0.0E+00"/>
    <numFmt numFmtId="172" formatCode="0.00%"/>
    <numFmt numFmtId="173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29.85" hidden="false" customHeight="false" outlineLevel="0" collapsed="false">
      <c r="A7" s="5" t="s">
        <v>8</v>
      </c>
      <c r="B7" s="6" t="s">
        <v>9</v>
      </c>
    </row>
    <row r="8" customFormat="false" ht="58.2" hidden="false" customHeight="false" outlineLevel="0" collapsed="false">
      <c r="A8" s="5" t="s">
        <v>10</v>
      </c>
      <c r="B8" s="4" t="s">
        <v>11</v>
      </c>
    </row>
    <row r="9" customFormat="false" ht="29.8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15" hidden="false" customHeight="false" outlineLevel="0" collapsed="false">
      <c r="A13" s="5" t="s">
        <v>20</v>
      </c>
      <c r="B13" s="4" t="s">
        <v>21</v>
      </c>
    </row>
    <row r="14" customFormat="false" ht="44" hidden="false" customHeight="false" outlineLevel="0" collapsed="false">
      <c r="A14" s="5" t="s">
        <v>22</v>
      </c>
      <c r="B14" s="4" t="s">
        <v>23</v>
      </c>
    </row>
    <row r="15" customFormat="false" ht="44" hidden="false" customHeight="false" outlineLevel="0" collapsed="false">
      <c r="A15" s="5" t="s">
        <v>24</v>
      </c>
      <c r="B15" s="4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29.8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5" t="s">
        <v>30</v>
      </c>
      <c r="B18" s="4" t="s">
        <v>31</v>
      </c>
    </row>
    <row r="19" customFormat="false" ht="29.85" hidden="false" customHeight="false" outlineLevel="0" collapsed="false">
      <c r="A19" s="3" t="s">
        <v>32</v>
      </c>
      <c r="B19" s="6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44" hidden="false" customHeight="false" outlineLevel="0" collapsed="false">
      <c r="A4" s="7" t="s">
        <v>41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56</v>
      </c>
      <c r="Q4" s="7" t="s">
        <v>57</v>
      </c>
      <c r="R4" s="8" t="s">
        <v>58</v>
      </c>
      <c r="S4" s="7" t="s">
        <v>59</v>
      </c>
      <c r="T4" s="8" t="s">
        <v>60</v>
      </c>
      <c r="U4" s="8" t="s">
        <v>61</v>
      </c>
      <c r="V4" s="8" t="s">
        <v>62</v>
      </c>
      <c r="W4" s="8" t="s">
        <v>63</v>
      </c>
      <c r="X4" s="8" t="s">
        <v>64</v>
      </c>
      <c r="Y4" s="8" t="s">
        <v>65</v>
      </c>
    </row>
    <row r="5" customFormat="false" ht="15" hidden="false" customHeight="false" outlineLevel="0" collapsed="false">
      <c r="A5" s="9" t="s">
        <v>66</v>
      </c>
      <c r="B5" s="10" t="s">
        <v>67</v>
      </c>
      <c r="C5" s="11" t="n">
        <v>3.7</v>
      </c>
      <c r="D5" s="9"/>
      <c r="E5" s="9"/>
      <c r="F5" s="9" t="s">
        <v>68</v>
      </c>
      <c r="G5" s="9" t="s">
        <v>69</v>
      </c>
      <c r="H5" s="9" t="s">
        <v>70</v>
      </c>
      <c r="I5" s="9" t="s">
        <v>71</v>
      </c>
      <c r="J5" s="9" t="s">
        <v>72</v>
      </c>
      <c r="K5" s="9" t="s">
        <v>73</v>
      </c>
      <c r="L5" s="10" t="s">
        <v>74</v>
      </c>
      <c r="M5" s="10" t="s">
        <v>75</v>
      </c>
      <c r="N5" s="10" t="s">
        <v>76</v>
      </c>
      <c r="O5" s="9" t="s">
        <v>77</v>
      </c>
      <c r="P5" s="9" t="s">
        <v>71</v>
      </c>
      <c r="Q5" s="9" t="s">
        <v>78</v>
      </c>
      <c r="R5" s="9" t="s">
        <v>71</v>
      </c>
      <c r="S5" s="9" t="s">
        <v>79</v>
      </c>
      <c r="T5" s="9" t="s">
        <v>80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81</v>
      </c>
    </row>
    <row r="6" customFormat="false" ht="15" hidden="false" customHeight="false" outlineLevel="0" collapsed="false">
      <c r="A6" s="9" t="s">
        <v>82</v>
      </c>
      <c r="B6" s="10" t="s">
        <v>83</v>
      </c>
      <c r="C6" s="11" t="n">
        <v>13.07</v>
      </c>
      <c r="D6" s="9"/>
      <c r="E6" s="9"/>
      <c r="F6" s="9" t="s">
        <v>68</v>
      </c>
      <c r="G6" s="9" t="s">
        <v>84</v>
      </c>
      <c r="H6" s="9" t="s">
        <v>70</v>
      </c>
      <c r="I6" s="9" t="s">
        <v>85</v>
      </c>
      <c r="J6" s="9" t="s">
        <v>86</v>
      </c>
      <c r="K6" s="9" t="s">
        <v>73</v>
      </c>
      <c r="L6" s="10" t="s">
        <v>74</v>
      </c>
      <c r="M6" s="10" t="s">
        <v>87</v>
      </c>
      <c r="N6" s="10" t="s">
        <v>88</v>
      </c>
      <c r="O6" s="9" t="s">
        <v>77</v>
      </c>
      <c r="P6" s="9" t="s">
        <v>71</v>
      </c>
      <c r="Q6" s="9" t="s">
        <v>78</v>
      </c>
      <c r="R6" s="9" t="s">
        <v>71</v>
      </c>
      <c r="S6" s="9" t="s">
        <v>89</v>
      </c>
      <c r="T6" s="9" t="s">
        <v>80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81</v>
      </c>
    </row>
    <row r="7" customFormat="false" ht="15" hidden="false" customHeight="false" outlineLevel="0" collapsed="false">
      <c r="A7" s="9" t="s">
        <v>90</v>
      </c>
      <c r="B7" s="10" t="s">
        <v>91</v>
      </c>
      <c r="C7" s="11" t="n">
        <v>7.5</v>
      </c>
      <c r="D7" s="9"/>
      <c r="E7" s="9"/>
      <c r="F7" s="9" t="s">
        <v>68</v>
      </c>
      <c r="G7" s="10" t="s">
        <v>92</v>
      </c>
      <c r="H7" s="9" t="s">
        <v>70</v>
      </c>
      <c r="I7" s="9" t="s">
        <v>85</v>
      </c>
      <c r="J7" s="9" t="s">
        <v>93</v>
      </c>
      <c r="K7" s="9" t="s">
        <v>73</v>
      </c>
      <c r="L7" s="10" t="s">
        <v>74</v>
      </c>
      <c r="M7" s="10" t="s">
        <v>87</v>
      </c>
      <c r="N7" s="10" t="s">
        <v>88</v>
      </c>
      <c r="O7" s="9" t="s">
        <v>77</v>
      </c>
      <c r="P7" s="9" t="s">
        <v>71</v>
      </c>
      <c r="Q7" s="9" t="s">
        <v>78</v>
      </c>
      <c r="R7" s="9" t="s">
        <v>71</v>
      </c>
      <c r="S7" s="9" t="s">
        <v>94</v>
      </c>
      <c r="T7" s="9" t="s">
        <v>95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81</v>
      </c>
    </row>
    <row r="8" customFormat="false" ht="15" hidden="false" customHeight="false" outlineLevel="0" collapsed="false">
      <c r="A8" s="9" t="s">
        <v>96</v>
      </c>
      <c r="B8" s="10" t="s">
        <v>97</v>
      </c>
      <c r="C8" s="11" t="n">
        <v>5.7</v>
      </c>
      <c r="D8" s="9"/>
      <c r="E8" s="9"/>
      <c r="F8" s="9" t="s">
        <v>68</v>
      </c>
      <c r="G8" s="9" t="s">
        <v>98</v>
      </c>
      <c r="H8" s="9" t="s">
        <v>70</v>
      </c>
      <c r="I8" s="9" t="s">
        <v>99</v>
      </c>
      <c r="J8" s="9" t="s">
        <v>100</v>
      </c>
      <c r="K8" s="9" t="s">
        <v>73</v>
      </c>
      <c r="L8" s="10" t="s">
        <v>74</v>
      </c>
      <c r="M8" s="10" t="s">
        <v>87</v>
      </c>
      <c r="N8" s="10" t="s">
        <v>101</v>
      </c>
      <c r="O8" s="9" t="s">
        <v>77</v>
      </c>
      <c r="P8" s="9" t="s">
        <v>71</v>
      </c>
      <c r="Q8" s="9" t="s">
        <v>78</v>
      </c>
      <c r="R8" s="9" t="s">
        <v>71</v>
      </c>
      <c r="S8" s="9" t="s">
        <v>102</v>
      </c>
      <c r="T8" s="9" t="s">
        <v>103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81</v>
      </c>
    </row>
    <row r="9" customFormat="false" ht="15" hidden="false" customHeight="false" outlineLevel="0" collapsed="false">
      <c r="A9" s="9" t="s">
        <v>104</v>
      </c>
      <c r="B9" s="10" t="s">
        <v>105</v>
      </c>
      <c r="C9" s="11" t="n">
        <v>6.7</v>
      </c>
      <c r="D9" s="9"/>
      <c r="E9" s="9"/>
      <c r="F9" s="9" t="s">
        <v>68</v>
      </c>
      <c r="G9" s="9" t="s">
        <v>106</v>
      </c>
      <c r="H9" s="9" t="s">
        <v>70</v>
      </c>
      <c r="I9" s="9" t="s">
        <v>107</v>
      </c>
      <c r="J9" s="9" t="s">
        <v>108</v>
      </c>
      <c r="K9" s="9" t="s">
        <v>73</v>
      </c>
      <c r="L9" s="10" t="s">
        <v>74</v>
      </c>
      <c r="M9" s="10" t="s">
        <v>87</v>
      </c>
      <c r="N9" s="10" t="s">
        <v>101</v>
      </c>
      <c r="O9" s="9" t="s">
        <v>77</v>
      </c>
      <c r="P9" s="9" t="s">
        <v>71</v>
      </c>
      <c r="Q9" s="9" t="s">
        <v>78</v>
      </c>
      <c r="R9" s="9" t="s">
        <v>71</v>
      </c>
      <c r="S9" s="9" t="s">
        <v>109</v>
      </c>
      <c r="T9" s="9" t="s">
        <v>110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81</v>
      </c>
    </row>
    <row r="10" customFormat="false" ht="15" hidden="false" customHeight="false" outlineLevel="0" collapsed="false">
      <c r="A10" s="9" t="s">
        <v>111</v>
      </c>
      <c r="B10" s="10" t="s">
        <v>112</v>
      </c>
      <c r="C10" s="11" t="n">
        <v>40</v>
      </c>
      <c r="D10" s="9"/>
      <c r="E10" s="9"/>
      <c r="F10" s="9" t="s">
        <v>68</v>
      </c>
      <c r="G10" s="9" t="s">
        <v>113</v>
      </c>
      <c r="H10" s="9" t="s">
        <v>70</v>
      </c>
      <c r="I10" s="9" t="s">
        <v>114</v>
      </c>
      <c r="J10" s="9" t="s">
        <v>115</v>
      </c>
      <c r="K10" s="9" t="s">
        <v>73</v>
      </c>
      <c r="L10" s="10" t="s">
        <v>74</v>
      </c>
      <c r="M10" s="10" t="s">
        <v>116</v>
      </c>
      <c r="N10" s="10" t="s">
        <v>101</v>
      </c>
      <c r="O10" s="9" t="s">
        <v>77</v>
      </c>
      <c r="P10" s="9" t="s">
        <v>71</v>
      </c>
      <c r="Q10" s="9" t="s">
        <v>78</v>
      </c>
      <c r="R10" s="9" t="s">
        <v>71</v>
      </c>
      <c r="S10" s="9" t="s">
        <v>117</v>
      </c>
      <c r="T10" s="9" t="s">
        <v>110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81</v>
      </c>
    </row>
    <row r="11" customFormat="false" ht="15" hidden="false" customHeight="false" outlineLevel="0" collapsed="false">
      <c r="A11" s="9" t="s">
        <v>118</v>
      </c>
      <c r="B11" s="10" t="s">
        <v>119</v>
      </c>
      <c r="C11" s="11" t="n">
        <v>0.6</v>
      </c>
      <c r="D11" s="9"/>
      <c r="E11" s="9"/>
      <c r="F11" s="10" t="s">
        <v>120</v>
      </c>
      <c r="G11" s="10" t="s">
        <v>121</v>
      </c>
      <c r="H11" s="9" t="s">
        <v>70</v>
      </c>
      <c r="I11" s="9" t="s">
        <v>122</v>
      </c>
      <c r="J11" s="9" t="s">
        <v>123</v>
      </c>
      <c r="K11" s="9" t="s">
        <v>73</v>
      </c>
      <c r="L11" s="10" t="s">
        <v>74</v>
      </c>
      <c r="M11" s="10" t="s">
        <v>87</v>
      </c>
      <c r="N11" s="10" t="s">
        <v>101</v>
      </c>
      <c r="O11" s="9" t="s">
        <v>77</v>
      </c>
      <c r="P11" s="9" t="s">
        <v>71</v>
      </c>
      <c r="Q11" s="9" t="s">
        <v>78</v>
      </c>
      <c r="R11" s="9" t="s">
        <v>71</v>
      </c>
      <c r="S11" s="9" t="s">
        <v>124</v>
      </c>
      <c r="T11" s="9" t="s">
        <v>110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81</v>
      </c>
    </row>
    <row r="12" customFormat="false" ht="15" hidden="false" customHeight="false" outlineLevel="0" collapsed="false">
      <c r="A12" s="9" t="s">
        <v>125</v>
      </c>
      <c r="B12" s="9" t="s">
        <v>126</v>
      </c>
      <c r="C12" s="11" t="n">
        <v>6</v>
      </c>
      <c r="D12" s="9"/>
      <c r="E12" s="9"/>
      <c r="F12" s="9" t="s">
        <v>127</v>
      </c>
      <c r="G12" s="9" t="s">
        <v>128</v>
      </c>
      <c r="H12" s="9" t="s">
        <v>70</v>
      </c>
      <c r="I12" s="9" t="s">
        <v>129</v>
      </c>
      <c r="J12" s="9" t="s">
        <v>130</v>
      </c>
      <c r="K12" s="9" t="s">
        <v>73</v>
      </c>
      <c r="L12" s="10" t="s">
        <v>74</v>
      </c>
      <c r="M12" s="10" t="s">
        <v>116</v>
      </c>
      <c r="N12" s="10" t="s">
        <v>131</v>
      </c>
      <c r="O12" s="9" t="s">
        <v>77</v>
      </c>
      <c r="P12" s="9" t="s">
        <v>71</v>
      </c>
      <c r="Q12" s="9" t="s">
        <v>78</v>
      </c>
      <c r="R12" s="9" t="s">
        <v>71</v>
      </c>
      <c r="S12" s="9" t="s">
        <v>132</v>
      </c>
      <c r="T12" s="9" t="s">
        <v>133</v>
      </c>
      <c r="U12" s="9" t="s">
        <v>134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81</v>
      </c>
    </row>
    <row r="13" customFormat="false" ht="15" hidden="false" customHeight="false" outlineLevel="0" collapsed="false">
      <c r="A13" s="9" t="s">
        <v>135</v>
      </c>
      <c r="B13" s="9" t="s">
        <v>136</v>
      </c>
      <c r="C13" s="11" t="n">
        <v>0.2</v>
      </c>
      <c r="D13" s="9"/>
      <c r="E13" s="9"/>
      <c r="F13" s="10" t="s">
        <v>120</v>
      </c>
      <c r="G13" s="9" t="s">
        <v>137</v>
      </c>
      <c r="H13" s="9" t="s">
        <v>138</v>
      </c>
      <c r="I13" s="9" t="s">
        <v>139</v>
      </c>
      <c r="J13" s="9" t="s">
        <v>140</v>
      </c>
      <c r="K13" s="9" t="s">
        <v>73</v>
      </c>
      <c r="L13" s="10" t="s">
        <v>74</v>
      </c>
      <c r="M13" s="10" t="s">
        <v>141</v>
      </c>
      <c r="N13" s="10" t="s">
        <v>101</v>
      </c>
      <c r="O13" s="9" t="s">
        <v>77</v>
      </c>
      <c r="P13" s="9" t="s">
        <v>71</v>
      </c>
      <c r="Q13" s="9" t="s">
        <v>78</v>
      </c>
      <c r="R13" s="9" t="s">
        <v>71</v>
      </c>
      <c r="S13" s="9" t="s">
        <v>142</v>
      </c>
      <c r="T13" s="9" t="s">
        <v>143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81</v>
      </c>
    </row>
    <row r="14" customFormat="false" ht="15" hidden="false" customHeight="false" outlineLevel="0" collapsed="false">
      <c r="A14" s="9" t="s">
        <v>144</v>
      </c>
      <c r="B14" s="9" t="s">
        <v>145</v>
      </c>
      <c r="C14" s="11" t="n">
        <v>38</v>
      </c>
      <c r="D14" s="9"/>
      <c r="E14" s="9"/>
      <c r="F14" s="9" t="s">
        <v>68</v>
      </c>
      <c r="G14" s="10" t="s">
        <v>146</v>
      </c>
      <c r="H14" s="9" t="s">
        <v>138</v>
      </c>
      <c r="I14" s="9" t="s">
        <v>147</v>
      </c>
      <c r="J14" s="9" t="s">
        <v>148</v>
      </c>
      <c r="K14" s="9" t="s">
        <v>73</v>
      </c>
      <c r="L14" s="10" t="s">
        <v>74</v>
      </c>
      <c r="M14" s="10" t="s">
        <v>141</v>
      </c>
      <c r="N14" s="10" t="s">
        <v>101</v>
      </c>
      <c r="O14" s="9" t="s">
        <v>77</v>
      </c>
      <c r="P14" s="9" t="s">
        <v>71</v>
      </c>
      <c r="Q14" s="9" t="s">
        <v>78</v>
      </c>
      <c r="R14" s="9" t="s">
        <v>71</v>
      </c>
      <c r="S14" s="9" t="s">
        <v>149</v>
      </c>
      <c r="T14" s="9" t="s">
        <v>143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81</v>
      </c>
    </row>
    <row r="15" customFormat="false" ht="15" hidden="false" customHeight="false" outlineLevel="0" collapsed="false">
      <c r="A15" s="9" t="s">
        <v>150</v>
      </c>
      <c r="B15" s="9" t="s">
        <v>151</v>
      </c>
      <c r="C15" s="11" t="n">
        <v>2030</v>
      </c>
      <c r="D15" s="9"/>
      <c r="E15" s="9"/>
      <c r="F15" s="10" t="s">
        <v>152</v>
      </c>
      <c r="G15" s="10" t="s">
        <v>153</v>
      </c>
      <c r="H15" s="9" t="s">
        <v>138</v>
      </c>
      <c r="I15" s="9" t="s">
        <v>139</v>
      </c>
      <c r="J15" s="9" t="s">
        <v>154</v>
      </c>
      <c r="K15" s="9" t="s">
        <v>73</v>
      </c>
      <c r="L15" s="10" t="s">
        <v>74</v>
      </c>
      <c r="M15" s="10" t="s">
        <v>155</v>
      </c>
      <c r="N15" s="10" t="s">
        <v>131</v>
      </c>
      <c r="O15" s="9" t="s">
        <v>77</v>
      </c>
      <c r="P15" s="9" t="s">
        <v>71</v>
      </c>
      <c r="Q15" s="9" t="s">
        <v>156</v>
      </c>
      <c r="R15" s="9" t="s">
        <v>71</v>
      </c>
      <c r="S15" s="9" t="s">
        <v>157</v>
      </c>
      <c r="T15" s="9" t="s">
        <v>143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81</v>
      </c>
    </row>
    <row r="16" customFormat="false" ht="15" hidden="false" customHeight="false" outlineLevel="0" collapsed="false">
      <c r="A16" s="9" t="s">
        <v>158</v>
      </c>
      <c r="B16" s="9" t="s">
        <v>159</v>
      </c>
      <c r="C16" s="11" t="n">
        <v>0</v>
      </c>
      <c r="D16" s="9"/>
      <c r="E16" s="9"/>
      <c r="F16" s="9" t="s">
        <v>68</v>
      </c>
      <c r="G16" s="9" t="s">
        <v>160</v>
      </c>
      <c r="H16" s="9" t="s">
        <v>138</v>
      </c>
      <c r="I16" s="9" t="s">
        <v>139</v>
      </c>
      <c r="J16" s="9" t="s">
        <v>161</v>
      </c>
      <c r="K16" s="9" t="s">
        <v>73</v>
      </c>
      <c r="L16" s="10" t="s">
        <v>74</v>
      </c>
      <c r="M16" s="10" t="s">
        <v>155</v>
      </c>
      <c r="N16" s="10" t="s">
        <v>131</v>
      </c>
      <c r="O16" s="9" t="s">
        <v>77</v>
      </c>
      <c r="P16" s="9" t="s">
        <v>71</v>
      </c>
      <c r="Q16" s="9" t="s">
        <v>156</v>
      </c>
      <c r="R16" s="9" t="s">
        <v>71</v>
      </c>
      <c r="S16" s="9" t="s">
        <v>162</v>
      </c>
      <c r="T16" s="9" t="s">
        <v>143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81</v>
      </c>
    </row>
    <row r="17" customFormat="false" ht="15" hidden="false" customHeight="false" outlineLevel="0" collapsed="false">
      <c r="A17" s="9" t="s">
        <v>163</v>
      </c>
      <c r="B17" s="9" t="s">
        <v>164</v>
      </c>
      <c r="C17" s="11" t="n">
        <v>10</v>
      </c>
      <c r="D17" s="9"/>
      <c r="E17" s="9"/>
      <c r="F17" s="9" t="s">
        <v>165</v>
      </c>
      <c r="G17" s="10" t="s">
        <v>166</v>
      </c>
      <c r="H17" s="9" t="s">
        <v>70</v>
      </c>
      <c r="I17" s="9" t="s">
        <v>167</v>
      </c>
      <c r="J17" s="9" t="s">
        <v>168</v>
      </c>
      <c r="K17" s="9" t="s">
        <v>73</v>
      </c>
      <c r="L17" s="10" t="s">
        <v>74</v>
      </c>
      <c r="M17" s="10" t="s">
        <v>169</v>
      </c>
      <c r="N17" s="10" t="s">
        <v>131</v>
      </c>
      <c r="O17" s="9" t="s">
        <v>77</v>
      </c>
      <c r="P17" s="9" t="s">
        <v>71</v>
      </c>
      <c r="Q17" s="9" t="s">
        <v>156</v>
      </c>
      <c r="R17" s="9" t="s">
        <v>71</v>
      </c>
      <c r="S17" s="9" t="s">
        <v>170</v>
      </c>
      <c r="T17" s="9" t="s">
        <v>171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81</v>
      </c>
    </row>
    <row r="18" customFormat="false" ht="15" hidden="false" customHeight="false" outlineLevel="0" collapsed="false">
      <c r="A18" s="9" t="s">
        <v>172</v>
      </c>
      <c r="B18" s="9" t="s">
        <v>173</v>
      </c>
      <c r="C18" s="11" t="n">
        <v>1</v>
      </c>
      <c r="D18" s="9"/>
      <c r="E18" s="9"/>
      <c r="F18" s="9" t="s">
        <v>165</v>
      </c>
      <c r="G18" s="10" t="s">
        <v>166</v>
      </c>
      <c r="H18" s="9" t="s">
        <v>70</v>
      </c>
      <c r="I18" s="9" t="s">
        <v>167</v>
      </c>
      <c r="J18" s="9" t="s">
        <v>168</v>
      </c>
      <c r="K18" s="9" t="s">
        <v>73</v>
      </c>
      <c r="L18" s="10" t="s">
        <v>74</v>
      </c>
      <c r="M18" s="10" t="s">
        <v>169</v>
      </c>
      <c r="N18" s="10" t="s">
        <v>131</v>
      </c>
      <c r="O18" s="9" t="s">
        <v>77</v>
      </c>
      <c r="P18" s="9" t="s">
        <v>71</v>
      </c>
      <c r="Q18" s="9" t="s">
        <v>156</v>
      </c>
      <c r="R18" s="9" t="s">
        <v>71</v>
      </c>
      <c r="S18" s="9" t="s">
        <v>170</v>
      </c>
      <c r="T18" s="9" t="s">
        <v>171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81</v>
      </c>
    </row>
    <row r="19" customFormat="false" ht="15" hidden="false" customHeight="false" outlineLevel="0" collapsed="false">
      <c r="A19" s="9" t="s">
        <v>174</v>
      </c>
      <c r="B19" s="9" t="s">
        <v>175</v>
      </c>
      <c r="C19" s="11" t="n">
        <v>50</v>
      </c>
      <c r="D19" s="9"/>
      <c r="E19" s="9"/>
      <c r="F19" s="9" t="s">
        <v>165</v>
      </c>
      <c r="G19" s="10" t="s">
        <v>166</v>
      </c>
      <c r="H19" s="9" t="s">
        <v>70</v>
      </c>
      <c r="I19" s="9" t="s">
        <v>167</v>
      </c>
      <c r="J19" s="9" t="s">
        <v>168</v>
      </c>
      <c r="K19" s="9" t="s">
        <v>73</v>
      </c>
      <c r="L19" s="10" t="s">
        <v>74</v>
      </c>
      <c r="M19" s="10" t="s">
        <v>169</v>
      </c>
      <c r="N19" s="10" t="s">
        <v>131</v>
      </c>
      <c r="O19" s="9" t="s">
        <v>77</v>
      </c>
      <c r="P19" s="9" t="s">
        <v>71</v>
      </c>
      <c r="Q19" s="9" t="s">
        <v>156</v>
      </c>
      <c r="R19" s="9" t="s">
        <v>71</v>
      </c>
      <c r="S19" s="9" t="s">
        <v>170</v>
      </c>
      <c r="T19" s="9" t="s">
        <v>171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81</v>
      </c>
    </row>
    <row r="20" customFormat="false" ht="15" hidden="false" customHeight="false" outlineLevel="0" collapsed="false">
      <c r="A20" s="9" t="s">
        <v>176</v>
      </c>
      <c r="B20" s="9" t="s">
        <v>177</v>
      </c>
      <c r="C20" s="11" t="n">
        <v>2</v>
      </c>
      <c r="D20" s="9"/>
      <c r="E20" s="9"/>
      <c r="F20" s="9" t="s">
        <v>165</v>
      </c>
      <c r="G20" s="10" t="s">
        <v>178</v>
      </c>
      <c r="H20" s="9" t="s">
        <v>70</v>
      </c>
      <c r="I20" s="9" t="s">
        <v>167</v>
      </c>
      <c r="J20" s="9" t="s">
        <v>168</v>
      </c>
      <c r="K20" s="9" t="s">
        <v>73</v>
      </c>
      <c r="L20" s="10" t="s">
        <v>74</v>
      </c>
      <c r="M20" s="10" t="s">
        <v>169</v>
      </c>
      <c r="N20" s="10" t="s">
        <v>131</v>
      </c>
      <c r="O20" s="9" t="s">
        <v>77</v>
      </c>
      <c r="P20" s="9" t="s">
        <v>71</v>
      </c>
      <c r="Q20" s="9" t="s">
        <v>156</v>
      </c>
      <c r="R20" s="9" t="s">
        <v>71</v>
      </c>
      <c r="S20" s="9" t="s">
        <v>170</v>
      </c>
      <c r="T20" s="9" t="s">
        <v>171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81</v>
      </c>
    </row>
    <row r="21" customFormat="false" ht="15" hidden="false" customHeight="false" outlineLevel="0" collapsed="false">
      <c r="A21" s="9" t="s">
        <v>179</v>
      </c>
      <c r="B21" s="9" t="s">
        <v>180</v>
      </c>
      <c r="C21" s="11" t="n">
        <v>0.2</v>
      </c>
      <c r="D21" s="9"/>
      <c r="E21" s="9"/>
      <c r="F21" s="9" t="s">
        <v>165</v>
      </c>
      <c r="G21" s="10" t="s">
        <v>178</v>
      </c>
      <c r="H21" s="9" t="s">
        <v>70</v>
      </c>
      <c r="I21" s="9" t="s">
        <v>167</v>
      </c>
      <c r="J21" s="9" t="s">
        <v>168</v>
      </c>
      <c r="K21" s="9" t="s">
        <v>73</v>
      </c>
      <c r="L21" s="10" t="s">
        <v>74</v>
      </c>
      <c r="M21" s="10" t="s">
        <v>169</v>
      </c>
      <c r="N21" s="10" t="s">
        <v>131</v>
      </c>
      <c r="O21" s="9" t="s">
        <v>77</v>
      </c>
      <c r="P21" s="9" t="s">
        <v>71</v>
      </c>
      <c r="Q21" s="9" t="s">
        <v>156</v>
      </c>
      <c r="R21" s="9" t="s">
        <v>71</v>
      </c>
      <c r="S21" s="9" t="s">
        <v>170</v>
      </c>
      <c r="T21" s="9" t="s">
        <v>171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81</v>
      </c>
    </row>
    <row r="22" customFormat="false" ht="15" hidden="false" customHeight="false" outlineLevel="0" collapsed="false">
      <c r="A22" s="9" t="s">
        <v>181</v>
      </c>
      <c r="B22" s="9" t="s">
        <v>182</v>
      </c>
      <c r="C22" s="11" t="n">
        <v>10</v>
      </c>
      <c r="D22" s="9"/>
      <c r="E22" s="9"/>
      <c r="F22" s="9" t="s">
        <v>165</v>
      </c>
      <c r="G22" s="10" t="s">
        <v>178</v>
      </c>
      <c r="H22" s="9" t="s">
        <v>70</v>
      </c>
      <c r="I22" s="9" t="s">
        <v>167</v>
      </c>
      <c r="J22" s="9" t="s">
        <v>168</v>
      </c>
      <c r="K22" s="9" t="s">
        <v>73</v>
      </c>
      <c r="L22" s="10" t="s">
        <v>74</v>
      </c>
      <c r="M22" s="10" t="s">
        <v>169</v>
      </c>
      <c r="N22" s="10" t="s">
        <v>131</v>
      </c>
      <c r="O22" s="9" t="s">
        <v>77</v>
      </c>
      <c r="P22" s="9" t="s">
        <v>71</v>
      </c>
      <c r="Q22" s="9" t="s">
        <v>156</v>
      </c>
      <c r="R22" s="9" t="s">
        <v>71</v>
      </c>
      <c r="S22" s="9" t="s">
        <v>170</v>
      </c>
      <c r="T22" s="9" t="s">
        <v>171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81</v>
      </c>
    </row>
    <row r="23" customFormat="false" ht="15" hidden="false" customHeight="false" outlineLevel="0" collapsed="false">
      <c r="A23" s="9" t="s">
        <v>183</v>
      </c>
      <c r="B23" s="9" t="s">
        <v>184</v>
      </c>
      <c r="C23" s="11" t="n">
        <v>0.1</v>
      </c>
      <c r="D23" s="9"/>
      <c r="E23" s="9"/>
      <c r="F23" s="9" t="s">
        <v>165</v>
      </c>
      <c r="G23" s="10" t="s">
        <v>185</v>
      </c>
      <c r="H23" s="9" t="s">
        <v>70</v>
      </c>
      <c r="I23" s="9" t="s">
        <v>167</v>
      </c>
      <c r="J23" s="9" t="s">
        <v>168</v>
      </c>
      <c r="K23" s="9" t="s">
        <v>73</v>
      </c>
      <c r="L23" s="10" t="s">
        <v>74</v>
      </c>
      <c r="M23" s="10" t="s">
        <v>169</v>
      </c>
      <c r="N23" s="10" t="s">
        <v>131</v>
      </c>
      <c r="O23" s="9" t="s">
        <v>77</v>
      </c>
      <c r="P23" s="9" t="s">
        <v>71</v>
      </c>
      <c r="Q23" s="9" t="s">
        <v>156</v>
      </c>
      <c r="R23" s="9" t="s">
        <v>71</v>
      </c>
      <c r="S23" s="9" t="s">
        <v>170</v>
      </c>
      <c r="T23" s="9" t="s">
        <v>171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81</v>
      </c>
    </row>
    <row r="24" customFormat="false" ht="15" hidden="false" customHeight="false" outlineLevel="0" collapsed="false">
      <c r="A24" s="9" t="s">
        <v>186</v>
      </c>
      <c r="B24" s="9" t="s">
        <v>187</v>
      </c>
      <c r="C24" s="11" t="n">
        <v>0.01</v>
      </c>
      <c r="D24" s="9"/>
      <c r="E24" s="9"/>
      <c r="F24" s="9" t="s">
        <v>165</v>
      </c>
      <c r="G24" s="10" t="s">
        <v>185</v>
      </c>
      <c r="H24" s="9" t="s">
        <v>70</v>
      </c>
      <c r="I24" s="9" t="s">
        <v>167</v>
      </c>
      <c r="J24" s="9" t="s">
        <v>168</v>
      </c>
      <c r="K24" s="9" t="s">
        <v>73</v>
      </c>
      <c r="L24" s="10" t="s">
        <v>74</v>
      </c>
      <c r="M24" s="10" t="s">
        <v>169</v>
      </c>
      <c r="N24" s="10" t="s">
        <v>131</v>
      </c>
      <c r="O24" s="9" t="s">
        <v>77</v>
      </c>
      <c r="P24" s="9" t="s">
        <v>71</v>
      </c>
      <c r="Q24" s="9" t="s">
        <v>156</v>
      </c>
      <c r="R24" s="9" t="s">
        <v>71</v>
      </c>
      <c r="S24" s="9" t="s">
        <v>170</v>
      </c>
      <c r="T24" s="9" t="s">
        <v>171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81</v>
      </c>
    </row>
    <row r="25" customFormat="false" ht="15" hidden="false" customHeight="false" outlineLevel="0" collapsed="false">
      <c r="A25" s="9" t="s">
        <v>188</v>
      </c>
      <c r="B25" s="9" t="s">
        <v>189</v>
      </c>
      <c r="C25" s="11" t="n">
        <v>0.5</v>
      </c>
      <c r="D25" s="9"/>
      <c r="E25" s="9"/>
      <c r="F25" s="9" t="s">
        <v>165</v>
      </c>
      <c r="G25" s="10" t="s">
        <v>185</v>
      </c>
      <c r="H25" s="9" t="s">
        <v>70</v>
      </c>
      <c r="I25" s="9" t="s">
        <v>167</v>
      </c>
      <c r="J25" s="9" t="s">
        <v>168</v>
      </c>
      <c r="K25" s="9" t="s">
        <v>73</v>
      </c>
      <c r="L25" s="10" t="s">
        <v>74</v>
      </c>
      <c r="M25" s="10" t="s">
        <v>169</v>
      </c>
      <c r="N25" s="10" t="s">
        <v>131</v>
      </c>
      <c r="O25" s="9" t="s">
        <v>77</v>
      </c>
      <c r="P25" s="9" t="s">
        <v>71</v>
      </c>
      <c r="Q25" s="9" t="s">
        <v>156</v>
      </c>
      <c r="R25" s="9" t="s">
        <v>71</v>
      </c>
      <c r="S25" s="9" t="s">
        <v>170</v>
      </c>
      <c r="T25" s="9" t="s">
        <v>171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81</v>
      </c>
    </row>
    <row r="26" customFormat="false" ht="15" hidden="false" customHeight="false" outlineLevel="0" collapsed="false">
      <c r="A26" s="9" t="s">
        <v>190</v>
      </c>
      <c r="B26" s="9" t="s">
        <v>191</v>
      </c>
      <c r="C26" s="9" t="s">
        <v>192</v>
      </c>
      <c r="D26" s="9"/>
      <c r="E26" s="9"/>
      <c r="F26" s="10" t="s">
        <v>193</v>
      </c>
      <c r="G26" s="9" t="s">
        <v>194</v>
      </c>
      <c r="H26" s="9" t="s">
        <v>70</v>
      </c>
      <c r="I26" s="9" t="s">
        <v>167</v>
      </c>
      <c r="J26" s="9" t="s">
        <v>195</v>
      </c>
      <c r="K26" s="9" t="s">
        <v>73</v>
      </c>
      <c r="L26" s="10" t="s">
        <v>74</v>
      </c>
      <c r="M26" s="10" t="s">
        <v>169</v>
      </c>
      <c r="N26" s="10" t="s">
        <v>131</v>
      </c>
      <c r="O26" s="9" t="s">
        <v>77</v>
      </c>
      <c r="P26" s="9" t="s">
        <v>71</v>
      </c>
      <c r="Q26" s="9" t="s">
        <v>156</v>
      </c>
      <c r="R26" s="9" t="s">
        <v>71</v>
      </c>
      <c r="S26" s="9" t="s">
        <v>196</v>
      </c>
      <c r="T26" s="9" t="s">
        <v>197</v>
      </c>
      <c r="U26" s="9" t="s">
        <v>198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81</v>
      </c>
    </row>
    <row r="27" customFormat="false" ht="15" hidden="false" customHeight="false" outlineLevel="0" collapsed="false">
      <c r="A27" s="9" t="s">
        <v>199</v>
      </c>
      <c r="B27" s="9" t="s">
        <v>200</v>
      </c>
      <c r="C27" s="9" t="s">
        <v>201</v>
      </c>
      <c r="D27" s="9"/>
      <c r="E27" s="9"/>
      <c r="F27" s="10" t="s">
        <v>193</v>
      </c>
      <c r="G27" s="9" t="s">
        <v>194</v>
      </c>
      <c r="H27" s="9" t="s">
        <v>70</v>
      </c>
      <c r="I27" s="9" t="s">
        <v>167</v>
      </c>
      <c r="J27" s="9" t="s">
        <v>195</v>
      </c>
      <c r="K27" s="9" t="s">
        <v>73</v>
      </c>
      <c r="L27" s="10" t="s">
        <v>74</v>
      </c>
      <c r="M27" s="10" t="s">
        <v>169</v>
      </c>
      <c r="N27" s="10" t="s">
        <v>131</v>
      </c>
      <c r="O27" s="9" t="s">
        <v>77</v>
      </c>
      <c r="P27" s="9" t="s">
        <v>71</v>
      </c>
      <c r="Q27" s="9" t="s">
        <v>156</v>
      </c>
      <c r="R27" s="9" t="s">
        <v>71</v>
      </c>
      <c r="S27" s="9" t="s">
        <v>202</v>
      </c>
      <c r="T27" s="9" t="s">
        <v>197</v>
      </c>
      <c r="U27" s="9" t="s">
        <v>198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81</v>
      </c>
    </row>
    <row r="28" customFormat="false" ht="15" hidden="false" customHeight="false" outlineLevel="0" collapsed="false">
      <c r="A28" s="9" t="s">
        <v>203</v>
      </c>
      <c r="B28" s="9" t="s">
        <v>204</v>
      </c>
      <c r="C28" s="9" t="s">
        <v>205</v>
      </c>
      <c r="D28" s="9"/>
      <c r="E28" s="9"/>
      <c r="F28" s="10" t="s">
        <v>193</v>
      </c>
      <c r="G28" s="9" t="s">
        <v>194</v>
      </c>
      <c r="H28" s="9" t="s">
        <v>70</v>
      </c>
      <c r="I28" s="9" t="s">
        <v>167</v>
      </c>
      <c r="J28" s="9" t="s">
        <v>195</v>
      </c>
      <c r="K28" s="9" t="s">
        <v>73</v>
      </c>
      <c r="L28" s="10" t="s">
        <v>74</v>
      </c>
      <c r="M28" s="10" t="s">
        <v>169</v>
      </c>
      <c r="N28" s="10" t="s">
        <v>131</v>
      </c>
      <c r="O28" s="9" t="s">
        <v>77</v>
      </c>
      <c r="P28" s="9" t="s">
        <v>71</v>
      </c>
      <c r="Q28" s="9" t="s">
        <v>156</v>
      </c>
      <c r="R28" s="9" t="s">
        <v>71</v>
      </c>
      <c r="S28" s="9" t="s">
        <v>206</v>
      </c>
      <c r="T28" s="9" t="s">
        <v>197</v>
      </c>
      <c r="U28" s="9" t="s">
        <v>198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81</v>
      </c>
    </row>
    <row r="29" customFormat="false" ht="15" hidden="false" customHeight="false" outlineLevel="0" collapsed="false">
      <c r="A29" s="9" t="s">
        <v>207</v>
      </c>
      <c r="B29" s="9" t="s">
        <v>208</v>
      </c>
      <c r="C29" s="9" t="s">
        <v>209</v>
      </c>
      <c r="D29" s="9"/>
      <c r="E29" s="9"/>
      <c r="F29" s="10" t="s">
        <v>193</v>
      </c>
      <c r="G29" s="10" t="s">
        <v>210</v>
      </c>
      <c r="H29" s="9" t="s">
        <v>70</v>
      </c>
      <c r="I29" s="9" t="s">
        <v>211</v>
      </c>
      <c r="J29" s="9" t="s">
        <v>212</v>
      </c>
      <c r="K29" s="9" t="s">
        <v>73</v>
      </c>
      <c r="L29" s="10" t="s">
        <v>74</v>
      </c>
      <c r="M29" s="10" t="s">
        <v>169</v>
      </c>
      <c r="N29" s="10" t="s">
        <v>131</v>
      </c>
      <c r="O29" s="9" t="s">
        <v>77</v>
      </c>
      <c r="P29" s="9" t="s">
        <v>71</v>
      </c>
      <c r="Q29" s="9" t="s">
        <v>156</v>
      </c>
      <c r="R29" s="9" t="s">
        <v>71</v>
      </c>
      <c r="S29" s="9" t="s">
        <v>213</v>
      </c>
      <c r="T29" s="9" t="s">
        <v>214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81</v>
      </c>
    </row>
    <row r="30" customFormat="false" ht="15" hidden="false" customHeight="false" outlineLevel="0" collapsed="false">
      <c r="A30" s="9" t="s">
        <v>215</v>
      </c>
      <c r="B30" s="9" t="s">
        <v>216</v>
      </c>
      <c r="C30" s="9" t="s">
        <v>217</v>
      </c>
      <c r="D30" s="9"/>
      <c r="E30" s="9"/>
      <c r="F30" s="10" t="s">
        <v>193</v>
      </c>
      <c r="G30" s="10" t="s">
        <v>210</v>
      </c>
      <c r="H30" s="9" t="s">
        <v>70</v>
      </c>
      <c r="I30" s="9" t="s">
        <v>218</v>
      </c>
      <c r="J30" s="9" t="s">
        <v>212</v>
      </c>
      <c r="K30" s="9" t="s">
        <v>73</v>
      </c>
      <c r="L30" s="10" t="s">
        <v>74</v>
      </c>
      <c r="M30" s="10" t="s">
        <v>169</v>
      </c>
      <c r="N30" s="10" t="s">
        <v>131</v>
      </c>
      <c r="O30" s="9" t="s">
        <v>77</v>
      </c>
      <c r="P30" s="9" t="s">
        <v>71</v>
      </c>
      <c r="Q30" s="9" t="s">
        <v>156</v>
      </c>
      <c r="R30" s="9" t="s">
        <v>71</v>
      </c>
      <c r="S30" s="9" t="s">
        <v>213</v>
      </c>
      <c r="T30" s="9" t="s">
        <v>214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81</v>
      </c>
    </row>
    <row r="31" customFormat="false" ht="15" hidden="false" customHeight="false" outlineLevel="0" collapsed="false">
      <c r="A31" s="9" t="s">
        <v>219</v>
      </c>
      <c r="B31" s="9" t="s">
        <v>220</v>
      </c>
      <c r="C31" s="9" t="s">
        <v>221</v>
      </c>
      <c r="D31" s="9"/>
      <c r="E31" s="9"/>
      <c r="F31" s="10" t="s">
        <v>193</v>
      </c>
      <c r="G31" s="10" t="s">
        <v>210</v>
      </c>
      <c r="H31" s="9" t="s">
        <v>70</v>
      </c>
      <c r="I31" s="9" t="s">
        <v>222</v>
      </c>
      <c r="J31" s="9" t="s">
        <v>212</v>
      </c>
      <c r="K31" s="9" t="s">
        <v>73</v>
      </c>
      <c r="L31" s="10" t="s">
        <v>74</v>
      </c>
      <c r="M31" s="10" t="s">
        <v>169</v>
      </c>
      <c r="N31" s="10" t="s">
        <v>131</v>
      </c>
      <c r="O31" s="9" t="s">
        <v>77</v>
      </c>
      <c r="P31" s="9" t="s">
        <v>71</v>
      </c>
      <c r="Q31" s="9" t="s">
        <v>156</v>
      </c>
      <c r="R31" s="9" t="s">
        <v>71</v>
      </c>
      <c r="S31" s="9" t="s">
        <v>213</v>
      </c>
      <c r="T31" s="9" t="s">
        <v>214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81</v>
      </c>
    </row>
    <row r="32" customFormat="false" ht="15" hidden="false" customHeight="false" outlineLevel="0" collapsed="false">
      <c r="A32" s="9" t="s">
        <v>223</v>
      </c>
      <c r="B32" s="9" t="s">
        <v>224</v>
      </c>
      <c r="C32" s="9" t="s">
        <v>225</v>
      </c>
      <c r="D32" s="9"/>
      <c r="E32" s="9"/>
      <c r="F32" s="10" t="s">
        <v>193</v>
      </c>
      <c r="G32" s="10" t="s">
        <v>210</v>
      </c>
      <c r="H32" s="9" t="s">
        <v>70</v>
      </c>
      <c r="I32" s="9" t="s">
        <v>226</v>
      </c>
      <c r="J32" s="9" t="s">
        <v>212</v>
      </c>
      <c r="K32" s="9" t="s">
        <v>73</v>
      </c>
      <c r="L32" s="10" t="s">
        <v>74</v>
      </c>
      <c r="M32" s="10" t="s">
        <v>169</v>
      </c>
      <c r="N32" s="10" t="s">
        <v>131</v>
      </c>
      <c r="O32" s="9" t="s">
        <v>77</v>
      </c>
      <c r="P32" s="9" t="s">
        <v>71</v>
      </c>
      <c r="Q32" s="9" t="s">
        <v>156</v>
      </c>
      <c r="R32" s="9" t="s">
        <v>71</v>
      </c>
      <c r="S32" s="9" t="s">
        <v>213</v>
      </c>
      <c r="T32" s="9" t="s">
        <v>214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81</v>
      </c>
    </row>
    <row r="33" customFormat="false" ht="15" hidden="false" customHeight="false" outlineLevel="0" collapsed="false">
      <c r="A33" s="9" t="s">
        <v>227</v>
      </c>
      <c r="B33" s="9" t="s">
        <v>228</v>
      </c>
      <c r="C33" s="9" t="s">
        <v>229</v>
      </c>
      <c r="D33" s="9"/>
      <c r="E33" s="9"/>
      <c r="F33" s="10" t="s">
        <v>193</v>
      </c>
      <c r="G33" s="10" t="s">
        <v>210</v>
      </c>
      <c r="H33" s="9" t="s">
        <v>70</v>
      </c>
      <c r="I33" s="9" t="s">
        <v>230</v>
      </c>
      <c r="J33" s="9" t="s">
        <v>212</v>
      </c>
      <c r="K33" s="9" t="s">
        <v>73</v>
      </c>
      <c r="L33" s="10" t="s">
        <v>74</v>
      </c>
      <c r="M33" s="10" t="s">
        <v>169</v>
      </c>
      <c r="N33" s="10" t="s">
        <v>131</v>
      </c>
      <c r="O33" s="9" t="s">
        <v>77</v>
      </c>
      <c r="P33" s="9" t="s">
        <v>71</v>
      </c>
      <c r="Q33" s="9" t="s">
        <v>156</v>
      </c>
      <c r="R33" s="9" t="s">
        <v>71</v>
      </c>
      <c r="S33" s="9" t="s">
        <v>213</v>
      </c>
      <c r="T33" s="9" t="s">
        <v>214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81</v>
      </c>
    </row>
    <row r="34" customFormat="false" ht="15" hidden="false" customHeight="false" outlineLevel="0" collapsed="false">
      <c r="A34" s="9" t="s">
        <v>231</v>
      </c>
      <c r="B34" s="10" t="s">
        <v>232</v>
      </c>
      <c r="C34" s="11" t="n">
        <v>0.1</v>
      </c>
      <c r="D34" s="9"/>
      <c r="E34" s="9"/>
      <c r="F34" s="10" t="s">
        <v>120</v>
      </c>
      <c r="G34" s="10" t="s">
        <v>233</v>
      </c>
      <c r="H34" s="9" t="s">
        <v>70</v>
      </c>
      <c r="I34" s="9" t="s">
        <v>234</v>
      </c>
      <c r="J34" s="10" t="s">
        <v>235</v>
      </c>
      <c r="K34" s="9" t="s">
        <v>73</v>
      </c>
      <c r="L34" s="10" t="s">
        <v>74</v>
      </c>
      <c r="M34" s="10" t="s">
        <v>169</v>
      </c>
      <c r="N34" s="10" t="s">
        <v>131</v>
      </c>
      <c r="O34" s="9" t="s">
        <v>77</v>
      </c>
      <c r="P34" s="9" t="s">
        <v>71</v>
      </c>
      <c r="Q34" s="9" t="s">
        <v>156</v>
      </c>
      <c r="R34" s="9" t="s">
        <v>71</v>
      </c>
      <c r="S34" s="9" t="s">
        <v>236</v>
      </c>
      <c r="T34" s="9" t="s">
        <v>237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81</v>
      </c>
    </row>
    <row r="35" customFormat="false" ht="15" hidden="false" customHeight="false" outlineLevel="0" collapsed="false">
      <c r="A35" s="9" t="s">
        <v>238</v>
      </c>
      <c r="B35" s="10" t="s">
        <v>239</v>
      </c>
      <c r="C35" s="11" t="n">
        <v>8</v>
      </c>
      <c r="D35" s="9"/>
      <c r="E35" s="9"/>
      <c r="F35" s="9" t="s">
        <v>240</v>
      </c>
      <c r="G35" s="9" t="s">
        <v>241</v>
      </c>
      <c r="H35" s="9" t="s">
        <v>70</v>
      </c>
      <c r="I35" s="9" t="s">
        <v>234</v>
      </c>
      <c r="J35" s="9" t="s">
        <v>242</v>
      </c>
      <c r="K35" s="9" t="s">
        <v>73</v>
      </c>
      <c r="L35" s="10" t="s">
        <v>74</v>
      </c>
      <c r="M35" s="10" t="s">
        <v>169</v>
      </c>
      <c r="N35" s="10" t="s">
        <v>131</v>
      </c>
      <c r="O35" s="9" t="s">
        <v>77</v>
      </c>
      <c r="P35" s="9" t="s">
        <v>71</v>
      </c>
      <c r="Q35" s="9" t="s">
        <v>156</v>
      </c>
      <c r="R35" s="9" t="s">
        <v>71</v>
      </c>
      <c r="S35" s="9" t="s">
        <v>243</v>
      </c>
      <c r="T35" s="9" t="s">
        <v>244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81</v>
      </c>
    </row>
    <row r="36" customFormat="false" ht="15" hidden="false" customHeight="false" outlineLevel="0" collapsed="false">
      <c r="A36" s="9" t="s">
        <v>245</v>
      </c>
      <c r="B36" s="10" t="s">
        <v>246</v>
      </c>
      <c r="C36" s="11" t="n">
        <v>20</v>
      </c>
      <c r="D36" s="9"/>
      <c r="E36" s="9"/>
      <c r="F36" s="9" t="s">
        <v>240</v>
      </c>
      <c r="G36" s="9" t="s">
        <v>241</v>
      </c>
      <c r="H36" s="9" t="s">
        <v>70</v>
      </c>
      <c r="I36" s="9" t="s">
        <v>234</v>
      </c>
      <c r="J36" s="9" t="s">
        <v>242</v>
      </c>
      <c r="K36" s="9" t="s">
        <v>73</v>
      </c>
      <c r="L36" s="10" t="s">
        <v>74</v>
      </c>
      <c r="M36" s="10" t="s">
        <v>169</v>
      </c>
      <c r="N36" s="10" t="s">
        <v>131</v>
      </c>
      <c r="O36" s="9" t="s">
        <v>77</v>
      </c>
      <c r="P36" s="9" t="s">
        <v>71</v>
      </c>
      <c r="Q36" s="9" t="s">
        <v>156</v>
      </c>
      <c r="R36" s="9" t="s">
        <v>71</v>
      </c>
      <c r="S36" s="9" t="s">
        <v>243</v>
      </c>
      <c r="T36" s="9" t="s">
        <v>237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81</v>
      </c>
    </row>
    <row r="37" customFormat="false" ht="15" hidden="false" customHeight="false" outlineLevel="0" collapsed="false">
      <c r="A37" s="9" t="s">
        <v>247</v>
      </c>
      <c r="B37" s="10" t="s">
        <v>248</v>
      </c>
      <c r="C37" s="11" t="n">
        <v>100</v>
      </c>
      <c r="D37" s="9"/>
      <c r="E37" s="9"/>
      <c r="F37" s="9" t="s">
        <v>240</v>
      </c>
      <c r="G37" s="9" t="s">
        <v>249</v>
      </c>
      <c r="H37" s="9" t="s">
        <v>70</v>
      </c>
      <c r="I37" s="9" t="s">
        <v>234</v>
      </c>
      <c r="J37" s="9" t="s">
        <v>242</v>
      </c>
      <c r="K37" s="9" t="s">
        <v>73</v>
      </c>
      <c r="L37" s="10" t="s">
        <v>74</v>
      </c>
      <c r="M37" s="10" t="s">
        <v>169</v>
      </c>
      <c r="N37" s="10" t="s">
        <v>131</v>
      </c>
      <c r="O37" s="9" t="s">
        <v>77</v>
      </c>
      <c r="P37" s="9" t="s">
        <v>71</v>
      </c>
      <c r="Q37" s="9" t="s">
        <v>156</v>
      </c>
      <c r="R37" s="9" t="s">
        <v>71</v>
      </c>
      <c r="S37" s="9" t="s">
        <v>243</v>
      </c>
      <c r="T37" s="9" t="s">
        <v>237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81</v>
      </c>
    </row>
    <row r="38" customFormat="false" ht="15" hidden="false" customHeight="false" outlineLevel="0" collapsed="false">
      <c r="A38" s="9" t="s">
        <v>250</v>
      </c>
      <c r="B38" s="10" t="s">
        <v>251</v>
      </c>
      <c r="C38" s="11" t="n">
        <v>200</v>
      </c>
      <c r="D38" s="9"/>
      <c r="E38" s="9"/>
      <c r="F38" s="9" t="s">
        <v>240</v>
      </c>
      <c r="G38" s="9" t="s">
        <v>249</v>
      </c>
      <c r="H38" s="9" t="s">
        <v>70</v>
      </c>
      <c r="I38" s="9" t="s">
        <v>234</v>
      </c>
      <c r="J38" s="9" t="s">
        <v>242</v>
      </c>
      <c r="K38" s="9" t="s">
        <v>73</v>
      </c>
      <c r="L38" s="10" t="s">
        <v>74</v>
      </c>
      <c r="M38" s="10" t="s">
        <v>169</v>
      </c>
      <c r="N38" s="10" t="s">
        <v>131</v>
      </c>
      <c r="O38" s="9" t="s">
        <v>77</v>
      </c>
      <c r="P38" s="9" t="s">
        <v>71</v>
      </c>
      <c r="Q38" s="9" t="s">
        <v>156</v>
      </c>
      <c r="R38" s="9" t="s">
        <v>71</v>
      </c>
      <c r="S38" s="9" t="s">
        <v>243</v>
      </c>
      <c r="T38" s="9" t="s">
        <v>237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81</v>
      </c>
    </row>
    <row r="39" customFormat="false" ht="15" hidden="false" customHeight="false" outlineLevel="0" collapsed="false">
      <c r="A39" s="9" t="s">
        <v>252</v>
      </c>
      <c r="B39" s="10" t="s">
        <v>253</v>
      </c>
      <c r="C39" s="9"/>
      <c r="D39" s="11" t="n">
        <v>20</v>
      </c>
      <c r="E39" s="11" t="n">
        <v>25</v>
      </c>
      <c r="F39" s="9" t="s">
        <v>254</v>
      </c>
      <c r="G39" s="9" t="s">
        <v>255</v>
      </c>
      <c r="H39" s="9" t="s">
        <v>70</v>
      </c>
      <c r="I39" s="9" t="s">
        <v>234</v>
      </c>
      <c r="J39" s="9" t="s">
        <v>242</v>
      </c>
      <c r="K39" s="9" t="s">
        <v>73</v>
      </c>
      <c r="L39" s="10" t="s">
        <v>74</v>
      </c>
      <c r="M39" s="10" t="s">
        <v>169</v>
      </c>
      <c r="N39" s="10" t="s">
        <v>131</v>
      </c>
      <c r="O39" s="9" t="s">
        <v>77</v>
      </c>
      <c r="P39" s="9" t="s">
        <v>71</v>
      </c>
      <c r="Q39" s="9" t="s">
        <v>156</v>
      </c>
      <c r="R39" s="9" t="s">
        <v>71</v>
      </c>
      <c r="S39" s="9" t="s">
        <v>243</v>
      </c>
      <c r="T39" s="9" t="s">
        <v>237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81</v>
      </c>
    </row>
    <row r="40" customFormat="false" ht="15" hidden="false" customHeight="false" outlineLevel="0" collapsed="false">
      <c r="A40" s="9" t="s">
        <v>256</v>
      </c>
      <c r="B40" s="10" t="s">
        <v>257</v>
      </c>
      <c r="C40" s="11" t="n">
        <v>112</v>
      </c>
      <c r="D40" s="9"/>
      <c r="E40" s="9"/>
      <c r="F40" s="9" t="s">
        <v>258</v>
      </c>
      <c r="G40" s="10" t="s">
        <v>259</v>
      </c>
      <c r="H40" s="9" t="s">
        <v>70</v>
      </c>
      <c r="I40" s="9" t="s">
        <v>260</v>
      </c>
      <c r="J40" s="9" t="s">
        <v>261</v>
      </c>
      <c r="K40" s="9" t="s">
        <v>262</v>
      </c>
      <c r="L40" s="10" t="s">
        <v>74</v>
      </c>
      <c r="M40" s="10" t="s">
        <v>87</v>
      </c>
      <c r="N40" s="10" t="s">
        <v>101</v>
      </c>
      <c r="O40" s="9" t="s">
        <v>77</v>
      </c>
      <c r="P40" s="9" t="s">
        <v>71</v>
      </c>
      <c r="Q40" s="9" t="s">
        <v>78</v>
      </c>
      <c r="R40" s="10" t="s">
        <v>263</v>
      </c>
      <c r="S40" s="9" t="s">
        <v>264</v>
      </c>
      <c r="T40" s="9" t="s">
        <v>265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81</v>
      </c>
    </row>
    <row r="41" customFormat="false" ht="15" hidden="false" customHeight="false" outlineLevel="0" collapsed="false">
      <c r="A41" s="9" t="s">
        <v>266</v>
      </c>
      <c r="B41" s="10" t="s">
        <v>267</v>
      </c>
      <c r="C41" s="11" t="n">
        <v>9</v>
      </c>
      <c r="D41" s="9"/>
      <c r="E41" s="9"/>
      <c r="F41" s="9" t="s">
        <v>258</v>
      </c>
      <c r="G41" s="10" t="s">
        <v>259</v>
      </c>
      <c r="H41" s="9" t="s">
        <v>70</v>
      </c>
      <c r="I41" s="9" t="s">
        <v>260</v>
      </c>
      <c r="J41" s="9" t="s">
        <v>268</v>
      </c>
      <c r="K41" s="9" t="s">
        <v>262</v>
      </c>
      <c r="L41" s="10" t="s">
        <v>74</v>
      </c>
      <c r="M41" s="10" t="s">
        <v>87</v>
      </c>
      <c r="N41" s="10" t="s">
        <v>101</v>
      </c>
      <c r="O41" s="9" t="s">
        <v>77</v>
      </c>
      <c r="P41" s="9" t="s">
        <v>71</v>
      </c>
      <c r="Q41" s="9" t="s">
        <v>78</v>
      </c>
      <c r="R41" s="10" t="s">
        <v>263</v>
      </c>
      <c r="S41" s="9" t="s">
        <v>269</v>
      </c>
      <c r="T41" s="9" t="s">
        <v>265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81</v>
      </c>
    </row>
    <row r="42" customFormat="false" ht="15" hidden="false" customHeight="false" outlineLevel="0" collapsed="false">
      <c r="A42" s="9" t="s">
        <v>270</v>
      </c>
      <c r="B42" s="10" t="s">
        <v>271</v>
      </c>
      <c r="C42" s="11" t="n">
        <v>2.5</v>
      </c>
      <c r="D42" s="9"/>
      <c r="E42" s="9"/>
      <c r="F42" s="9" t="s">
        <v>68</v>
      </c>
      <c r="G42" s="10" t="s">
        <v>272</v>
      </c>
      <c r="H42" s="9" t="s">
        <v>70</v>
      </c>
      <c r="I42" s="9" t="s">
        <v>273</v>
      </c>
      <c r="J42" s="9" t="s">
        <v>274</v>
      </c>
      <c r="K42" s="9" t="s">
        <v>73</v>
      </c>
      <c r="L42" s="10" t="s">
        <v>74</v>
      </c>
      <c r="M42" s="10" t="s">
        <v>87</v>
      </c>
      <c r="N42" s="10" t="s">
        <v>101</v>
      </c>
      <c r="O42" s="9" t="s">
        <v>77</v>
      </c>
      <c r="P42" s="9" t="s">
        <v>71</v>
      </c>
      <c r="Q42" s="9" t="s">
        <v>78</v>
      </c>
      <c r="R42" s="9" t="s">
        <v>71</v>
      </c>
      <c r="S42" s="9" t="s">
        <v>275</v>
      </c>
      <c r="T42" s="9" t="s">
        <v>276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81</v>
      </c>
    </row>
    <row r="43" customFormat="false" ht="15" hidden="false" customHeight="false" outlineLevel="0" collapsed="false">
      <c r="A43" s="9" t="s">
        <v>277</v>
      </c>
      <c r="B43" s="10" t="s">
        <v>278</v>
      </c>
      <c r="C43" s="11" t="n">
        <v>11</v>
      </c>
      <c r="D43" s="9"/>
      <c r="E43" s="9"/>
      <c r="F43" s="9" t="s">
        <v>68</v>
      </c>
      <c r="G43" s="10" t="s">
        <v>272</v>
      </c>
      <c r="H43" s="9" t="s">
        <v>70</v>
      </c>
      <c r="I43" s="9" t="s">
        <v>273</v>
      </c>
      <c r="J43" s="9" t="s">
        <v>274</v>
      </c>
      <c r="K43" s="9" t="s">
        <v>73</v>
      </c>
      <c r="L43" s="10" t="s">
        <v>74</v>
      </c>
      <c r="M43" s="10" t="s">
        <v>87</v>
      </c>
      <c r="N43" s="10" t="s">
        <v>101</v>
      </c>
      <c r="O43" s="9" t="s">
        <v>77</v>
      </c>
      <c r="P43" s="9" t="s">
        <v>71</v>
      </c>
      <c r="Q43" s="9" t="s">
        <v>78</v>
      </c>
      <c r="R43" s="9" t="s">
        <v>71</v>
      </c>
      <c r="S43" s="9" t="s">
        <v>275</v>
      </c>
      <c r="T43" s="9" t="s">
        <v>276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81</v>
      </c>
    </row>
    <row r="44" customFormat="false" ht="15" hidden="false" customHeight="false" outlineLevel="0" collapsed="false">
      <c r="A44" s="9" t="s">
        <v>279</v>
      </c>
      <c r="B44" s="10" t="s">
        <v>280</v>
      </c>
      <c r="C44" s="11" t="n">
        <v>25</v>
      </c>
      <c r="D44" s="9"/>
      <c r="E44" s="9"/>
      <c r="F44" s="9" t="s">
        <v>68</v>
      </c>
      <c r="G44" s="10" t="s">
        <v>272</v>
      </c>
      <c r="H44" s="9" t="s">
        <v>70</v>
      </c>
      <c r="I44" s="9" t="s">
        <v>273</v>
      </c>
      <c r="J44" s="9" t="s">
        <v>274</v>
      </c>
      <c r="K44" s="9" t="s">
        <v>73</v>
      </c>
      <c r="L44" s="10" t="s">
        <v>74</v>
      </c>
      <c r="M44" s="10" t="s">
        <v>87</v>
      </c>
      <c r="N44" s="10" t="s">
        <v>101</v>
      </c>
      <c r="O44" s="9" t="s">
        <v>77</v>
      </c>
      <c r="P44" s="9" t="s">
        <v>71</v>
      </c>
      <c r="Q44" s="9" t="s">
        <v>78</v>
      </c>
      <c r="R44" s="9" t="s">
        <v>71</v>
      </c>
      <c r="S44" s="9" t="s">
        <v>275</v>
      </c>
      <c r="T44" s="9" t="s">
        <v>276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81</v>
      </c>
    </row>
    <row r="45" customFormat="false" ht="15" hidden="false" customHeight="false" outlineLevel="0" collapsed="false">
      <c r="A45" s="9" t="s">
        <v>281</v>
      </c>
      <c r="B45" s="10" t="s">
        <v>282</v>
      </c>
      <c r="C45" s="11" t="n">
        <v>53</v>
      </c>
      <c r="D45" s="9"/>
      <c r="E45" s="9"/>
      <c r="F45" s="9" t="s">
        <v>68</v>
      </c>
      <c r="G45" s="10" t="s">
        <v>272</v>
      </c>
      <c r="H45" s="9" t="s">
        <v>70</v>
      </c>
      <c r="I45" s="9" t="s">
        <v>273</v>
      </c>
      <c r="J45" s="9" t="s">
        <v>274</v>
      </c>
      <c r="K45" s="9" t="s">
        <v>73</v>
      </c>
      <c r="L45" s="10" t="s">
        <v>74</v>
      </c>
      <c r="M45" s="10" t="s">
        <v>87</v>
      </c>
      <c r="N45" s="10" t="s">
        <v>101</v>
      </c>
      <c r="O45" s="9" t="s">
        <v>77</v>
      </c>
      <c r="P45" s="9" t="s">
        <v>71</v>
      </c>
      <c r="Q45" s="9" t="s">
        <v>78</v>
      </c>
      <c r="R45" s="9" t="s">
        <v>71</v>
      </c>
      <c r="S45" s="9" t="s">
        <v>275</v>
      </c>
      <c r="T45" s="9" t="s">
        <v>276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81</v>
      </c>
    </row>
    <row r="46" customFormat="false" ht="15" hidden="false" customHeight="false" outlineLevel="0" collapsed="false">
      <c r="A46" s="9" t="s">
        <v>283</v>
      </c>
      <c r="B46" s="10" t="s">
        <v>284</v>
      </c>
      <c r="C46" s="11" t="n">
        <v>100</v>
      </c>
      <c r="D46" s="9"/>
      <c r="E46" s="9"/>
      <c r="F46" s="9" t="s">
        <v>68</v>
      </c>
      <c r="G46" s="10" t="s">
        <v>272</v>
      </c>
      <c r="H46" s="9" t="s">
        <v>70</v>
      </c>
      <c r="I46" s="9" t="s">
        <v>273</v>
      </c>
      <c r="J46" s="9" t="s">
        <v>274</v>
      </c>
      <c r="K46" s="9" t="s">
        <v>73</v>
      </c>
      <c r="L46" s="10" t="s">
        <v>74</v>
      </c>
      <c r="M46" s="10" t="s">
        <v>87</v>
      </c>
      <c r="N46" s="10" t="s">
        <v>101</v>
      </c>
      <c r="O46" s="9" t="s">
        <v>77</v>
      </c>
      <c r="P46" s="9" t="s">
        <v>71</v>
      </c>
      <c r="Q46" s="9" t="s">
        <v>78</v>
      </c>
      <c r="R46" s="9" t="s">
        <v>71</v>
      </c>
      <c r="S46" s="9" t="s">
        <v>275</v>
      </c>
      <c r="T46" s="9" t="s">
        <v>276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81</v>
      </c>
    </row>
    <row r="47" customFormat="false" ht="15" hidden="false" customHeight="false" outlineLevel="0" collapsed="false">
      <c r="A47" s="9" t="s">
        <v>285</v>
      </c>
      <c r="B47" s="10" t="s">
        <v>286</v>
      </c>
      <c r="C47" s="11" t="n">
        <v>36</v>
      </c>
      <c r="D47" s="9"/>
      <c r="E47" s="9"/>
      <c r="F47" s="9" t="s">
        <v>68</v>
      </c>
      <c r="G47" s="9" t="s">
        <v>287</v>
      </c>
      <c r="H47" s="9" t="s">
        <v>70</v>
      </c>
      <c r="I47" s="9" t="s">
        <v>288</v>
      </c>
      <c r="J47" s="9" t="s">
        <v>289</v>
      </c>
      <c r="K47" s="9" t="s">
        <v>73</v>
      </c>
      <c r="L47" s="10" t="s">
        <v>74</v>
      </c>
      <c r="M47" s="10" t="s">
        <v>87</v>
      </c>
      <c r="N47" s="10" t="s">
        <v>76</v>
      </c>
      <c r="O47" s="9" t="s">
        <v>77</v>
      </c>
      <c r="P47" s="9" t="s">
        <v>71</v>
      </c>
      <c r="Q47" s="9" t="s">
        <v>78</v>
      </c>
      <c r="R47" s="9" t="s">
        <v>71</v>
      </c>
      <c r="S47" s="9" t="s">
        <v>290</v>
      </c>
      <c r="T47" s="9" t="s">
        <v>291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81</v>
      </c>
    </row>
    <row r="48" customFormat="false" ht="15" hidden="false" customHeight="false" outlineLevel="0" collapsed="false">
      <c r="A48" s="9" t="s">
        <v>292</v>
      </c>
      <c r="B48" s="10" t="s">
        <v>293</v>
      </c>
      <c r="C48" s="11" t="n">
        <v>350</v>
      </c>
      <c r="D48" s="9"/>
      <c r="E48" s="9"/>
      <c r="F48" s="9" t="s">
        <v>68</v>
      </c>
      <c r="G48" s="9" t="s">
        <v>294</v>
      </c>
      <c r="H48" s="9" t="s">
        <v>70</v>
      </c>
      <c r="I48" s="9" t="s">
        <v>288</v>
      </c>
      <c r="J48" s="9" t="s">
        <v>289</v>
      </c>
      <c r="K48" s="9" t="s">
        <v>73</v>
      </c>
      <c r="L48" s="10" t="s">
        <v>74</v>
      </c>
      <c r="M48" s="10" t="s">
        <v>87</v>
      </c>
      <c r="N48" s="10" t="s">
        <v>76</v>
      </c>
      <c r="O48" s="9" t="s">
        <v>77</v>
      </c>
      <c r="P48" s="9" t="s">
        <v>71</v>
      </c>
      <c r="Q48" s="9" t="s">
        <v>78</v>
      </c>
      <c r="R48" s="9" t="s">
        <v>71</v>
      </c>
      <c r="S48" s="9" t="s">
        <v>290</v>
      </c>
      <c r="T48" s="9" t="s">
        <v>291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81</v>
      </c>
    </row>
    <row r="49" customFormat="false" ht="15" hidden="false" customHeight="false" outlineLevel="0" collapsed="false">
      <c r="A49" s="9" t="s">
        <v>295</v>
      </c>
      <c r="B49" s="10" t="s">
        <v>296</v>
      </c>
      <c r="C49" s="11" t="n">
        <v>840</v>
      </c>
      <c r="D49" s="9"/>
      <c r="E49" s="9"/>
      <c r="F49" s="9" t="s">
        <v>68</v>
      </c>
      <c r="G49" s="9" t="s">
        <v>294</v>
      </c>
      <c r="H49" s="9" t="s">
        <v>70</v>
      </c>
      <c r="I49" s="9" t="s">
        <v>288</v>
      </c>
      <c r="J49" s="9" t="s">
        <v>289</v>
      </c>
      <c r="K49" s="9" t="s">
        <v>73</v>
      </c>
      <c r="L49" s="10" t="s">
        <v>74</v>
      </c>
      <c r="M49" s="10" t="s">
        <v>87</v>
      </c>
      <c r="N49" s="10" t="s">
        <v>76</v>
      </c>
      <c r="O49" s="9" t="s">
        <v>77</v>
      </c>
      <c r="P49" s="9" t="s">
        <v>71</v>
      </c>
      <c r="Q49" s="9" t="s">
        <v>78</v>
      </c>
      <c r="R49" s="9" t="s">
        <v>71</v>
      </c>
      <c r="S49" s="9" t="s">
        <v>290</v>
      </c>
      <c r="T49" s="9" t="s">
        <v>291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81</v>
      </c>
    </row>
    <row r="50" customFormat="false" ht="15" hidden="false" customHeight="false" outlineLevel="0" collapsed="false">
      <c r="A50" s="9" t="s">
        <v>297</v>
      </c>
      <c r="B50" s="9" t="s">
        <v>298</v>
      </c>
      <c r="C50" s="11" t="n">
        <v>2750</v>
      </c>
      <c r="D50" s="9"/>
      <c r="E50" s="9"/>
      <c r="F50" s="9" t="s">
        <v>258</v>
      </c>
      <c r="G50" s="10" t="s">
        <v>299</v>
      </c>
      <c r="H50" s="9" t="s">
        <v>70</v>
      </c>
      <c r="I50" s="9" t="s">
        <v>273</v>
      </c>
      <c r="J50" s="9" t="s">
        <v>300</v>
      </c>
      <c r="K50" s="9" t="s">
        <v>73</v>
      </c>
      <c r="L50" s="10" t="s">
        <v>74</v>
      </c>
      <c r="M50" s="10" t="s">
        <v>87</v>
      </c>
      <c r="N50" s="10" t="s">
        <v>101</v>
      </c>
      <c r="O50" s="9" t="s">
        <v>77</v>
      </c>
      <c r="P50" s="9" t="s">
        <v>71</v>
      </c>
      <c r="Q50" s="9" t="s">
        <v>78</v>
      </c>
      <c r="R50" s="9" t="s">
        <v>71</v>
      </c>
      <c r="S50" s="9" t="s">
        <v>301</v>
      </c>
      <c r="T50" s="9" t="s">
        <v>276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81</v>
      </c>
    </row>
    <row r="51" customFormat="false" ht="15" hidden="false" customHeight="false" outlineLevel="0" collapsed="false">
      <c r="A51" s="9" t="s">
        <v>302</v>
      </c>
      <c r="B51" s="10" t="s">
        <v>303</v>
      </c>
      <c r="C51" s="11" t="n">
        <v>8.4</v>
      </c>
      <c r="D51" s="9"/>
      <c r="E51" s="9"/>
      <c r="F51" s="9" t="s">
        <v>68</v>
      </c>
      <c r="G51" s="9" t="s">
        <v>304</v>
      </c>
      <c r="H51" s="9" t="s">
        <v>70</v>
      </c>
      <c r="I51" s="9" t="s">
        <v>305</v>
      </c>
      <c r="J51" s="9" t="s">
        <v>306</v>
      </c>
      <c r="K51" s="9" t="s">
        <v>262</v>
      </c>
      <c r="L51" s="10" t="s">
        <v>74</v>
      </c>
      <c r="M51" s="10" t="s">
        <v>87</v>
      </c>
      <c r="N51" s="10" t="s">
        <v>101</v>
      </c>
      <c r="O51" s="9" t="s">
        <v>77</v>
      </c>
      <c r="P51" s="9" t="s">
        <v>71</v>
      </c>
      <c r="Q51" s="9" t="s">
        <v>78</v>
      </c>
      <c r="R51" s="10" t="s">
        <v>263</v>
      </c>
      <c r="S51" s="9" t="s">
        <v>307</v>
      </c>
      <c r="T51" s="9" t="s">
        <v>308</v>
      </c>
      <c r="U51" s="9" t="s">
        <v>309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81</v>
      </c>
    </row>
    <row r="52" customFormat="false" ht="15" hidden="false" customHeight="false" outlineLevel="0" collapsed="false">
      <c r="A52" s="9" t="s">
        <v>310</v>
      </c>
      <c r="B52" s="10" t="s">
        <v>311</v>
      </c>
      <c r="C52" s="11" t="n">
        <v>3.9</v>
      </c>
      <c r="D52" s="9"/>
      <c r="E52" s="9"/>
      <c r="F52" s="9" t="s">
        <v>68</v>
      </c>
      <c r="G52" s="10" t="s">
        <v>312</v>
      </c>
      <c r="H52" s="9" t="s">
        <v>70</v>
      </c>
      <c r="I52" s="9" t="s">
        <v>305</v>
      </c>
      <c r="J52" s="9" t="s">
        <v>313</v>
      </c>
      <c r="K52" s="9" t="s">
        <v>262</v>
      </c>
      <c r="L52" s="10" t="s">
        <v>74</v>
      </c>
      <c r="M52" s="10" t="s">
        <v>87</v>
      </c>
      <c r="N52" s="10" t="s">
        <v>101</v>
      </c>
      <c r="O52" s="9" t="s">
        <v>77</v>
      </c>
      <c r="P52" s="9" t="s">
        <v>71</v>
      </c>
      <c r="Q52" s="9" t="s">
        <v>78</v>
      </c>
      <c r="R52" s="10" t="s">
        <v>263</v>
      </c>
      <c r="S52" s="9" t="s">
        <v>314</v>
      </c>
      <c r="T52" s="9" t="s">
        <v>315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81</v>
      </c>
    </row>
    <row r="53" customFormat="false" ht="15" hidden="false" customHeight="false" outlineLevel="0" collapsed="false">
      <c r="A53" s="9" t="s">
        <v>316</v>
      </c>
      <c r="B53" s="10" t="s">
        <v>317</v>
      </c>
      <c r="C53" s="11" t="n">
        <v>4.5</v>
      </c>
      <c r="D53" s="9"/>
      <c r="E53" s="9"/>
      <c r="F53" s="9" t="s">
        <v>68</v>
      </c>
      <c r="G53" s="10" t="s">
        <v>318</v>
      </c>
      <c r="H53" s="9" t="s">
        <v>70</v>
      </c>
      <c r="I53" s="9" t="s">
        <v>305</v>
      </c>
      <c r="J53" s="9" t="s">
        <v>319</v>
      </c>
      <c r="K53" s="9" t="s">
        <v>262</v>
      </c>
      <c r="L53" s="10" t="s">
        <v>74</v>
      </c>
      <c r="M53" s="10" t="s">
        <v>87</v>
      </c>
      <c r="N53" s="10" t="s">
        <v>101</v>
      </c>
      <c r="O53" s="9" t="s">
        <v>77</v>
      </c>
      <c r="P53" s="9" t="s">
        <v>71</v>
      </c>
      <c r="Q53" s="9" t="s">
        <v>78</v>
      </c>
      <c r="R53" s="10" t="s">
        <v>263</v>
      </c>
      <c r="S53" s="9" t="s">
        <v>320</v>
      </c>
      <c r="T53" s="9" t="s">
        <v>315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81</v>
      </c>
    </row>
    <row r="54" customFormat="false" ht="15" hidden="false" customHeight="false" outlineLevel="0" collapsed="false">
      <c r="A54" s="9" t="s">
        <v>321</v>
      </c>
      <c r="B54" s="10" t="s">
        <v>322</v>
      </c>
      <c r="C54" s="11" t="n">
        <v>14.1</v>
      </c>
      <c r="D54" s="9"/>
      <c r="E54" s="9"/>
      <c r="F54" s="9" t="s">
        <v>68</v>
      </c>
      <c r="G54" s="9" t="s">
        <v>323</v>
      </c>
      <c r="H54" s="9" t="s">
        <v>70</v>
      </c>
      <c r="I54" s="9" t="s">
        <v>305</v>
      </c>
      <c r="J54" s="9" t="s">
        <v>324</v>
      </c>
      <c r="K54" s="9" t="s">
        <v>73</v>
      </c>
      <c r="L54" s="10" t="s">
        <v>74</v>
      </c>
      <c r="M54" s="10" t="s">
        <v>87</v>
      </c>
      <c r="N54" s="10" t="s">
        <v>101</v>
      </c>
      <c r="O54" s="9" t="s">
        <v>77</v>
      </c>
      <c r="P54" s="9" t="s">
        <v>71</v>
      </c>
      <c r="Q54" s="9" t="s">
        <v>78</v>
      </c>
      <c r="R54" s="9" t="s">
        <v>71</v>
      </c>
      <c r="S54" s="9" t="s">
        <v>325</v>
      </c>
      <c r="T54" s="9" t="s">
        <v>326</v>
      </c>
      <c r="U54" s="10" t="s">
        <v>327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81</v>
      </c>
    </row>
    <row r="55" customFormat="false" ht="15" hidden="false" customHeight="false" outlineLevel="0" collapsed="false">
      <c r="A55" s="9" t="s">
        <v>328</v>
      </c>
      <c r="B55" s="10" t="s">
        <v>329</v>
      </c>
      <c r="C55" s="11" t="n">
        <v>85</v>
      </c>
      <c r="D55" s="9"/>
      <c r="E55" s="9"/>
      <c r="F55" s="9" t="s">
        <v>68</v>
      </c>
      <c r="G55" s="9" t="s">
        <v>330</v>
      </c>
      <c r="H55" s="9" t="s">
        <v>70</v>
      </c>
      <c r="I55" s="9" t="s">
        <v>305</v>
      </c>
      <c r="J55" s="9" t="s">
        <v>331</v>
      </c>
      <c r="K55" s="9" t="s">
        <v>73</v>
      </c>
      <c r="L55" s="10" t="s">
        <v>74</v>
      </c>
      <c r="M55" s="10" t="s">
        <v>87</v>
      </c>
      <c r="N55" s="10" t="s">
        <v>101</v>
      </c>
      <c r="O55" s="9" t="s">
        <v>77</v>
      </c>
      <c r="P55" s="9" t="s">
        <v>71</v>
      </c>
      <c r="Q55" s="9" t="s">
        <v>78</v>
      </c>
      <c r="R55" s="9" t="s">
        <v>71</v>
      </c>
      <c r="S55" s="9" t="s">
        <v>332</v>
      </c>
      <c r="T55" s="9" t="s">
        <v>326</v>
      </c>
      <c r="U55" s="10" t="s">
        <v>333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81</v>
      </c>
    </row>
    <row r="56" customFormat="false" ht="15" hidden="false" customHeight="false" outlineLevel="0" collapsed="false">
      <c r="A56" s="9" t="s">
        <v>334</v>
      </c>
      <c r="B56" s="10" t="s">
        <v>335</v>
      </c>
      <c r="C56" s="11" t="n">
        <v>-278</v>
      </c>
      <c r="D56" s="9"/>
      <c r="E56" s="9"/>
      <c r="F56" s="9" t="s">
        <v>68</v>
      </c>
      <c r="G56" s="9" t="s">
        <v>336</v>
      </c>
      <c r="H56" s="9" t="s">
        <v>70</v>
      </c>
      <c r="I56" s="9" t="s">
        <v>288</v>
      </c>
      <c r="J56" s="9" t="s">
        <v>337</v>
      </c>
      <c r="K56" s="9" t="s">
        <v>73</v>
      </c>
      <c r="L56" s="10" t="s">
        <v>74</v>
      </c>
      <c r="M56" s="10" t="s">
        <v>87</v>
      </c>
      <c r="N56" s="10" t="s">
        <v>101</v>
      </c>
      <c r="O56" s="9" t="s">
        <v>77</v>
      </c>
      <c r="P56" s="9" t="s">
        <v>71</v>
      </c>
      <c r="Q56" s="9" t="s">
        <v>78</v>
      </c>
      <c r="R56" s="9" t="s">
        <v>71</v>
      </c>
      <c r="S56" s="9" t="s">
        <v>338</v>
      </c>
      <c r="T56" s="9" t="s">
        <v>291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81</v>
      </c>
    </row>
    <row r="57" customFormat="false" ht="15" hidden="false" customHeight="false" outlineLevel="0" collapsed="false">
      <c r="A57" s="9" t="s">
        <v>339</v>
      </c>
      <c r="B57" s="10" t="s">
        <v>340</v>
      </c>
      <c r="C57" s="11" t="n">
        <v>856</v>
      </c>
      <c r="D57" s="11" t="n">
        <v>600</v>
      </c>
      <c r="E57" s="11" t="n">
        <v>856</v>
      </c>
      <c r="F57" s="9" t="s">
        <v>68</v>
      </c>
      <c r="G57" s="9" t="s">
        <v>341</v>
      </c>
      <c r="H57" s="9" t="s">
        <v>70</v>
      </c>
      <c r="I57" s="9" t="s">
        <v>288</v>
      </c>
      <c r="J57" s="9" t="s">
        <v>342</v>
      </c>
      <c r="K57" s="9" t="s">
        <v>262</v>
      </c>
      <c r="L57" s="10" t="s">
        <v>74</v>
      </c>
      <c r="M57" s="10" t="s">
        <v>87</v>
      </c>
      <c r="N57" s="10" t="s">
        <v>101</v>
      </c>
      <c r="O57" s="9" t="s">
        <v>77</v>
      </c>
      <c r="P57" s="9" t="s">
        <v>71</v>
      </c>
      <c r="Q57" s="9" t="s">
        <v>78</v>
      </c>
      <c r="R57" s="10" t="s">
        <v>263</v>
      </c>
      <c r="S57" s="9" t="s">
        <v>343</v>
      </c>
      <c r="T57" s="9" t="s">
        <v>344</v>
      </c>
      <c r="U57" s="10" t="s">
        <v>345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81</v>
      </c>
    </row>
    <row r="58" customFormat="false" ht="15" hidden="false" customHeight="false" outlineLevel="0" collapsed="false">
      <c r="A58" s="9" t="s">
        <v>346</v>
      </c>
      <c r="B58" s="10" t="s">
        <v>347</v>
      </c>
      <c r="C58" s="11" t="n">
        <v>280</v>
      </c>
      <c r="D58" s="9"/>
      <c r="E58" s="9"/>
      <c r="F58" s="9" t="s">
        <v>68</v>
      </c>
      <c r="G58" s="9" t="s">
        <v>348</v>
      </c>
      <c r="H58" s="9" t="s">
        <v>70</v>
      </c>
      <c r="I58" s="9" t="s">
        <v>305</v>
      </c>
      <c r="J58" s="9" t="s">
        <v>349</v>
      </c>
      <c r="K58" s="9" t="s">
        <v>73</v>
      </c>
      <c r="L58" s="10" t="s">
        <v>74</v>
      </c>
      <c r="M58" s="10" t="s">
        <v>87</v>
      </c>
      <c r="N58" s="10" t="s">
        <v>101</v>
      </c>
      <c r="O58" s="9" t="s">
        <v>77</v>
      </c>
      <c r="P58" s="9" t="s">
        <v>71</v>
      </c>
      <c r="Q58" s="9" t="s">
        <v>78</v>
      </c>
      <c r="R58" s="9" t="s">
        <v>71</v>
      </c>
      <c r="S58" s="9" t="s">
        <v>350</v>
      </c>
      <c r="T58" s="9" t="s">
        <v>351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81</v>
      </c>
    </row>
    <row r="59" customFormat="false" ht="15" hidden="false" customHeight="false" outlineLevel="0" collapsed="false">
      <c r="A59" s="9" t="s">
        <v>352</v>
      </c>
      <c r="B59" s="10" t="s">
        <v>353</v>
      </c>
      <c r="C59" s="11" t="n">
        <v>250</v>
      </c>
      <c r="D59" s="9"/>
      <c r="E59" s="9"/>
      <c r="F59" s="9" t="s">
        <v>68</v>
      </c>
      <c r="G59" s="9" t="s">
        <v>354</v>
      </c>
      <c r="H59" s="9" t="s">
        <v>138</v>
      </c>
      <c r="I59" s="9" t="s">
        <v>129</v>
      </c>
      <c r="J59" s="9" t="s">
        <v>355</v>
      </c>
      <c r="K59" s="9" t="s">
        <v>73</v>
      </c>
      <c r="L59" s="10" t="s">
        <v>74</v>
      </c>
      <c r="M59" s="10" t="s">
        <v>155</v>
      </c>
      <c r="N59" s="10" t="s">
        <v>131</v>
      </c>
      <c r="O59" s="9" t="s">
        <v>77</v>
      </c>
      <c r="P59" s="9" t="s">
        <v>71</v>
      </c>
      <c r="Q59" s="9" t="s">
        <v>156</v>
      </c>
      <c r="R59" s="9" t="s">
        <v>71</v>
      </c>
      <c r="S59" s="9" t="s">
        <v>356</v>
      </c>
      <c r="T59" s="9" t="s">
        <v>357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81</v>
      </c>
    </row>
    <row r="60" customFormat="false" ht="15" hidden="false" customHeight="false" outlineLevel="0" collapsed="false">
      <c r="A60" s="9" t="s">
        <v>358</v>
      </c>
      <c r="B60" s="10" t="s">
        <v>359</v>
      </c>
      <c r="C60" s="11" t="n">
        <v>300</v>
      </c>
      <c r="D60" s="9"/>
      <c r="E60" s="9"/>
      <c r="F60" s="9" t="s">
        <v>68</v>
      </c>
      <c r="G60" s="9" t="s">
        <v>360</v>
      </c>
      <c r="H60" s="9" t="s">
        <v>361</v>
      </c>
      <c r="I60" s="9" t="s">
        <v>362</v>
      </c>
      <c r="J60" s="9" t="s">
        <v>363</v>
      </c>
      <c r="K60" s="9" t="s">
        <v>73</v>
      </c>
      <c r="L60" s="10" t="s">
        <v>74</v>
      </c>
      <c r="M60" s="10" t="s">
        <v>141</v>
      </c>
      <c r="N60" s="10" t="s">
        <v>76</v>
      </c>
      <c r="O60" s="9" t="s">
        <v>77</v>
      </c>
      <c r="P60" s="9" t="s">
        <v>71</v>
      </c>
      <c r="Q60" s="9" t="s">
        <v>78</v>
      </c>
      <c r="R60" s="9" t="s">
        <v>71</v>
      </c>
      <c r="S60" s="9" t="s">
        <v>364</v>
      </c>
      <c r="T60" s="9" t="s">
        <v>365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81</v>
      </c>
    </row>
    <row r="61" customFormat="false" ht="15" hidden="false" customHeight="false" outlineLevel="0" collapsed="false">
      <c r="A61" s="9" t="s">
        <v>366</v>
      </c>
      <c r="B61" s="10" t="s">
        <v>367</v>
      </c>
      <c r="C61" s="11" t="n">
        <v>2027</v>
      </c>
      <c r="D61" s="9"/>
      <c r="E61" s="9"/>
      <c r="F61" s="10" t="s">
        <v>152</v>
      </c>
      <c r="G61" s="9" t="s">
        <v>368</v>
      </c>
      <c r="H61" s="9" t="s">
        <v>361</v>
      </c>
      <c r="I61" s="9" t="s">
        <v>362</v>
      </c>
      <c r="J61" s="9" t="s">
        <v>363</v>
      </c>
      <c r="K61" s="9" t="s">
        <v>73</v>
      </c>
      <c r="L61" s="10" t="s">
        <v>74</v>
      </c>
      <c r="M61" s="10" t="s">
        <v>141</v>
      </c>
      <c r="N61" s="10" t="s">
        <v>76</v>
      </c>
      <c r="O61" s="9" t="s">
        <v>77</v>
      </c>
      <c r="P61" s="9" t="s">
        <v>71</v>
      </c>
      <c r="Q61" s="9" t="s">
        <v>78</v>
      </c>
      <c r="R61" s="9" t="s">
        <v>71</v>
      </c>
      <c r="S61" s="9" t="s">
        <v>364</v>
      </c>
      <c r="T61" s="9" t="s">
        <v>369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81</v>
      </c>
    </row>
    <row r="62" customFormat="false" ht="15" hidden="false" customHeight="false" outlineLevel="0" collapsed="false">
      <c r="A62" s="9" t="s">
        <v>370</v>
      </c>
      <c r="B62" s="10" t="s">
        <v>371</v>
      </c>
      <c r="C62" s="11" t="n">
        <v>2031</v>
      </c>
      <c r="D62" s="9"/>
      <c r="E62" s="9"/>
      <c r="F62" s="10" t="s">
        <v>152</v>
      </c>
      <c r="G62" s="9" t="s">
        <v>372</v>
      </c>
      <c r="H62" s="9" t="s">
        <v>361</v>
      </c>
      <c r="I62" s="9" t="s">
        <v>362</v>
      </c>
      <c r="J62" s="9" t="s">
        <v>363</v>
      </c>
      <c r="K62" s="9" t="s">
        <v>73</v>
      </c>
      <c r="L62" s="10" t="s">
        <v>74</v>
      </c>
      <c r="M62" s="10" t="s">
        <v>141</v>
      </c>
      <c r="N62" s="10" t="s">
        <v>76</v>
      </c>
      <c r="O62" s="9" t="s">
        <v>77</v>
      </c>
      <c r="P62" s="9" t="s">
        <v>71</v>
      </c>
      <c r="Q62" s="9" t="s">
        <v>78</v>
      </c>
      <c r="R62" s="9" t="s">
        <v>71</v>
      </c>
      <c r="S62" s="9" t="s">
        <v>364</v>
      </c>
      <c r="T62" s="9" t="s">
        <v>369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81</v>
      </c>
    </row>
    <row r="63" customFormat="false" ht="15" hidden="false" customHeight="false" outlineLevel="0" collapsed="false">
      <c r="A63" s="9" t="s">
        <v>373</v>
      </c>
      <c r="B63" s="10" t="s">
        <v>374</v>
      </c>
      <c r="C63" s="11" t="n">
        <v>4.5</v>
      </c>
      <c r="D63" s="9"/>
      <c r="E63" s="9"/>
      <c r="F63" s="9" t="s">
        <v>375</v>
      </c>
      <c r="G63" s="10" t="s">
        <v>376</v>
      </c>
      <c r="H63" s="9" t="s">
        <v>361</v>
      </c>
      <c r="I63" s="9" t="s">
        <v>362</v>
      </c>
      <c r="J63" s="9" t="s">
        <v>363</v>
      </c>
      <c r="K63" s="9" t="s">
        <v>73</v>
      </c>
      <c r="L63" s="10" t="s">
        <v>74</v>
      </c>
      <c r="M63" s="10" t="s">
        <v>141</v>
      </c>
      <c r="N63" s="10" t="s">
        <v>76</v>
      </c>
      <c r="O63" s="9" t="s">
        <v>77</v>
      </c>
      <c r="P63" s="9" t="s">
        <v>71</v>
      </c>
      <c r="Q63" s="9" t="s">
        <v>78</v>
      </c>
      <c r="R63" s="9" t="s">
        <v>71</v>
      </c>
      <c r="S63" s="9" t="s">
        <v>364</v>
      </c>
      <c r="T63" s="9" t="s">
        <v>377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81</v>
      </c>
    </row>
    <row r="64" customFormat="false" ht="15" hidden="false" customHeight="false" outlineLevel="0" collapsed="false">
      <c r="A64" s="9" t="s">
        <v>378</v>
      </c>
      <c r="B64" s="10" t="s">
        <v>379</v>
      </c>
      <c r="C64" s="11" t="n">
        <v>38</v>
      </c>
      <c r="D64" s="9"/>
      <c r="E64" s="9"/>
      <c r="F64" s="9" t="s">
        <v>68</v>
      </c>
      <c r="G64" s="9" t="s">
        <v>380</v>
      </c>
      <c r="H64" s="9" t="s">
        <v>381</v>
      </c>
      <c r="I64" s="9" t="s">
        <v>382</v>
      </c>
      <c r="J64" s="9" t="s">
        <v>383</v>
      </c>
      <c r="K64" s="9" t="s">
        <v>73</v>
      </c>
      <c r="L64" s="10" t="s">
        <v>74</v>
      </c>
      <c r="M64" s="10" t="s">
        <v>155</v>
      </c>
      <c r="N64" s="10" t="s">
        <v>131</v>
      </c>
      <c r="O64" s="9" t="s">
        <v>77</v>
      </c>
      <c r="P64" s="9" t="s">
        <v>71</v>
      </c>
      <c r="Q64" s="9" t="s">
        <v>156</v>
      </c>
      <c r="R64" s="9" t="s">
        <v>71</v>
      </c>
      <c r="S64" s="9" t="s">
        <v>384</v>
      </c>
      <c r="T64" s="9" t="s">
        <v>385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81</v>
      </c>
    </row>
    <row r="65" customFormat="false" ht="15" hidden="false" customHeight="false" outlineLevel="0" collapsed="false">
      <c r="A65" s="9" t="s">
        <v>386</v>
      </c>
      <c r="B65" s="10" t="s">
        <v>387</v>
      </c>
      <c r="C65" s="11" t="n">
        <v>2025</v>
      </c>
      <c r="D65" s="9"/>
      <c r="E65" s="9"/>
      <c r="F65" s="10" t="s">
        <v>152</v>
      </c>
      <c r="G65" s="10" t="s">
        <v>388</v>
      </c>
      <c r="H65" s="9" t="s">
        <v>381</v>
      </c>
      <c r="I65" s="9" t="s">
        <v>382</v>
      </c>
      <c r="J65" s="9" t="s">
        <v>383</v>
      </c>
      <c r="K65" s="9" t="s">
        <v>73</v>
      </c>
      <c r="L65" s="10" t="s">
        <v>74</v>
      </c>
      <c r="M65" s="10" t="s">
        <v>155</v>
      </c>
      <c r="N65" s="10" t="s">
        <v>131</v>
      </c>
      <c r="O65" s="9" t="s">
        <v>77</v>
      </c>
      <c r="P65" s="9" t="s">
        <v>71</v>
      </c>
      <c r="Q65" s="9" t="s">
        <v>156</v>
      </c>
      <c r="R65" s="9" t="s">
        <v>71</v>
      </c>
      <c r="S65" s="9" t="s">
        <v>384</v>
      </c>
      <c r="T65" s="9" t="s">
        <v>369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81</v>
      </c>
    </row>
    <row r="66" customFormat="false" ht="15" hidden="false" customHeight="false" outlineLevel="0" collapsed="false">
      <c r="A66" s="9" t="s">
        <v>389</v>
      </c>
      <c r="B66" s="10" t="s">
        <v>390</v>
      </c>
      <c r="C66" s="11" t="n">
        <v>2031</v>
      </c>
      <c r="D66" s="9"/>
      <c r="E66" s="9"/>
      <c r="F66" s="10" t="s">
        <v>152</v>
      </c>
      <c r="G66" s="9" t="s">
        <v>391</v>
      </c>
      <c r="H66" s="9" t="s">
        <v>381</v>
      </c>
      <c r="I66" s="9" t="s">
        <v>382</v>
      </c>
      <c r="J66" s="9" t="s">
        <v>383</v>
      </c>
      <c r="K66" s="9" t="s">
        <v>73</v>
      </c>
      <c r="L66" s="10" t="s">
        <v>74</v>
      </c>
      <c r="M66" s="10" t="s">
        <v>155</v>
      </c>
      <c r="N66" s="10" t="s">
        <v>131</v>
      </c>
      <c r="O66" s="9" t="s">
        <v>77</v>
      </c>
      <c r="P66" s="9" t="s">
        <v>71</v>
      </c>
      <c r="Q66" s="9" t="s">
        <v>156</v>
      </c>
      <c r="R66" s="9" t="s">
        <v>71</v>
      </c>
      <c r="S66" s="9" t="s">
        <v>384</v>
      </c>
      <c r="T66" s="9" t="s">
        <v>369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81</v>
      </c>
    </row>
    <row r="67" customFormat="false" ht="15" hidden="false" customHeight="false" outlineLevel="0" collapsed="false">
      <c r="A67" s="9" t="s">
        <v>392</v>
      </c>
      <c r="B67" s="10" t="s">
        <v>393</v>
      </c>
      <c r="C67" s="11" t="n">
        <v>100</v>
      </c>
      <c r="D67" s="9"/>
      <c r="E67" s="9"/>
      <c r="F67" s="9" t="s">
        <v>68</v>
      </c>
      <c r="G67" s="9" t="s">
        <v>394</v>
      </c>
      <c r="H67" s="9" t="s">
        <v>381</v>
      </c>
      <c r="I67" s="9" t="s">
        <v>305</v>
      </c>
      <c r="J67" s="9" t="s">
        <v>395</v>
      </c>
      <c r="K67" s="9" t="s">
        <v>73</v>
      </c>
      <c r="L67" s="10" t="s">
        <v>74</v>
      </c>
      <c r="M67" s="10" t="s">
        <v>155</v>
      </c>
      <c r="N67" s="10" t="s">
        <v>131</v>
      </c>
      <c r="O67" s="9" t="s">
        <v>77</v>
      </c>
      <c r="P67" s="9" t="s">
        <v>71</v>
      </c>
      <c r="Q67" s="9" t="s">
        <v>156</v>
      </c>
      <c r="R67" s="9" t="s">
        <v>71</v>
      </c>
      <c r="S67" s="9" t="s">
        <v>396</v>
      </c>
      <c r="T67" s="9" t="s">
        <v>385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81</v>
      </c>
    </row>
    <row r="68" customFormat="false" ht="15" hidden="false" customHeight="false" outlineLevel="0" collapsed="false">
      <c r="A68" s="9" t="s">
        <v>397</v>
      </c>
      <c r="B68" s="10" t="s">
        <v>398</v>
      </c>
      <c r="C68" s="11" t="n">
        <v>2026</v>
      </c>
      <c r="D68" s="9"/>
      <c r="E68" s="9"/>
      <c r="F68" s="10" t="s">
        <v>152</v>
      </c>
      <c r="G68" s="10" t="s">
        <v>388</v>
      </c>
      <c r="H68" s="9" t="s">
        <v>381</v>
      </c>
      <c r="I68" s="9" t="s">
        <v>305</v>
      </c>
      <c r="J68" s="9" t="s">
        <v>395</v>
      </c>
      <c r="K68" s="9" t="s">
        <v>73</v>
      </c>
      <c r="L68" s="10" t="s">
        <v>74</v>
      </c>
      <c r="M68" s="10" t="s">
        <v>155</v>
      </c>
      <c r="N68" s="10" t="s">
        <v>131</v>
      </c>
      <c r="O68" s="9" t="s">
        <v>77</v>
      </c>
      <c r="P68" s="9" t="s">
        <v>71</v>
      </c>
      <c r="Q68" s="9" t="s">
        <v>156</v>
      </c>
      <c r="R68" s="9" t="s">
        <v>71</v>
      </c>
      <c r="S68" s="9" t="s">
        <v>396</v>
      </c>
      <c r="T68" s="9" t="s">
        <v>369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81</v>
      </c>
    </row>
    <row r="69" customFormat="false" ht="15" hidden="false" customHeight="false" outlineLevel="0" collapsed="false">
      <c r="A69" s="9" t="s">
        <v>399</v>
      </c>
      <c r="B69" s="10" t="s">
        <v>400</v>
      </c>
      <c r="C69" s="11" t="n">
        <v>2033</v>
      </c>
      <c r="D69" s="9"/>
      <c r="E69" s="9"/>
      <c r="F69" s="10" t="s">
        <v>152</v>
      </c>
      <c r="G69" s="9" t="s">
        <v>401</v>
      </c>
      <c r="H69" s="9" t="s">
        <v>381</v>
      </c>
      <c r="I69" s="9" t="s">
        <v>305</v>
      </c>
      <c r="J69" s="9" t="s">
        <v>395</v>
      </c>
      <c r="K69" s="9" t="s">
        <v>73</v>
      </c>
      <c r="L69" s="10" t="s">
        <v>74</v>
      </c>
      <c r="M69" s="10" t="s">
        <v>155</v>
      </c>
      <c r="N69" s="10" t="s">
        <v>131</v>
      </c>
      <c r="O69" s="9" t="s">
        <v>77</v>
      </c>
      <c r="P69" s="9" t="s">
        <v>71</v>
      </c>
      <c r="Q69" s="9" t="s">
        <v>156</v>
      </c>
      <c r="R69" s="9" t="s">
        <v>71</v>
      </c>
      <c r="S69" s="9" t="s">
        <v>396</v>
      </c>
      <c r="T69" s="9" t="s">
        <v>369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81</v>
      </c>
    </row>
    <row r="70" customFormat="false" ht="15" hidden="false" customHeight="false" outlineLevel="0" collapsed="false">
      <c r="A70" s="9" t="s">
        <v>402</v>
      </c>
      <c r="B70" s="10" t="s">
        <v>403</v>
      </c>
      <c r="C70" s="11" t="n">
        <v>2</v>
      </c>
      <c r="D70" s="9"/>
      <c r="E70" s="9"/>
      <c r="F70" s="9" t="s">
        <v>375</v>
      </c>
      <c r="G70" s="9" t="s">
        <v>404</v>
      </c>
      <c r="H70" s="9" t="s">
        <v>381</v>
      </c>
      <c r="I70" s="9" t="s">
        <v>305</v>
      </c>
      <c r="J70" s="9" t="s">
        <v>395</v>
      </c>
      <c r="K70" s="9" t="s">
        <v>73</v>
      </c>
      <c r="L70" s="10" t="s">
        <v>74</v>
      </c>
      <c r="M70" s="10" t="s">
        <v>155</v>
      </c>
      <c r="N70" s="10" t="s">
        <v>131</v>
      </c>
      <c r="O70" s="9" t="s">
        <v>77</v>
      </c>
      <c r="P70" s="9" t="s">
        <v>71</v>
      </c>
      <c r="Q70" s="9" t="s">
        <v>156</v>
      </c>
      <c r="R70" s="9" t="s">
        <v>71</v>
      </c>
      <c r="S70" s="9" t="s">
        <v>396</v>
      </c>
      <c r="T70" s="9" t="s">
        <v>405</v>
      </c>
      <c r="U70" s="10" t="s">
        <v>406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81</v>
      </c>
    </row>
    <row r="71" customFormat="false" ht="15" hidden="false" customHeight="false" outlineLevel="0" collapsed="false">
      <c r="A71" s="9" t="s">
        <v>407</v>
      </c>
      <c r="B71" s="10" t="s">
        <v>408</v>
      </c>
      <c r="C71" s="11" t="n">
        <v>22.4</v>
      </c>
      <c r="D71" s="9"/>
      <c r="E71" s="9"/>
      <c r="F71" s="9" t="s">
        <v>68</v>
      </c>
      <c r="G71" s="9" t="s">
        <v>409</v>
      </c>
      <c r="H71" s="9" t="s">
        <v>410</v>
      </c>
      <c r="I71" s="9" t="s">
        <v>411</v>
      </c>
      <c r="J71" s="9" t="s">
        <v>412</v>
      </c>
      <c r="K71" s="9" t="s">
        <v>73</v>
      </c>
      <c r="L71" s="10" t="s">
        <v>74</v>
      </c>
      <c r="M71" s="10" t="s">
        <v>155</v>
      </c>
      <c r="N71" s="10" t="s">
        <v>131</v>
      </c>
      <c r="O71" s="9" t="s">
        <v>77</v>
      </c>
      <c r="P71" s="9" t="s">
        <v>71</v>
      </c>
      <c r="Q71" s="9" t="s">
        <v>156</v>
      </c>
      <c r="R71" s="9" t="s">
        <v>71</v>
      </c>
      <c r="S71" s="9" t="s">
        <v>413</v>
      </c>
      <c r="T71" s="9" t="s">
        <v>385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81</v>
      </c>
    </row>
    <row r="72" customFormat="false" ht="15" hidden="false" customHeight="false" outlineLevel="0" collapsed="false">
      <c r="A72" s="9" t="s">
        <v>414</v>
      </c>
      <c r="B72" s="10" t="s">
        <v>415</v>
      </c>
      <c r="C72" s="11" t="n">
        <v>2025</v>
      </c>
      <c r="D72" s="9"/>
      <c r="E72" s="9"/>
      <c r="F72" s="10" t="s">
        <v>152</v>
      </c>
      <c r="G72" s="9" t="s">
        <v>416</v>
      </c>
      <c r="H72" s="9" t="s">
        <v>410</v>
      </c>
      <c r="I72" s="9" t="s">
        <v>411</v>
      </c>
      <c r="J72" s="9" t="s">
        <v>412</v>
      </c>
      <c r="K72" s="9" t="s">
        <v>73</v>
      </c>
      <c r="L72" s="10" t="s">
        <v>74</v>
      </c>
      <c r="M72" s="10" t="s">
        <v>155</v>
      </c>
      <c r="N72" s="10" t="s">
        <v>131</v>
      </c>
      <c r="O72" s="9" t="s">
        <v>77</v>
      </c>
      <c r="P72" s="9" t="s">
        <v>71</v>
      </c>
      <c r="Q72" s="9" t="s">
        <v>156</v>
      </c>
      <c r="R72" s="9" t="s">
        <v>71</v>
      </c>
      <c r="S72" s="9" t="s">
        <v>413</v>
      </c>
      <c r="T72" s="9" t="s">
        <v>369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81</v>
      </c>
    </row>
    <row r="73" customFormat="false" ht="15" hidden="false" customHeight="false" outlineLevel="0" collapsed="false">
      <c r="A73" s="9" t="s">
        <v>417</v>
      </c>
      <c r="B73" s="10" t="s">
        <v>418</v>
      </c>
      <c r="C73" s="11" t="n">
        <v>2029</v>
      </c>
      <c r="D73" s="9"/>
      <c r="E73" s="9"/>
      <c r="F73" s="10" t="s">
        <v>152</v>
      </c>
      <c r="G73" s="9" t="s">
        <v>416</v>
      </c>
      <c r="H73" s="9" t="s">
        <v>410</v>
      </c>
      <c r="I73" s="9" t="s">
        <v>411</v>
      </c>
      <c r="J73" s="9" t="s">
        <v>412</v>
      </c>
      <c r="K73" s="9" t="s">
        <v>73</v>
      </c>
      <c r="L73" s="10" t="s">
        <v>74</v>
      </c>
      <c r="M73" s="10" t="s">
        <v>155</v>
      </c>
      <c r="N73" s="10" t="s">
        <v>131</v>
      </c>
      <c r="O73" s="9" t="s">
        <v>77</v>
      </c>
      <c r="P73" s="9" t="s">
        <v>71</v>
      </c>
      <c r="Q73" s="9" t="s">
        <v>156</v>
      </c>
      <c r="R73" s="9" t="s">
        <v>71</v>
      </c>
      <c r="S73" s="9" t="s">
        <v>413</v>
      </c>
      <c r="T73" s="9" t="s">
        <v>369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81</v>
      </c>
    </row>
    <row r="74" customFormat="false" ht="15" hidden="false" customHeight="false" outlineLevel="0" collapsed="false">
      <c r="A74" s="9" t="s">
        <v>419</v>
      </c>
      <c r="B74" s="10" t="s">
        <v>420</v>
      </c>
      <c r="C74" s="11" t="n">
        <v>20</v>
      </c>
      <c r="D74" s="11" t="n">
        <v>20</v>
      </c>
      <c r="E74" s="9"/>
      <c r="F74" s="9" t="s">
        <v>68</v>
      </c>
      <c r="G74" s="10" t="s">
        <v>421</v>
      </c>
      <c r="H74" s="9" t="s">
        <v>422</v>
      </c>
      <c r="I74" s="9" t="s">
        <v>423</v>
      </c>
      <c r="J74" s="9" t="s">
        <v>424</v>
      </c>
      <c r="K74" s="9" t="s">
        <v>73</v>
      </c>
      <c r="L74" s="10" t="s">
        <v>74</v>
      </c>
      <c r="M74" s="10" t="s">
        <v>155</v>
      </c>
      <c r="N74" s="10" t="s">
        <v>131</v>
      </c>
      <c r="O74" s="9" t="s">
        <v>77</v>
      </c>
      <c r="P74" s="9" t="s">
        <v>71</v>
      </c>
      <c r="Q74" s="9" t="s">
        <v>156</v>
      </c>
      <c r="R74" s="9" t="s">
        <v>71</v>
      </c>
      <c r="S74" s="9" t="s">
        <v>425</v>
      </c>
      <c r="T74" s="9" t="s">
        <v>385</v>
      </c>
      <c r="U74" s="9" t="s">
        <v>426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81</v>
      </c>
    </row>
    <row r="75" customFormat="false" ht="15" hidden="false" customHeight="false" outlineLevel="0" collapsed="false">
      <c r="A75" s="9" t="s">
        <v>427</v>
      </c>
      <c r="B75" s="10" t="s">
        <v>428</v>
      </c>
      <c r="C75" s="11" t="n">
        <v>2026</v>
      </c>
      <c r="D75" s="9"/>
      <c r="E75" s="9"/>
      <c r="F75" s="10" t="s">
        <v>152</v>
      </c>
      <c r="G75" s="9" t="s">
        <v>429</v>
      </c>
      <c r="H75" s="9" t="s">
        <v>422</v>
      </c>
      <c r="I75" s="9" t="s">
        <v>423</v>
      </c>
      <c r="J75" s="9" t="s">
        <v>424</v>
      </c>
      <c r="K75" s="9" t="s">
        <v>73</v>
      </c>
      <c r="L75" s="10" t="s">
        <v>74</v>
      </c>
      <c r="M75" s="10" t="s">
        <v>155</v>
      </c>
      <c r="N75" s="10" t="s">
        <v>131</v>
      </c>
      <c r="O75" s="9" t="s">
        <v>77</v>
      </c>
      <c r="P75" s="9" t="s">
        <v>71</v>
      </c>
      <c r="Q75" s="9" t="s">
        <v>156</v>
      </c>
      <c r="R75" s="9" t="s">
        <v>71</v>
      </c>
      <c r="S75" s="9" t="s">
        <v>425</v>
      </c>
      <c r="T75" s="9" t="s">
        <v>369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81</v>
      </c>
    </row>
    <row r="76" customFormat="false" ht="15" hidden="false" customHeight="false" outlineLevel="0" collapsed="false">
      <c r="A76" s="9" t="s">
        <v>430</v>
      </c>
      <c r="B76" s="10" t="s">
        <v>431</v>
      </c>
      <c r="C76" s="11" t="n">
        <v>0.75</v>
      </c>
      <c r="D76" s="9"/>
      <c r="E76" s="9"/>
      <c r="F76" s="9" t="s">
        <v>375</v>
      </c>
      <c r="G76" s="9" t="s">
        <v>432</v>
      </c>
      <c r="H76" s="9" t="s">
        <v>422</v>
      </c>
      <c r="I76" s="9" t="s">
        <v>423</v>
      </c>
      <c r="J76" s="9" t="s">
        <v>424</v>
      </c>
      <c r="K76" s="9" t="s">
        <v>73</v>
      </c>
      <c r="L76" s="10" t="s">
        <v>74</v>
      </c>
      <c r="M76" s="10" t="s">
        <v>155</v>
      </c>
      <c r="N76" s="10" t="s">
        <v>131</v>
      </c>
      <c r="O76" s="9" t="s">
        <v>77</v>
      </c>
      <c r="P76" s="9" t="s">
        <v>71</v>
      </c>
      <c r="Q76" s="9" t="s">
        <v>156</v>
      </c>
      <c r="R76" s="9" t="s">
        <v>71</v>
      </c>
      <c r="S76" s="9" t="s">
        <v>425</v>
      </c>
      <c r="T76" s="9" t="s">
        <v>369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81</v>
      </c>
    </row>
    <row r="77" customFormat="false" ht="15" hidden="false" customHeight="false" outlineLevel="0" collapsed="false">
      <c r="A77" s="9" t="s">
        <v>433</v>
      </c>
      <c r="B77" s="10" t="s">
        <v>434</v>
      </c>
      <c r="C77" s="11" t="n">
        <v>750</v>
      </c>
      <c r="D77" s="9"/>
      <c r="E77" s="9"/>
      <c r="F77" s="9" t="s">
        <v>68</v>
      </c>
      <c r="G77" s="9" t="s">
        <v>435</v>
      </c>
      <c r="H77" s="9" t="s">
        <v>70</v>
      </c>
      <c r="I77" s="9" t="s">
        <v>436</v>
      </c>
      <c r="J77" s="9" t="s">
        <v>435</v>
      </c>
      <c r="K77" s="9" t="s">
        <v>73</v>
      </c>
      <c r="L77" s="10" t="s">
        <v>74</v>
      </c>
      <c r="M77" s="10" t="s">
        <v>87</v>
      </c>
      <c r="N77" s="10" t="s">
        <v>101</v>
      </c>
      <c r="O77" s="9" t="s">
        <v>77</v>
      </c>
      <c r="P77" s="9" t="s">
        <v>71</v>
      </c>
      <c r="Q77" s="9" t="s">
        <v>78</v>
      </c>
      <c r="R77" s="9" t="s">
        <v>71</v>
      </c>
      <c r="S77" s="9" t="s">
        <v>437</v>
      </c>
      <c r="T77" s="9" t="s">
        <v>438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81</v>
      </c>
    </row>
    <row r="78" customFormat="false" ht="15" hidden="false" customHeight="false" outlineLevel="0" collapsed="false">
      <c r="A78" s="9" t="s">
        <v>439</v>
      </c>
      <c r="B78" s="10" t="s">
        <v>440</v>
      </c>
      <c r="C78" s="11" t="n">
        <v>665</v>
      </c>
      <c r="D78" s="9"/>
      <c r="E78" s="9"/>
      <c r="F78" s="9" t="s">
        <v>68</v>
      </c>
      <c r="G78" s="9" t="s">
        <v>441</v>
      </c>
      <c r="H78" s="9" t="s">
        <v>70</v>
      </c>
      <c r="I78" s="9" t="s">
        <v>71</v>
      </c>
      <c r="J78" s="9" t="s">
        <v>441</v>
      </c>
      <c r="K78" s="9" t="s">
        <v>73</v>
      </c>
      <c r="L78" s="10" t="s">
        <v>74</v>
      </c>
      <c r="M78" s="10" t="s">
        <v>87</v>
      </c>
      <c r="N78" s="10" t="s">
        <v>101</v>
      </c>
      <c r="O78" s="9" t="s">
        <v>77</v>
      </c>
      <c r="P78" s="9" t="s">
        <v>71</v>
      </c>
      <c r="Q78" s="9" t="s">
        <v>78</v>
      </c>
      <c r="R78" s="9" t="s">
        <v>71</v>
      </c>
      <c r="S78" s="9" t="s">
        <v>442</v>
      </c>
      <c r="T78" s="9" t="s">
        <v>351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81</v>
      </c>
    </row>
    <row r="79" customFormat="false" ht="15" hidden="false" customHeight="false" outlineLevel="0" collapsed="false">
      <c r="A79" s="9" t="s">
        <v>443</v>
      </c>
      <c r="B79" s="9" t="s">
        <v>444</v>
      </c>
      <c r="C79" s="11" t="n">
        <v>50</v>
      </c>
      <c r="D79" s="9"/>
      <c r="E79" s="9"/>
      <c r="F79" s="9" t="s">
        <v>68</v>
      </c>
      <c r="G79" s="9" t="s">
        <v>445</v>
      </c>
      <c r="H79" s="9" t="s">
        <v>70</v>
      </c>
      <c r="I79" s="9" t="s">
        <v>147</v>
      </c>
      <c r="J79" s="9" t="s">
        <v>445</v>
      </c>
      <c r="K79" s="9" t="s">
        <v>73</v>
      </c>
      <c r="L79" s="10" t="s">
        <v>74</v>
      </c>
      <c r="M79" s="10" t="s">
        <v>87</v>
      </c>
      <c r="N79" s="10" t="s">
        <v>76</v>
      </c>
      <c r="O79" s="9" t="s">
        <v>77</v>
      </c>
      <c r="P79" s="9" t="s">
        <v>71</v>
      </c>
      <c r="Q79" s="9" t="s">
        <v>78</v>
      </c>
      <c r="R79" s="9" t="s">
        <v>71</v>
      </c>
      <c r="S79" s="9" t="s">
        <v>446</v>
      </c>
      <c r="T79" s="9" t="s">
        <v>315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81</v>
      </c>
    </row>
    <row r="80" customFormat="false" ht="15" hidden="false" customHeight="false" outlineLevel="0" collapsed="false">
      <c r="A80" s="9" t="s">
        <v>447</v>
      </c>
      <c r="B80" s="10" t="s">
        <v>448</v>
      </c>
      <c r="C80" s="11" t="n">
        <v>40</v>
      </c>
      <c r="D80" s="11" t="n">
        <v>35</v>
      </c>
      <c r="E80" s="11" t="n">
        <v>45</v>
      </c>
      <c r="F80" s="9" t="s">
        <v>68</v>
      </c>
      <c r="G80" s="9" t="s">
        <v>449</v>
      </c>
      <c r="H80" s="9" t="s">
        <v>70</v>
      </c>
      <c r="I80" s="9" t="s">
        <v>71</v>
      </c>
      <c r="J80" s="9" t="s">
        <v>449</v>
      </c>
      <c r="K80" s="9" t="s">
        <v>73</v>
      </c>
      <c r="L80" s="10" t="s">
        <v>74</v>
      </c>
      <c r="M80" s="10" t="s">
        <v>87</v>
      </c>
      <c r="N80" s="10" t="s">
        <v>101</v>
      </c>
      <c r="O80" s="9" t="s">
        <v>77</v>
      </c>
      <c r="P80" s="9" t="s">
        <v>71</v>
      </c>
      <c r="Q80" s="9" t="s">
        <v>78</v>
      </c>
      <c r="R80" s="9" t="s">
        <v>71</v>
      </c>
      <c r="S80" s="9" t="s">
        <v>450</v>
      </c>
      <c r="T80" s="9" t="s">
        <v>451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81</v>
      </c>
    </row>
    <row r="81" customFormat="false" ht="15" hidden="false" customHeight="false" outlineLevel="0" collapsed="false">
      <c r="A81" s="9" t="s">
        <v>452</v>
      </c>
      <c r="B81" s="10" t="s">
        <v>453</v>
      </c>
      <c r="C81" s="11" t="n">
        <v>122</v>
      </c>
      <c r="D81" s="9"/>
      <c r="E81" s="9"/>
      <c r="F81" s="9" t="s">
        <v>68</v>
      </c>
      <c r="G81" s="9" t="s">
        <v>454</v>
      </c>
      <c r="H81" s="9" t="s">
        <v>70</v>
      </c>
      <c r="I81" s="9" t="s">
        <v>455</v>
      </c>
      <c r="J81" s="9" t="s">
        <v>456</v>
      </c>
      <c r="K81" s="9" t="s">
        <v>73</v>
      </c>
      <c r="L81" s="10" t="s">
        <v>74</v>
      </c>
      <c r="M81" s="10" t="s">
        <v>87</v>
      </c>
      <c r="N81" s="10" t="s">
        <v>131</v>
      </c>
      <c r="O81" s="9" t="s">
        <v>77</v>
      </c>
      <c r="P81" s="9" t="s">
        <v>71</v>
      </c>
      <c r="Q81" s="9" t="s">
        <v>78</v>
      </c>
      <c r="R81" s="9" t="s">
        <v>71</v>
      </c>
      <c r="S81" s="9" t="s">
        <v>457</v>
      </c>
      <c r="T81" s="9" t="s">
        <v>458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81</v>
      </c>
    </row>
    <row r="82" customFormat="false" ht="15" hidden="false" customHeight="false" outlineLevel="0" collapsed="false">
      <c r="A82" s="9" t="s">
        <v>459</v>
      </c>
      <c r="B82" s="10" t="s">
        <v>460</v>
      </c>
      <c r="C82" s="11" t="n">
        <v>35</v>
      </c>
      <c r="D82" s="9"/>
      <c r="E82" s="9"/>
      <c r="F82" s="9" t="s">
        <v>68</v>
      </c>
      <c r="G82" s="9" t="s">
        <v>461</v>
      </c>
      <c r="H82" s="9" t="s">
        <v>70</v>
      </c>
      <c r="I82" s="9" t="s">
        <v>71</v>
      </c>
      <c r="J82" s="9" t="s">
        <v>462</v>
      </c>
      <c r="K82" s="9" t="s">
        <v>73</v>
      </c>
      <c r="L82" s="10" t="s">
        <v>116</v>
      </c>
      <c r="M82" s="10" t="s">
        <v>463</v>
      </c>
      <c r="N82" s="10" t="s">
        <v>101</v>
      </c>
      <c r="O82" s="9" t="s">
        <v>77</v>
      </c>
      <c r="P82" s="9" t="s">
        <v>71</v>
      </c>
      <c r="Q82" s="9" t="s">
        <v>156</v>
      </c>
      <c r="R82" s="9" t="s">
        <v>71</v>
      </c>
      <c r="S82" s="9" t="s">
        <v>464</v>
      </c>
      <c r="T82" s="9" t="s">
        <v>458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81</v>
      </c>
    </row>
    <row r="83" customFormat="false" ht="15" hidden="false" customHeight="false" outlineLevel="0" collapsed="false">
      <c r="A83" s="9" t="s">
        <v>465</v>
      </c>
      <c r="B83" s="10" t="s">
        <v>466</v>
      </c>
      <c r="C83" s="11" t="n">
        <v>250</v>
      </c>
      <c r="D83" s="9"/>
      <c r="E83" s="9"/>
      <c r="F83" s="9" t="s">
        <v>68</v>
      </c>
      <c r="G83" s="9" t="s">
        <v>467</v>
      </c>
      <c r="H83" s="9" t="s">
        <v>70</v>
      </c>
      <c r="I83" s="9" t="s">
        <v>71</v>
      </c>
      <c r="J83" s="9" t="s">
        <v>467</v>
      </c>
      <c r="K83" s="9" t="s">
        <v>73</v>
      </c>
      <c r="L83" s="10" t="s">
        <v>74</v>
      </c>
      <c r="M83" s="10" t="s">
        <v>116</v>
      </c>
      <c r="N83" s="10" t="s">
        <v>101</v>
      </c>
      <c r="O83" s="9" t="s">
        <v>77</v>
      </c>
      <c r="P83" s="9" t="s">
        <v>71</v>
      </c>
      <c r="Q83" s="9" t="s">
        <v>78</v>
      </c>
      <c r="R83" s="9" t="s">
        <v>71</v>
      </c>
      <c r="S83" s="9" t="s">
        <v>468</v>
      </c>
      <c r="T83" s="9" t="s">
        <v>469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81</v>
      </c>
    </row>
    <row r="84" customFormat="false" ht="15" hidden="false" customHeight="false" outlineLevel="0" collapsed="false">
      <c r="A84" s="9" t="s">
        <v>470</v>
      </c>
      <c r="B84" s="10" t="s">
        <v>471</v>
      </c>
      <c r="C84" s="11" t="n">
        <v>350</v>
      </c>
      <c r="D84" s="9"/>
      <c r="E84" s="9"/>
      <c r="F84" s="9" t="s">
        <v>68</v>
      </c>
      <c r="G84" s="9" t="s">
        <v>472</v>
      </c>
      <c r="H84" s="9" t="s">
        <v>70</v>
      </c>
      <c r="I84" s="9" t="s">
        <v>71</v>
      </c>
      <c r="J84" s="9" t="s">
        <v>473</v>
      </c>
      <c r="K84" s="9" t="s">
        <v>73</v>
      </c>
      <c r="L84" s="10" t="s">
        <v>74</v>
      </c>
      <c r="M84" s="10" t="s">
        <v>87</v>
      </c>
      <c r="N84" s="10" t="s">
        <v>101</v>
      </c>
      <c r="O84" s="9" t="s">
        <v>77</v>
      </c>
      <c r="P84" s="9" t="s">
        <v>71</v>
      </c>
      <c r="Q84" s="9" t="s">
        <v>78</v>
      </c>
      <c r="R84" s="9" t="s">
        <v>71</v>
      </c>
      <c r="S84" s="9" t="s">
        <v>474</v>
      </c>
      <c r="T84" s="9" t="s">
        <v>469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81</v>
      </c>
    </row>
    <row r="85" customFormat="false" ht="15" hidden="false" customHeight="false" outlineLevel="0" collapsed="false">
      <c r="A85" s="9" t="s">
        <v>475</v>
      </c>
      <c r="B85" s="10" t="s">
        <v>476</v>
      </c>
      <c r="C85" s="11" t="n">
        <v>3</v>
      </c>
      <c r="D85" s="9"/>
      <c r="E85" s="9"/>
      <c r="F85" s="9" t="s">
        <v>68</v>
      </c>
      <c r="G85" s="9" t="s">
        <v>477</v>
      </c>
      <c r="H85" s="9" t="s">
        <v>70</v>
      </c>
      <c r="I85" s="9" t="s">
        <v>71</v>
      </c>
      <c r="J85" s="9" t="s">
        <v>477</v>
      </c>
      <c r="K85" s="9" t="s">
        <v>262</v>
      </c>
      <c r="L85" s="10" t="s">
        <v>74</v>
      </c>
      <c r="M85" s="10" t="s">
        <v>116</v>
      </c>
      <c r="N85" s="10" t="s">
        <v>101</v>
      </c>
      <c r="O85" s="9" t="s">
        <v>77</v>
      </c>
      <c r="P85" s="9" t="s">
        <v>71</v>
      </c>
      <c r="Q85" s="9" t="s">
        <v>78</v>
      </c>
      <c r="R85" s="10" t="s">
        <v>263</v>
      </c>
      <c r="S85" s="9" t="s">
        <v>478</v>
      </c>
      <c r="T85" s="9" t="s">
        <v>479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81</v>
      </c>
    </row>
    <row r="86" customFormat="false" ht="15" hidden="false" customHeight="false" outlineLevel="0" collapsed="false">
      <c r="A86" s="9" t="s">
        <v>480</v>
      </c>
      <c r="B86" s="10" t="s">
        <v>481</v>
      </c>
      <c r="C86" s="11" t="n">
        <v>19.18</v>
      </c>
      <c r="D86" s="9"/>
      <c r="E86" s="9"/>
      <c r="F86" s="9" t="s">
        <v>68</v>
      </c>
      <c r="G86" s="10" t="s">
        <v>482</v>
      </c>
      <c r="H86" s="9" t="s">
        <v>70</v>
      </c>
      <c r="I86" s="9" t="s">
        <v>71</v>
      </c>
      <c r="J86" s="10" t="s">
        <v>482</v>
      </c>
      <c r="K86" s="9" t="s">
        <v>73</v>
      </c>
      <c r="L86" s="10" t="s">
        <v>74</v>
      </c>
      <c r="M86" s="10" t="s">
        <v>87</v>
      </c>
      <c r="N86" s="10" t="s">
        <v>88</v>
      </c>
      <c r="O86" s="9" t="s">
        <v>77</v>
      </c>
      <c r="P86" s="9" t="s">
        <v>71</v>
      </c>
      <c r="Q86" s="9" t="s">
        <v>78</v>
      </c>
      <c r="R86" s="9" t="s">
        <v>71</v>
      </c>
      <c r="S86" s="9" t="s">
        <v>483</v>
      </c>
      <c r="T86" s="9" t="s">
        <v>484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81</v>
      </c>
    </row>
    <row r="87" customFormat="false" ht="15" hidden="false" customHeight="false" outlineLevel="0" collapsed="false">
      <c r="A87" s="9" t="s">
        <v>485</v>
      </c>
      <c r="B87" s="10" t="s">
        <v>486</v>
      </c>
      <c r="C87" s="11" t="n">
        <v>0.2</v>
      </c>
      <c r="D87" s="9"/>
      <c r="E87" s="9"/>
      <c r="F87" s="9" t="s">
        <v>375</v>
      </c>
      <c r="G87" s="9" t="s">
        <v>487</v>
      </c>
      <c r="H87" s="9" t="s">
        <v>70</v>
      </c>
      <c r="I87" s="9" t="s">
        <v>488</v>
      </c>
      <c r="J87" s="9" t="s">
        <v>489</v>
      </c>
      <c r="K87" s="9" t="s">
        <v>262</v>
      </c>
      <c r="L87" s="10" t="s">
        <v>74</v>
      </c>
      <c r="M87" s="10" t="s">
        <v>116</v>
      </c>
      <c r="N87" s="10" t="s">
        <v>131</v>
      </c>
      <c r="O87" s="9" t="s">
        <v>77</v>
      </c>
      <c r="P87" s="9" t="s">
        <v>71</v>
      </c>
      <c r="Q87" s="9" t="s">
        <v>78</v>
      </c>
      <c r="R87" s="10" t="s">
        <v>263</v>
      </c>
      <c r="S87" s="9" t="s">
        <v>490</v>
      </c>
      <c r="T87" s="9" t="s">
        <v>491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81</v>
      </c>
    </row>
    <row r="88" customFormat="false" ht="15" hidden="false" customHeight="false" outlineLevel="0" collapsed="false">
      <c r="A88" s="9" t="s">
        <v>492</v>
      </c>
      <c r="B88" s="10" t="s">
        <v>493</v>
      </c>
      <c r="C88" s="11" t="n">
        <v>0.6</v>
      </c>
      <c r="D88" s="9"/>
      <c r="E88" s="9"/>
      <c r="F88" s="9" t="s">
        <v>375</v>
      </c>
      <c r="G88" s="10" t="s">
        <v>388</v>
      </c>
      <c r="H88" s="9" t="s">
        <v>70</v>
      </c>
      <c r="I88" s="9" t="s">
        <v>488</v>
      </c>
      <c r="J88" s="9" t="s">
        <v>489</v>
      </c>
      <c r="K88" s="9" t="s">
        <v>262</v>
      </c>
      <c r="L88" s="10" t="s">
        <v>74</v>
      </c>
      <c r="M88" s="10" t="s">
        <v>116</v>
      </c>
      <c r="N88" s="10" t="s">
        <v>131</v>
      </c>
      <c r="O88" s="9" t="s">
        <v>77</v>
      </c>
      <c r="P88" s="9" t="s">
        <v>71</v>
      </c>
      <c r="Q88" s="9" t="s">
        <v>78</v>
      </c>
      <c r="R88" s="10" t="s">
        <v>263</v>
      </c>
      <c r="S88" s="9" t="s">
        <v>494</v>
      </c>
      <c r="T88" s="9" t="s">
        <v>495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81</v>
      </c>
    </row>
    <row r="89" customFormat="false" ht="15" hidden="false" customHeight="false" outlineLevel="0" collapsed="false">
      <c r="A89" s="9" t="s">
        <v>496</v>
      </c>
      <c r="B89" s="10" t="s">
        <v>497</v>
      </c>
      <c r="C89" s="11" t="n">
        <v>1.9</v>
      </c>
      <c r="D89" s="9"/>
      <c r="E89" s="9"/>
      <c r="F89" s="9" t="s">
        <v>375</v>
      </c>
      <c r="G89" s="10" t="s">
        <v>498</v>
      </c>
      <c r="H89" s="9" t="s">
        <v>70</v>
      </c>
      <c r="I89" s="9" t="s">
        <v>488</v>
      </c>
      <c r="J89" s="9" t="s">
        <v>489</v>
      </c>
      <c r="K89" s="9" t="s">
        <v>262</v>
      </c>
      <c r="L89" s="10" t="s">
        <v>74</v>
      </c>
      <c r="M89" s="10" t="s">
        <v>116</v>
      </c>
      <c r="N89" s="10" t="s">
        <v>131</v>
      </c>
      <c r="O89" s="9" t="s">
        <v>77</v>
      </c>
      <c r="P89" s="9" t="s">
        <v>71</v>
      </c>
      <c r="Q89" s="9" t="s">
        <v>78</v>
      </c>
      <c r="R89" s="10" t="s">
        <v>263</v>
      </c>
      <c r="S89" s="9" t="s">
        <v>499</v>
      </c>
      <c r="T89" s="9" t="s">
        <v>500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81</v>
      </c>
    </row>
    <row r="90" customFormat="false" ht="15" hidden="false" customHeight="false" outlineLevel="0" collapsed="false">
      <c r="A90" s="9" t="s">
        <v>501</v>
      </c>
      <c r="B90" s="10" t="s">
        <v>502</v>
      </c>
      <c r="C90" s="11" t="n">
        <v>20</v>
      </c>
      <c r="D90" s="9"/>
      <c r="E90" s="9"/>
      <c r="F90" s="9" t="s">
        <v>68</v>
      </c>
      <c r="G90" s="10" t="s">
        <v>503</v>
      </c>
      <c r="H90" s="9" t="s">
        <v>70</v>
      </c>
      <c r="I90" s="9" t="s">
        <v>488</v>
      </c>
      <c r="J90" s="9" t="s">
        <v>489</v>
      </c>
      <c r="K90" s="9" t="s">
        <v>262</v>
      </c>
      <c r="L90" s="10" t="s">
        <v>74</v>
      </c>
      <c r="M90" s="10" t="s">
        <v>116</v>
      </c>
      <c r="N90" s="10" t="s">
        <v>131</v>
      </c>
      <c r="O90" s="9" t="s">
        <v>77</v>
      </c>
      <c r="P90" s="9" t="s">
        <v>71</v>
      </c>
      <c r="Q90" s="9" t="s">
        <v>78</v>
      </c>
      <c r="R90" s="10" t="s">
        <v>263</v>
      </c>
      <c r="S90" s="9" t="s">
        <v>504</v>
      </c>
      <c r="T90" s="9" t="s">
        <v>110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81</v>
      </c>
    </row>
    <row r="91" customFormat="false" ht="15" hidden="false" customHeight="false" outlineLevel="0" collapsed="false">
      <c r="A91" s="9" t="s">
        <v>505</v>
      </c>
      <c r="B91" s="9" t="s">
        <v>506</v>
      </c>
      <c r="C91" s="11" t="n">
        <v>900</v>
      </c>
      <c r="D91" s="9"/>
      <c r="E91" s="9"/>
      <c r="F91" s="9" t="s">
        <v>258</v>
      </c>
      <c r="G91" s="9" t="s">
        <v>507</v>
      </c>
      <c r="H91" s="9" t="s">
        <v>70</v>
      </c>
      <c r="I91" s="9" t="s">
        <v>305</v>
      </c>
      <c r="J91" s="9" t="s">
        <v>508</v>
      </c>
      <c r="K91" s="9" t="s">
        <v>262</v>
      </c>
      <c r="L91" s="10" t="s">
        <v>74</v>
      </c>
      <c r="M91" s="10" t="s">
        <v>75</v>
      </c>
      <c r="N91" s="10" t="s">
        <v>131</v>
      </c>
      <c r="O91" s="9" t="s">
        <v>77</v>
      </c>
      <c r="P91" s="9" t="s">
        <v>71</v>
      </c>
      <c r="Q91" s="9" t="s">
        <v>78</v>
      </c>
      <c r="R91" s="10" t="s">
        <v>263</v>
      </c>
      <c r="S91" s="9" t="s">
        <v>509</v>
      </c>
      <c r="T91" s="9" t="s">
        <v>510</v>
      </c>
      <c r="U91" s="9" t="s">
        <v>511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81</v>
      </c>
    </row>
    <row r="92" customFormat="false" ht="15" hidden="false" customHeight="false" outlineLevel="0" collapsed="false">
      <c r="A92" s="9" t="s">
        <v>512</v>
      </c>
      <c r="B92" s="9" t="s">
        <v>513</v>
      </c>
      <c r="C92" s="11" t="n">
        <v>3</v>
      </c>
      <c r="D92" s="9"/>
      <c r="E92" s="9"/>
      <c r="F92" s="9" t="s">
        <v>258</v>
      </c>
      <c r="G92" s="10" t="s">
        <v>514</v>
      </c>
      <c r="H92" s="9" t="s">
        <v>70</v>
      </c>
      <c r="I92" s="9" t="s">
        <v>515</v>
      </c>
      <c r="J92" s="9" t="s">
        <v>516</v>
      </c>
      <c r="K92" s="9" t="s">
        <v>262</v>
      </c>
      <c r="L92" s="10" t="s">
        <v>74</v>
      </c>
      <c r="M92" s="10" t="s">
        <v>116</v>
      </c>
      <c r="N92" s="10" t="s">
        <v>101</v>
      </c>
      <c r="O92" s="9" t="s">
        <v>77</v>
      </c>
      <c r="P92" s="9" t="s">
        <v>71</v>
      </c>
      <c r="Q92" s="9" t="s">
        <v>78</v>
      </c>
      <c r="R92" s="10" t="s">
        <v>263</v>
      </c>
      <c r="S92" s="9" t="s">
        <v>517</v>
      </c>
      <c r="T92" s="9" t="s">
        <v>518</v>
      </c>
      <c r="U92" s="9" t="s">
        <v>511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81</v>
      </c>
    </row>
    <row r="93" customFormat="false" ht="15" hidden="false" customHeight="false" outlineLevel="0" collapsed="false">
      <c r="A93" s="9" t="s">
        <v>519</v>
      </c>
      <c r="B93" s="9" t="s">
        <v>520</v>
      </c>
      <c r="C93" s="11" t="n">
        <v>35</v>
      </c>
      <c r="D93" s="9"/>
      <c r="E93" s="9"/>
      <c r="F93" s="9" t="s">
        <v>258</v>
      </c>
      <c r="G93" s="9" t="s">
        <v>521</v>
      </c>
      <c r="H93" s="9" t="s">
        <v>70</v>
      </c>
      <c r="I93" s="9" t="s">
        <v>522</v>
      </c>
      <c r="J93" s="9" t="s">
        <v>523</v>
      </c>
      <c r="K93" s="9" t="s">
        <v>262</v>
      </c>
      <c r="L93" s="10" t="s">
        <v>74</v>
      </c>
      <c r="M93" s="10" t="s">
        <v>116</v>
      </c>
      <c r="N93" s="10" t="s">
        <v>101</v>
      </c>
      <c r="O93" s="9" t="s">
        <v>77</v>
      </c>
      <c r="P93" s="9" t="s">
        <v>71</v>
      </c>
      <c r="Q93" s="9" t="s">
        <v>78</v>
      </c>
      <c r="R93" s="10" t="s">
        <v>263</v>
      </c>
      <c r="S93" s="9" t="s">
        <v>524</v>
      </c>
      <c r="T93" s="9" t="s">
        <v>525</v>
      </c>
      <c r="U93" s="9" t="s">
        <v>511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81</v>
      </c>
    </row>
    <row r="94" customFormat="false" ht="15" hidden="false" customHeight="false" outlineLevel="0" collapsed="false">
      <c r="A94" s="9" t="s">
        <v>526</v>
      </c>
      <c r="B94" s="9" t="s">
        <v>527</v>
      </c>
      <c r="C94" s="11" t="n">
        <v>44</v>
      </c>
      <c r="D94" s="9"/>
      <c r="E94" s="9"/>
      <c r="F94" s="9" t="s">
        <v>258</v>
      </c>
      <c r="G94" s="9" t="s">
        <v>528</v>
      </c>
      <c r="H94" s="9" t="s">
        <v>70</v>
      </c>
      <c r="I94" s="9" t="s">
        <v>260</v>
      </c>
      <c r="J94" s="9" t="s">
        <v>529</v>
      </c>
      <c r="K94" s="9" t="s">
        <v>262</v>
      </c>
      <c r="L94" s="10" t="s">
        <v>74</v>
      </c>
      <c r="M94" s="10" t="s">
        <v>87</v>
      </c>
      <c r="N94" s="10" t="s">
        <v>101</v>
      </c>
      <c r="O94" s="9" t="s">
        <v>77</v>
      </c>
      <c r="P94" s="9" t="s">
        <v>71</v>
      </c>
      <c r="Q94" s="9" t="s">
        <v>78</v>
      </c>
      <c r="R94" s="10" t="s">
        <v>263</v>
      </c>
      <c r="S94" s="9" t="s">
        <v>524</v>
      </c>
      <c r="T94" s="9" t="s">
        <v>525</v>
      </c>
      <c r="U94" s="9" t="s">
        <v>511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81</v>
      </c>
    </row>
    <row r="95" customFormat="false" ht="15" hidden="false" customHeight="false" outlineLevel="0" collapsed="false">
      <c r="A95" s="9" t="s">
        <v>530</v>
      </c>
      <c r="B95" s="10" t="s">
        <v>531</v>
      </c>
      <c r="C95" s="11" t="n">
        <v>9</v>
      </c>
      <c r="D95" s="11" t="n">
        <v>9</v>
      </c>
      <c r="E95" s="9"/>
      <c r="F95" s="9" t="s">
        <v>258</v>
      </c>
      <c r="G95" s="10" t="s">
        <v>532</v>
      </c>
      <c r="H95" s="9" t="s">
        <v>70</v>
      </c>
      <c r="I95" s="9" t="s">
        <v>305</v>
      </c>
      <c r="J95" s="9" t="s">
        <v>533</v>
      </c>
      <c r="K95" s="9" t="s">
        <v>262</v>
      </c>
      <c r="L95" s="10" t="s">
        <v>74</v>
      </c>
      <c r="M95" s="10" t="s">
        <v>75</v>
      </c>
      <c r="N95" s="10" t="s">
        <v>131</v>
      </c>
      <c r="O95" s="9" t="s">
        <v>77</v>
      </c>
      <c r="P95" s="9" t="s">
        <v>71</v>
      </c>
      <c r="Q95" s="9" t="s">
        <v>78</v>
      </c>
      <c r="R95" s="10" t="s">
        <v>263</v>
      </c>
      <c r="S95" s="9" t="s">
        <v>534</v>
      </c>
      <c r="T95" s="9" t="s">
        <v>535</v>
      </c>
      <c r="U95" s="9" t="s">
        <v>511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81</v>
      </c>
    </row>
    <row r="96" customFormat="false" ht="15" hidden="false" customHeight="false" outlineLevel="0" collapsed="false">
      <c r="A96" s="9" t="s">
        <v>536</v>
      </c>
      <c r="B96" s="10" t="s">
        <v>537</v>
      </c>
      <c r="C96" s="11" t="n">
        <v>10.59</v>
      </c>
      <c r="D96" s="9"/>
      <c r="E96" s="9"/>
      <c r="F96" s="9" t="s">
        <v>68</v>
      </c>
      <c r="G96" s="9" t="s">
        <v>538</v>
      </c>
      <c r="H96" s="9" t="s">
        <v>70</v>
      </c>
      <c r="I96" s="9" t="s">
        <v>71</v>
      </c>
      <c r="J96" s="10" t="s">
        <v>539</v>
      </c>
      <c r="K96" s="9" t="s">
        <v>262</v>
      </c>
      <c r="L96" s="10" t="s">
        <v>74</v>
      </c>
      <c r="M96" s="10" t="s">
        <v>87</v>
      </c>
      <c r="N96" s="10" t="s">
        <v>88</v>
      </c>
      <c r="O96" s="9" t="s">
        <v>77</v>
      </c>
      <c r="P96" s="9" t="s">
        <v>71</v>
      </c>
      <c r="Q96" s="9" t="s">
        <v>78</v>
      </c>
      <c r="R96" s="10" t="s">
        <v>263</v>
      </c>
      <c r="S96" s="9" t="s">
        <v>540</v>
      </c>
      <c r="T96" s="9" t="s">
        <v>541</v>
      </c>
      <c r="U96" s="9" t="s">
        <v>542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81</v>
      </c>
    </row>
    <row r="97" customFormat="false" ht="15" hidden="false" customHeight="false" outlineLevel="0" collapsed="false">
      <c r="A97" s="9" t="s">
        <v>543</v>
      </c>
      <c r="B97" s="10" t="s">
        <v>544</v>
      </c>
      <c r="C97" s="11" t="n">
        <v>20</v>
      </c>
      <c r="D97" s="9"/>
      <c r="E97" s="9"/>
      <c r="F97" s="9" t="s">
        <v>68</v>
      </c>
      <c r="G97" s="10" t="s">
        <v>545</v>
      </c>
      <c r="H97" s="9" t="s">
        <v>70</v>
      </c>
      <c r="I97" s="9" t="s">
        <v>436</v>
      </c>
      <c r="J97" s="9" t="s">
        <v>546</v>
      </c>
      <c r="K97" s="9" t="s">
        <v>73</v>
      </c>
      <c r="L97" s="10" t="s">
        <v>74</v>
      </c>
      <c r="M97" s="10" t="s">
        <v>116</v>
      </c>
      <c r="N97" s="10" t="s">
        <v>101</v>
      </c>
      <c r="O97" s="9" t="s">
        <v>77</v>
      </c>
      <c r="P97" s="9" t="s">
        <v>71</v>
      </c>
      <c r="Q97" s="9" t="s">
        <v>78</v>
      </c>
      <c r="R97" s="9" t="s">
        <v>71</v>
      </c>
      <c r="S97" s="9" t="s">
        <v>547</v>
      </c>
      <c r="T97" s="9" t="s">
        <v>548</v>
      </c>
      <c r="U97" s="9" t="s">
        <v>549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81</v>
      </c>
    </row>
    <row r="98" customFormat="false" ht="15" hidden="false" customHeight="false" outlineLevel="0" collapsed="false">
      <c r="A98" s="9" t="s">
        <v>550</v>
      </c>
      <c r="B98" s="9" t="s">
        <v>551</v>
      </c>
      <c r="C98" s="11" t="n">
        <v>2.5</v>
      </c>
      <c r="D98" s="9"/>
      <c r="E98" s="9"/>
      <c r="F98" s="9" t="s">
        <v>552</v>
      </c>
      <c r="G98" s="10" t="s">
        <v>553</v>
      </c>
      <c r="H98" s="9" t="s">
        <v>70</v>
      </c>
      <c r="I98" s="9" t="s">
        <v>522</v>
      </c>
      <c r="J98" s="9" t="s">
        <v>554</v>
      </c>
      <c r="K98" s="9" t="s">
        <v>262</v>
      </c>
      <c r="L98" s="10" t="s">
        <v>74</v>
      </c>
      <c r="M98" s="10" t="s">
        <v>75</v>
      </c>
      <c r="N98" s="10" t="s">
        <v>131</v>
      </c>
      <c r="O98" s="9" t="s">
        <v>77</v>
      </c>
      <c r="P98" s="9" t="s">
        <v>71</v>
      </c>
      <c r="Q98" s="9" t="s">
        <v>78</v>
      </c>
      <c r="R98" s="10" t="s">
        <v>555</v>
      </c>
      <c r="S98" s="9" t="s">
        <v>556</v>
      </c>
      <c r="T98" s="9" t="s">
        <v>557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81</v>
      </c>
    </row>
    <row r="99" customFormat="false" ht="15" hidden="false" customHeight="false" outlineLevel="0" collapsed="false">
      <c r="A99" s="9" t="s">
        <v>558</v>
      </c>
      <c r="B99" s="9" t="s">
        <v>559</v>
      </c>
      <c r="C99" s="11" t="n">
        <v>2</v>
      </c>
      <c r="D99" s="9"/>
      <c r="E99" s="9"/>
      <c r="F99" s="10" t="s">
        <v>560</v>
      </c>
      <c r="G99" s="10" t="s">
        <v>561</v>
      </c>
      <c r="H99" s="9" t="s">
        <v>70</v>
      </c>
      <c r="I99" s="9" t="s">
        <v>260</v>
      </c>
      <c r="J99" s="9" t="s">
        <v>562</v>
      </c>
      <c r="K99" s="9" t="s">
        <v>262</v>
      </c>
      <c r="L99" s="10" t="s">
        <v>74</v>
      </c>
      <c r="M99" s="10" t="s">
        <v>87</v>
      </c>
      <c r="N99" s="10" t="s">
        <v>101</v>
      </c>
      <c r="O99" s="9" t="s">
        <v>77</v>
      </c>
      <c r="P99" s="9" t="s">
        <v>71</v>
      </c>
      <c r="Q99" s="9" t="s">
        <v>78</v>
      </c>
      <c r="R99" s="10" t="s">
        <v>263</v>
      </c>
      <c r="S99" s="9" t="s">
        <v>563</v>
      </c>
      <c r="T99" s="9" t="s">
        <v>564</v>
      </c>
      <c r="U99" s="9" t="s">
        <v>511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81</v>
      </c>
    </row>
    <row r="100" customFormat="false" ht="15" hidden="false" customHeight="false" outlineLevel="0" collapsed="false">
      <c r="A100" s="9" t="s">
        <v>565</v>
      </c>
      <c r="B100" s="9" t="s">
        <v>566</v>
      </c>
      <c r="C100" s="9"/>
      <c r="D100" s="9"/>
      <c r="E100" s="11" t="n">
        <v>0.01</v>
      </c>
      <c r="F100" s="10" t="s">
        <v>120</v>
      </c>
      <c r="G100" s="10" t="s">
        <v>567</v>
      </c>
      <c r="H100" s="9" t="s">
        <v>70</v>
      </c>
      <c r="I100" s="9" t="s">
        <v>260</v>
      </c>
      <c r="J100" s="9" t="s">
        <v>562</v>
      </c>
      <c r="K100" s="9" t="s">
        <v>262</v>
      </c>
      <c r="L100" s="10" t="s">
        <v>74</v>
      </c>
      <c r="M100" s="10" t="s">
        <v>87</v>
      </c>
      <c r="N100" s="10" t="s">
        <v>101</v>
      </c>
      <c r="O100" s="9" t="s">
        <v>77</v>
      </c>
      <c r="P100" s="9" t="s">
        <v>71</v>
      </c>
      <c r="Q100" s="9" t="s">
        <v>78</v>
      </c>
      <c r="R100" s="10" t="s">
        <v>263</v>
      </c>
      <c r="S100" s="9" t="s">
        <v>563</v>
      </c>
      <c r="T100" s="9" t="s">
        <v>568</v>
      </c>
      <c r="U100" s="9" t="s">
        <v>511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81</v>
      </c>
    </row>
    <row r="101" customFormat="false" ht="15" hidden="false" customHeight="false" outlineLevel="0" collapsed="false">
      <c r="A101" s="9" t="s">
        <v>569</v>
      </c>
      <c r="B101" s="10" t="s">
        <v>570</v>
      </c>
      <c r="C101" s="11" t="n">
        <v>3</v>
      </c>
      <c r="D101" s="9"/>
      <c r="E101" s="9"/>
      <c r="F101" s="9" t="s">
        <v>375</v>
      </c>
      <c r="G101" s="9" t="s">
        <v>571</v>
      </c>
      <c r="H101" s="9" t="s">
        <v>381</v>
      </c>
      <c r="I101" s="9" t="s">
        <v>572</v>
      </c>
      <c r="J101" s="9" t="s">
        <v>573</v>
      </c>
      <c r="K101" s="9" t="s">
        <v>73</v>
      </c>
      <c r="L101" s="10" t="s">
        <v>74</v>
      </c>
      <c r="M101" s="10" t="s">
        <v>141</v>
      </c>
      <c r="N101" s="10" t="s">
        <v>101</v>
      </c>
      <c r="O101" s="9" t="s">
        <v>574</v>
      </c>
      <c r="P101" s="9" t="s">
        <v>71</v>
      </c>
      <c r="Q101" s="9" t="s">
        <v>78</v>
      </c>
      <c r="R101" s="9" t="s">
        <v>71</v>
      </c>
      <c r="S101" s="9" t="s">
        <v>575</v>
      </c>
      <c r="T101" s="9" t="s">
        <v>576</v>
      </c>
      <c r="U101" s="10" t="s">
        <v>577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81</v>
      </c>
    </row>
    <row r="102" customFormat="false" ht="15" hidden="false" customHeight="false" outlineLevel="0" collapsed="false">
      <c r="A102" s="9" t="s">
        <v>578</v>
      </c>
      <c r="B102" s="10" t="s">
        <v>579</v>
      </c>
      <c r="C102" s="11" t="n">
        <v>2</v>
      </c>
      <c r="D102" s="9"/>
      <c r="E102" s="9"/>
      <c r="F102" s="9" t="s">
        <v>375</v>
      </c>
      <c r="G102" s="9" t="s">
        <v>580</v>
      </c>
      <c r="H102" s="9" t="s">
        <v>381</v>
      </c>
      <c r="I102" s="9" t="s">
        <v>572</v>
      </c>
      <c r="J102" s="9" t="s">
        <v>573</v>
      </c>
      <c r="K102" s="9" t="s">
        <v>73</v>
      </c>
      <c r="L102" s="10" t="s">
        <v>74</v>
      </c>
      <c r="M102" s="10" t="s">
        <v>141</v>
      </c>
      <c r="N102" s="10" t="s">
        <v>101</v>
      </c>
      <c r="O102" s="9" t="s">
        <v>574</v>
      </c>
      <c r="P102" s="9" t="s">
        <v>71</v>
      </c>
      <c r="Q102" s="9" t="s">
        <v>78</v>
      </c>
      <c r="R102" s="9" t="s">
        <v>71</v>
      </c>
      <c r="S102" s="9" t="s">
        <v>575</v>
      </c>
      <c r="T102" s="9" t="s">
        <v>581</v>
      </c>
      <c r="U102" s="10" t="s">
        <v>577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81</v>
      </c>
    </row>
    <row r="103" customFormat="false" ht="15" hidden="false" customHeight="false" outlineLevel="0" collapsed="false">
      <c r="A103" s="9" t="s">
        <v>582</v>
      </c>
      <c r="B103" s="9" t="s">
        <v>583</v>
      </c>
      <c r="C103" s="11" t="n">
        <v>10</v>
      </c>
      <c r="D103" s="9"/>
      <c r="E103" s="9"/>
      <c r="F103" s="9" t="s">
        <v>375</v>
      </c>
      <c r="G103" s="10" t="s">
        <v>584</v>
      </c>
      <c r="H103" s="9" t="s">
        <v>585</v>
      </c>
      <c r="I103" s="9" t="s">
        <v>586</v>
      </c>
      <c r="J103" s="9" t="s">
        <v>587</v>
      </c>
      <c r="K103" s="9" t="s">
        <v>73</v>
      </c>
      <c r="L103" s="10" t="s">
        <v>74</v>
      </c>
      <c r="M103" s="10" t="s">
        <v>588</v>
      </c>
      <c r="N103" s="10" t="s">
        <v>131</v>
      </c>
      <c r="O103" s="9" t="s">
        <v>77</v>
      </c>
      <c r="P103" s="9" t="s">
        <v>71</v>
      </c>
      <c r="Q103" s="10" t="s">
        <v>589</v>
      </c>
      <c r="R103" s="9" t="s">
        <v>71</v>
      </c>
      <c r="S103" s="9" t="s">
        <v>590</v>
      </c>
      <c r="T103" s="10" t="s">
        <v>591</v>
      </c>
      <c r="U103" s="10" t="s">
        <v>592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81</v>
      </c>
    </row>
    <row r="104" customFormat="false" ht="15" hidden="false" customHeight="false" outlineLevel="0" collapsed="false">
      <c r="A104" s="9" t="s">
        <v>593</v>
      </c>
      <c r="B104" s="9" t="s">
        <v>594</v>
      </c>
      <c r="C104" s="11" t="n">
        <v>100</v>
      </c>
      <c r="D104" s="9"/>
      <c r="E104" s="9"/>
      <c r="F104" s="9" t="s">
        <v>68</v>
      </c>
      <c r="G104" s="10" t="s">
        <v>595</v>
      </c>
      <c r="H104" s="9" t="s">
        <v>585</v>
      </c>
      <c r="I104" s="9" t="s">
        <v>586</v>
      </c>
      <c r="J104" s="9" t="s">
        <v>587</v>
      </c>
      <c r="K104" s="9" t="s">
        <v>73</v>
      </c>
      <c r="L104" s="10" t="s">
        <v>74</v>
      </c>
      <c r="M104" s="10" t="s">
        <v>588</v>
      </c>
      <c r="N104" s="10" t="s">
        <v>131</v>
      </c>
      <c r="O104" s="9" t="s">
        <v>77</v>
      </c>
      <c r="P104" s="9" t="s">
        <v>71</v>
      </c>
      <c r="Q104" s="10" t="s">
        <v>589</v>
      </c>
      <c r="R104" s="9" t="s">
        <v>71</v>
      </c>
      <c r="S104" s="9" t="s">
        <v>590</v>
      </c>
      <c r="T104" s="10" t="s">
        <v>591</v>
      </c>
      <c r="U104" s="10" t="s">
        <v>592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81</v>
      </c>
    </row>
    <row r="105" customFormat="false" ht="15" hidden="false" customHeight="false" outlineLevel="0" collapsed="false">
      <c r="A105" s="9" t="s">
        <v>596</v>
      </c>
      <c r="B105" s="9" t="s">
        <v>597</v>
      </c>
      <c r="C105" s="11" t="n">
        <v>10</v>
      </c>
      <c r="D105" s="9"/>
      <c r="E105" s="9"/>
      <c r="F105" s="9" t="s">
        <v>375</v>
      </c>
      <c r="G105" s="10" t="s">
        <v>598</v>
      </c>
      <c r="H105" s="9" t="s">
        <v>599</v>
      </c>
      <c r="I105" s="9" t="s">
        <v>600</v>
      </c>
      <c r="J105" s="9" t="s">
        <v>601</v>
      </c>
      <c r="K105" s="9" t="s">
        <v>73</v>
      </c>
      <c r="L105" s="10" t="s">
        <v>74</v>
      </c>
      <c r="M105" s="10" t="s">
        <v>602</v>
      </c>
      <c r="N105" s="10" t="s">
        <v>131</v>
      </c>
      <c r="O105" s="9" t="s">
        <v>77</v>
      </c>
      <c r="P105" s="9" t="s">
        <v>71</v>
      </c>
      <c r="Q105" s="10" t="s">
        <v>589</v>
      </c>
      <c r="R105" s="9" t="s">
        <v>71</v>
      </c>
      <c r="S105" s="9" t="s">
        <v>590</v>
      </c>
      <c r="T105" s="10" t="s">
        <v>591</v>
      </c>
      <c r="U105" s="10" t="s">
        <v>592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81</v>
      </c>
    </row>
    <row r="106" customFormat="false" ht="15" hidden="false" customHeight="false" outlineLevel="0" collapsed="false">
      <c r="A106" s="9" t="s">
        <v>603</v>
      </c>
      <c r="B106" s="9" t="s">
        <v>604</v>
      </c>
      <c r="C106" s="11" t="n">
        <v>6</v>
      </c>
      <c r="D106" s="9"/>
      <c r="E106" s="9"/>
      <c r="F106" s="9" t="s">
        <v>375</v>
      </c>
      <c r="G106" s="10" t="s">
        <v>605</v>
      </c>
      <c r="H106" s="9" t="s">
        <v>606</v>
      </c>
      <c r="I106" s="9" t="s">
        <v>607</v>
      </c>
      <c r="J106" s="9" t="s">
        <v>608</v>
      </c>
      <c r="K106" s="9" t="s">
        <v>73</v>
      </c>
      <c r="L106" s="10" t="s">
        <v>74</v>
      </c>
      <c r="M106" s="10" t="s">
        <v>609</v>
      </c>
      <c r="N106" s="10" t="s">
        <v>131</v>
      </c>
      <c r="O106" s="9" t="s">
        <v>77</v>
      </c>
      <c r="P106" s="9" t="s">
        <v>71</v>
      </c>
      <c r="Q106" s="10" t="s">
        <v>589</v>
      </c>
      <c r="R106" s="9" t="s">
        <v>71</v>
      </c>
      <c r="S106" s="9" t="s">
        <v>590</v>
      </c>
      <c r="T106" s="10" t="s">
        <v>591</v>
      </c>
      <c r="U106" s="10" t="s">
        <v>592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81</v>
      </c>
    </row>
    <row r="107" customFormat="false" ht="15" hidden="false" customHeight="false" outlineLevel="0" collapsed="false">
      <c r="A107" s="9" t="s">
        <v>610</v>
      </c>
      <c r="B107" s="10" t="s">
        <v>611</v>
      </c>
      <c r="C107" s="11" t="n">
        <v>15</v>
      </c>
      <c r="D107" s="9"/>
      <c r="E107" s="9"/>
      <c r="F107" s="9" t="s">
        <v>68</v>
      </c>
      <c r="G107" s="9" t="s">
        <v>612</v>
      </c>
      <c r="H107" s="9" t="s">
        <v>70</v>
      </c>
      <c r="I107" s="9" t="s">
        <v>455</v>
      </c>
      <c r="J107" s="9" t="s">
        <v>613</v>
      </c>
      <c r="K107" s="9" t="s">
        <v>73</v>
      </c>
      <c r="L107" s="10" t="s">
        <v>74</v>
      </c>
      <c r="M107" s="10" t="s">
        <v>87</v>
      </c>
      <c r="N107" s="10" t="s">
        <v>101</v>
      </c>
      <c r="O107" s="9" t="s">
        <v>77</v>
      </c>
      <c r="P107" s="9" t="s">
        <v>71</v>
      </c>
      <c r="Q107" s="9" t="s">
        <v>78</v>
      </c>
      <c r="R107" s="9" t="s">
        <v>71</v>
      </c>
      <c r="S107" s="9" t="s">
        <v>614</v>
      </c>
      <c r="T107" s="9" t="s">
        <v>615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81</v>
      </c>
    </row>
    <row r="108" customFormat="false" ht="15" hidden="false" customHeight="false" outlineLevel="0" collapsed="false">
      <c r="A108" s="9" t="s">
        <v>616</v>
      </c>
      <c r="B108" s="10" t="s">
        <v>617</v>
      </c>
      <c r="C108" s="11" t="n">
        <v>30</v>
      </c>
      <c r="D108" s="9"/>
      <c r="E108" s="9"/>
      <c r="F108" s="9" t="s">
        <v>68</v>
      </c>
      <c r="G108" s="9" t="s">
        <v>612</v>
      </c>
      <c r="H108" s="9" t="s">
        <v>70</v>
      </c>
      <c r="I108" s="9" t="s">
        <v>455</v>
      </c>
      <c r="J108" s="9" t="s">
        <v>613</v>
      </c>
      <c r="K108" s="9" t="s">
        <v>73</v>
      </c>
      <c r="L108" s="10" t="s">
        <v>74</v>
      </c>
      <c r="M108" s="10" t="s">
        <v>87</v>
      </c>
      <c r="N108" s="10" t="s">
        <v>101</v>
      </c>
      <c r="O108" s="9" t="s">
        <v>77</v>
      </c>
      <c r="P108" s="9" t="s">
        <v>71</v>
      </c>
      <c r="Q108" s="9" t="s">
        <v>78</v>
      </c>
      <c r="R108" s="9" t="s">
        <v>71</v>
      </c>
      <c r="S108" s="9" t="s">
        <v>614</v>
      </c>
      <c r="T108" s="9" t="s">
        <v>615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81</v>
      </c>
    </row>
    <row r="109" customFormat="false" ht="15" hidden="false" customHeight="false" outlineLevel="0" collapsed="false">
      <c r="A109" s="9" t="s">
        <v>618</v>
      </c>
      <c r="B109" s="10" t="s">
        <v>619</v>
      </c>
      <c r="C109" s="11" t="n">
        <v>30</v>
      </c>
      <c r="D109" s="9"/>
      <c r="E109" s="9"/>
      <c r="F109" s="9" t="s">
        <v>68</v>
      </c>
      <c r="G109" s="9" t="s">
        <v>620</v>
      </c>
      <c r="H109" s="9" t="s">
        <v>70</v>
      </c>
      <c r="I109" s="9" t="s">
        <v>455</v>
      </c>
      <c r="J109" s="9" t="s">
        <v>613</v>
      </c>
      <c r="K109" s="9" t="s">
        <v>73</v>
      </c>
      <c r="L109" s="10" t="s">
        <v>74</v>
      </c>
      <c r="M109" s="10" t="s">
        <v>87</v>
      </c>
      <c r="N109" s="10" t="s">
        <v>101</v>
      </c>
      <c r="O109" s="9" t="s">
        <v>77</v>
      </c>
      <c r="P109" s="9" t="s">
        <v>71</v>
      </c>
      <c r="Q109" s="9" t="s">
        <v>78</v>
      </c>
      <c r="R109" s="9" t="s">
        <v>71</v>
      </c>
      <c r="S109" s="9" t="s">
        <v>614</v>
      </c>
      <c r="T109" s="9" t="s">
        <v>615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81</v>
      </c>
    </row>
    <row r="110" customFormat="false" ht="15" hidden="false" customHeight="false" outlineLevel="0" collapsed="false">
      <c r="A110" s="9" t="s">
        <v>621</v>
      </c>
      <c r="B110" s="10" t="s">
        <v>622</v>
      </c>
      <c r="C110" s="11" t="n">
        <v>12</v>
      </c>
      <c r="D110" s="9"/>
      <c r="E110" s="9"/>
      <c r="F110" s="9" t="s">
        <v>68</v>
      </c>
      <c r="G110" s="9" t="s">
        <v>623</v>
      </c>
      <c r="H110" s="9" t="s">
        <v>70</v>
      </c>
      <c r="I110" s="9" t="s">
        <v>455</v>
      </c>
      <c r="J110" s="9" t="s">
        <v>613</v>
      </c>
      <c r="K110" s="9" t="s">
        <v>73</v>
      </c>
      <c r="L110" s="10" t="s">
        <v>74</v>
      </c>
      <c r="M110" s="10" t="s">
        <v>87</v>
      </c>
      <c r="N110" s="10" t="s">
        <v>101</v>
      </c>
      <c r="O110" s="9" t="s">
        <v>77</v>
      </c>
      <c r="P110" s="9" t="s">
        <v>71</v>
      </c>
      <c r="Q110" s="9" t="s">
        <v>78</v>
      </c>
      <c r="R110" s="9" t="s">
        <v>71</v>
      </c>
      <c r="S110" s="9" t="s">
        <v>614</v>
      </c>
      <c r="T110" s="9" t="s">
        <v>615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81</v>
      </c>
    </row>
    <row r="111" customFormat="false" ht="15" hidden="false" customHeight="false" outlineLevel="0" collapsed="false">
      <c r="A111" s="9" t="s">
        <v>624</v>
      </c>
      <c r="B111" s="9" t="s">
        <v>625</v>
      </c>
      <c r="C111" s="11" t="n">
        <v>5</v>
      </c>
      <c r="D111" s="9"/>
      <c r="E111" s="9"/>
      <c r="F111" s="9" t="s">
        <v>165</v>
      </c>
      <c r="G111" s="9" t="s">
        <v>626</v>
      </c>
      <c r="H111" s="9" t="s">
        <v>70</v>
      </c>
      <c r="I111" s="9" t="s">
        <v>211</v>
      </c>
      <c r="J111" s="9" t="s">
        <v>212</v>
      </c>
      <c r="K111" s="9" t="s">
        <v>73</v>
      </c>
      <c r="L111" s="10" t="s">
        <v>74</v>
      </c>
      <c r="M111" s="10" t="s">
        <v>169</v>
      </c>
      <c r="N111" s="10" t="s">
        <v>131</v>
      </c>
      <c r="O111" s="9" t="s">
        <v>77</v>
      </c>
      <c r="P111" s="9" t="s">
        <v>71</v>
      </c>
      <c r="Q111" s="9" t="s">
        <v>156</v>
      </c>
      <c r="R111" s="9" t="s">
        <v>71</v>
      </c>
      <c r="S111" s="9" t="s">
        <v>627</v>
      </c>
      <c r="T111" s="9" t="s">
        <v>628</v>
      </c>
      <c r="U111" s="10" t="s">
        <v>629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81</v>
      </c>
    </row>
    <row r="112" customFormat="false" ht="15" hidden="false" customHeight="false" outlineLevel="0" collapsed="false">
      <c r="A112" s="9" t="s">
        <v>630</v>
      </c>
      <c r="B112" s="9" t="s">
        <v>631</v>
      </c>
      <c r="C112" s="11" t="n">
        <v>30</v>
      </c>
      <c r="D112" s="9"/>
      <c r="E112" s="9"/>
      <c r="F112" s="9" t="s">
        <v>165</v>
      </c>
      <c r="G112" s="9" t="s">
        <v>632</v>
      </c>
      <c r="H112" s="9" t="s">
        <v>70</v>
      </c>
      <c r="I112" s="9" t="s">
        <v>211</v>
      </c>
      <c r="J112" s="9" t="s">
        <v>212</v>
      </c>
      <c r="K112" s="9" t="s">
        <v>73</v>
      </c>
      <c r="L112" s="10" t="s">
        <v>74</v>
      </c>
      <c r="M112" s="10" t="s">
        <v>169</v>
      </c>
      <c r="N112" s="10" t="s">
        <v>131</v>
      </c>
      <c r="O112" s="9" t="s">
        <v>77</v>
      </c>
      <c r="P112" s="9" t="s">
        <v>71</v>
      </c>
      <c r="Q112" s="9" t="s">
        <v>156</v>
      </c>
      <c r="R112" s="9" t="s">
        <v>71</v>
      </c>
      <c r="S112" s="9" t="s">
        <v>627</v>
      </c>
      <c r="T112" s="9" t="s">
        <v>628</v>
      </c>
      <c r="U112" s="10" t="s">
        <v>629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81</v>
      </c>
    </row>
    <row r="113" customFormat="false" ht="15" hidden="false" customHeight="false" outlineLevel="0" collapsed="false">
      <c r="A113" s="9" t="s">
        <v>633</v>
      </c>
      <c r="B113" s="9" t="s">
        <v>634</v>
      </c>
      <c r="C113" s="11" t="n">
        <v>2.5</v>
      </c>
      <c r="D113" s="9"/>
      <c r="E113" s="9"/>
      <c r="F113" s="9" t="s">
        <v>165</v>
      </c>
      <c r="G113" s="9" t="s">
        <v>635</v>
      </c>
      <c r="H113" s="9" t="s">
        <v>70</v>
      </c>
      <c r="I113" s="9" t="s">
        <v>211</v>
      </c>
      <c r="J113" s="9" t="s">
        <v>212</v>
      </c>
      <c r="K113" s="9" t="s">
        <v>73</v>
      </c>
      <c r="L113" s="10" t="s">
        <v>74</v>
      </c>
      <c r="M113" s="10" t="s">
        <v>169</v>
      </c>
      <c r="N113" s="10" t="s">
        <v>131</v>
      </c>
      <c r="O113" s="9" t="s">
        <v>77</v>
      </c>
      <c r="P113" s="9" t="s">
        <v>71</v>
      </c>
      <c r="Q113" s="9" t="s">
        <v>156</v>
      </c>
      <c r="R113" s="9" t="s">
        <v>71</v>
      </c>
      <c r="S113" s="9" t="s">
        <v>627</v>
      </c>
      <c r="T113" s="9" t="s">
        <v>628</v>
      </c>
      <c r="U113" s="10" t="s">
        <v>629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81</v>
      </c>
    </row>
    <row r="114" customFormat="false" ht="15" hidden="false" customHeight="false" outlineLevel="0" collapsed="false">
      <c r="A114" s="9" t="s">
        <v>636</v>
      </c>
      <c r="B114" s="9" t="s">
        <v>637</v>
      </c>
      <c r="C114" s="11" t="n">
        <v>15</v>
      </c>
      <c r="D114" s="9"/>
      <c r="E114" s="9"/>
      <c r="F114" s="9" t="s">
        <v>165</v>
      </c>
      <c r="G114" s="9" t="s">
        <v>638</v>
      </c>
      <c r="H114" s="9" t="s">
        <v>70</v>
      </c>
      <c r="I114" s="9" t="s">
        <v>211</v>
      </c>
      <c r="J114" s="9" t="s">
        <v>212</v>
      </c>
      <c r="K114" s="9" t="s">
        <v>73</v>
      </c>
      <c r="L114" s="10" t="s">
        <v>74</v>
      </c>
      <c r="M114" s="10" t="s">
        <v>169</v>
      </c>
      <c r="N114" s="10" t="s">
        <v>131</v>
      </c>
      <c r="O114" s="9" t="s">
        <v>77</v>
      </c>
      <c r="P114" s="9" t="s">
        <v>71</v>
      </c>
      <c r="Q114" s="9" t="s">
        <v>156</v>
      </c>
      <c r="R114" s="9" t="s">
        <v>71</v>
      </c>
      <c r="S114" s="9" t="s">
        <v>627</v>
      </c>
      <c r="T114" s="9" t="s">
        <v>628</v>
      </c>
      <c r="U114" s="10" t="s">
        <v>629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81</v>
      </c>
    </row>
    <row r="115" customFormat="false" ht="15" hidden="false" customHeight="false" outlineLevel="0" collapsed="false">
      <c r="A115" s="9" t="s">
        <v>639</v>
      </c>
      <c r="B115" s="9" t="s">
        <v>640</v>
      </c>
      <c r="C115" s="11" t="n">
        <v>1</v>
      </c>
      <c r="D115" s="9"/>
      <c r="E115" s="9"/>
      <c r="F115" s="9" t="s">
        <v>165</v>
      </c>
      <c r="G115" s="9" t="s">
        <v>641</v>
      </c>
      <c r="H115" s="9" t="s">
        <v>70</v>
      </c>
      <c r="I115" s="9" t="s">
        <v>211</v>
      </c>
      <c r="J115" s="9" t="s">
        <v>212</v>
      </c>
      <c r="K115" s="9" t="s">
        <v>73</v>
      </c>
      <c r="L115" s="10" t="s">
        <v>74</v>
      </c>
      <c r="M115" s="10" t="s">
        <v>169</v>
      </c>
      <c r="N115" s="10" t="s">
        <v>131</v>
      </c>
      <c r="O115" s="9" t="s">
        <v>77</v>
      </c>
      <c r="P115" s="9" t="s">
        <v>71</v>
      </c>
      <c r="Q115" s="9" t="s">
        <v>156</v>
      </c>
      <c r="R115" s="9" t="s">
        <v>71</v>
      </c>
      <c r="S115" s="9" t="s">
        <v>627</v>
      </c>
      <c r="T115" s="9" t="s">
        <v>628</v>
      </c>
      <c r="U115" s="10" t="s">
        <v>629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81</v>
      </c>
    </row>
    <row r="116" customFormat="false" ht="15" hidden="false" customHeight="false" outlineLevel="0" collapsed="false">
      <c r="A116" s="9" t="s">
        <v>642</v>
      </c>
      <c r="B116" s="9" t="s">
        <v>643</v>
      </c>
      <c r="C116" s="11" t="n">
        <v>6</v>
      </c>
      <c r="D116" s="9"/>
      <c r="E116" s="9"/>
      <c r="F116" s="9" t="s">
        <v>165</v>
      </c>
      <c r="G116" s="9" t="s">
        <v>644</v>
      </c>
      <c r="H116" s="9" t="s">
        <v>70</v>
      </c>
      <c r="I116" s="9" t="s">
        <v>211</v>
      </c>
      <c r="J116" s="9" t="s">
        <v>212</v>
      </c>
      <c r="K116" s="9" t="s">
        <v>73</v>
      </c>
      <c r="L116" s="10" t="s">
        <v>74</v>
      </c>
      <c r="M116" s="10" t="s">
        <v>169</v>
      </c>
      <c r="N116" s="10" t="s">
        <v>131</v>
      </c>
      <c r="O116" s="9" t="s">
        <v>77</v>
      </c>
      <c r="P116" s="9" t="s">
        <v>71</v>
      </c>
      <c r="Q116" s="9" t="s">
        <v>156</v>
      </c>
      <c r="R116" s="9" t="s">
        <v>71</v>
      </c>
      <c r="S116" s="9" t="s">
        <v>627</v>
      </c>
      <c r="T116" s="9" t="s">
        <v>628</v>
      </c>
      <c r="U116" s="10" t="s">
        <v>629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81</v>
      </c>
    </row>
    <row r="117" customFormat="false" ht="15" hidden="false" customHeight="false" outlineLevel="0" collapsed="false">
      <c r="A117" s="9" t="s">
        <v>645</v>
      </c>
      <c r="B117" s="9" t="s">
        <v>646</v>
      </c>
      <c r="C117" s="11" t="n">
        <v>2</v>
      </c>
      <c r="D117" s="9"/>
      <c r="E117" s="9"/>
      <c r="F117" s="9" t="s">
        <v>165</v>
      </c>
      <c r="G117" s="9" t="s">
        <v>647</v>
      </c>
      <c r="H117" s="9" t="s">
        <v>70</v>
      </c>
      <c r="I117" s="9" t="s">
        <v>218</v>
      </c>
      <c r="J117" s="9" t="s">
        <v>212</v>
      </c>
      <c r="K117" s="9" t="s">
        <v>73</v>
      </c>
      <c r="L117" s="10" t="s">
        <v>74</v>
      </c>
      <c r="M117" s="10" t="s">
        <v>169</v>
      </c>
      <c r="N117" s="10" t="s">
        <v>131</v>
      </c>
      <c r="O117" s="9" t="s">
        <v>77</v>
      </c>
      <c r="P117" s="9" t="s">
        <v>71</v>
      </c>
      <c r="Q117" s="9" t="s">
        <v>156</v>
      </c>
      <c r="R117" s="9" t="s">
        <v>71</v>
      </c>
      <c r="S117" s="9" t="s">
        <v>627</v>
      </c>
      <c r="T117" s="9" t="s">
        <v>628</v>
      </c>
      <c r="U117" s="10" t="s">
        <v>629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81</v>
      </c>
    </row>
    <row r="118" customFormat="false" ht="15" hidden="false" customHeight="false" outlineLevel="0" collapsed="false">
      <c r="A118" s="9" t="s">
        <v>648</v>
      </c>
      <c r="B118" s="9" t="s">
        <v>649</v>
      </c>
      <c r="C118" s="11" t="n">
        <v>12</v>
      </c>
      <c r="D118" s="9"/>
      <c r="E118" s="9"/>
      <c r="F118" s="9" t="s">
        <v>165</v>
      </c>
      <c r="G118" s="9" t="s">
        <v>650</v>
      </c>
      <c r="H118" s="9" t="s">
        <v>70</v>
      </c>
      <c r="I118" s="9" t="s">
        <v>218</v>
      </c>
      <c r="J118" s="9" t="s">
        <v>212</v>
      </c>
      <c r="K118" s="9" t="s">
        <v>73</v>
      </c>
      <c r="L118" s="10" t="s">
        <v>74</v>
      </c>
      <c r="M118" s="10" t="s">
        <v>169</v>
      </c>
      <c r="N118" s="10" t="s">
        <v>131</v>
      </c>
      <c r="O118" s="9" t="s">
        <v>77</v>
      </c>
      <c r="P118" s="9" t="s">
        <v>71</v>
      </c>
      <c r="Q118" s="9" t="s">
        <v>156</v>
      </c>
      <c r="R118" s="9" t="s">
        <v>71</v>
      </c>
      <c r="S118" s="9" t="s">
        <v>627</v>
      </c>
      <c r="T118" s="9" t="s">
        <v>628</v>
      </c>
      <c r="U118" s="10" t="s">
        <v>629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81</v>
      </c>
    </row>
    <row r="119" customFormat="false" ht="15" hidden="false" customHeight="false" outlineLevel="0" collapsed="false">
      <c r="A119" s="9" t="s">
        <v>651</v>
      </c>
      <c r="B119" s="9" t="s">
        <v>652</v>
      </c>
      <c r="C119" s="11" t="n">
        <v>0.2</v>
      </c>
      <c r="D119" s="9"/>
      <c r="E119" s="9"/>
      <c r="F119" s="9" t="s">
        <v>165</v>
      </c>
      <c r="G119" s="9" t="s">
        <v>653</v>
      </c>
      <c r="H119" s="9" t="s">
        <v>70</v>
      </c>
      <c r="I119" s="9" t="s">
        <v>218</v>
      </c>
      <c r="J119" s="9" t="s">
        <v>212</v>
      </c>
      <c r="K119" s="9" t="s">
        <v>73</v>
      </c>
      <c r="L119" s="10" t="s">
        <v>74</v>
      </c>
      <c r="M119" s="10" t="s">
        <v>169</v>
      </c>
      <c r="N119" s="10" t="s">
        <v>131</v>
      </c>
      <c r="O119" s="9" t="s">
        <v>77</v>
      </c>
      <c r="P119" s="9" t="s">
        <v>71</v>
      </c>
      <c r="Q119" s="9" t="s">
        <v>156</v>
      </c>
      <c r="R119" s="9" t="s">
        <v>71</v>
      </c>
      <c r="S119" s="9" t="s">
        <v>627</v>
      </c>
      <c r="T119" s="9" t="s">
        <v>628</v>
      </c>
      <c r="U119" s="10" t="s">
        <v>629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81</v>
      </c>
    </row>
    <row r="120" customFormat="false" ht="15" hidden="false" customHeight="false" outlineLevel="0" collapsed="false">
      <c r="A120" s="9" t="s">
        <v>654</v>
      </c>
      <c r="B120" s="9" t="s">
        <v>655</v>
      </c>
      <c r="C120" s="11" t="n">
        <v>1.2</v>
      </c>
      <c r="D120" s="9"/>
      <c r="E120" s="9"/>
      <c r="F120" s="9" t="s">
        <v>165</v>
      </c>
      <c r="G120" s="9" t="s">
        <v>656</v>
      </c>
      <c r="H120" s="9" t="s">
        <v>70</v>
      </c>
      <c r="I120" s="9" t="s">
        <v>218</v>
      </c>
      <c r="J120" s="9" t="s">
        <v>212</v>
      </c>
      <c r="K120" s="9" t="s">
        <v>73</v>
      </c>
      <c r="L120" s="10" t="s">
        <v>74</v>
      </c>
      <c r="M120" s="10" t="s">
        <v>169</v>
      </c>
      <c r="N120" s="10" t="s">
        <v>131</v>
      </c>
      <c r="O120" s="9" t="s">
        <v>77</v>
      </c>
      <c r="P120" s="9" t="s">
        <v>71</v>
      </c>
      <c r="Q120" s="9" t="s">
        <v>156</v>
      </c>
      <c r="R120" s="9" t="s">
        <v>71</v>
      </c>
      <c r="S120" s="9" t="s">
        <v>627</v>
      </c>
      <c r="T120" s="9" t="s">
        <v>628</v>
      </c>
      <c r="U120" s="10" t="s">
        <v>629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81</v>
      </c>
    </row>
    <row r="121" customFormat="false" ht="15" hidden="false" customHeight="false" outlineLevel="0" collapsed="false">
      <c r="A121" s="9" t="s">
        <v>657</v>
      </c>
      <c r="B121" s="9" t="s">
        <v>658</v>
      </c>
      <c r="C121" s="11" t="n">
        <v>4</v>
      </c>
      <c r="D121" s="9"/>
      <c r="E121" s="9"/>
      <c r="F121" s="9" t="s">
        <v>165</v>
      </c>
      <c r="G121" s="9" t="s">
        <v>659</v>
      </c>
      <c r="H121" s="9" t="s">
        <v>70</v>
      </c>
      <c r="I121" s="9" t="s">
        <v>222</v>
      </c>
      <c r="J121" s="9" t="s">
        <v>212</v>
      </c>
      <c r="K121" s="9" t="s">
        <v>73</v>
      </c>
      <c r="L121" s="10" t="s">
        <v>74</v>
      </c>
      <c r="M121" s="10" t="s">
        <v>169</v>
      </c>
      <c r="N121" s="10" t="s">
        <v>131</v>
      </c>
      <c r="O121" s="9" t="s">
        <v>77</v>
      </c>
      <c r="P121" s="9" t="s">
        <v>71</v>
      </c>
      <c r="Q121" s="9" t="s">
        <v>156</v>
      </c>
      <c r="R121" s="9" t="s">
        <v>71</v>
      </c>
      <c r="S121" s="9" t="s">
        <v>627</v>
      </c>
      <c r="T121" s="9" t="s">
        <v>628</v>
      </c>
      <c r="U121" s="10" t="s">
        <v>629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81</v>
      </c>
    </row>
    <row r="122" customFormat="false" ht="15" hidden="false" customHeight="false" outlineLevel="0" collapsed="false">
      <c r="A122" s="9" t="s">
        <v>660</v>
      </c>
      <c r="B122" s="9" t="s">
        <v>661</v>
      </c>
      <c r="C122" s="11" t="n">
        <v>20</v>
      </c>
      <c r="D122" s="9"/>
      <c r="E122" s="9"/>
      <c r="F122" s="9" t="s">
        <v>165</v>
      </c>
      <c r="G122" s="9" t="s">
        <v>662</v>
      </c>
      <c r="H122" s="9" t="s">
        <v>70</v>
      </c>
      <c r="I122" s="9" t="s">
        <v>222</v>
      </c>
      <c r="J122" s="9" t="s">
        <v>212</v>
      </c>
      <c r="K122" s="9" t="s">
        <v>73</v>
      </c>
      <c r="L122" s="10" t="s">
        <v>74</v>
      </c>
      <c r="M122" s="10" t="s">
        <v>169</v>
      </c>
      <c r="N122" s="10" t="s">
        <v>131</v>
      </c>
      <c r="O122" s="9" t="s">
        <v>77</v>
      </c>
      <c r="P122" s="9" t="s">
        <v>71</v>
      </c>
      <c r="Q122" s="9" t="s">
        <v>156</v>
      </c>
      <c r="R122" s="9" t="s">
        <v>71</v>
      </c>
      <c r="S122" s="9" t="s">
        <v>627</v>
      </c>
      <c r="T122" s="9" t="s">
        <v>628</v>
      </c>
      <c r="U122" s="10" t="s">
        <v>629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81</v>
      </c>
    </row>
    <row r="123" customFormat="false" ht="15" hidden="false" customHeight="false" outlineLevel="0" collapsed="false">
      <c r="A123" s="9" t="s">
        <v>663</v>
      </c>
      <c r="B123" s="9" t="s">
        <v>664</v>
      </c>
      <c r="C123" s="11" t="n">
        <v>46233</v>
      </c>
      <c r="D123" s="9"/>
      <c r="E123" s="9"/>
      <c r="F123" s="10" t="s">
        <v>665</v>
      </c>
      <c r="G123" s="9" t="s">
        <v>666</v>
      </c>
      <c r="H123" s="9" t="s">
        <v>70</v>
      </c>
      <c r="I123" s="9" t="s">
        <v>218</v>
      </c>
      <c r="J123" s="9" t="s">
        <v>212</v>
      </c>
      <c r="K123" s="9" t="s">
        <v>73</v>
      </c>
      <c r="L123" s="10" t="s">
        <v>74</v>
      </c>
      <c r="M123" s="10" t="s">
        <v>169</v>
      </c>
      <c r="N123" s="10" t="s">
        <v>131</v>
      </c>
      <c r="O123" s="9" t="s">
        <v>77</v>
      </c>
      <c r="P123" s="9" t="s">
        <v>71</v>
      </c>
      <c r="Q123" s="9" t="s">
        <v>156</v>
      </c>
      <c r="R123" s="9" t="s">
        <v>71</v>
      </c>
      <c r="S123" s="9" t="s">
        <v>627</v>
      </c>
      <c r="T123" s="9" t="s">
        <v>667</v>
      </c>
      <c r="U123" s="9" t="s">
        <v>668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81</v>
      </c>
    </row>
    <row r="124" customFormat="false" ht="15" hidden="false" customHeight="false" outlineLevel="0" collapsed="false">
      <c r="A124" s="9" t="s">
        <v>669</v>
      </c>
      <c r="B124" s="9" t="s">
        <v>670</v>
      </c>
      <c r="C124" s="11" t="n">
        <v>46256</v>
      </c>
      <c r="D124" s="9"/>
      <c r="E124" s="9"/>
      <c r="F124" s="10" t="s">
        <v>665</v>
      </c>
      <c r="G124" s="9" t="s">
        <v>671</v>
      </c>
      <c r="H124" s="9" t="s">
        <v>70</v>
      </c>
      <c r="I124" s="9" t="s">
        <v>222</v>
      </c>
      <c r="J124" s="9" t="s">
        <v>212</v>
      </c>
      <c r="K124" s="9" t="s">
        <v>73</v>
      </c>
      <c r="L124" s="10" t="s">
        <v>74</v>
      </c>
      <c r="M124" s="10" t="s">
        <v>169</v>
      </c>
      <c r="N124" s="10" t="s">
        <v>131</v>
      </c>
      <c r="O124" s="9" t="s">
        <v>77</v>
      </c>
      <c r="P124" s="9" t="s">
        <v>71</v>
      </c>
      <c r="Q124" s="9" t="s">
        <v>156</v>
      </c>
      <c r="R124" s="9" t="s">
        <v>71</v>
      </c>
      <c r="S124" s="9" t="s">
        <v>627</v>
      </c>
      <c r="T124" s="9" t="s">
        <v>667</v>
      </c>
      <c r="U124" s="9" t="s">
        <v>668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81</v>
      </c>
    </row>
    <row r="125" customFormat="false" ht="15" hidden="false" customHeight="false" outlineLevel="0" collapsed="false">
      <c r="A125" s="9" t="s">
        <v>672</v>
      </c>
      <c r="B125" s="9" t="s">
        <v>673</v>
      </c>
      <c r="C125" s="11" t="n">
        <v>46268</v>
      </c>
      <c r="D125" s="9"/>
      <c r="E125" s="9"/>
      <c r="F125" s="10" t="s">
        <v>665</v>
      </c>
      <c r="G125" s="9" t="s">
        <v>674</v>
      </c>
      <c r="H125" s="9" t="s">
        <v>70</v>
      </c>
      <c r="I125" s="9" t="s">
        <v>226</v>
      </c>
      <c r="J125" s="9" t="s">
        <v>212</v>
      </c>
      <c r="K125" s="9" t="s">
        <v>73</v>
      </c>
      <c r="L125" s="10" t="s">
        <v>74</v>
      </c>
      <c r="M125" s="10" t="s">
        <v>169</v>
      </c>
      <c r="N125" s="10" t="s">
        <v>131</v>
      </c>
      <c r="O125" s="9" t="s">
        <v>77</v>
      </c>
      <c r="P125" s="9" t="s">
        <v>71</v>
      </c>
      <c r="Q125" s="9" t="s">
        <v>156</v>
      </c>
      <c r="R125" s="9" t="s">
        <v>71</v>
      </c>
      <c r="S125" s="9" t="s">
        <v>627</v>
      </c>
      <c r="T125" s="9" t="s">
        <v>667</v>
      </c>
      <c r="U125" s="9" t="s">
        <v>668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81</v>
      </c>
    </row>
    <row r="126" customFormat="false" ht="15" hidden="false" customHeight="false" outlineLevel="0" collapsed="false">
      <c r="A126" s="9" t="s">
        <v>675</v>
      </c>
      <c r="B126" s="9" t="s">
        <v>676</v>
      </c>
      <c r="C126" s="11" t="n">
        <v>46287</v>
      </c>
      <c r="D126" s="9"/>
      <c r="E126" s="9"/>
      <c r="F126" s="10" t="s">
        <v>665</v>
      </c>
      <c r="G126" s="9" t="s">
        <v>677</v>
      </c>
      <c r="H126" s="9" t="s">
        <v>70</v>
      </c>
      <c r="I126" s="9" t="s">
        <v>230</v>
      </c>
      <c r="J126" s="9" t="s">
        <v>212</v>
      </c>
      <c r="K126" s="9" t="s">
        <v>73</v>
      </c>
      <c r="L126" s="10" t="s">
        <v>74</v>
      </c>
      <c r="M126" s="10" t="s">
        <v>169</v>
      </c>
      <c r="N126" s="10" t="s">
        <v>131</v>
      </c>
      <c r="O126" s="9" t="s">
        <v>77</v>
      </c>
      <c r="P126" s="9" t="s">
        <v>71</v>
      </c>
      <c r="Q126" s="9" t="s">
        <v>156</v>
      </c>
      <c r="R126" s="9" t="s">
        <v>71</v>
      </c>
      <c r="S126" s="9" t="s">
        <v>627</v>
      </c>
      <c r="T126" s="9" t="s">
        <v>667</v>
      </c>
      <c r="U126" s="9" t="s">
        <v>668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81</v>
      </c>
    </row>
    <row r="127" customFormat="false" ht="15" hidden="false" customHeight="false" outlineLevel="0" collapsed="false">
      <c r="A127" s="9" t="s">
        <v>678</v>
      </c>
      <c r="B127" s="10" t="s">
        <v>679</v>
      </c>
      <c r="C127" s="11" t="n">
        <v>5.73</v>
      </c>
      <c r="D127" s="9"/>
      <c r="E127" s="9"/>
      <c r="F127" s="9" t="s">
        <v>68</v>
      </c>
      <c r="G127" s="9" t="s">
        <v>680</v>
      </c>
      <c r="H127" s="9" t="s">
        <v>70</v>
      </c>
      <c r="I127" s="9" t="s">
        <v>681</v>
      </c>
      <c r="J127" s="9" t="s">
        <v>682</v>
      </c>
      <c r="K127" s="9" t="s">
        <v>73</v>
      </c>
      <c r="L127" s="10" t="s">
        <v>74</v>
      </c>
      <c r="M127" s="10" t="s">
        <v>87</v>
      </c>
      <c r="N127" s="10" t="s">
        <v>88</v>
      </c>
      <c r="O127" s="9" t="s">
        <v>77</v>
      </c>
      <c r="P127" s="9" t="s">
        <v>71</v>
      </c>
      <c r="Q127" s="9" t="s">
        <v>78</v>
      </c>
      <c r="R127" s="9" t="s">
        <v>71</v>
      </c>
      <c r="S127" s="9" t="s">
        <v>683</v>
      </c>
      <c r="T127" s="9" t="s">
        <v>684</v>
      </c>
      <c r="U127" s="9" t="s">
        <v>685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81</v>
      </c>
    </row>
    <row r="128" customFormat="false" ht="15" hidden="false" customHeight="false" outlineLevel="0" collapsed="false">
      <c r="A128" s="9" t="s">
        <v>686</v>
      </c>
      <c r="B128" s="10" t="s">
        <v>687</v>
      </c>
      <c r="C128" s="11" t="n">
        <v>1.57</v>
      </c>
      <c r="D128" s="9"/>
      <c r="E128" s="9"/>
      <c r="F128" s="9" t="s">
        <v>68</v>
      </c>
      <c r="G128" s="9" t="s">
        <v>680</v>
      </c>
      <c r="H128" s="9" t="s">
        <v>70</v>
      </c>
      <c r="I128" s="9" t="s">
        <v>681</v>
      </c>
      <c r="J128" s="9" t="s">
        <v>682</v>
      </c>
      <c r="K128" s="9" t="s">
        <v>73</v>
      </c>
      <c r="L128" s="10" t="s">
        <v>74</v>
      </c>
      <c r="M128" s="10" t="s">
        <v>87</v>
      </c>
      <c r="N128" s="10" t="s">
        <v>88</v>
      </c>
      <c r="O128" s="9" t="s">
        <v>77</v>
      </c>
      <c r="P128" s="9" t="s">
        <v>71</v>
      </c>
      <c r="Q128" s="9" t="s">
        <v>78</v>
      </c>
      <c r="R128" s="9" t="s">
        <v>71</v>
      </c>
      <c r="S128" s="9" t="s">
        <v>683</v>
      </c>
      <c r="T128" s="9" t="s">
        <v>688</v>
      </c>
      <c r="U128" s="9" t="s">
        <v>685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81</v>
      </c>
    </row>
    <row r="129" customFormat="false" ht="15" hidden="false" customHeight="false" outlineLevel="0" collapsed="false">
      <c r="A129" s="9" t="s">
        <v>689</v>
      </c>
      <c r="B129" s="10" t="s">
        <v>690</v>
      </c>
      <c r="C129" s="11" t="n">
        <v>20.92</v>
      </c>
      <c r="D129" s="9"/>
      <c r="E129" s="9"/>
      <c r="F129" s="9" t="s">
        <v>68</v>
      </c>
      <c r="G129" s="9" t="s">
        <v>691</v>
      </c>
      <c r="H129" s="9" t="s">
        <v>70</v>
      </c>
      <c r="I129" s="9" t="s">
        <v>681</v>
      </c>
      <c r="J129" s="9" t="s">
        <v>682</v>
      </c>
      <c r="K129" s="9" t="s">
        <v>73</v>
      </c>
      <c r="L129" s="10" t="s">
        <v>74</v>
      </c>
      <c r="M129" s="10" t="s">
        <v>87</v>
      </c>
      <c r="N129" s="10" t="s">
        <v>88</v>
      </c>
      <c r="O129" s="9" t="s">
        <v>77</v>
      </c>
      <c r="P129" s="9" t="s">
        <v>71</v>
      </c>
      <c r="Q129" s="9" t="s">
        <v>78</v>
      </c>
      <c r="R129" s="9" t="s">
        <v>71</v>
      </c>
      <c r="S129" s="9" t="s">
        <v>683</v>
      </c>
      <c r="T129" s="9" t="s">
        <v>692</v>
      </c>
      <c r="U129" s="9" t="s">
        <v>685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81</v>
      </c>
    </row>
    <row r="130" customFormat="false" ht="15" hidden="false" customHeight="false" outlineLevel="0" collapsed="false">
      <c r="A130" s="9" t="s">
        <v>693</v>
      </c>
      <c r="B130" s="10" t="s">
        <v>694</v>
      </c>
      <c r="C130" s="11" t="n">
        <v>4000</v>
      </c>
      <c r="D130" s="9"/>
      <c r="E130" s="9"/>
      <c r="F130" s="10" t="s">
        <v>695</v>
      </c>
      <c r="G130" s="9" t="s">
        <v>696</v>
      </c>
      <c r="H130" s="9" t="s">
        <v>70</v>
      </c>
      <c r="I130" s="9" t="s">
        <v>697</v>
      </c>
      <c r="J130" s="9" t="s">
        <v>698</v>
      </c>
      <c r="K130" s="9" t="s">
        <v>73</v>
      </c>
      <c r="L130" s="10" t="s">
        <v>74</v>
      </c>
      <c r="M130" s="10" t="s">
        <v>87</v>
      </c>
      <c r="N130" s="10" t="s">
        <v>101</v>
      </c>
      <c r="O130" s="9" t="s">
        <v>77</v>
      </c>
      <c r="P130" s="9" t="s">
        <v>71</v>
      </c>
      <c r="Q130" s="9" t="s">
        <v>78</v>
      </c>
      <c r="R130" s="9" t="s">
        <v>71</v>
      </c>
      <c r="S130" s="9" t="s">
        <v>699</v>
      </c>
      <c r="T130" s="9" t="s">
        <v>700</v>
      </c>
      <c r="U130" s="9" t="s">
        <v>701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81</v>
      </c>
    </row>
    <row r="131" customFormat="false" ht="15" hidden="false" customHeight="false" outlineLevel="0" collapsed="false">
      <c r="A131" s="9" t="s">
        <v>702</v>
      </c>
      <c r="B131" s="10" t="s">
        <v>703</v>
      </c>
      <c r="C131" s="11" t="n">
        <v>1.5</v>
      </c>
      <c r="D131" s="9"/>
      <c r="E131" s="9"/>
      <c r="F131" s="9" t="s">
        <v>704</v>
      </c>
      <c r="G131" s="9" t="s">
        <v>705</v>
      </c>
      <c r="H131" s="9" t="s">
        <v>70</v>
      </c>
      <c r="I131" s="9" t="s">
        <v>697</v>
      </c>
      <c r="J131" s="9" t="s">
        <v>698</v>
      </c>
      <c r="K131" s="9" t="s">
        <v>73</v>
      </c>
      <c r="L131" s="10" t="s">
        <v>74</v>
      </c>
      <c r="M131" s="10" t="s">
        <v>87</v>
      </c>
      <c r="N131" s="10" t="s">
        <v>101</v>
      </c>
      <c r="O131" s="9" t="s">
        <v>77</v>
      </c>
      <c r="P131" s="9" t="s">
        <v>71</v>
      </c>
      <c r="Q131" s="9" t="s">
        <v>78</v>
      </c>
      <c r="R131" s="9" t="s">
        <v>71</v>
      </c>
      <c r="S131" s="9" t="s">
        <v>699</v>
      </c>
      <c r="T131" s="9" t="s">
        <v>706</v>
      </c>
      <c r="U131" s="9" t="s">
        <v>701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81</v>
      </c>
    </row>
    <row r="132" customFormat="false" ht="15" hidden="false" customHeight="false" outlineLevel="0" collapsed="false">
      <c r="A132" s="9" t="s">
        <v>707</v>
      </c>
      <c r="B132" s="10" t="s">
        <v>708</v>
      </c>
      <c r="C132" s="11" t="n">
        <v>0.462</v>
      </c>
      <c r="D132" s="9"/>
      <c r="E132" s="9"/>
      <c r="F132" s="10" t="s">
        <v>120</v>
      </c>
      <c r="G132" s="9" t="s">
        <v>709</v>
      </c>
      <c r="H132" s="9" t="s">
        <v>70</v>
      </c>
      <c r="I132" s="9" t="s">
        <v>697</v>
      </c>
      <c r="J132" s="9" t="s">
        <v>698</v>
      </c>
      <c r="K132" s="9" t="s">
        <v>73</v>
      </c>
      <c r="L132" s="10" t="s">
        <v>74</v>
      </c>
      <c r="M132" s="10" t="s">
        <v>87</v>
      </c>
      <c r="N132" s="10" t="s">
        <v>101</v>
      </c>
      <c r="O132" s="9" t="s">
        <v>77</v>
      </c>
      <c r="P132" s="9" t="s">
        <v>71</v>
      </c>
      <c r="Q132" s="9" t="s">
        <v>78</v>
      </c>
      <c r="R132" s="9" t="s">
        <v>71</v>
      </c>
      <c r="S132" s="9" t="s">
        <v>699</v>
      </c>
      <c r="T132" s="9" t="s">
        <v>710</v>
      </c>
      <c r="U132" s="9" t="s">
        <v>701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81</v>
      </c>
    </row>
    <row r="133" customFormat="false" ht="15" hidden="false" customHeight="false" outlineLevel="0" collapsed="false">
      <c r="A133" s="9" t="s">
        <v>711</v>
      </c>
      <c r="B133" s="10" t="s">
        <v>712</v>
      </c>
      <c r="C133" s="11" t="n">
        <v>3</v>
      </c>
      <c r="D133" s="9"/>
      <c r="E133" s="9"/>
      <c r="F133" s="9" t="s">
        <v>713</v>
      </c>
      <c r="G133" s="10" t="s">
        <v>714</v>
      </c>
      <c r="H133" s="9" t="s">
        <v>70</v>
      </c>
      <c r="I133" s="9" t="s">
        <v>697</v>
      </c>
      <c r="J133" s="9" t="s">
        <v>698</v>
      </c>
      <c r="K133" s="9" t="s">
        <v>73</v>
      </c>
      <c r="L133" s="10" t="s">
        <v>74</v>
      </c>
      <c r="M133" s="10" t="s">
        <v>87</v>
      </c>
      <c r="N133" s="10" t="s">
        <v>101</v>
      </c>
      <c r="O133" s="9" t="s">
        <v>77</v>
      </c>
      <c r="P133" s="9" t="s">
        <v>71</v>
      </c>
      <c r="Q133" s="9" t="s">
        <v>78</v>
      </c>
      <c r="R133" s="9" t="s">
        <v>71</v>
      </c>
      <c r="S133" s="9" t="s">
        <v>699</v>
      </c>
      <c r="T133" s="9" t="s">
        <v>715</v>
      </c>
      <c r="U133" s="9" t="s">
        <v>701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81</v>
      </c>
    </row>
    <row r="134" customFormat="false" ht="15" hidden="false" customHeight="false" outlineLevel="0" collapsed="false">
      <c r="A134" s="9" t="s">
        <v>716</v>
      </c>
      <c r="B134" s="10" t="s">
        <v>717</v>
      </c>
      <c r="C134" s="11" t="n">
        <v>4500</v>
      </c>
      <c r="D134" s="9"/>
      <c r="E134" s="9"/>
      <c r="F134" s="10" t="s">
        <v>695</v>
      </c>
      <c r="G134" s="9" t="s">
        <v>718</v>
      </c>
      <c r="H134" s="9" t="s">
        <v>70</v>
      </c>
      <c r="I134" s="9" t="s">
        <v>719</v>
      </c>
      <c r="J134" s="9" t="s">
        <v>720</v>
      </c>
      <c r="K134" s="9" t="s">
        <v>73</v>
      </c>
      <c r="L134" s="10" t="s">
        <v>74</v>
      </c>
      <c r="M134" s="10" t="s">
        <v>87</v>
      </c>
      <c r="N134" s="10" t="s">
        <v>101</v>
      </c>
      <c r="O134" s="9" t="s">
        <v>77</v>
      </c>
      <c r="P134" s="9" t="s">
        <v>71</v>
      </c>
      <c r="Q134" s="9" t="s">
        <v>78</v>
      </c>
      <c r="R134" s="9" t="s">
        <v>71</v>
      </c>
      <c r="S134" s="9" t="s">
        <v>721</v>
      </c>
      <c r="T134" s="9" t="s">
        <v>722</v>
      </c>
      <c r="U134" s="9" t="s">
        <v>723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81</v>
      </c>
    </row>
    <row r="135" customFormat="false" ht="15" hidden="false" customHeight="false" outlineLevel="0" collapsed="false">
      <c r="A135" s="9" t="s">
        <v>724</v>
      </c>
      <c r="B135" s="10" t="s">
        <v>725</v>
      </c>
      <c r="C135" s="11" t="n">
        <v>8000</v>
      </c>
      <c r="D135" s="9"/>
      <c r="E135" s="9"/>
      <c r="F135" s="10" t="s">
        <v>695</v>
      </c>
      <c r="G135" s="9" t="s">
        <v>726</v>
      </c>
      <c r="H135" s="9" t="s">
        <v>70</v>
      </c>
      <c r="I135" s="9" t="s">
        <v>719</v>
      </c>
      <c r="J135" s="9" t="s">
        <v>720</v>
      </c>
      <c r="K135" s="9" t="s">
        <v>73</v>
      </c>
      <c r="L135" s="10" t="s">
        <v>74</v>
      </c>
      <c r="M135" s="10" t="s">
        <v>87</v>
      </c>
      <c r="N135" s="10" t="s">
        <v>101</v>
      </c>
      <c r="O135" s="9" t="s">
        <v>77</v>
      </c>
      <c r="P135" s="9" t="s">
        <v>71</v>
      </c>
      <c r="Q135" s="9" t="s">
        <v>78</v>
      </c>
      <c r="R135" s="9" t="s">
        <v>71</v>
      </c>
      <c r="S135" s="9" t="s">
        <v>721</v>
      </c>
      <c r="T135" s="9" t="s">
        <v>722</v>
      </c>
      <c r="U135" s="9" t="s">
        <v>723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81</v>
      </c>
    </row>
    <row r="136" customFormat="false" ht="15" hidden="false" customHeight="false" outlineLevel="0" collapsed="false">
      <c r="A136" s="9" t="s">
        <v>727</v>
      </c>
      <c r="B136" s="10" t="s">
        <v>728</v>
      </c>
      <c r="C136" s="11" t="n">
        <v>16</v>
      </c>
      <c r="D136" s="9"/>
      <c r="E136" s="9"/>
      <c r="F136" s="9" t="s">
        <v>68</v>
      </c>
      <c r="G136" s="9" t="s">
        <v>729</v>
      </c>
      <c r="H136" s="9" t="s">
        <v>70</v>
      </c>
      <c r="I136" s="9" t="s">
        <v>730</v>
      </c>
      <c r="J136" s="9" t="s">
        <v>731</v>
      </c>
      <c r="K136" s="9" t="s">
        <v>73</v>
      </c>
      <c r="L136" s="10" t="s">
        <v>732</v>
      </c>
      <c r="M136" s="9" t="s">
        <v>733</v>
      </c>
      <c r="N136" s="10" t="s">
        <v>101</v>
      </c>
      <c r="O136" s="9" t="s">
        <v>77</v>
      </c>
      <c r="P136" s="9" t="s">
        <v>71</v>
      </c>
      <c r="Q136" s="9" t="s">
        <v>78</v>
      </c>
      <c r="R136" s="9" t="s">
        <v>71</v>
      </c>
      <c r="S136" s="9" t="s">
        <v>734</v>
      </c>
      <c r="T136" s="9" t="s">
        <v>735</v>
      </c>
      <c r="U136" s="9" t="s">
        <v>736</v>
      </c>
      <c r="V136" s="9" t="n">
        <f aca="false">IF(AND($O136="Active",$C136="",$D136="",$E136="",$F136&lt;&gt;"文字"),1,0)</f>
        <v>0</v>
      </c>
      <c r="W136" s="9" t="n">
        <f aca="false">IF(AND($O136="Active",OR($J136="",$J136="—")),1,0)</f>
        <v>0</v>
      </c>
      <c r="X136" s="9" t="n">
        <f aca="false">IF(AND(ISNUMBER($C136),ISNUMBER($D136),ISNUMBER($E136)),IF(AND($D136&lt;=$C136,$C136&lt;=$E136),0,1),0)</f>
        <v>0</v>
      </c>
      <c r="Y136" s="12" t="s">
        <v>81</v>
      </c>
    </row>
    <row r="137" customFormat="false" ht="15" hidden="false" customHeight="false" outlineLevel="0" collapsed="false">
      <c r="A137" s="9" t="s">
        <v>737</v>
      </c>
      <c r="B137" s="10" t="s">
        <v>738</v>
      </c>
      <c r="C137" s="11" t="n">
        <v>50</v>
      </c>
      <c r="D137" s="9"/>
      <c r="E137" s="9"/>
      <c r="F137" s="9" t="s">
        <v>68</v>
      </c>
      <c r="G137" s="9" t="s">
        <v>739</v>
      </c>
      <c r="H137" s="9" t="s">
        <v>70</v>
      </c>
      <c r="I137" s="9" t="s">
        <v>740</v>
      </c>
      <c r="J137" s="9" t="s">
        <v>741</v>
      </c>
      <c r="K137" s="9" t="s">
        <v>73</v>
      </c>
      <c r="L137" s="10" t="s">
        <v>74</v>
      </c>
      <c r="M137" s="10" t="s">
        <v>87</v>
      </c>
      <c r="N137" s="10" t="s">
        <v>101</v>
      </c>
      <c r="O137" s="9" t="s">
        <v>77</v>
      </c>
      <c r="P137" s="9" t="s">
        <v>71</v>
      </c>
      <c r="Q137" s="9" t="s">
        <v>78</v>
      </c>
      <c r="R137" s="9" t="s">
        <v>71</v>
      </c>
      <c r="S137" s="9" t="s">
        <v>734</v>
      </c>
      <c r="T137" s="9" t="s">
        <v>735</v>
      </c>
      <c r="U137" s="9" t="s">
        <v>742</v>
      </c>
      <c r="V137" s="9" t="n">
        <f aca="false">IF(AND($O137="Active",$C137="",$D137="",$E137="",$F137&lt;&gt;"文字"),1,0)</f>
        <v>0</v>
      </c>
      <c r="W137" s="9" t="n">
        <f aca="false">IF(AND($O137="Active",OR($J137="",$J137="—")),1,0)</f>
        <v>0</v>
      </c>
      <c r="X137" s="9" t="n">
        <f aca="false">IF(AND(ISNUMBER($C137),ISNUMBER($D137),ISNUMBER($E137)),IF(AND($D137&lt;=$C137,$C137&lt;=$E137),0,1),0)</f>
        <v>0</v>
      </c>
      <c r="Y137" s="12" t="s">
        <v>81</v>
      </c>
    </row>
    <row r="138" customFormat="false" ht="15" hidden="false" customHeight="false" outlineLevel="0" collapsed="false">
      <c r="A138" s="9" t="s">
        <v>743</v>
      </c>
      <c r="B138" s="10" t="s">
        <v>744</v>
      </c>
      <c r="C138" s="11" t="n">
        <v>0.5</v>
      </c>
      <c r="D138" s="9"/>
      <c r="E138" s="9"/>
      <c r="F138" s="10" t="s">
        <v>120</v>
      </c>
      <c r="G138" s="9" t="s">
        <v>745</v>
      </c>
      <c r="H138" s="9" t="s">
        <v>70</v>
      </c>
      <c r="I138" s="9" t="s">
        <v>746</v>
      </c>
      <c r="J138" s="9" t="s">
        <v>747</v>
      </c>
      <c r="K138" s="9" t="s">
        <v>73</v>
      </c>
      <c r="L138" s="10" t="s">
        <v>748</v>
      </c>
      <c r="M138" s="9" t="s">
        <v>749</v>
      </c>
      <c r="N138" s="10" t="s">
        <v>101</v>
      </c>
      <c r="O138" s="9" t="s">
        <v>77</v>
      </c>
      <c r="P138" s="9" t="s">
        <v>71</v>
      </c>
      <c r="Q138" s="9" t="s">
        <v>78</v>
      </c>
      <c r="R138" s="9" t="s">
        <v>71</v>
      </c>
      <c r="S138" s="9" t="s">
        <v>750</v>
      </c>
      <c r="T138" s="9" t="s">
        <v>751</v>
      </c>
      <c r="U138" s="9" t="s">
        <v>752</v>
      </c>
      <c r="V138" s="9" t="n">
        <f aca="false">IF(AND($O138="Active",$C138="",$D138="",$E138="",$F138&lt;&gt;"文字"),1,0)</f>
        <v>0</v>
      </c>
      <c r="W138" s="9" t="n">
        <f aca="false">IF(AND($O138="Active",OR($J138="",$J138="—")),1,0)</f>
        <v>0</v>
      </c>
      <c r="X138" s="9" t="n">
        <f aca="false">IF(AND(ISNUMBER($C138),ISNUMBER($D138),ISNUMBER($E138)),IF(AND($D138&lt;=$C138,$C138&lt;=$E138),0,1),0)</f>
        <v>0</v>
      </c>
      <c r="Y138" s="12" t="s">
        <v>81</v>
      </c>
    </row>
    <row r="139" customFormat="false" ht="15" hidden="false" customHeight="false" outlineLevel="0" collapsed="false">
      <c r="A139" s="9" t="s">
        <v>753</v>
      </c>
      <c r="B139" s="10" t="s">
        <v>754</v>
      </c>
      <c r="C139" s="11" t="n">
        <v>50</v>
      </c>
      <c r="D139" s="9"/>
      <c r="E139" s="9"/>
      <c r="F139" s="9" t="s">
        <v>68</v>
      </c>
      <c r="G139" s="10" t="s">
        <v>755</v>
      </c>
      <c r="H139" s="9" t="s">
        <v>70</v>
      </c>
      <c r="I139" s="9" t="s">
        <v>234</v>
      </c>
      <c r="J139" s="9" t="s">
        <v>756</v>
      </c>
      <c r="K139" s="9" t="s">
        <v>262</v>
      </c>
      <c r="L139" s="10" t="s">
        <v>757</v>
      </c>
      <c r="M139" s="9" t="s">
        <v>758</v>
      </c>
      <c r="N139" s="10" t="s">
        <v>101</v>
      </c>
      <c r="O139" s="9" t="s">
        <v>77</v>
      </c>
      <c r="P139" s="9" t="s">
        <v>71</v>
      </c>
      <c r="Q139" s="9" t="s">
        <v>78</v>
      </c>
      <c r="R139" s="9" t="s">
        <v>71</v>
      </c>
      <c r="S139" s="9" t="s">
        <v>759</v>
      </c>
      <c r="T139" s="9" t="s">
        <v>760</v>
      </c>
      <c r="U139" s="10" t="s">
        <v>761</v>
      </c>
      <c r="V139" s="9" t="n">
        <f aca="false">IF(AND($O139="Active",$C139="",$D139="",$E139="",$F139&lt;&gt;"文字"),1,0)</f>
        <v>0</v>
      </c>
      <c r="W139" s="9" t="n">
        <f aca="false">IF(AND($O139="Active",OR($J139="",$J139="—")),1,0)</f>
        <v>0</v>
      </c>
      <c r="X139" s="9" t="n">
        <f aca="false">IF(AND(ISNUMBER($C139),ISNUMBER($D139),ISNUMBER($E139)),IF(AND($D139&lt;=$C139,$C139&lt;=$E139),0,1),0)</f>
        <v>0</v>
      </c>
      <c r="Y139" s="12" t="s">
        <v>81</v>
      </c>
    </row>
    <row r="140" customFormat="false" ht="15" hidden="false" customHeight="false" outlineLevel="0" collapsed="false">
      <c r="A140" s="9" t="s">
        <v>762</v>
      </c>
      <c r="B140" s="9" t="s">
        <v>763</v>
      </c>
      <c r="C140" s="11" t="n">
        <v>15</v>
      </c>
      <c r="D140" s="9"/>
      <c r="E140" s="9"/>
      <c r="F140" s="9" t="s">
        <v>127</v>
      </c>
      <c r="G140" s="10" t="s">
        <v>764</v>
      </c>
      <c r="H140" s="9" t="s">
        <v>70</v>
      </c>
      <c r="I140" s="9" t="s">
        <v>765</v>
      </c>
      <c r="J140" s="9" t="s">
        <v>766</v>
      </c>
      <c r="K140" s="9" t="s">
        <v>767</v>
      </c>
      <c r="L140" s="10" t="s">
        <v>74</v>
      </c>
      <c r="M140" s="9" t="s">
        <v>768</v>
      </c>
      <c r="N140" s="10" t="s">
        <v>131</v>
      </c>
      <c r="O140" s="9" t="s">
        <v>77</v>
      </c>
      <c r="P140" s="9" t="s">
        <v>71</v>
      </c>
      <c r="Q140" s="9" t="s">
        <v>78</v>
      </c>
      <c r="R140" s="9" t="s">
        <v>71</v>
      </c>
      <c r="S140" s="9" t="s">
        <v>769</v>
      </c>
      <c r="T140" s="9" t="s">
        <v>770</v>
      </c>
      <c r="U140" s="10" t="s">
        <v>771</v>
      </c>
      <c r="V140" s="9" t="n">
        <f aca="false">IF(AND($O140="Active",$C140="",$D140="",$E140="",$F140&lt;&gt;"文字"),1,0)</f>
        <v>0</v>
      </c>
      <c r="W140" s="9" t="n">
        <f aca="false">IF(AND($O140="Active",OR($J140="",$J140="—")),1,0)</f>
        <v>0</v>
      </c>
      <c r="X140" s="9" t="n">
        <f aca="false">IF(AND(ISNUMBER($C140),ISNUMBER($D140),ISNUMBER($E140)),IF(AND($D140&lt;=$C140,$C140&lt;=$E140),0,1),0)</f>
        <v>0</v>
      </c>
      <c r="Y140" s="12" t="s">
        <v>81</v>
      </c>
    </row>
    <row r="141" customFormat="false" ht="15" hidden="false" customHeight="false" outlineLevel="0" collapsed="false">
      <c r="A141" s="9" t="s">
        <v>772</v>
      </c>
      <c r="B141" s="9" t="s">
        <v>773</v>
      </c>
      <c r="C141" s="11" t="n">
        <v>0.633</v>
      </c>
      <c r="D141" s="9"/>
      <c r="E141" s="9"/>
      <c r="F141" s="10" t="s">
        <v>120</v>
      </c>
      <c r="G141" s="9" t="s">
        <v>774</v>
      </c>
      <c r="H141" s="9" t="s">
        <v>70</v>
      </c>
      <c r="I141" s="9" t="s">
        <v>775</v>
      </c>
      <c r="J141" s="9" t="s">
        <v>776</v>
      </c>
      <c r="K141" s="9" t="s">
        <v>73</v>
      </c>
      <c r="L141" s="10" t="s">
        <v>74</v>
      </c>
      <c r="M141" s="10" t="s">
        <v>75</v>
      </c>
      <c r="N141" s="10" t="s">
        <v>131</v>
      </c>
      <c r="O141" s="9" t="s">
        <v>77</v>
      </c>
      <c r="P141" s="9" t="s">
        <v>71</v>
      </c>
      <c r="Q141" s="9" t="s">
        <v>78</v>
      </c>
      <c r="R141" s="9" t="s">
        <v>71</v>
      </c>
      <c r="S141" s="9" t="s">
        <v>777</v>
      </c>
      <c r="T141" s="9" t="s">
        <v>778</v>
      </c>
      <c r="U141" s="10" t="s">
        <v>779</v>
      </c>
      <c r="V141" s="9" t="n">
        <f aca="false">IF(AND($O141="Active",$C141="",$D141="",$E141="",$F141&lt;&gt;"文字"),1,0)</f>
        <v>0</v>
      </c>
      <c r="W141" s="9" t="n">
        <f aca="false">IF(AND($O141="Active",OR($J141="",$J141="—")),1,0)</f>
        <v>0</v>
      </c>
      <c r="X141" s="9" t="n">
        <f aca="false">IF(AND(ISNUMBER($C141),ISNUMBER($D141),ISNUMBER($E141)),IF(AND($D141&lt;=$C141,$C141&lt;=$E141),0,1),0)</f>
        <v>0</v>
      </c>
      <c r="Y141" s="12" t="s">
        <v>81</v>
      </c>
    </row>
    <row r="142" customFormat="false" ht="15" hidden="false" customHeight="false" outlineLevel="0" collapsed="false">
      <c r="A142" s="9" t="s">
        <v>780</v>
      </c>
      <c r="B142" s="9" t="s">
        <v>781</v>
      </c>
      <c r="C142" s="11" t="n">
        <v>0.165</v>
      </c>
      <c r="D142" s="9"/>
      <c r="E142" s="9"/>
      <c r="F142" s="10" t="s">
        <v>120</v>
      </c>
      <c r="G142" s="9" t="s">
        <v>782</v>
      </c>
      <c r="H142" s="9" t="s">
        <v>70</v>
      </c>
      <c r="I142" s="9" t="s">
        <v>775</v>
      </c>
      <c r="J142" s="9" t="s">
        <v>776</v>
      </c>
      <c r="K142" s="9" t="s">
        <v>73</v>
      </c>
      <c r="L142" s="10" t="s">
        <v>74</v>
      </c>
      <c r="M142" s="10" t="s">
        <v>75</v>
      </c>
      <c r="N142" s="10" t="s">
        <v>131</v>
      </c>
      <c r="O142" s="9" t="s">
        <v>77</v>
      </c>
      <c r="P142" s="9" t="s">
        <v>71</v>
      </c>
      <c r="Q142" s="9" t="s">
        <v>78</v>
      </c>
      <c r="R142" s="9" t="s">
        <v>71</v>
      </c>
      <c r="S142" s="9" t="s">
        <v>777</v>
      </c>
      <c r="T142" s="9" t="s">
        <v>778</v>
      </c>
      <c r="U142" s="10" t="s">
        <v>779</v>
      </c>
      <c r="V142" s="9" t="n">
        <f aca="false">IF(AND($O142="Active",$C142="",$D142="",$E142="",$F142&lt;&gt;"文字"),1,0)</f>
        <v>0</v>
      </c>
      <c r="W142" s="9" t="n">
        <f aca="false">IF(AND($O142="Active",OR($J142="",$J142="—")),1,0)</f>
        <v>0</v>
      </c>
      <c r="X142" s="9" t="n">
        <f aca="false">IF(AND(ISNUMBER($C142),ISNUMBER($D142),ISNUMBER($E142)),IF(AND($D142&lt;=$C142,$C142&lt;=$E142),0,1),0)</f>
        <v>0</v>
      </c>
      <c r="Y142" s="12" t="s">
        <v>81</v>
      </c>
    </row>
    <row r="143" customFormat="false" ht="15" hidden="false" customHeight="false" outlineLevel="0" collapsed="false">
      <c r="A143" s="9" t="s">
        <v>783</v>
      </c>
      <c r="B143" s="9" t="s">
        <v>784</v>
      </c>
      <c r="C143" s="11" t="n">
        <v>10</v>
      </c>
      <c r="D143" s="9"/>
      <c r="E143" s="9"/>
      <c r="F143" s="9" t="s">
        <v>68</v>
      </c>
      <c r="G143" s="9" t="s">
        <v>785</v>
      </c>
      <c r="H143" s="9" t="s">
        <v>138</v>
      </c>
      <c r="I143" s="9" t="s">
        <v>786</v>
      </c>
      <c r="J143" s="9" t="s">
        <v>787</v>
      </c>
      <c r="K143" s="9" t="s">
        <v>73</v>
      </c>
      <c r="L143" s="10" t="s">
        <v>74</v>
      </c>
      <c r="M143" s="10" t="s">
        <v>141</v>
      </c>
      <c r="N143" s="10" t="s">
        <v>131</v>
      </c>
      <c r="O143" s="9" t="s">
        <v>77</v>
      </c>
      <c r="P143" s="9" t="s">
        <v>71</v>
      </c>
      <c r="Q143" s="9" t="s">
        <v>78</v>
      </c>
      <c r="R143" s="9" t="s">
        <v>71</v>
      </c>
      <c r="S143" s="9" t="s">
        <v>788</v>
      </c>
      <c r="T143" s="9" t="s">
        <v>789</v>
      </c>
      <c r="U143" s="10" t="s">
        <v>790</v>
      </c>
      <c r="V143" s="9" t="n">
        <f aca="false">IF(AND($O143="Active",$C143="",$D143="",$E143="",$F143&lt;&gt;"文字"),1,0)</f>
        <v>0</v>
      </c>
      <c r="W143" s="9" t="n">
        <f aca="false">IF(AND($O143="Active",OR($J143="",$J143="—")),1,0)</f>
        <v>0</v>
      </c>
      <c r="X143" s="9" t="n">
        <f aca="false">IF(AND(ISNUMBER($C143),ISNUMBER($D143),ISNUMBER($E143)),IF(AND($D143&lt;=$C143,$C143&lt;=$E143),0,1),0)</f>
        <v>0</v>
      </c>
      <c r="Y143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791</v>
      </c>
    </row>
    <row r="2" customFormat="false" ht="15" hidden="false" customHeight="false" outlineLevel="0" collapsed="false">
      <c r="A2" s="2" t="s">
        <v>792</v>
      </c>
    </row>
    <row r="3" customFormat="false" ht="15" hidden="false" customHeight="false" outlineLevel="0" collapsed="false">
      <c r="A3" s="5" t="s">
        <v>793</v>
      </c>
      <c r="B3" s="9" t="s">
        <v>794</v>
      </c>
    </row>
    <row r="4" customFormat="false" ht="15" hidden="false" customHeight="false" outlineLevel="0" collapsed="false">
      <c r="A4" s="5" t="s">
        <v>795</v>
      </c>
      <c r="B4" s="9" t="s">
        <v>796</v>
      </c>
    </row>
    <row r="5" customFormat="false" ht="15" hidden="false" customHeight="false" outlineLevel="0" collapsed="false">
      <c r="A5" s="5" t="s">
        <v>797</v>
      </c>
      <c r="B5" s="9" t="s">
        <v>798</v>
      </c>
    </row>
    <row r="6" customFormat="false" ht="15" hidden="false" customHeight="false" outlineLevel="0" collapsed="false">
      <c r="A6" s="3" t="s">
        <v>799</v>
      </c>
      <c r="B6" s="9" t="s">
        <v>800</v>
      </c>
    </row>
    <row r="7" customFormat="false" ht="15" hidden="false" customHeight="false" outlineLevel="0" collapsed="false">
      <c r="A7" s="3" t="s">
        <v>801</v>
      </c>
      <c r="B7" s="9" t="s">
        <v>802</v>
      </c>
      <c r="I7" s="3" t="s">
        <v>803</v>
      </c>
      <c r="J7" s="9" t="s">
        <v>804</v>
      </c>
      <c r="K7" s="9" t="s">
        <v>804</v>
      </c>
      <c r="L7" s="9" t="s">
        <v>804</v>
      </c>
      <c r="M7" s="9" t="s">
        <v>805</v>
      </c>
      <c r="N7" s="9" t="s">
        <v>805</v>
      </c>
      <c r="O7" s="9" t="s">
        <v>805</v>
      </c>
      <c r="P7" s="9" t="s">
        <v>806</v>
      </c>
      <c r="Q7" s="9" t="s">
        <v>806</v>
      </c>
      <c r="R7" s="9" t="s">
        <v>806</v>
      </c>
      <c r="S7" s="9" t="s">
        <v>807</v>
      </c>
      <c r="T7" s="9" t="s">
        <v>807</v>
      </c>
      <c r="U7" s="9" t="s">
        <v>807</v>
      </c>
      <c r="V7" s="9" t="s">
        <v>808</v>
      </c>
      <c r="W7" s="9" t="s">
        <v>808</v>
      </c>
      <c r="X7" s="9" t="s">
        <v>808</v>
      </c>
    </row>
    <row r="8" customFormat="false" ht="15" hidden="false" customHeight="false" outlineLevel="0" collapsed="false">
      <c r="I8" s="3" t="s">
        <v>809</v>
      </c>
      <c r="J8" s="10" t="s">
        <v>810</v>
      </c>
      <c r="K8" s="10" t="s">
        <v>811</v>
      </c>
      <c r="L8" s="10" t="s">
        <v>812</v>
      </c>
      <c r="M8" s="10" t="s">
        <v>810</v>
      </c>
      <c r="N8" s="10" t="s">
        <v>811</v>
      </c>
      <c r="O8" s="10" t="s">
        <v>812</v>
      </c>
      <c r="P8" s="10" t="s">
        <v>810</v>
      </c>
      <c r="Q8" s="10" t="s">
        <v>811</v>
      </c>
      <c r="R8" s="10" t="s">
        <v>812</v>
      </c>
      <c r="S8" s="10" t="s">
        <v>810</v>
      </c>
      <c r="T8" s="10" t="s">
        <v>811</v>
      </c>
      <c r="U8" s="10" t="s">
        <v>812</v>
      </c>
      <c r="V8" s="10" t="s">
        <v>810</v>
      </c>
      <c r="W8" s="10" t="s">
        <v>811</v>
      </c>
      <c r="X8" s="10" t="s">
        <v>812</v>
      </c>
    </row>
    <row r="9" customFormat="false" ht="26.85" hidden="false" customHeight="false" outlineLevel="0" collapsed="false">
      <c r="A9" s="7" t="s">
        <v>813</v>
      </c>
      <c r="B9" s="8" t="s">
        <v>814</v>
      </c>
      <c r="C9" s="8" t="s">
        <v>815</v>
      </c>
      <c r="D9" s="8" t="s">
        <v>46</v>
      </c>
      <c r="E9" s="8" t="s">
        <v>816</v>
      </c>
      <c r="F9" s="8" t="s">
        <v>55</v>
      </c>
      <c r="G9" s="7" t="s">
        <v>795</v>
      </c>
      <c r="H9" s="8" t="s">
        <v>817</v>
      </c>
      <c r="I9" s="8" t="s">
        <v>799</v>
      </c>
      <c r="J9" s="8" t="s">
        <v>818</v>
      </c>
      <c r="K9" s="8" t="s">
        <v>819</v>
      </c>
      <c r="L9" s="8" t="s">
        <v>820</v>
      </c>
      <c r="M9" s="8" t="s">
        <v>821</v>
      </c>
      <c r="N9" s="8" t="s">
        <v>822</v>
      </c>
      <c r="O9" s="8" t="s">
        <v>823</v>
      </c>
      <c r="P9" s="8" t="s">
        <v>824</v>
      </c>
      <c r="Q9" s="8" t="s">
        <v>825</v>
      </c>
      <c r="R9" s="8" t="s">
        <v>826</v>
      </c>
      <c r="S9" s="8" t="s">
        <v>827</v>
      </c>
      <c r="T9" s="8" t="s">
        <v>828</v>
      </c>
      <c r="U9" s="8" t="s">
        <v>829</v>
      </c>
      <c r="V9" s="8" t="s">
        <v>830</v>
      </c>
      <c r="W9" s="8" t="s">
        <v>831</v>
      </c>
      <c r="X9" s="8" t="s">
        <v>832</v>
      </c>
    </row>
    <row r="10" customFormat="false" ht="15" hidden="false" customHeight="false" outlineLevel="0" collapsed="false">
      <c r="A10" s="9" t="s">
        <v>833</v>
      </c>
      <c r="B10" s="9" t="s">
        <v>834</v>
      </c>
      <c r="C10" s="10" t="s">
        <v>835</v>
      </c>
      <c r="D10" s="9" t="s">
        <v>836</v>
      </c>
      <c r="E10" s="9" t="n">
        <v>15</v>
      </c>
      <c r="F10" s="9" t="s">
        <v>837</v>
      </c>
      <c r="G10" s="9" t="s">
        <v>796</v>
      </c>
      <c r="H10" s="9" t="s">
        <v>838</v>
      </c>
      <c r="I10" s="9" t="s">
        <v>800</v>
      </c>
      <c r="J10" s="11" t="n">
        <v>6809025705.99183</v>
      </c>
      <c r="K10" s="11" t="n">
        <v>6809025705.99183</v>
      </c>
      <c r="L10" s="11" t="n">
        <v>6809025705.99183</v>
      </c>
      <c r="M10" s="11" t="n">
        <v>33674781620.6943</v>
      </c>
      <c r="N10" s="11" t="n">
        <v>33674781620.6943</v>
      </c>
      <c r="O10" s="11" t="n">
        <v>33674781620.6943</v>
      </c>
      <c r="P10" s="11" t="n">
        <v>39257828144.5082</v>
      </c>
      <c r="Q10" s="11" t="n">
        <v>39257828144.5082</v>
      </c>
      <c r="R10" s="11" t="n">
        <v>39257828144.5082</v>
      </c>
      <c r="S10" s="11" t="n">
        <v>69625193603.6778</v>
      </c>
      <c r="T10" s="11" t="n">
        <v>69625193603.6778</v>
      </c>
      <c r="U10" s="11" t="n">
        <v>69625193603.6778</v>
      </c>
      <c r="V10" s="11" t="n">
        <v>98521567397.5749</v>
      </c>
      <c r="W10" s="11" t="n">
        <v>98521567397.5749</v>
      </c>
      <c r="X10" s="11" t="n">
        <v>98521567397.5749</v>
      </c>
    </row>
    <row r="11" customFormat="false" ht="15" hidden="false" customHeight="false" outlineLevel="0" collapsed="false">
      <c r="A11" s="9" t="s">
        <v>839</v>
      </c>
      <c r="B11" s="9" t="s">
        <v>840</v>
      </c>
      <c r="C11" s="10" t="s">
        <v>835</v>
      </c>
      <c r="D11" s="9" t="s">
        <v>836</v>
      </c>
      <c r="E11" s="9" t="n">
        <v>15</v>
      </c>
      <c r="F11" s="9" t="s">
        <v>837</v>
      </c>
      <c r="G11" s="9" t="s">
        <v>796</v>
      </c>
      <c r="H11" s="9" t="s">
        <v>838</v>
      </c>
      <c r="I11" s="9" t="s">
        <v>800</v>
      </c>
      <c r="J11" s="11" t="n">
        <v>132127787230.323</v>
      </c>
      <c r="K11" s="11" t="n">
        <v>132127787230.323</v>
      </c>
      <c r="L11" s="11" t="n">
        <v>132127787230.323</v>
      </c>
      <c r="M11" s="11" t="n">
        <v>657207761225.876</v>
      </c>
      <c r="N11" s="11" t="n">
        <v>657207761225.876</v>
      </c>
      <c r="O11" s="11" t="n">
        <v>657207761225.876</v>
      </c>
      <c r="P11" s="11" t="n">
        <v>852150688542.553</v>
      </c>
      <c r="Q11" s="11" t="n">
        <v>852150688542.553</v>
      </c>
      <c r="R11" s="11" t="n">
        <v>852150688542.553</v>
      </c>
      <c r="S11" s="11" t="n">
        <v>1229271098522.29</v>
      </c>
      <c r="T11" s="11" t="n">
        <v>1229271098522.29</v>
      </c>
      <c r="U11" s="11" t="n">
        <v>1229271098522.29</v>
      </c>
      <c r="V11" s="11" t="n">
        <v>1654989853130.96</v>
      </c>
      <c r="W11" s="11" t="n">
        <v>1654989853130.96</v>
      </c>
      <c r="X11" s="11" t="n">
        <v>1654989853130.96</v>
      </c>
    </row>
    <row r="12" customFormat="false" ht="15" hidden="false" customHeight="false" outlineLevel="0" collapsed="false">
      <c r="A12" s="9" t="s">
        <v>841</v>
      </c>
      <c r="B12" s="9" t="s">
        <v>842</v>
      </c>
      <c r="C12" s="10" t="s">
        <v>835</v>
      </c>
      <c r="D12" s="9" t="s">
        <v>836</v>
      </c>
      <c r="E12" s="9" t="n">
        <v>15</v>
      </c>
      <c r="F12" s="9" t="s">
        <v>837</v>
      </c>
      <c r="G12" s="9" t="s">
        <v>796</v>
      </c>
      <c r="H12" s="9" t="s">
        <v>838</v>
      </c>
      <c r="I12" s="9" t="s">
        <v>800</v>
      </c>
      <c r="J12" s="11" t="n">
        <v>33634916325.118</v>
      </c>
      <c r="K12" s="11" t="n">
        <v>33634916325.118</v>
      </c>
      <c r="L12" s="11" t="n">
        <v>33634916325.118</v>
      </c>
      <c r="M12" s="11" t="n">
        <v>163715850475.954</v>
      </c>
      <c r="N12" s="11" t="n">
        <v>163715850475.954</v>
      </c>
      <c r="O12" s="11" t="n">
        <v>163715850475.954</v>
      </c>
      <c r="P12" s="11" t="n">
        <v>212334321421.888</v>
      </c>
      <c r="Q12" s="11" t="n">
        <v>212334321421.888</v>
      </c>
      <c r="R12" s="11" t="n">
        <v>212334321421.888</v>
      </c>
      <c r="S12" s="11" t="n">
        <v>318984897819.054</v>
      </c>
      <c r="T12" s="11" t="n">
        <v>318984897819.054</v>
      </c>
      <c r="U12" s="11" t="n">
        <v>318984897819.054</v>
      </c>
      <c r="V12" s="11" t="n">
        <v>434380455314.928</v>
      </c>
      <c r="W12" s="11" t="n">
        <v>434380455314.928</v>
      </c>
      <c r="X12" s="11" t="n">
        <v>434380455314.928</v>
      </c>
    </row>
    <row r="13" customFormat="false" ht="15" hidden="false" customHeight="false" outlineLevel="0" collapsed="false">
      <c r="A13" s="9" t="s">
        <v>843</v>
      </c>
      <c r="B13" s="9" t="s">
        <v>844</v>
      </c>
      <c r="C13" s="10" t="s">
        <v>845</v>
      </c>
      <c r="D13" s="9" t="s">
        <v>846</v>
      </c>
      <c r="E13" s="9" t="n">
        <v>1</v>
      </c>
      <c r="F13" s="9" t="s">
        <v>837</v>
      </c>
      <c r="G13" s="9" t="s">
        <v>796</v>
      </c>
      <c r="H13" s="9" t="s">
        <v>838</v>
      </c>
      <c r="I13" s="9" t="s">
        <v>800</v>
      </c>
      <c r="J13" s="11" t="n">
        <v>0.6</v>
      </c>
    </row>
    <row r="14" customFormat="false" ht="15" hidden="false" customHeight="false" outlineLevel="0" collapsed="false">
      <c r="A14" s="9" t="s">
        <v>847</v>
      </c>
      <c r="B14" s="9" t="s">
        <v>848</v>
      </c>
      <c r="C14" s="10" t="s">
        <v>849</v>
      </c>
      <c r="D14" s="9" t="s">
        <v>713</v>
      </c>
      <c r="E14" s="9" t="n">
        <v>15</v>
      </c>
      <c r="F14" s="9" t="s">
        <v>837</v>
      </c>
      <c r="G14" s="9" t="s">
        <v>796</v>
      </c>
      <c r="H14" s="9" t="s">
        <v>838</v>
      </c>
      <c r="I14" s="9" t="s">
        <v>800</v>
      </c>
      <c r="J14" s="11" t="n">
        <v>6.79107465326444</v>
      </c>
      <c r="K14" s="11" t="n">
        <v>9.70308728611469</v>
      </c>
      <c r="L14" s="11" t="n">
        <v>16.6637697337026</v>
      </c>
      <c r="M14" s="11" t="n">
        <v>6.6118162762144</v>
      </c>
      <c r="N14" s="11" t="n">
        <v>8.82816556596761</v>
      </c>
      <c r="O14" s="11" t="n">
        <v>14.3185748619737</v>
      </c>
      <c r="P14" s="11" t="n">
        <v>8.42889912085495</v>
      </c>
      <c r="Q14" s="11" t="n">
        <v>10.8864110021101</v>
      </c>
      <c r="R14" s="11" t="n">
        <v>18.5346455040469</v>
      </c>
      <c r="S14" s="11" t="n">
        <v>9.21907146281596</v>
      </c>
      <c r="T14" s="11" t="n">
        <v>12.2254710045841</v>
      </c>
      <c r="U14" s="11" t="n">
        <v>19.7506269894487</v>
      </c>
      <c r="V14" s="11" t="n">
        <v>10.1025446864987</v>
      </c>
      <c r="W14" s="11" t="n">
        <v>15.3544827030524</v>
      </c>
      <c r="X14" s="11" t="n">
        <v>28.0302450108258</v>
      </c>
    </row>
    <row r="15" customFormat="false" ht="15" hidden="false" customHeight="false" outlineLevel="0" collapsed="false">
      <c r="A15" s="9" t="s">
        <v>850</v>
      </c>
      <c r="B15" s="9" t="s">
        <v>851</v>
      </c>
      <c r="C15" s="10" t="s">
        <v>852</v>
      </c>
      <c r="D15" s="9" t="s">
        <v>853</v>
      </c>
      <c r="E15" s="9" t="n">
        <v>15</v>
      </c>
      <c r="F15" s="9" t="s">
        <v>837</v>
      </c>
      <c r="G15" s="9" t="s">
        <v>796</v>
      </c>
      <c r="H15" s="9" t="s">
        <v>838</v>
      </c>
      <c r="I15" s="9" t="s">
        <v>800</v>
      </c>
      <c r="J15" s="11" t="n">
        <v>4.40215155977747</v>
      </c>
      <c r="K15" s="11" t="n">
        <v>6.28969830892934</v>
      </c>
      <c r="L15" s="11" t="n">
        <v>10.8015652485185</v>
      </c>
      <c r="M15" s="11" t="n">
        <v>0.527542142863801</v>
      </c>
      <c r="N15" s="11" t="n">
        <v>0.704304901204787</v>
      </c>
      <c r="O15" s="11" t="n">
        <v>1.14218709606907</v>
      </c>
      <c r="P15" s="11" t="n">
        <v>0.595425724008689</v>
      </c>
      <c r="Q15" s="11" t="n">
        <v>0.768961693862178</v>
      </c>
      <c r="R15" s="11" t="n">
        <v>1.30903794011929</v>
      </c>
      <c r="S15" s="11" t="n">
        <v>0.317420001098699</v>
      </c>
      <c r="T15" s="11" t="n">
        <v>0.420859941907998</v>
      </c>
      <c r="U15" s="11" t="n">
        <v>0.6797748595165</v>
      </c>
      <c r="V15" s="11" t="n">
        <v>0.223480505442</v>
      </c>
      <c r="W15" s="11" t="n">
        <v>0.339543672923743</v>
      </c>
      <c r="X15" s="11" t="n">
        <v>0.619666766351121</v>
      </c>
    </row>
    <row r="16" customFormat="false" ht="15" hidden="false" customHeight="false" outlineLevel="0" collapsed="false">
      <c r="A16" s="9" t="s">
        <v>854</v>
      </c>
      <c r="B16" s="9" t="s">
        <v>855</v>
      </c>
      <c r="C16" s="10" t="s">
        <v>852</v>
      </c>
      <c r="D16" s="9" t="s">
        <v>853</v>
      </c>
      <c r="E16" s="9" t="n">
        <v>15</v>
      </c>
      <c r="F16" s="9" t="s">
        <v>837</v>
      </c>
      <c r="G16" s="9" t="s">
        <v>796</v>
      </c>
      <c r="H16" s="9" t="s">
        <v>838</v>
      </c>
      <c r="I16" s="9" t="s">
        <v>800</v>
      </c>
      <c r="J16" s="11" t="n">
        <v>0.130073138324249</v>
      </c>
      <c r="K16" s="11" t="n">
        <v>0.185843851679121</v>
      </c>
      <c r="L16" s="11" t="n">
        <v>0.319154477175531</v>
      </c>
      <c r="M16" s="11" t="n">
        <v>0.0193994963706716</v>
      </c>
      <c r="N16" s="11" t="n">
        <v>0.0258987773227102</v>
      </c>
      <c r="O16" s="11" t="n">
        <v>0.0419989979519242</v>
      </c>
      <c r="P16" s="11" t="n">
        <v>0.0198012970151484</v>
      </c>
      <c r="Q16" s="11" t="n">
        <v>0.0255713627363651</v>
      </c>
      <c r="R16" s="11" t="n">
        <v>0.043528881503238</v>
      </c>
      <c r="S16" s="11" t="n">
        <v>0.0139801795605183</v>
      </c>
      <c r="T16" s="11" t="n">
        <v>0.018535675091673</v>
      </c>
      <c r="U16" s="11" t="n">
        <v>0.0299382894095727</v>
      </c>
      <c r="V16" s="11" t="n">
        <v>0.0109623745297502</v>
      </c>
      <c r="W16" s="11" t="n">
        <v>0.0166556747966897</v>
      </c>
      <c r="X16" s="11" t="n">
        <v>0.0303966825357456</v>
      </c>
    </row>
    <row r="17" customFormat="false" ht="15" hidden="false" customHeight="false" outlineLevel="0" collapsed="false">
      <c r="A17" s="9" t="s">
        <v>856</v>
      </c>
      <c r="B17" s="9" t="s">
        <v>857</v>
      </c>
      <c r="C17" s="10" t="s">
        <v>852</v>
      </c>
      <c r="D17" s="9" t="s">
        <v>853</v>
      </c>
      <c r="E17" s="9" t="n">
        <v>15</v>
      </c>
      <c r="F17" s="9" t="s">
        <v>837</v>
      </c>
      <c r="G17" s="9" t="s">
        <v>796</v>
      </c>
      <c r="H17" s="9" t="s">
        <v>838</v>
      </c>
      <c r="I17" s="9" t="s">
        <v>800</v>
      </c>
      <c r="J17" s="11" t="n">
        <v>0.449003921791307</v>
      </c>
      <c r="K17" s="11" t="n">
        <v>0.641530202321758</v>
      </c>
      <c r="L17" s="11" t="n">
        <v>1.10173229295487</v>
      </c>
      <c r="M17" s="11" t="n">
        <v>0.075009294610848</v>
      </c>
      <c r="N17" s="11" t="n">
        <v>0.100148035833413</v>
      </c>
      <c r="O17" s="11" t="n">
        <v>0.16242250634958</v>
      </c>
      <c r="P17" s="11" t="n">
        <v>0.0754368685943805</v>
      </c>
      <c r="Q17" s="11" t="n">
        <v>0.0974266010393181</v>
      </c>
      <c r="R17" s="11" t="n">
        <v>0.16586274234816</v>
      </c>
      <c r="S17" s="11" t="n">
        <v>0.0520692236929215</v>
      </c>
      <c r="T17" s="11" t="n">
        <v>0.0690443270737789</v>
      </c>
      <c r="U17" s="11" t="n">
        <v>0.111533789643689</v>
      </c>
      <c r="V17" s="11" t="n">
        <v>0.0408701604371429</v>
      </c>
      <c r="W17" s="11" t="n">
        <v>0.0621090512218459</v>
      </c>
      <c r="X17" s="11" t="n">
        <v>0.113369962987959</v>
      </c>
    </row>
    <row r="18" customFormat="false" ht="15" hidden="false" customHeight="false" outlineLevel="0" collapsed="false">
      <c r="A18" s="9" t="s">
        <v>858</v>
      </c>
      <c r="B18" s="9" t="s">
        <v>859</v>
      </c>
      <c r="C18" s="10" t="s">
        <v>860</v>
      </c>
      <c r="D18" s="9" t="s">
        <v>853</v>
      </c>
      <c r="E18" s="9" t="n">
        <v>1</v>
      </c>
      <c r="F18" s="9" t="s">
        <v>837</v>
      </c>
      <c r="G18" s="9" t="s">
        <v>796</v>
      </c>
      <c r="H18" s="9" t="s">
        <v>838</v>
      </c>
      <c r="I18" s="9" t="s">
        <v>800</v>
      </c>
      <c r="J18" s="11" t="n">
        <v>0.8</v>
      </c>
    </row>
    <row r="19" customFormat="false" ht="15" hidden="false" customHeight="false" outlineLevel="0" collapsed="false">
      <c r="A19" s="9" t="s">
        <v>861</v>
      </c>
      <c r="B19" s="9" t="s">
        <v>862</v>
      </c>
      <c r="C19" s="10" t="s">
        <v>860</v>
      </c>
      <c r="D19" s="9" t="s">
        <v>853</v>
      </c>
      <c r="E19" s="9" t="n">
        <v>1</v>
      </c>
      <c r="F19" s="9" t="s">
        <v>837</v>
      </c>
      <c r="G19" s="9" t="s">
        <v>796</v>
      </c>
      <c r="H19" s="9" t="s">
        <v>838</v>
      </c>
      <c r="I19" s="9" t="s">
        <v>800</v>
      </c>
      <c r="J19" s="11" t="n">
        <v>0.008</v>
      </c>
    </row>
    <row r="20" customFormat="false" ht="15" hidden="false" customHeight="false" outlineLevel="0" collapsed="false">
      <c r="A20" s="9" t="s">
        <v>863</v>
      </c>
      <c r="B20" s="9" t="s">
        <v>864</v>
      </c>
      <c r="C20" s="10" t="s">
        <v>860</v>
      </c>
      <c r="D20" s="9" t="s">
        <v>853</v>
      </c>
      <c r="E20" s="9" t="n">
        <v>1</v>
      </c>
      <c r="F20" s="9" t="s">
        <v>837</v>
      </c>
      <c r="G20" s="9" t="s">
        <v>796</v>
      </c>
      <c r="H20" s="9" t="s">
        <v>838</v>
      </c>
      <c r="I20" s="9" t="s">
        <v>800</v>
      </c>
      <c r="J20" s="11" t="n">
        <v>0.08</v>
      </c>
    </row>
    <row r="21" customFormat="false" ht="15" hidden="false" customHeight="false" outlineLevel="0" collapsed="false">
      <c r="A21" s="9" t="s">
        <v>865</v>
      </c>
      <c r="B21" s="9" t="s">
        <v>866</v>
      </c>
      <c r="C21" s="10" t="s">
        <v>867</v>
      </c>
      <c r="D21" s="9" t="s">
        <v>853</v>
      </c>
      <c r="E21" s="9" t="n">
        <v>1</v>
      </c>
      <c r="F21" s="9" t="s">
        <v>837</v>
      </c>
      <c r="G21" s="9" t="s">
        <v>796</v>
      </c>
      <c r="H21" s="9" t="s">
        <v>838</v>
      </c>
      <c r="I21" s="9" t="s">
        <v>800</v>
      </c>
      <c r="J21" s="11" t="n">
        <v>8</v>
      </c>
    </row>
    <row r="22" customFormat="false" ht="15" hidden="false" customHeight="false" outlineLevel="0" collapsed="false">
      <c r="A22" s="9" t="s">
        <v>868</v>
      </c>
      <c r="B22" s="9" t="s">
        <v>869</v>
      </c>
      <c r="C22" s="10" t="s">
        <v>867</v>
      </c>
      <c r="D22" s="9" t="s">
        <v>853</v>
      </c>
      <c r="E22" s="9" t="n">
        <v>1</v>
      </c>
      <c r="F22" s="9" t="s">
        <v>837</v>
      </c>
      <c r="G22" s="9" t="s">
        <v>796</v>
      </c>
      <c r="H22" s="9" t="s">
        <v>838</v>
      </c>
      <c r="I22" s="9" t="s">
        <v>800</v>
      </c>
      <c r="J22" s="11" t="n">
        <v>0.08</v>
      </c>
    </row>
    <row r="23" customFormat="false" ht="15" hidden="false" customHeight="false" outlineLevel="0" collapsed="false">
      <c r="A23" s="9" t="s">
        <v>870</v>
      </c>
      <c r="B23" s="9" t="s">
        <v>871</v>
      </c>
      <c r="C23" s="10" t="s">
        <v>867</v>
      </c>
      <c r="D23" s="9" t="s">
        <v>853</v>
      </c>
      <c r="E23" s="9" t="n">
        <v>1</v>
      </c>
      <c r="F23" s="9" t="s">
        <v>837</v>
      </c>
      <c r="G23" s="9" t="s">
        <v>796</v>
      </c>
      <c r="H23" s="9" t="s">
        <v>838</v>
      </c>
      <c r="I23" s="9" t="s">
        <v>800</v>
      </c>
      <c r="J23" s="11" t="n">
        <v>1.6</v>
      </c>
    </row>
    <row r="24" customFormat="false" ht="15" hidden="false" customHeight="false" outlineLevel="0" collapsed="false">
      <c r="A24" s="9" t="s">
        <v>872</v>
      </c>
      <c r="B24" s="9" t="s">
        <v>873</v>
      </c>
      <c r="C24" s="10" t="s">
        <v>874</v>
      </c>
      <c r="D24" s="9" t="s">
        <v>853</v>
      </c>
      <c r="E24" s="9" t="n">
        <v>1</v>
      </c>
      <c r="F24" s="9" t="s">
        <v>837</v>
      </c>
      <c r="G24" s="9" t="s">
        <v>796</v>
      </c>
      <c r="H24" s="9" t="s">
        <v>838</v>
      </c>
      <c r="I24" s="9" t="s">
        <v>800</v>
      </c>
      <c r="J24" s="11" t="n">
        <v>40</v>
      </c>
    </row>
    <row r="25" customFormat="false" ht="15" hidden="false" customHeight="false" outlineLevel="0" collapsed="false">
      <c r="A25" s="9" t="s">
        <v>875</v>
      </c>
      <c r="B25" s="9" t="s">
        <v>876</v>
      </c>
      <c r="C25" s="10" t="s">
        <v>874</v>
      </c>
      <c r="D25" s="9" t="s">
        <v>853</v>
      </c>
      <c r="E25" s="9" t="n">
        <v>1</v>
      </c>
      <c r="F25" s="9" t="s">
        <v>837</v>
      </c>
      <c r="G25" s="9" t="s">
        <v>796</v>
      </c>
      <c r="H25" s="9" t="s">
        <v>838</v>
      </c>
      <c r="I25" s="9" t="s">
        <v>800</v>
      </c>
      <c r="J25" s="11" t="n">
        <v>0.4</v>
      </c>
    </row>
    <row r="26" customFormat="false" ht="15" hidden="false" customHeight="false" outlineLevel="0" collapsed="false">
      <c r="A26" s="9" t="s">
        <v>877</v>
      </c>
      <c r="B26" s="9" t="s">
        <v>878</v>
      </c>
      <c r="C26" s="10" t="s">
        <v>874</v>
      </c>
      <c r="D26" s="9" t="s">
        <v>853</v>
      </c>
      <c r="E26" s="9" t="n">
        <v>1</v>
      </c>
      <c r="F26" s="9" t="s">
        <v>837</v>
      </c>
      <c r="G26" s="9" t="s">
        <v>796</v>
      </c>
      <c r="H26" s="9" t="s">
        <v>838</v>
      </c>
      <c r="I26" s="9" t="s">
        <v>800</v>
      </c>
      <c r="J26" s="11" t="n">
        <v>8</v>
      </c>
    </row>
    <row r="27" customFormat="false" ht="15" hidden="false" customHeight="false" outlineLevel="0" collapsed="false">
      <c r="A27" s="9" t="s">
        <v>879</v>
      </c>
      <c r="B27" s="9" t="s">
        <v>880</v>
      </c>
      <c r="C27" s="10" t="s">
        <v>881</v>
      </c>
      <c r="D27" s="9" t="s">
        <v>853</v>
      </c>
      <c r="E27" s="9" t="n">
        <v>1</v>
      </c>
      <c r="F27" s="9" t="s">
        <v>837</v>
      </c>
      <c r="G27" s="9" t="s">
        <v>796</v>
      </c>
      <c r="H27" s="9" t="s">
        <v>838</v>
      </c>
      <c r="I27" s="9" t="s">
        <v>800</v>
      </c>
      <c r="J27" s="11" t="n">
        <v>8.03555555555555</v>
      </c>
    </row>
    <row r="28" customFormat="false" ht="15" hidden="false" customHeight="false" outlineLevel="0" collapsed="false">
      <c r="A28" s="9" t="s">
        <v>882</v>
      </c>
      <c r="B28" s="9" t="s">
        <v>883</v>
      </c>
      <c r="C28" s="10" t="s">
        <v>881</v>
      </c>
      <c r="D28" s="9" t="s">
        <v>853</v>
      </c>
      <c r="E28" s="9" t="n">
        <v>1</v>
      </c>
      <c r="F28" s="9" t="s">
        <v>837</v>
      </c>
      <c r="G28" s="9" t="s">
        <v>796</v>
      </c>
      <c r="H28" s="9" t="s">
        <v>838</v>
      </c>
      <c r="I28" s="9" t="s">
        <v>800</v>
      </c>
      <c r="J28" s="11" t="n">
        <v>0.0803555555555556</v>
      </c>
    </row>
    <row r="29" customFormat="false" ht="15" hidden="false" customHeight="false" outlineLevel="0" collapsed="false">
      <c r="A29" s="9" t="s">
        <v>884</v>
      </c>
      <c r="B29" s="9" t="s">
        <v>885</v>
      </c>
      <c r="C29" s="10" t="s">
        <v>881</v>
      </c>
      <c r="D29" s="9" t="s">
        <v>853</v>
      </c>
      <c r="E29" s="9" t="n">
        <v>1</v>
      </c>
      <c r="F29" s="9" t="s">
        <v>837</v>
      </c>
      <c r="G29" s="9" t="s">
        <v>796</v>
      </c>
      <c r="H29" s="9" t="s">
        <v>838</v>
      </c>
      <c r="I29" s="9" t="s">
        <v>800</v>
      </c>
      <c r="J29" s="11" t="n">
        <v>1.568</v>
      </c>
    </row>
    <row r="30" customFormat="false" ht="15" hidden="false" customHeight="false" outlineLevel="0" collapsed="false">
      <c r="A30" s="9" t="s">
        <v>886</v>
      </c>
      <c r="B30" s="9" t="s">
        <v>887</v>
      </c>
      <c r="C30" s="10" t="s">
        <v>888</v>
      </c>
      <c r="D30" s="9" t="s">
        <v>853</v>
      </c>
      <c r="E30" s="9" t="n">
        <v>1</v>
      </c>
      <c r="F30" s="9" t="s">
        <v>837</v>
      </c>
      <c r="G30" s="9" t="s">
        <v>796</v>
      </c>
      <c r="H30" s="9" t="s">
        <v>838</v>
      </c>
      <c r="I30" s="9" t="s">
        <v>800</v>
      </c>
      <c r="J30" s="11" t="n">
        <v>40</v>
      </c>
    </row>
    <row r="31" customFormat="false" ht="15" hidden="false" customHeight="false" outlineLevel="0" collapsed="false">
      <c r="A31" s="9" t="s">
        <v>889</v>
      </c>
      <c r="B31" s="9" t="s">
        <v>890</v>
      </c>
      <c r="C31" s="10" t="s">
        <v>888</v>
      </c>
      <c r="D31" s="9" t="s">
        <v>853</v>
      </c>
      <c r="E31" s="9" t="n">
        <v>1</v>
      </c>
      <c r="F31" s="9" t="s">
        <v>837</v>
      </c>
      <c r="G31" s="9" t="s">
        <v>796</v>
      </c>
      <c r="H31" s="9" t="s">
        <v>838</v>
      </c>
      <c r="I31" s="9" t="s">
        <v>800</v>
      </c>
      <c r="J31" s="11" t="n">
        <v>0.4</v>
      </c>
    </row>
    <row r="32" customFormat="false" ht="15" hidden="false" customHeight="false" outlineLevel="0" collapsed="false">
      <c r="A32" s="9" t="s">
        <v>891</v>
      </c>
      <c r="B32" s="9" t="s">
        <v>892</v>
      </c>
      <c r="C32" s="10" t="s">
        <v>888</v>
      </c>
      <c r="D32" s="9" t="s">
        <v>853</v>
      </c>
      <c r="E32" s="9" t="n">
        <v>1</v>
      </c>
      <c r="F32" s="9" t="s">
        <v>837</v>
      </c>
      <c r="G32" s="9" t="s">
        <v>796</v>
      </c>
      <c r="H32" s="9" t="s">
        <v>838</v>
      </c>
      <c r="I32" s="9" t="s">
        <v>800</v>
      </c>
      <c r="J32" s="11" t="n">
        <v>8</v>
      </c>
    </row>
    <row r="33" customFormat="false" ht="15" hidden="false" customHeight="false" outlineLevel="0" collapsed="false">
      <c r="A33" s="9" t="s">
        <v>893</v>
      </c>
      <c r="B33" s="9" t="s">
        <v>894</v>
      </c>
      <c r="C33" s="10" t="s">
        <v>895</v>
      </c>
      <c r="D33" s="9" t="s">
        <v>853</v>
      </c>
      <c r="E33" s="9" t="n">
        <v>1</v>
      </c>
      <c r="F33" s="9" t="s">
        <v>837</v>
      </c>
      <c r="G33" s="9" t="s">
        <v>796</v>
      </c>
      <c r="H33" s="9" t="s">
        <v>838</v>
      </c>
      <c r="I33" s="9" t="s">
        <v>800</v>
      </c>
      <c r="J33" s="11" t="n">
        <v>7.74222222222222</v>
      </c>
    </row>
    <row r="34" customFormat="false" ht="15" hidden="false" customHeight="false" outlineLevel="0" collapsed="false">
      <c r="A34" s="9" t="s">
        <v>896</v>
      </c>
      <c r="B34" s="9" t="s">
        <v>897</v>
      </c>
      <c r="C34" s="10" t="s">
        <v>895</v>
      </c>
      <c r="D34" s="9" t="s">
        <v>853</v>
      </c>
      <c r="E34" s="9" t="n">
        <v>1</v>
      </c>
      <c r="F34" s="9" t="s">
        <v>837</v>
      </c>
      <c r="G34" s="9" t="s">
        <v>796</v>
      </c>
      <c r="H34" s="9" t="s">
        <v>838</v>
      </c>
      <c r="I34" s="9" t="s">
        <v>800</v>
      </c>
      <c r="J34" s="11" t="n">
        <v>0.0803555555555556</v>
      </c>
    </row>
    <row r="35" customFormat="false" ht="15" hidden="false" customHeight="false" outlineLevel="0" collapsed="false">
      <c r="A35" s="9" t="s">
        <v>898</v>
      </c>
      <c r="B35" s="9" t="s">
        <v>899</v>
      </c>
      <c r="C35" s="10" t="s">
        <v>895</v>
      </c>
      <c r="D35" s="9" t="s">
        <v>853</v>
      </c>
      <c r="E35" s="9" t="n">
        <v>1</v>
      </c>
      <c r="F35" s="9" t="s">
        <v>837</v>
      </c>
      <c r="G35" s="9" t="s">
        <v>796</v>
      </c>
      <c r="H35" s="9" t="s">
        <v>838</v>
      </c>
      <c r="I35" s="9" t="s">
        <v>800</v>
      </c>
      <c r="J35" s="11" t="n">
        <v>1.568</v>
      </c>
    </row>
    <row r="36" customFormat="false" ht="15" hidden="false" customHeight="false" outlineLevel="0" collapsed="false">
      <c r="A36" s="9" t="s">
        <v>900</v>
      </c>
      <c r="B36" s="9" t="s">
        <v>901</v>
      </c>
      <c r="C36" s="10" t="s">
        <v>902</v>
      </c>
      <c r="D36" s="9" t="s">
        <v>846</v>
      </c>
      <c r="E36" s="9" t="n">
        <v>15</v>
      </c>
      <c r="F36" s="9" t="s">
        <v>837</v>
      </c>
      <c r="G36" s="9" t="s">
        <v>796</v>
      </c>
      <c r="H36" s="9" t="s">
        <v>838</v>
      </c>
      <c r="I36" s="9" t="s">
        <v>800</v>
      </c>
      <c r="J36" s="11" t="n">
        <v>0.156848141308111</v>
      </c>
      <c r="K36" s="11" t="n">
        <v>0.156848141308111</v>
      </c>
      <c r="L36" s="11" t="n">
        <v>0.156848141308111</v>
      </c>
      <c r="M36" s="11" t="n">
        <v>0.0578355294019958</v>
      </c>
      <c r="N36" s="11" t="n">
        <v>0.0578355294019958</v>
      </c>
      <c r="O36" s="11" t="n">
        <v>0.0578355294019958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903</v>
      </c>
      <c r="B37" s="9" t="s">
        <v>904</v>
      </c>
      <c r="C37" s="10" t="s">
        <v>902</v>
      </c>
      <c r="D37" s="9" t="s">
        <v>846</v>
      </c>
      <c r="E37" s="9" t="n">
        <v>15</v>
      </c>
      <c r="F37" s="9" t="s">
        <v>837</v>
      </c>
      <c r="G37" s="9" t="s">
        <v>796</v>
      </c>
      <c r="H37" s="9" t="s">
        <v>838</v>
      </c>
      <c r="I37" s="9" t="s">
        <v>800</v>
      </c>
      <c r="J37" s="11" t="n">
        <v>0.00903697160624934</v>
      </c>
      <c r="K37" s="11" t="n">
        <v>0.00903697160624934</v>
      </c>
      <c r="L37" s="11" t="n">
        <v>0.00903697160624934</v>
      </c>
      <c r="M37" s="11" t="n">
        <v>0.00268687931602744</v>
      </c>
      <c r="N37" s="11" t="n">
        <v>0.00268687931602744</v>
      </c>
      <c r="O37" s="11" t="n">
        <v>0.00268687931602744</v>
      </c>
      <c r="P37" s="11" t="n">
        <v>0.00323819749885875</v>
      </c>
      <c r="Q37" s="11" t="n">
        <v>0.00323819749885875</v>
      </c>
      <c r="R37" s="11" t="n">
        <v>0.00323819749885875</v>
      </c>
      <c r="S37" s="11" t="n">
        <v>0.00214392298727248</v>
      </c>
      <c r="T37" s="11" t="n">
        <v>0.00214392298727248</v>
      </c>
      <c r="U37" s="11" t="n">
        <v>0.00214392298727248</v>
      </c>
      <c r="V37" s="11" t="n">
        <v>0.00139046087118783</v>
      </c>
      <c r="W37" s="11" t="n">
        <v>0.00139046087118783</v>
      </c>
      <c r="X37" s="11" t="n">
        <v>0.00139046087118783</v>
      </c>
    </row>
    <row r="38" customFormat="false" ht="15" hidden="false" customHeight="false" outlineLevel="0" collapsed="false">
      <c r="A38" s="9" t="s">
        <v>905</v>
      </c>
      <c r="B38" s="9" t="s">
        <v>906</v>
      </c>
      <c r="C38" s="10" t="s">
        <v>902</v>
      </c>
      <c r="D38" s="9" t="s">
        <v>846</v>
      </c>
      <c r="E38" s="9" t="n">
        <v>15</v>
      </c>
      <c r="F38" s="9" t="s">
        <v>837</v>
      </c>
      <c r="G38" s="9" t="s">
        <v>796</v>
      </c>
      <c r="H38" s="9" t="s">
        <v>838</v>
      </c>
      <c r="I38" s="9" t="s">
        <v>800</v>
      </c>
      <c r="J38" s="11" t="n">
        <v>0.0257573532274046</v>
      </c>
      <c r="K38" s="11" t="n">
        <v>0.0257573532274046</v>
      </c>
      <c r="L38" s="11" t="n">
        <v>0.0257573532274046</v>
      </c>
      <c r="M38" s="11" t="n">
        <v>0.00887775506681788</v>
      </c>
      <c r="N38" s="11" t="n">
        <v>0.00887775506681788</v>
      </c>
      <c r="O38" s="11" t="n">
        <v>0.00887775506681788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907</v>
      </c>
      <c r="B39" s="9" t="s">
        <v>908</v>
      </c>
      <c r="C39" s="10" t="s">
        <v>909</v>
      </c>
      <c r="D39" s="9" t="s">
        <v>910</v>
      </c>
      <c r="E39" s="9" t="n">
        <v>1</v>
      </c>
      <c r="F39" s="9" t="s">
        <v>837</v>
      </c>
      <c r="G39" s="9" t="s">
        <v>796</v>
      </c>
      <c r="H39" s="9" t="s">
        <v>838</v>
      </c>
      <c r="I39" s="9" t="s">
        <v>800</v>
      </c>
      <c r="J39" s="11" t="n">
        <v>8</v>
      </c>
    </row>
    <row r="40" customFormat="false" ht="15" hidden="false" customHeight="false" outlineLevel="0" collapsed="false">
      <c r="A40" s="9" t="s">
        <v>911</v>
      </c>
      <c r="B40" s="9" t="s">
        <v>912</v>
      </c>
      <c r="C40" s="10" t="s">
        <v>913</v>
      </c>
      <c r="D40" s="10" t="s">
        <v>914</v>
      </c>
      <c r="E40" s="9" t="n">
        <v>1</v>
      </c>
      <c r="F40" s="9" t="s">
        <v>837</v>
      </c>
      <c r="G40" s="9" t="s">
        <v>796</v>
      </c>
      <c r="H40" s="9" t="s">
        <v>838</v>
      </c>
      <c r="I40" s="9" t="s">
        <v>800</v>
      </c>
      <c r="J40" s="11" t="n">
        <v>4</v>
      </c>
    </row>
    <row r="41" customFormat="false" ht="15" hidden="false" customHeight="false" outlineLevel="0" collapsed="false">
      <c r="A41" s="9" t="s">
        <v>915</v>
      </c>
      <c r="B41" s="9" t="s">
        <v>916</v>
      </c>
      <c r="C41" s="9" t="s">
        <v>917</v>
      </c>
      <c r="D41" s="9" t="s">
        <v>68</v>
      </c>
      <c r="E41" s="9" t="n">
        <v>1</v>
      </c>
      <c r="F41" s="9" t="s">
        <v>837</v>
      </c>
      <c r="G41" s="9" t="s">
        <v>796</v>
      </c>
      <c r="H41" s="9" t="s">
        <v>838</v>
      </c>
      <c r="I41" s="9" t="s">
        <v>800</v>
      </c>
      <c r="J41" s="11" t="n">
        <v>8.4</v>
      </c>
    </row>
    <row r="42" customFormat="false" ht="15" hidden="false" customHeight="false" outlineLevel="0" collapsed="false">
      <c r="A42" s="9" t="s">
        <v>918</v>
      </c>
      <c r="B42" s="9" t="s">
        <v>919</v>
      </c>
      <c r="C42" s="9" t="s">
        <v>920</v>
      </c>
      <c r="D42" s="9" t="s">
        <v>68</v>
      </c>
      <c r="E42" s="9" t="n">
        <v>1</v>
      </c>
      <c r="F42" s="9" t="s">
        <v>837</v>
      </c>
      <c r="G42" s="9" t="s">
        <v>796</v>
      </c>
      <c r="H42" s="9" t="s">
        <v>838</v>
      </c>
      <c r="I42" s="9" t="s">
        <v>800</v>
      </c>
      <c r="J42" s="11" t="n">
        <v>3.9</v>
      </c>
    </row>
    <row r="43" customFormat="false" ht="15" hidden="false" customHeight="false" outlineLevel="0" collapsed="false">
      <c r="A43" s="9" t="s">
        <v>921</v>
      </c>
      <c r="B43" s="9" t="s">
        <v>922</v>
      </c>
      <c r="C43" s="9" t="s">
        <v>923</v>
      </c>
      <c r="D43" s="9" t="s">
        <v>68</v>
      </c>
      <c r="E43" s="9" t="n">
        <v>1</v>
      </c>
      <c r="F43" s="9" t="s">
        <v>837</v>
      </c>
      <c r="G43" s="9" t="s">
        <v>796</v>
      </c>
      <c r="H43" s="9" t="s">
        <v>838</v>
      </c>
      <c r="I43" s="9" t="s">
        <v>800</v>
      </c>
      <c r="J43" s="11" t="n">
        <v>12</v>
      </c>
    </row>
    <row r="44" customFormat="false" ht="15" hidden="false" customHeight="false" outlineLevel="0" collapsed="false">
      <c r="A44" s="9" t="s">
        <v>924</v>
      </c>
      <c r="B44" s="9" t="s">
        <v>925</v>
      </c>
      <c r="C44" s="9" t="s">
        <v>926</v>
      </c>
      <c r="D44" s="9" t="s">
        <v>68</v>
      </c>
      <c r="E44" s="9" t="n">
        <v>1</v>
      </c>
      <c r="F44" s="9" t="s">
        <v>837</v>
      </c>
      <c r="G44" s="9" t="s">
        <v>796</v>
      </c>
      <c r="H44" s="9" t="s">
        <v>838</v>
      </c>
      <c r="I44" s="9" t="s">
        <v>800</v>
      </c>
      <c r="J44" s="11" t="n">
        <v>13.07</v>
      </c>
    </row>
    <row r="45" customFormat="false" ht="15" hidden="false" customHeight="false" outlineLevel="0" collapsed="false">
      <c r="A45" s="9" t="s">
        <v>927</v>
      </c>
      <c r="B45" s="9" t="s">
        <v>928</v>
      </c>
      <c r="C45" s="9" t="s">
        <v>929</v>
      </c>
      <c r="D45" s="9" t="s">
        <v>375</v>
      </c>
      <c r="E45" s="9" t="n">
        <v>1</v>
      </c>
      <c r="F45" s="9" t="s">
        <v>837</v>
      </c>
      <c r="G45" s="9" t="s">
        <v>796</v>
      </c>
      <c r="H45" s="9" t="s">
        <v>838</v>
      </c>
      <c r="I45" s="9" t="s">
        <v>800</v>
      </c>
      <c r="J45" s="11" t="n">
        <v>0.6</v>
      </c>
    </row>
    <row r="46" customFormat="false" ht="15" hidden="false" customHeight="false" outlineLevel="0" collapsed="false">
      <c r="A46" s="9" t="s">
        <v>930</v>
      </c>
      <c r="B46" s="9" t="s">
        <v>931</v>
      </c>
      <c r="C46" s="9" t="s">
        <v>932</v>
      </c>
      <c r="D46" s="9" t="s">
        <v>375</v>
      </c>
      <c r="E46" s="9" t="n">
        <v>1</v>
      </c>
      <c r="F46" s="9" t="s">
        <v>837</v>
      </c>
      <c r="G46" s="9" t="s">
        <v>796</v>
      </c>
      <c r="H46" s="9" t="s">
        <v>838</v>
      </c>
      <c r="I46" s="9" t="s">
        <v>800</v>
      </c>
      <c r="J46" s="11" t="n">
        <v>1.9</v>
      </c>
    </row>
    <row r="47" customFormat="false" ht="15" hidden="false" customHeight="false" outlineLevel="0" collapsed="false">
      <c r="A47" s="9" t="s">
        <v>933</v>
      </c>
      <c r="B47" s="9" t="s">
        <v>934</v>
      </c>
      <c r="C47" s="9" t="s">
        <v>935</v>
      </c>
      <c r="D47" s="9" t="s">
        <v>127</v>
      </c>
      <c r="E47" s="9" t="n">
        <v>1</v>
      </c>
      <c r="F47" s="9" t="s">
        <v>837</v>
      </c>
      <c r="G47" s="9" t="s">
        <v>796</v>
      </c>
      <c r="H47" s="9" t="s">
        <v>838</v>
      </c>
      <c r="I47" s="9" t="s">
        <v>800</v>
      </c>
      <c r="J47" s="11" t="n">
        <v>6</v>
      </c>
    </row>
    <row r="48" customFormat="false" ht="15" hidden="false" customHeight="false" outlineLevel="0" collapsed="false">
      <c r="A48" s="9" t="s">
        <v>936</v>
      </c>
      <c r="B48" s="9" t="s">
        <v>937</v>
      </c>
      <c r="C48" s="9" t="s">
        <v>938</v>
      </c>
      <c r="D48" s="9" t="s">
        <v>127</v>
      </c>
      <c r="E48" s="9" t="n">
        <v>1</v>
      </c>
      <c r="F48" s="9" t="s">
        <v>837</v>
      </c>
      <c r="G48" s="9" t="s">
        <v>796</v>
      </c>
      <c r="H48" s="9" t="s">
        <v>838</v>
      </c>
      <c r="I48" s="9" t="s">
        <v>800</v>
      </c>
      <c r="J48" s="11" t="n">
        <v>15</v>
      </c>
    </row>
    <row r="49" customFormat="false" ht="15" hidden="false" customHeight="false" outlineLevel="0" collapsed="false">
      <c r="A49" s="9" t="s">
        <v>939</v>
      </c>
      <c r="B49" s="9" t="s">
        <v>940</v>
      </c>
      <c r="C49" s="9" t="s">
        <v>941</v>
      </c>
      <c r="D49" s="9" t="s">
        <v>552</v>
      </c>
      <c r="E49" s="9" t="n">
        <v>1</v>
      </c>
      <c r="F49" s="9" t="s">
        <v>837</v>
      </c>
      <c r="G49" s="9" t="s">
        <v>796</v>
      </c>
      <c r="H49" s="9" t="s">
        <v>838</v>
      </c>
      <c r="I49" s="9" t="s">
        <v>800</v>
      </c>
      <c r="J49" s="11" t="n">
        <v>2.5</v>
      </c>
    </row>
    <row r="50" customFormat="false" ht="15" hidden="false" customHeight="false" outlineLevel="0" collapsed="false">
      <c r="A50" s="9" t="s">
        <v>942</v>
      </c>
      <c r="B50" s="9" t="s">
        <v>943</v>
      </c>
      <c r="C50" s="10" t="s">
        <v>944</v>
      </c>
      <c r="D50" s="9" t="s">
        <v>945</v>
      </c>
      <c r="E50" s="9" t="n">
        <v>1</v>
      </c>
      <c r="F50" s="9" t="s">
        <v>837</v>
      </c>
      <c r="G50" s="9" t="s">
        <v>796</v>
      </c>
      <c r="H50" s="9" t="s">
        <v>838</v>
      </c>
      <c r="I50" s="9" t="s">
        <v>800</v>
      </c>
      <c r="J50" s="11"/>
    </row>
    <row r="51" customFormat="false" ht="15" hidden="false" customHeight="false" outlineLevel="0" collapsed="false">
      <c r="A51" s="9" t="s">
        <v>946</v>
      </c>
      <c r="B51" s="9" t="s">
        <v>947</v>
      </c>
      <c r="C51" s="10" t="s">
        <v>944</v>
      </c>
      <c r="D51" s="9" t="s">
        <v>945</v>
      </c>
      <c r="E51" s="9" t="n">
        <v>1</v>
      </c>
      <c r="F51" s="9" t="s">
        <v>837</v>
      </c>
      <c r="G51" s="9" t="s">
        <v>796</v>
      </c>
      <c r="H51" s="9" t="s">
        <v>838</v>
      </c>
      <c r="I51" s="9" t="s">
        <v>800</v>
      </c>
      <c r="J51" s="11" t="n">
        <v>10</v>
      </c>
    </row>
    <row r="52" customFormat="false" ht="15" hidden="false" customHeight="false" outlineLevel="0" collapsed="false">
      <c r="A52" s="9" t="s">
        <v>948</v>
      </c>
      <c r="B52" s="9" t="s">
        <v>949</v>
      </c>
      <c r="C52" s="10" t="s">
        <v>944</v>
      </c>
      <c r="D52" s="9" t="s">
        <v>945</v>
      </c>
      <c r="E52" s="9" t="n">
        <v>1</v>
      </c>
      <c r="F52" s="9" t="s">
        <v>837</v>
      </c>
      <c r="G52" s="9" t="s">
        <v>796</v>
      </c>
      <c r="H52" s="9" t="s">
        <v>838</v>
      </c>
      <c r="I52" s="9" t="s">
        <v>800</v>
      </c>
      <c r="J52" s="11" t="n">
        <v>100</v>
      </c>
    </row>
    <row r="53" customFormat="false" ht="15" hidden="false" customHeight="false" outlineLevel="0" collapsed="false">
      <c r="A53" s="9" t="s">
        <v>950</v>
      </c>
      <c r="B53" s="9" t="s">
        <v>951</v>
      </c>
      <c r="C53" s="10" t="s">
        <v>952</v>
      </c>
      <c r="D53" s="9" t="s">
        <v>846</v>
      </c>
      <c r="E53" s="9" t="n">
        <v>1</v>
      </c>
      <c r="F53" s="9" t="s">
        <v>837</v>
      </c>
      <c r="G53" s="9" t="s">
        <v>796</v>
      </c>
      <c r="H53" s="9" t="s">
        <v>838</v>
      </c>
      <c r="I53" s="9" t="s">
        <v>800</v>
      </c>
      <c r="J53" s="11" t="n">
        <v>0.184073753247684</v>
      </c>
    </row>
    <row r="54" customFormat="false" ht="15" hidden="false" customHeight="false" outlineLevel="0" collapsed="false">
      <c r="A54" s="9" t="s">
        <v>953</v>
      </c>
      <c r="B54" s="9" t="s">
        <v>954</v>
      </c>
      <c r="C54" s="10" t="s">
        <v>955</v>
      </c>
      <c r="D54" s="9" t="s">
        <v>846</v>
      </c>
      <c r="E54" s="9" t="n">
        <v>1</v>
      </c>
      <c r="F54" s="9" t="s">
        <v>837</v>
      </c>
      <c r="G54" s="9" t="s">
        <v>796</v>
      </c>
      <c r="H54" s="9" t="s">
        <v>838</v>
      </c>
      <c r="I54" s="9" t="s">
        <v>800</v>
      </c>
      <c r="J54" s="11" t="n">
        <v>0.562896653525545</v>
      </c>
    </row>
    <row r="55" customFormat="false" ht="15" hidden="false" customHeight="false" outlineLevel="0" collapsed="false">
      <c r="A55" s="9" t="s">
        <v>956</v>
      </c>
      <c r="B55" s="9" t="s">
        <v>957</v>
      </c>
      <c r="C55" s="10" t="s">
        <v>958</v>
      </c>
      <c r="D55" s="9" t="s">
        <v>846</v>
      </c>
      <c r="E55" s="9" t="n">
        <v>1</v>
      </c>
      <c r="F55" s="9" t="s">
        <v>837</v>
      </c>
      <c r="G55" s="9" t="s">
        <v>796</v>
      </c>
      <c r="H55" s="9" t="s">
        <v>838</v>
      </c>
      <c r="I55" s="9" t="s">
        <v>800</v>
      </c>
      <c r="J55" s="11" t="n">
        <v>0.1847342364668</v>
      </c>
    </row>
    <row r="56" customFormat="false" ht="15" hidden="false" customHeight="false" outlineLevel="0" collapsed="false">
      <c r="A56" s="9" t="s">
        <v>959</v>
      </c>
      <c r="B56" s="9" t="s">
        <v>960</v>
      </c>
      <c r="C56" s="10" t="s">
        <v>961</v>
      </c>
      <c r="D56" s="9" t="s">
        <v>375</v>
      </c>
      <c r="E56" s="9" t="n">
        <v>1</v>
      </c>
      <c r="F56" s="9" t="s">
        <v>837</v>
      </c>
      <c r="G56" s="9" t="s">
        <v>796</v>
      </c>
      <c r="H56" s="9" t="s">
        <v>838</v>
      </c>
      <c r="I56" s="9" t="s">
        <v>800</v>
      </c>
      <c r="J56" s="11" t="n">
        <v>0.89809617101894</v>
      </c>
    </row>
    <row r="57" customFormat="false" ht="15" hidden="false" customHeight="false" outlineLevel="0" collapsed="false">
      <c r="A57" s="9" t="s">
        <v>962</v>
      </c>
      <c r="B57" s="9" t="s">
        <v>963</v>
      </c>
      <c r="C57" s="10" t="s">
        <v>964</v>
      </c>
      <c r="D57" s="9" t="s">
        <v>965</v>
      </c>
      <c r="E57" s="9" t="n">
        <v>1</v>
      </c>
      <c r="F57" s="9" t="s">
        <v>837</v>
      </c>
      <c r="G57" s="9" t="s">
        <v>796</v>
      </c>
      <c r="H57" s="9" t="s">
        <v>838</v>
      </c>
      <c r="I57" s="9" t="s">
        <v>800</v>
      </c>
      <c r="J57" s="11" t="n">
        <v>0.202611367920628</v>
      </c>
    </row>
    <row r="58" customFormat="false" ht="15" hidden="false" customHeight="false" outlineLevel="0" collapsed="false">
      <c r="A58" s="9" t="s">
        <v>966</v>
      </c>
      <c r="B58" s="9" t="s">
        <v>967</v>
      </c>
      <c r="C58" s="10" t="s">
        <v>968</v>
      </c>
      <c r="D58" s="9" t="s">
        <v>836</v>
      </c>
      <c r="E58" s="9" t="n">
        <v>1</v>
      </c>
      <c r="F58" s="9" t="s">
        <v>837</v>
      </c>
      <c r="G58" s="9" t="s">
        <v>796</v>
      </c>
      <c r="H58" s="9" t="s">
        <v>838</v>
      </c>
      <c r="I58" s="9" t="s">
        <v>800</v>
      </c>
      <c r="J58" s="11" t="n">
        <v>6015200000</v>
      </c>
    </row>
    <row r="59" customFormat="false" ht="15" hidden="false" customHeight="false" outlineLevel="0" collapsed="false">
      <c r="A59" s="9" t="s">
        <v>969</v>
      </c>
      <c r="B59" s="9" t="s">
        <v>970</v>
      </c>
      <c r="C59" s="10" t="s">
        <v>971</v>
      </c>
      <c r="D59" s="10" t="s">
        <v>972</v>
      </c>
      <c r="E59" s="9" t="n">
        <v>1</v>
      </c>
      <c r="F59" s="9" t="s">
        <v>837</v>
      </c>
      <c r="G59" s="9" t="s">
        <v>796</v>
      </c>
      <c r="H59" s="9" t="s">
        <v>838</v>
      </c>
      <c r="I59" s="9" t="s">
        <v>800</v>
      </c>
      <c r="J59" s="11" t="n">
        <v>11.3720988983824</v>
      </c>
    </row>
    <row r="60" customFormat="false" ht="15" hidden="false" customHeight="false" outlineLevel="0" collapsed="false">
      <c r="A60" s="9" t="s">
        <v>973</v>
      </c>
      <c r="B60" s="9" t="s">
        <v>974</v>
      </c>
      <c r="C60" s="10" t="s">
        <v>975</v>
      </c>
      <c r="D60" s="9" t="s">
        <v>976</v>
      </c>
      <c r="E60" s="9" t="n">
        <v>15</v>
      </c>
      <c r="F60" s="9" t="s">
        <v>837</v>
      </c>
      <c r="G60" s="9" t="s">
        <v>796</v>
      </c>
      <c r="H60" s="9" t="s">
        <v>838</v>
      </c>
      <c r="I60" s="9" t="s">
        <v>800</v>
      </c>
      <c r="J60" s="11" t="n">
        <v>133.145929606144</v>
      </c>
      <c r="K60" s="11" t="n">
        <v>190.238900722181</v>
      </c>
      <c r="L60" s="11" t="n">
        <v>326.710163739702</v>
      </c>
      <c r="M60" s="11" t="n">
        <v>47.799736830449</v>
      </c>
      <c r="N60" s="11" t="n">
        <v>63.8227036445258</v>
      </c>
      <c r="O60" s="11" t="n">
        <v>103.515294678045</v>
      </c>
      <c r="P60" s="11" t="n">
        <v>69.1026515613069</v>
      </c>
      <c r="Q60" s="11" t="n">
        <v>89.2500735203584</v>
      </c>
      <c r="R60" s="11" t="n">
        <v>151.95260160482</v>
      </c>
      <c r="S60" s="11" t="n">
        <v>46.1159198291114</v>
      </c>
      <c r="T60" s="11" t="n">
        <v>61.1546231086832</v>
      </c>
      <c r="U60" s="11" t="n">
        <v>98.7971873841935</v>
      </c>
      <c r="V60" s="11" t="n">
        <v>34.4123163173522</v>
      </c>
      <c r="W60" s="11" t="n">
        <v>52.3020023235234</v>
      </c>
      <c r="X60" s="11" t="n">
        <v>95.4794744985908</v>
      </c>
    </row>
    <row r="61" customFormat="false" ht="15" hidden="false" customHeight="false" outlineLevel="0" collapsed="false">
      <c r="A61" s="9" t="s">
        <v>977</v>
      </c>
      <c r="B61" s="9" t="s">
        <v>978</v>
      </c>
      <c r="C61" s="10" t="s">
        <v>979</v>
      </c>
      <c r="D61" s="9" t="s">
        <v>976</v>
      </c>
      <c r="E61" s="9" t="n">
        <v>15</v>
      </c>
      <c r="F61" s="9" t="s">
        <v>837</v>
      </c>
      <c r="G61" s="9" t="s">
        <v>796</v>
      </c>
      <c r="H61" s="9" t="s">
        <v>838</v>
      </c>
      <c r="I61" s="9" t="s">
        <v>800</v>
      </c>
      <c r="J61" s="11" t="n">
        <v>7.67134360218379</v>
      </c>
      <c r="K61" s="11" t="n">
        <v>10.9608155371972</v>
      </c>
      <c r="L61" s="11" t="n">
        <v>18.8237517420685</v>
      </c>
      <c r="M61" s="11" t="n">
        <v>2.22064404924176</v>
      </c>
      <c r="N61" s="11" t="n">
        <v>2.96502693220801</v>
      </c>
      <c r="O61" s="11" t="n">
        <v>4.80903532895346</v>
      </c>
      <c r="P61" s="11" t="n">
        <v>3.41180500641065</v>
      </c>
      <c r="Q61" s="11" t="n">
        <v>4.40654360982264</v>
      </c>
      <c r="R61" s="11" t="n">
        <v>7.50235533917976</v>
      </c>
      <c r="S61" s="11" t="n">
        <v>2.47062240380486</v>
      </c>
      <c r="T61" s="11" t="n">
        <v>3.27630853962013</v>
      </c>
      <c r="U61" s="11" t="n">
        <v>5.29297790196542</v>
      </c>
      <c r="V61" s="11" t="n">
        <v>1.75589913575037</v>
      </c>
      <c r="W61" s="11" t="n">
        <v>2.66872592449059</v>
      </c>
      <c r="X61" s="11" t="n">
        <v>4.87186986217016</v>
      </c>
    </row>
    <row r="62" customFormat="false" ht="15" hidden="false" customHeight="false" outlineLevel="0" collapsed="false">
      <c r="A62" s="9" t="s">
        <v>980</v>
      </c>
      <c r="B62" s="9" t="s">
        <v>981</v>
      </c>
      <c r="C62" s="10" t="s">
        <v>982</v>
      </c>
      <c r="D62" s="9" t="s">
        <v>976</v>
      </c>
      <c r="E62" s="9" t="n">
        <v>15</v>
      </c>
      <c r="F62" s="9" t="s">
        <v>837</v>
      </c>
      <c r="G62" s="9" t="s">
        <v>796</v>
      </c>
      <c r="H62" s="9" t="s">
        <v>838</v>
      </c>
      <c r="I62" s="9" t="s">
        <v>800</v>
      </c>
      <c r="J62" s="11" t="n">
        <v>21.8650135797258</v>
      </c>
      <c r="K62" s="11" t="n">
        <v>31.2407308280994</v>
      </c>
      <c r="L62" s="11" t="n">
        <v>53.6518253913892</v>
      </c>
      <c r="M62" s="11" t="n">
        <v>7.33726068087892</v>
      </c>
      <c r="N62" s="11" t="n">
        <v>9.79678644799702</v>
      </c>
      <c r="O62" s="11" t="n">
        <v>15.8896000663123</v>
      </c>
      <c r="P62" s="11" t="n">
        <v>10.7756147095243</v>
      </c>
      <c r="Q62" s="11" t="n">
        <v>13.9173299912937</v>
      </c>
      <c r="R62" s="11" t="n">
        <v>23.6949328572539</v>
      </c>
      <c r="S62" s="11" t="n">
        <v>7.39959667016682</v>
      </c>
      <c r="T62" s="11" t="n">
        <v>9.8126535738025</v>
      </c>
      <c r="U62" s="11" t="n">
        <v>15.8526457132149</v>
      </c>
      <c r="V62" s="11" t="n">
        <v>5.44209630592475</v>
      </c>
      <c r="W62" s="11" t="n">
        <v>8.27124018657791</v>
      </c>
      <c r="X62" s="11" t="n">
        <v>15.0994920152587</v>
      </c>
    </row>
    <row r="63" customFormat="false" ht="15" hidden="false" customHeight="false" outlineLevel="0" collapsed="false">
      <c r="A63" s="9" t="s">
        <v>983</v>
      </c>
      <c r="B63" s="9" t="s">
        <v>984</v>
      </c>
      <c r="C63" s="10" t="s">
        <v>985</v>
      </c>
      <c r="D63" s="9" t="s">
        <v>713</v>
      </c>
      <c r="E63" s="9" t="n">
        <v>15</v>
      </c>
      <c r="F63" s="9" t="s">
        <v>837</v>
      </c>
      <c r="G63" s="9" t="s">
        <v>796</v>
      </c>
      <c r="H63" s="9" t="s">
        <v>838</v>
      </c>
      <c r="I63" s="9" t="s">
        <v>800</v>
      </c>
      <c r="J63" s="11" t="n">
        <v>32.8285826038219</v>
      </c>
      <c r="K63" s="11" t="n">
        <v>32.8285826038219</v>
      </c>
      <c r="L63" s="11" t="n">
        <v>32.8285826038219</v>
      </c>
      <c r="M63" s="11" t="n">
        <v>162.357347120574</v>
      </c>
      <c r="N63" s="11" t="n">
        <v>162.357347120574</v>
      </c>
      <c r="O63" s="11" t="n">
        <v>162.357347120574</v>
      </c>
      <c r="P63" s="11" t="n">
        <v>189.275075427389</v>
      </c>
      <c r="Q63" s="11" t="n">
        <v>189.275075427389</v>
      </c>
      <c r="R63" s="11" t="n">
        <v>189.275075427389</v>
      </c>
      <c r="S63" s="11" t="n">
        <v>335.686266761199</v>
      </c>
      <c r="T63" s="11" t="n">
        <v>335.686266761199</v>
      </c>
      <c r="U63" s="11" t="n">
        <v>335.686266761199</v>
      </c>
      <c r="V63" s="11" t="n">
        <v>475.005316946174</v>
      </c>
      <c r="W63" s="11" t="n">
        <v>475.005316946174</v>
      </c>
      <c r="X63" s="11" t="n">
        <v>475.005316946174</v>
      </c>
    </row>
    <row r="64" customFormat="false" ht="15" hidden="false" customHeight="false" outlineLevel="0" collapsed="false">
      <c r="A64" s="9" t="s">
        <v>986</v>
      </c>
      <c r="B64" s="9" t="s">
        <v>987</v>
      </c>
      <c r="C64" s="10" t="s">
        <v>985</v>
      </c>
      <c r="D64" s="9" t="s">
        <v>713</v>
      </c>
      <c r="E64" s="9" t="n">
        <v>15</v>
      </c>
      <c r="F64" s="9" t="s">
        <v>837</v>
      </c>
      <c r="G64" s="9" t="s">
        <v>796</v>
      </c>
      <c r="H64" s="9" t="s">
        <v>838</v>
      </c>
      <c r="I64" s="9" t="s">
        <v>800</v>
      </c>
      <c r="J64" s="11" t="n">
        <v>6.37032104833132</v>
      </c>
      <c r="K64" s="11" t="n">
        <v>6.37032104833132</v>
      </c>
      <c r="L64" s="11" t="n">
        <v>6.37032104833132</v>
      </c>
      <c r="M64" s="11" t="n">
        <v>31.6861768612369</v>
      </c>
      <c r="N64" s="11" t="n">
        <v>31.6861768612369</v>
      </c>
      <c r="O64" s="11" t="n">
        <v>31.6861768612369</v>
      </c>
      <c r="P64" s="11" t="n">
        <v>41.0850251969316</v>
      </c>
      <c r="Q64" s="11" t="n">
        <v>41.0850251969316</v>
      </c>
      <c r="R64" s="11" t="n">
        <v>41.0850251969316</v>
      </c>
      <c r="S64" s="11" t="n">
        <v>59.2672572300878</v>
      </c>
      <c r="T64" s="11" t="n">
        <v>59.2672572300878</v>
      </c>
      <c r="U64" s="11" t="n">
        <v>59.2672572300878</v>
      </c>
      <c r="V64" s="11" t="n">
        <v>79.7925774522872</v>
      </c>
      <c r="W64" s="11" t="n">
        <v>79.7925774522872</v>
      </c>
      <c r="X64" s="11" t="n">
        <v>79.7925774522872</v>
      </c>
    </row>
    <row r="65" customFormat="false" ht="15" hidden="false" customHeight="false" outlineLevel="0" collapsed="false">
      <c r="A65" s="9" t="s">
        <v>988</v>
      </c>
      <c r="B65" s="9" t="s">
        <v>989</v>
      </c>
      <c r="C65" s="10" t="s">
        <v>985</v>
      </c>
      <c r="D65" s="9" t="s">
        <v>713</v>
      </c>
      <c r="E65" s="9" t="n">
        <v>15</v>
      </c>
      <c r="F65" s="9" t="s">
        <v>837</v>
      </c>
      <c r="G65" s="9" t="s">
        <v>796</v>
      </c>
      <c r="H65" s="9" t="s">
        <v>838</v>
      </c>
      <c r="I65" s="9" t="s">
        <v>800</v>
      </c>
      <c r="J65" s="11" t="n">
        <v>31.643729278671</v>
      </c>
      <c r="K65" s="11" t="n">
        <v>31.643729278671</v>
      </c>
      <c r="L65" s="11" t="n">
        <v>31.643729278671</v>
      </c>
      <c r="M65" s="11" t="n">
        <v>154.023872127777</v>
      </c>
      <c r="N65" s="11" t="n">
        <v>154.023872127777</v>
      </c>
      <c r="O65" s="11" t="n">
        <v>154.023872127777</v>
      </c>
      <c r="P65" s="11" t="n">
        <v>199.764129593712</v>
      </c>
      <c r="Q65" s="11" t="n">
        <v>199.764129593712</v>
      </c>
      <c r="R65" s="11" t="n">
        <v>199.764129593712</v>
      </c>
      <c r="S65" s="11" t="n">
        <v>300.100991868166</v>
      </c>
      <c r="T65" s="11" t="n">
        <v>300.100991868166</v>
      </c>
      <c r="U65" s="11" t="n">
        <v>300.100991868166</v>
      </c>
      <c r="V65" s="11" t="n">
        <v>408.665132360284</v>
      </c>
      <c r="W65" s="11" t="n">
        <v>408.665132360284</v>
      </c>
      <c r="X65" s="11" t="n">
        <v>408.665132360284</v>
      </c>
    </row>
    <row r="66" customFormat="false" ht="15" hidden="false" customHeight="false" outlineLevel="0" collapsed="false">
      <c r="A66" s="9" t="s">
        <v>990</v>
      </c>
      <c r="B66" s="9" t="s">
        <v>991</v>
      </c>
      <c r="C66" s="10" t="s">
        <v>992</v>
      </c>
      <c r="D66" s="9" t="s">
        <v>853</v>
      </c>
      <c r="E66" s="9" t="n">
        <v>15</v>
      </c>
      <c r="F66" s="9" t="s">
        <v>837</v>
      </c>
      <c r="G66" s="9" t="s">
        <v>796</v>
      </c>
      <c r="H66" s="9" t="s">
        <v>838</v>
      </c>
      <c r="I66" s="9" t="s">
        <v>800</v>
      </c>
      <c r="J66" s="11" t="n">
        <v>8.29001168966685</v>
      </c>
      <c r="K66" s="11" t="n">
        <v>11.8443817960704</v>
      </c>
      <c r="L66" s="11" t="n">
        <v>20.340513074065</v>
      </c>
      <c r="M66" s="11" t="n">
        <v>1.65882880013521</v>
      </c>
      <c r="N66" s="11" t="n">
        <v>2.21457941075841</v>
      </c>
      <c r="O66" s="11" t="n">
        <v>3.59130208390999</v>
      </c>
      <c r="P66" s="11" t="n">
        <v>1.74607457195511</v>
      </c>
      <c r="Q66" s="11" t="n">
        <v>2.25488503780915</v>
      </c>
      <c r="R66" s="11" t="n">
        <v>3.83839793537605</v>
      </c>
      <c r="S66" s="11" t="n">
        <v>1.13855214558707</v>
      </c>
      <c r="T66" s="11" t="n">
        <v>1.5095516322911</v>
      </c>
      <c r="U66" s="11" t="n">
        <v>2.4381803687466</v>
      </c>
      <c r="V66" s="11" t="n">
        <v>0.898870428757044</v>
      </c>
      <c r="W66" s="11" t="n">
        <v>1.36570096644468</v>
      </c>
      <c r="X66" s="11" t="n">
        <v>2.49241512702448</v>
      </c>
    </row>
    <row r="67" customFormat="false" ht="15" hidden="false" customHeight="false" outlineLevel="0" collapsed="false">
      <c r="A67" s="9" t="s">
        <v>993</v>
      </c>
      <c r="B67" s="9" t="s">
        <v>994</v>
      </c>
      <c r="C67" s="10" t="s">
        <v>995</v>
      </c>
      <c r="D67" s="9" t="s">
        <v>853</v>
      </c>
      <c r="E67" s="9" t="n">
        <v>15</v>
      </c>
      <c r="F67" s="9" t="s">
        <v>837</v>
      </c>
      <c r="G67" s="9" t="s">
        <v>796</v>
      </c>
      <c r="H67" s="9" t="s">
        <v>838</v>
      </c>
      <c r="I67" s="9" t="s">
        <v>800</v>
      </c>
      <c r="J67" s="11" t="n">
        <v>0.193074031215918</v>
      </c>
      <c r="K67" s="11" t="n">
        <v>0.275854810851785</v>
      </c>
      <c r="L67" s="11" t="n">
        <v>0.473728512809262</v>
      </c>
      <c r="M67" s="11" t="n">
        <v>0.0341810009028684</v>
      </c>
      <c r="N67" s="11" t="n">
        <v>0.045632175011385</v>
      </c>
      <c r="O67" s="11" t="n">
        <v>0.0739993791638425</v>
      </c>
      <c r="P67" s="11" t="n">
        <v>0.0357793857272419</v>
      </c>
      <c r="Q67" s="11" t="n">
        <v>0.0462051252011937</v>
      </c>
      <c r="R67" s="11" t="n">
        <v>0.0786519674570117</v>
      </c>
      <c r="S67" s="11" t="n">
        <v>0.0263527827482938</v>
      </c>
      <c r="T67" s="11" t="n">
        <v>0.0349397951463465</v>
      </c>
      <c r="U67" s="11" t="n">
        <v>0.0564334811456825</v>
      </c>
      <c r="V67" s="11" t="n">
        <v>0.0206548066169291</v>
      </c>
      <c r="W67" s="11" t="n">
        <v>0.0313819233456712</v>
      </c>
      <c r="X67" s="11" t="n">
        <v>0.0572722483024193</v>
      </c>
    </row>
    <row r="68" customFormat="false" ht="15" hidden="false" customHeight="false" outlineLevel="0" collapsed="false">
      <c r="A68" s="9" t="s">
        <v>996</v>
      </c>
      <c r="B68" s="9" t="s">
        <v>997</v>
      </c>
      <c r="C68" s="10" t="s">
        <v>998</v>
      </c>
      <c r="D68" s="9" t="s">
        <v>853</v>
      </c>
      <c r="E68" s="9" t="n">
        <v>15</v>
      </c>
      <c r="F68" s="9" t="s">
        <v>837</v>
      </c>
      <c r="G68" s="9" t="s">
        <v>796</v>
      </c>
      <c r="H68" s="9" t="s">
        <v>838</v>
      </c>
      <c r="I68" s="9" t="s">
        <v>800</v>
      </c>
      <c r="J68" s="11" t="n">
        <v>0.608618479268893</v>
      </c>
      <c r="K68" s="11" t="n">
        <v>0.869575532428143</v>
      </c>
      <c r="L68" s="11" t="n">
        <v>1.49335001712945</v>
      </c>
      <c r="M68" s="11" t="n">
        <v>0.118422426458432</v>
      </c>
      <c r="N68" s="11" t="n">
        <v>0.158104828647922</v>
      </c>
      <c r="O68" s="11" t="n">
        <v>0.256407307808724</v>
      </c>
      <c r="P68" s="11" t="n">
        <v>0.12029386167383</v>
      </c>
      <c r="Q68" s="11" t="n">
        <v>0.15535396373992</v>
      </c>
      <c r="R68" s="11" t="n">
        <v>0.264467528686895</v>
      </c>
      <c r="S68" s="11" t="n">
        <v>0.0850082104063963</v>
      </c>
      <c r="T68" s="11" t="n">
        <v>0.112716227346229</v>
      </c>
      <c r="U68" s="11" t="n">
        <v>0.182070664973933</v>
      </c>
      <c r="V68" s="11" t="n">
        <v>0.0675723516877666</v>
      </c>
      <c r="W68" s="11" t="n">
        <v>0.102679168362959</v>
      </c>
      <c r="X68" s="11" t="n">
        <v>0.187410873526783</v>
      </c>
    </row>
    <row r="69" customFormat="false" ht="15" hidden="false" customHeight="false" outlineLevel="0" collapsed="false">
      <c r="A69" s="9" t="s">
        <v>999</v>
      </c>
      <c r="B69" s="9" t="s">
        <v>1000</v>
      </c>
      <c r="C69" s="10" t="s">
        <v>1001</v>
      </c>
      <c r="D69" s="9" t="s">
        <v>713</v>
      </c>
      <c r="E69" s="9" t="n">
        <v>1</v>
      </c>
      <c r="F69" s="9" t="s">
        <v>837</v>
      </c>
      <c r="G69" s="9" t="s">
        <v>796</v>
      </c>
      <c r="H69" s="9" t="s">
        <v>838</v>
      </c>
      <c r="I69" s="9" t="s">
        <v>800</v>
      </c>
      <c r="J69" s="11" t="n">
        <v>1.90338863194263</v>
      </c>
    </row>
    <row r="70" customFormat="false" ht="15" hidden="false" customHeight="false" outlineLevel="0" collapsed="false">
      <c r="A70" s="9" t="s">
        <v>1002</v>
      </c>
      <c r="B70" s="9" t="s">
        <v>1003</v>
      </c>
      <c r="C70" s="10" t="s">
        <v>1004</v>
      </c>
      <c r="D70" s="9" t="s">
        <v>713</v>
      </c>
      <c r="E70" s="9" t="n">
        <v>1</v>
      </c>
      <c r="F70" s="9" t="s">
        <v>837</v>
      </c>
      <c r="G70" s="9" t="s">
        <v>796</v>
      </c>
      <c r="H70" s="9" t="s">
        <v>838</v>
      </c>
      <c r="I70" s="9" t="s">
        <v>800</v>
      </c>
      <c r="J70" s="11" t="n">
        <v>0.951694315971314</v>
      </c>
    </row>
    <row r="71" customFormat="false" ht="15" hidden="false" customHeight="false" outlineLevel="0" collapsed="false">
      <c r="A71" s="9" t="s">
        <v>1005</v>
      </c>
      <c r="B71" s="9" t="s">
        <v>1006</v>
      </c>
      <c r="C71" s="10" t="s">
        <v>1007</v>
      </c>
      <c r="D71" s="9" t="s">
        <v>713</v>
      </c>
      <c r="E71" s="9" t="n">
        <v>1</v>
      </c>
      <c r="F71" s="9" t="s">
        <v>837</v>
      </c>
      <c r="G71" s="9" t="s">
        <v>796</v>
      </c>
      <c r="H71" s="9" t="s">
        <v>838</v>
      </c>
      <c r="I71" s="9" t="s">
        <v>800</v>
      </c>
      <c r="J71" s="11" t="n">
        <v>13.3237204235984</v>
      </c>
    </row>
    <row r="72" customFormat="false" ht="15" hidden="false" customHeight="false" outlineLevel="0" collapsed="false">
      <c r="A72" s="9" t="s">
        <v>1008</v>
      </c>
      <c r="B72" s="9" t="s">
        <v>1009</v>
      </c>
      <c r="C72" s="10" t="s">
        <v>1010</v>
      </c>
      <c r="D72" s="9" t="s">
        <v>68</v>
      </c>
      <c r="E72" s="9" t="n">
        <v>15</v>
      </c>
      <c r="F72" s="9" t="s">
        <v>837</v>
      </c>
      <c r="G72" s="9" t="s">
        <v>796</v>
      </c>
      <c r="H72" s="9" t="s">
        <v>838</v>
      </c>
      <c r="I72" s="9" t="s">
        <v>800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44.907224</v>
      </c>
      <c r="R72" s="11" t="n">
        <v>55.4686064</v>
      </c>
      <c r="S72" s="11" t="n">
        <v>42.2090232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  <row r="73" customFormat="false" ht="15" hidden="false" customHeight="false" outlineLevel="0" collapsed="false">
      <c r="A73" s="9" t="s">
        <v>1011</v>
      </c>
      <c r="B73" s="9" t="s">
        <v>1012</v>
      </c>
      <c r="C73" s="10" t="s">
        <v>1013</v>
      </c>
      <c r="D73" s="9" t="s">
        <v>1014</v>
      </c>
      <c r="E73" s="9" t="n">
        <v>15</v>
      </c>
      <c r="F73" s="9" t="s">
        <v>837</v>
      </c>
      <c r="G73" s="9" t="s">
        <v>796</v>
      </c>
      <c r="H73" s="9" t="s">
        <v>838</v>
      </c>
      <c r="I73" s="9" t="s">
        <v>800</v>
      </c>
      <c r="J73" s="11" t="n">
        <v>26017336543.4207</v>
      </c>
      <c r="K73" s="11" t="n">
        <v>26017336543.4207</v>
      </c>
      <c r="L73" s="11" t="n">
        <v>26017336543.4207</v>
      </c>
      <c r="M73" s="11" t="n">
        <v>128013563494.827</v>
      </c>
      <c r="N73" s="11" t="n">
        <v>128013563494.827</v>
      </c>
      <c r="O73" s="11" t="n">
        <v>128013563494.827</v>
      </c>
      <c r="P73" s="11" t="n">
        <v>156016123358.035</v>
      </c>
      <c r="Q73" s="11" t="n">
        <v>156016123358.035</v>
      </c>
      <c r="R73" s="11" t="n">
        <v>156016123358.035</v>
      </c>
      <c r="S73" s="11" t="n">
        <v>257035462226.142</v>
      </c>
      <c r="T73" s="11" t="n">
        <v>257035462226.142</v>
      </c>
      <c r="U73" s="11" t="n">
        <v>257035462226.142</v>
      </c>
      <c r="V73" s="11" t="n">
        <v>357122346760.936</v>
      </c>
      <c r="W73" s="11" t="n">
        <v>357122346760.936</v>
      </c>
      <c r="X73" s="11" t="n">
        <v>357122346760.936</v>
      </c>
    </row>
    <row r="74" customFormat="false" ht="15" hidden="false" customHeight="false" outlineLevel="0" collapsed="false">
      <c r="A74" s="9" t="s">
        <v>1015</v>
      </c>
      <c r="B74" s="9" t="s">
        <v>1016</v>
      </c>
      <c r="C74" s="10" t="s">
        <v>1017</v>
      </c>
      <c r="D74" s="9" t="s">
        <v>846</v>
      </c>
      <c r="E74" s="9" t="n">
        <v>1</v>
      </c>
      <c r="F74" s="9" t="s">
        <v>837</v>
      </c>
      <c r="G74" s="9" t="s">
        <v>796</v>
      </c>
      <c r="H74" s="9" t="s">
        <v>838</v>
      </c>
      <c r="I74" s="9" t="s">
        <v>800</v>
      </c>
      <c r="J74" s="11" t="n">
        <v>0.2</v>
      </c>
    </row>
    <row r="75" customFormat="false" ht="15" hidden="false" customHeight="false" outlineLevel="0" collapsed="false">
      <c r="A75" s="9" t="s">
        <v>1018</v>
      </c>
      <c r="B75" s="9" t="s">
        <v>1019</v>
      </c>
      <c r="C75" s="10" t="s">
        <v>1020</v>
      </c>
      <c r="D75" s="9" t="s">
        <v>910</v>
      </c>
      <c r="E75" s="9" t="n">
        <v>1</v>
      </c>
      <c r="F75" s="9" t="s">
        <v>837</v>
      </c>
      <c r="G75" s="9" t="s">
        <v>796</v>
      </c>
      <c r="H75" s="9" t="s">
        <v>838</v>
      </c>
      <c r="I75" s="9" t="s">
        <v>800</v>
      </c>
      <c r="J75" s="11" t="n">
        <v>0.85</v>
      </c>
    </row>
    <row r="76" customFormat="false" ht="15" hidden="false" customHeight="false" outlineLevel="0" collapsed="false">
      <c r="A76" s="9" t="s">
        <v>1021</v>
      </c>
      <c r="B76" s="9" t="s">
        <v>1022</v>
      </c>
      <c r="C76" s="9" t="s">
        <v>1023</v>
      </c>
      <c r="D76" s="9" t="s">
        <v>910</v>
      </c>
      <c r="E76" s="9" t="n">
        <v>1</v>
      </c>
      <c r="F76" s="9" t="s">
        <v>837</v>
      </c>
      <c r="G76" s="9" t="s">
        <v>796</v>
      </c>
      <c r="H76" s="9" t="s">
        <v>838</v>
      </c>
      <c r="I76" s="9" t="s">
        <v>800</v>
      </c>
      <c r="J76" s="11" t="n">
        <v>0.805795445539647</v>
      </c>
    </row>
    <row r="77" customFormat="false" ht="15" hidden="false" customHeight="false" outlineLevel="0" collapsed="false">
      <c r="A77" s="9" t="s">
        <v>1024</v>
      </c>
      <c r="B77" s="9" t="s">
        <v>1025</v>
      </c>
      <c r="C77" s="10" t="s">
        <v>1026</v>
      </c>
      <c r="D77" s="9" t="s">
        <v>853</v>
      </c>
      <c r="E77" s="9" t="n">
        <v>1</v>
      </c>
      <c r="F77" s="9" t="s">
        <v>837</v>
      </c>
      <c r="G77" s="9" t="s">
        <v>796</v>
      </c>
      <c r="H77" s="9" t="s">
        <v>838</v>
      </c>
      <c r="I77" s="9" t="s">
        <v>800</v>
      </c>
      <c r="J77" s="11" t="n">
        <v>1.94307555555556</v>
      </c>
    </row>
    <row r="78" customFormat="false" ht="15" hidden="false" customHeight="false" outlineLevel="0" collapsed="false">
      <c r="A78" s="9" t="s">
        <v>1027</v>
      </c>
      <c r="B78" s="9" t="s">
        <v>1028</v>
      </c>
      <c r="C78" s="10" t="s">
        <v>1029</v>
      </c>
      <c r="D78" s="9" t="s">
        <v>853</v>
      </c>
      <c r="E78" s="9" t="n">
        <v>1</v>
      </c>
      <c r="F78" s="9" t="s">
        <v>837</v>
      </c>
      <c r="G78" s="9" t="s">
        <v>796</v>
      </c>
      <c r="H78" s="9" t="s">
        <v>838</v>
      </c>
      <c r="I78" s="9" t="s">
        <v>800</v>
      </c>
      <c r="J78" s="11" t="n">
        <v>1.35936</v>
      </c>
    </row>
    <row r="79" customFormat="false" ht="15" hidden="false" customHeight="false" outlineLevel="0" collapsed="false">
      <c r="A79" s="9" t="s">
        <v>1030</v>
      </c>
      <c r="B79" s="9" t="s">
        <v>1031</v>
      </c>
      <c r="C79" s="10" t="s">
        <v>1029</v>
      </c>
      <c r="D79" s="9" t="s">
        <v>853</v>
      </c>
      <c r="E79" s="9" t="n">
        <v>1</v>
      </c>
      <c r="F79" s="9" t="s">
        <v>837</v>
      </c>
      <c r="G79" s="9" t="s">
        <v>796</v>
      </c>
      <c r="H79" s="9" t="s">
        <v>838</v>
      </c>
      <c r="I79" s="9" t="s">
        <v>800</v>
      </c>
      <c r="J79" s="11" t="n">
        <v>1.019328</v>
      </c>
    </row>
    <row r="80" customFormat="false" ht="15" hidden="false" customHeight="false" outlineLevel="0" collapsed="false">
      <c r="A80" s="9" t="s">
        <v>1032</v>
      </c>
      <c r="B80" s="9" t="s">
        <v>1033</v>
      </c>
      <c r="C80" s="10" t="s">
        <v>1029</v>
      </c>
      <c r="D80" s="9" t="s">
        <v>853</v>
      </c>
      <c r="E80" s="9" t="n">
        <v>1</v>
      </c>
      <c r="F80" s="9" t="s">
        <v>837</v>
      </c>
      <c r="G80" s="9" t="s">
        <v>796</v>
      </c>
      <c r="H80" s="9" t="s">
        <v>838</v>
      </c>
      <c r="I80" s="9" t="s">
        <v>800</v>
      </c>
      <c r="J80" s="11" t="n">
        <v>1.646512</v>
      </c>
    </row>
    <row r="81" customFormat="false" ht="15" hidden="false" customHeight="false" outlineLevel="0" collapsed="false">
      <c r="A81" s="9" t="s">
        <v>1034</v>
      </c>
      <c r="B81" s="9" t="s">
        <v>1035</v>
      </c>
      <c r="C81" s="10" t="s">
        <v>1036</v>
      </c>
      <c r="D81" s="9" t="s">
        <v>846</v>
      </c>
      <c r="E81" s="9" t="n">
        <v>1</v>
      </c>
      <c r="F81" s="9" t="s">
        <v>837</v>
      </c>
      <c r="G81" s="9" t="s">
        <v>796</v>
      </c>
      <c r="H81" s="9" t="s">
        <v>838</v>
      </c>
      <c r="I81" s="9" t="s">
        <v>800</v>
      </c>
      <c r="J81" s="11" t="n">
        <v>0.41</v>
      </c>
    </row>
    <row r="82" customFormat="false" ht="15" hidden="false" customHeight="false" outlineLevel="0" collapsed="false">
      <c r="A82" s="9" t="s">
        <v>1037</v>
      </c>
      <c r="B82" s="9" t="s">
        <v>1038</v>
      </c>
      <c r="C82" s="10" t="s">
        <v>1039</v>
      </c>
      <c r="D82" s="9" t="s">
        <v>846</v>
      </c>
      <c r="E82" s="9" t="n">
        <v>1</v>
      </c>
      <c r="F82" s="9" t="s">
        <v>837</v>
      </c>
      <c r="G82" s="9" t="s">
        <v>796</v>
      </c>
      <c r="H82" s="9" t="s">
        <v>838</v>
      </c>
      <c r="I82" s="9" t="s">
        <v>800</v>
      </c>
      <c r="J82" s="11" t="n">
        <v>0.46</v>
      </c>
    </row>
    <row r="83" customFormat="false" ht="15" hidden="false" customHeight="false" outlineLevel="0" collapsed="false">
      <c r="A83" s="9" t="s">
        <v>1040</v>
      </c>
      <c r="B83" s="9" t="s">
        <v>1041</v>
      </c>
      <c r="C83" s="10" t="s">
        <v>1042</v>
      </c>
      <c r="D83" s="9" t="s">
        <v>846</v>
      </c>
      <c r="E83" s="9" t="n">
        <v>1</v>
      </c>
      <c r="F83" s="9" t="s">
        <v>837</v>
      </c>
      <c r="G83" s="9" t="s">
        <v>796</v>
      </c>
      <c r="H83" s="9" t="s">
        <v>838</v>
      </c>
      <c r="I83" s="9" t="s">
        <v>800</v>
      </c>
      <c r="J83" s="11" t="n">
        <v>0.4</v>
      </c>
    </row>
    <row r="84" customFormat="false" ht="15" hidden="false" customHeight="false" outlineLevel="0" collapsed="false">
      <c r="A84" s="9" t="s">
        <v>1043</v>
      </c>
      <c r="B84" s="9" t="s">
        <v>1044</v>
      </c>
      <c r="C84" s="10" t="s">
        <v>1045</v>
      </c>
      <c r="D84" s="9" t="s">
        <v>846</v>
      </c>
      <c r="E84" s="9" t="n">
        <v>1</v>
      </c>
      <c r="F84" s="9" t="s">
        <v>837</v>
      </c>
      <c r="G84" s="9" t="s">
        <v>796</v>
      </c>
      <c r="H84" s="9" t="s">
        <v>838</v>
      </c>
      <c r="I84" s="9" t="s">
        <v>800</v>
      </c>
      <c r="J84" s="11" t="n">
        <v>0.45</v>
      </c>
    </row>
    <row r="85" customFormat="false" ht="15" hidden="false" customHeight="false" outlineLevel="0" collapsed="false">
      <c r="A85" s="9" t="s">
        <v>1046</v>
      </c>
      <c r="B85" s="9" t="s">
        <v>1047</v>
      </c>
      <c r="C85" s="10" t="s">
        <v>1048</v>
      </c>
      <c r="D85" s="9" t="s">
        <v>846</v>
      </c>
      <c r="E85" s="9" t="n">
        <v>1</v>
      </c>
      <c r="F85" s="9" t="s">
        <v>837</v>
      </c>
      <c r="G85" s="9" t="s">
        <v>796</v>
      </c>
      <c r="H85" s="9" t="s">
        <v>838</v>
      </c>
      <c r="I85" s="9" t="s">
        <v>800</v>
      </c>
      <c r="J85" s="11" t="n">
        <v>0.15</v>
      </c>
    </row>
    <row r="86" customFormat="false" ht="15" hidden="false" customHeight="false" outlineLevel="0" collapsed="false">
      <c r="A86" s="9" t="s">
        <v>1049</v>
      </c>
      <c r="B86" s="9" t="s">
        <v>1050</v>
      </c>
      <c r="C86" s="10" t="s">
        <v>1051</v>
      </c>
      <c r="D86" s="9" t="s">
        <v>910</v>
      </c>
      <c r="E86" s="9" t="n">
        <v>1</v>
      </c>
      <c r="F86" s="9" t="s">
        <v>837</v>
      </c>
      <c r="G86" s="9" t="s">
        <v>796</v>
      </c>
      <c r="H86" s="9" t="s">
        <v>838</v>
      </c>
      <c r="I86" s="9" t="s">
        <v>800</v>
      </c>
      <c r="J86" s="11" t="n">
        <v>0.41</v>
      </c>
    </row>
    <row r="87" customFormat="false" ht="15" hidden="false" customHeight="false" outlineLevel="0" collapsed="false">
      <c r="A87" s="9" t="s">
        <v>1052</v>
      </c>
      <c r="B87" s="9" t="s">
        <v>1053</v>
      </c>
      <c r="C87" s="10" t="s">
        <v>1051</v>
      </c>
      <c r="D87" s="9" t="s">
        <v>910</v>
      </c>
      <c r="E87" s="9" t="n">
        <v>1</v>
      </c>
      <c r="F87" s="9" t="s">
        <v>837</v>
      </c>
      <c r="G87" s="9" t="s">
        <v>796</v>
      </c>
      <c r="H87" s="9" t="s">
        <v>838</v>
      </c>
      <c r="I87" s="9" t="s">
        <v>800</v>
      </c>
      <c r="J87" s="11" t="n">
        <v>0.3</v>
      </c>
    </row>
    <row r="88" customFormat="false" ht="15" hidden="false" customHeight="false" outlineLevel="0" collapsed="false">
      <c r="A88" s="9" t="s">
        <v>1054</v>
      </c>
      <c r="B88" s="9" t="s">
        <v>1055</v>
      </c>
      <c r="C88" s="10" t="s">
        <v>1051</v>
      </c>
      <c r="D88" s="9" t="s">
        <v>910</v>
      </c>
      <c r="E88" s="9" t="n">
        <v>1</v>
      </c>
      <c r="F88" s="9" t="s">
        <v>837</v>
      </c>
      <c r="G88" s="9" t="s">
        <v>796</v>
      </c>
      <c r="H88" s="9" t="s">
        <v>838</v>
      </c>
      <c r="I88" s="9" t="s">
        <v>800</v>
      </c>
      <c r="J88" s="11" t="n">
        <v>0.65</v>
      </c>
    </row>
    <row r="89" customFormat="false" ht="15" hidden="false" customHeight="false" outlineLevel="0" collapsed="false">
      <c r="A89" s="9" t="s">
        <v>1056</v>
      </c>
      <c r="B89" s="9" t="s">
        <v>1057</v>
      </c>
      <c r="C89" s="9" t="s">
        <v>1058</v>
      </c>
      <c r="D89" s="9" t="s">
        <v>910</v>
      </c>
      <c r="E89" s="9" t="n">
        <v>1</v>
      </c>
      <c r="F89" s="9" t="s">
        <v>837</v>
      </c>
      <c r="G89" s="9" t="s">
        <v>796</v>
      </c>
      <c r="H89" s="9" t="s">
        <v>838</v>
      </c>
      <c r="I89" s="9" t="s">
        <v>800</v>
      </c>
      <c r="J89" s="11" t="n">
        <v>0.698844526610524</v>
      </c>
    </row>
    <row r="90" customFormat="false" ht="15" hidden="false" customHeight="false" outlineLevel="0" collapsed="false">
      <c r="A90" s="9" t="s">
        <v>1059</v>
      </c>
      <c r="B90" s="9" t="s">
        <v>1060</v>
      </c>
      <c r="C90" s="9" t="s">
        <v>1058</v>
      </c>
      <c r="D90" s="9" t="s">
        <v>910</v>
      </c>
      <c r="E90" s="9" t="n">
        <v>1</v>
      </c>
      <c r="F90" s="9" t="s">
        <v>837</v>
      </c>
      <c r="G90" s="9" t="s">
        <v>796</v>
      </c>
      <c r="H90" s="9" t="s">
        <v>838</v>
      </c>
      <c r="I90" s="9" t="s">
        <v>800</v>
      </c>
      <c r="J90" s="11" t="n">
        <v>0.445998629759434</v>
      </c>
    </row>
    <row r="91" customFormat="false" ht="15" hidden="false" customHeight="false" outlineLevel="0" collapsed="false">
      <c r="A91" s="9" t="s">
        <v>1061</v>
      </c>
      <c r="B91" s="9" t="s">
        <v>1062</v>
      </c>
      <c r="C91" s="9" t="s">
        <v>1058</v>
      </c>
      <c r="D91" s="9" t="s">
        <v>910</v>
      </c>
      <c r="E91" s="9" t="n">
        <v>1</v>
      </c>
      <c r="F91" s="9" t="s">
        <v>837</v>
      </c>
      <c r="G91" s="9" t="s">
        <v>796</v>
      </c>
      <c r="H91" s="9" t="s">
        <v>838</v>
      </c>
      <c r="I91" s="9" t="s">
        <v>800</v>
      </c>
      <c r="J91" s="11" t="n">
        <v>1.09414441323696</v>
      </c>
    </row>
    <row r="92" customFormat="false" ht="15" hidden="false" customHeight="false" outlineLevel="0" collapsed="false">
      <c r="A92" s="9" t="s">
        <v>1063</v>
      </c>
      <c r="B92" s="9" t="s">
        <v>1064</v>
      </c>
      <c r="C92" s="9" t="s">
        <v>1065</v>
      </c>
      <c r="D92" s="9" t="s">
        <v>910</v>
      </c>
      <c r="E92" s="9" t="n">
        <v>1</v>
      </c>
      <c r="F92" s="9" t="s">
        <v>837</v>
      </c>
      <c r="G92" s="9" t="s">
        <v>796</v>
      </c>
      <c r="H92" s="9" t="s">
        <v>838</v>
      </c>
      <c r="I92" s="9" t="s">
        <v>800</v>
      </c>
      <c r="J92" s="11" t="n">
        <v>0.758597367273996</v>
      </c>
    </row>
    <row r="93" customFormat="false" ht="15" hidden="false" customHeight="false" outlineLevel="0" collapsed="false">
      <c r="A93" s="9" t="s">
        <v>1066</v>
      </c>
      <c r="B93" s="9" t="s">
        <v>1067</v>
      </c>
      <c r="C93" s="9" t="s">
        <v>1065</v>
      </c>
      <c r="D93" s="9" t="s">
        <v>910</v>
      </c>
      <c r="E93" s="9" t="n">
        <v>1</v>
      </c>
      <c r="F93" s="9" t="s">
        <v>837</v>
      </c>
      <c r="G93" s="9" t="s">
        <v>796</v>
      </c>
      <c r="H93" s="9" t="s">
        <v>838</v>
      </c>
      <c r="I93" s="9" t="s">
        <v>800</v>
      </c>
      <c r="J93" s="11" t="n">
        <v>0.479441891854564</v>
      </c>
    </row>
    <row r="94" customFormat="false" ht="15" hidden="false" customHeight="false" outlineLevel="0" collapsed="false">
      <c r="A94" s="9" t="s">
        <v>1068</v>
      </c>
      <c r="B94" s="9" t="s">
        <v>1069</v>
      </c>
      <c r="C94" s="9" t="s">
        <v>1065</v>
      </c>
      <c r="D94" s="9" t="s">
        <v>910</v>
      </c>
      <c r="E94" s="9" t="n">
        <v>1</v>
      </c>
      <c r="F94" s="9" t="s">
        <v>837</v>
      </c>
      <c r="G94" s="9" t="s">
        <v>796</v>
      </c>
      <c r="H94" s="9" t="s">
        <v>838</v>
      </c>
      <c r="I94" s="9" t="s">
        <v>800</v>
      </c>
      <c r="J94" s="11" t="n">
        <v>1.13827219966509</v>
      </c>
    </row>
    <row r="95" customFormat="false" ht="15" hidden="false" customHeight="false" outlineLevel="0" collapsed="false">
      <c r="A95" s="9" t="s">
        <v>1070</v>
      </c>
      <c r="B95" s="9" t="s">
        <v>1071</v>
      </c>
      <c r="C95" s="9" t="s">
        <v>1072</v>
      </c>
      <c r="D95" s="9" t="s">
        <v>846</v>
      </c>
      <c r="E95" s="9" t="n">
        <v>1</v>
      </c>
      <c r="F95" s="9" t="s">
        <v>837</v>
      </c>
      <c r="G95" s="9" t="s">
        <v>796</v>
      </c>
      <c r="H95" s="9" t="s">
        <v>838</v>
      </c>
      <c r="I95" s="9" t="s">
        <v>800</v>
      </c>
      <c r="J95" s="11" t="n">
        <v>0.153096029718054</v>
      </c>
    </row>
    <row r="96" customFormat="false" ht="15" hidden="false" customHeight="false" outlineLevel="0" collapsed="false">
      <c r="A96" s="9" t="s">
        <v>1073</v>
      </c>
      <c r="B96" s="9" t="s">
        <v>1074</v>
      </c>
      <c r="C96" s="9" t="s">
        <v>1075</v>
      </c>
      <c r="D96" s="9" t="s">
        <v>846</v>
      </c>
      <c r="E96" s="9" t="n">
        <v>1</v>
      </c>
      <c r="F96" s="9" t="s">
        <v>837</v>
      </c>
      <c r="G96" s="9" t="s">
        <v>796</v>
      </c>
      <c r="H96" s="9" t="s">
        <v>838</v>
      </c>
      <c r="I96" s="9" t="s">
        <v>800</v>
      </c>
      <c r="J96" s="11" t="n">
        <v>0.190421309098234</v>
      </c>
    </row>
    <row r="97" customFormat="false" ht="15" hidden="false" customHeight="false" outlineLevel="0" collapsed="false">
      <c r="A97" s="9" t="s">
        <v>1076</v>
      </c>
      <c r="B97" s="9" t="s">
        <v>1077</v>
      </c>
      <c r="C97" s="10" t="s">
        <v>1078</v>
      </c>
      <c r="D97" s="10" t="s">
        <v>193</v>
      </c>
      <c r="E97" s="9" t="n">
        <v>1</v>
      </c>
      <c r="F97" s="9" t="s">
        <v>837</v>
      </c>
      <c r="G97" s="9" t="s">
        <v>796</v>
      </c>
      <c r="H97" s="9" t="s">
        <v>838</v>
      </c>
      <c r="I97" s="9" t="s">
        <v>800</v>
      </c>
      <c r="J97" s="13" t="s">
        <v>1079</v>
      </c>
    </row>
    <row r="98" customFormat="false" ht="15" hidden="false" customHeight="false" outlineLevel="0" collapsed="false">
      <c r="A98" s="9" t="s">
        <v>1080</v>
      </c>
      <c r="B98" s="10" t="s">
        <v>1081</v>
      </c>
      <c r="C98" s="9" t="s">
        <v>1082</v>
      </c>
      <c r="D98" s="9"/>
      <c r="E98" s="9" t="n">
        <v>0</v>
      </c>
      <c r="F98" s="10" t="s">
        <v>1083</v>
      </c>
      <c r="G98" s="9" t="s">
        <v>796</v>
      </c>
      <c r="H98" s="9" t="s">
        <v>838</v>
      </c>
      <c r="I98" s="9" t="s">
        <v>800</v>
      </c>
    </row>
    <row r="99" customFormat="false" ht="15" hidden="false" customHeight="false" outlineLevel="0" collapsed="false">
      <c r="A99" s="9" t="s">
        <v>1084</v>
      </c>
      <c r="B99" s="10" t="s">
        <v>1081</v>
      </c>
      <c r="C99" s="9" t="s">
        <v>1082</v>
      </c>
      <c r="D99" s="9"/>
      <c r="E99" s="9" t="n">
        <v>0</v>
      </c>
      <c r="F99" s="10" t="s">
        <v>1083</v>
      </c>
      <c r="G99" s="9" t="s">
        <v>796</v>
      </c>
      <c r="H99" s="9" t="s">
        <v>838</v>
      </c>
      <c r="I99" s="9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1085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2" t="s">
        <v>1087</v>
      </c>
    </row>
    <row r="4" customFormat="false" ht="44" hidden="false" customHeight="false" outlineLevel="0" collapsed="false">
      <c r="A4" s="7" t="s">
        <v>1088</v>
      </c>
      <c r="B4" s="8" t="s">
        <v>1089</v>
      </c>
      <c r="C4" s="8" t="s">
        <v>914</v>
      </c>
      <c r="D4" s="8" t="s">
        <v>46</v>
      </c>
      <c r="E4" s="8" t="s">
        <v>1090</v>
      </c>
      <c r="F4" s="8" t="s">
        <v>44</v>
      </c>
      <c r="G4" s="8" t="s">
        <v>45</v>
      </c>
      <c r="H4" s="8" t="s">
        <v>34</v>
      </c>
      <c r="I4" s="7" t="s">
        <v>1091</v>
      </c>
      <c r="J4" s="8" t="s">
        <v>55</v>
      </c>
      <c r="K4" s="7" t="s">
        <v>59</v>
      </c>
      <c r="L4" s="8" t="s">
        <v>61</v>
      </c>
      <c r="M4" s="8" t="s">
        <v>64</v>
      </c>
    </row>
    <row r="5" customFormat="false" ht="15" hidden="false" customHeight="false" outlineLevel="0" collapsed="false">
      <c r="A5" s="9" t="s">
        <v>1092</v>
      </c>
      <c r="B5" s="10" t="s">
        <v>1093</v>
      </c>
      <c r="C5" s="9" t="s">
        <v>71</v>
      </c>
      <c r="D5" s="10" t="s">
        <v>152</v>
      </c>
      <c r="E5" s="11" t="n">
        <v>2025</v>
      </c>
      <c r="F5" s="9"/>
      <c r="G5" s="9"/>
      <c r="H5" s="9" t="s">
        <v>1094</v>
      </c>
      <c r="I5" s="9" t="s">
        <v>71</v>
      </c>
      <c r="J5" s="9" t="s">
        <v>1095</v>
      </c>
      <c r="K5" s="9" t="s">
        <v>1096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1097</v>
      </c>
      <c r="B6" s="10" t="s">
        <v>1098</v>
      </c>
      <c r="C6" s="9" t="s">
        <v>71</v>
      </c>
      <c r="D6" s="10" t="s">
        <v>152</v>
      </c>
      <c r="E6" s="11" t="n">
        <v>2025</v>
      </c>
      <c r="F6" s="9"/>
      <c r="G6" s="9"/>
      <c r="H6" s="9" t="s">
        <v>1094</v>
      </c>
      <c r="I6" s="9" t="s">
        <v>71</v>
      </c>
      <c r="J6" s="9" t="s">
        <v>1095</v>
      </c>
      <c r="K6" s="9" t="s">
        <v>1099</v>
      </c>
      <c r="L6" s="9" t="s">
        <v>1100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1101</v>
      </c>
      <c r="B7" s="10" t="s">
        <v>1102</v>
      </c>
      <c r="C7" s="9" t="s">
        <v>71</v>
      </c>
      <c r="D7" s="10" t="s">
        <v>152</v>
      </c>
      <c r="E7" s="11" t="n">
        <v>2026</v>
      </c>
      <c r="F7" s="9"/>
      <c r="G7" s="9"/>
      <c r="H7" s="9" t="s">
        <v>1094</v>
      </c>
      <c r="I7" s="9" t="s">
        <v>71</v>
      </c>
      <c r="J7" s="9" t="s">
        <v>1095</v>
      </c>
      <c r="K7" s="9" t="s">
        <v>1103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1104</v>
      </c>
      <c r="B8" s="10" t="s">
        <v>1105</v>
      </c>
      <c r="C8" s="9" t="s">
        <v>71</v>
      </c>
      <c r="D8" s="10" t="s">
        <v>152</v>
      </c>
      <c r="E8" s="11" t="n">
        <v>2027</v>
      </c>
      <c r="F8" s="9"/>
      <c r="G8" s="9"/>
      <c r="H8" s="9" t="s">
        <v>1094</v>
      </c>
      <c r="I8" s="9" t="s">
        <v>71</v>
      </c>
      <c r="J8" s="9" t="s">
        <v>1095</v>
      </c>
      <c r="K8" s="9" t="s">
        <v>1106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1107</v>
      </c>
      <c r="B9" s="10" t="s">
        <v>1108</v>
      </c>
      <c r="C9" s="10" t="s">
        <v>1109</v>
      </c>
      <c r="D9" s="10" t="s">
        <v>152</v>
      </c>
      <c r="E9" s="11" t="n">
        <v>2025</v>
      </c>
      <c r="F9" s="9"/>
      <c r="G9" s="9"/>
      <c r="H9" s="9" t="s">
        <v>1094</v>
      </c>
      <c r="I9" s="9" t="s">
        <v>1110</v>
      </c>
      <c r="J9" s="9" t="s">
        <v>1095</v>
      </c>
      <c r="K9" s="9" t="s">
        <v>1111</v>
      </c>
      <c r="L9" s="10" t="s">
        <v>1112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1113</v>
      </c>
      <c r="B10" s="10" t="s">
        <v>1108</v>
      </c>
      <c r="C10" s="10" t="s">
        <v>1114</v>
      </c>
      <c r="D10" s="10" t="s">
        <v>152</v>
      </c>
      <c r="E10" s="11" t="n">
        <v>2026</v>
      </c>
      <c r="F10" s="9"/>
      <c r="G10" s="9"/>
      <c r="H10" s="9" t="s">
        <v>1094</v>
      </c>
      <c r="I10" s="9" t="s">
        <v>1110</v>
      </c>
      <c r="J10" s="9" t="s">
        <v>1095</v>
      </c>
      <c r="K10" s="9" t="s">
        <v>1115</v>
      </c>
      <c r="L10" s="10" t="s">
        <v>1112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1116</v>
      </c>
      <c r="B11" s="10" t="s">
        <v>1108</v>
      </c>
      <c r="C11" s="10" t="s">
        <v>1117</v>
      </c>
      <c r="D11" s="10" t="s">
        <v>152</v>
      </c>
      <c r="E11" s="11" t="n">
        <v>2027</v>
      </c>
      <c r="F11" s="9"/>
      <c r="G11" s="9"/>
      <c r="H11" s="9" t="s">
        <v>1094</v>
      </c>
      <c r="I11" s="9" t="s">
        <v>1110</v>
      </c>
      <c r="J11" s="9" t="s">
        <v>1095</v>
      </c>
      <c r="K11" s="9" t="s">
        <v>1118</v>
      </c>
      <c r="L11" s="10" t="s">
        <v>1112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1119</v>
      </c>
      <c r="B12" s="10" t="s">
        <v>1108</v>
      </c>
      <c r="C12" s="10" t="s">
        <v>1120</v>
      </c>
      <c r="D12" s="10" t="s">
        <v>152</v>
      </c>
      <c r="E12" s="11" t="n">
        <v>2028</v>
      </c>
      <c r="F12" s="9"/>
      <c r="G12" s="9"/>
      <c r="H12" s="9" t="s">
        <v>1094</v>
      </c>
      <c r="I12" s="9" t="s">
        <v>1110</v>
      </c>
      <c r="J12" s="9" t="s">
        <v>1095</v>
      </c>
      <c r="K12" s="9" t="s">
        <v>1121</v>
      </c>
      <c r="L12" s="10" t="s">
        <v>1112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1122</v>
      </c>
      <c r="B13" s="10" t="s">
        <v>1108</v>
      </c>
      <c r="C13" s="10" t="s">
        <v>1123</v>
      </c>
      <c r="D13" s="10" t="s">
        <v>152</v>
      </c>
      <c r="E13" s="11" t="n">
        <v>2029</v>
      </c>
      <c r="F13" s="9"/>
      <c r="G13" s="9"/>
      <c r="H13" s="9" t="s">
        <v>1094</v>
      </c>
      <c r="I13" s="9" t="s">
        <v>1110</v>
      </c>
      <c r="J13" s="9" t="s">
        <v>1095</v>
      </c>
      <c r="K13" s="9" t="s">
        <v>1124</v>
      </c>
      <c r="L13" s="10" t="s">
        <v>1112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1125</v>
      </c>
      <c r="B14" s="10" t="s">
        <v>1108</v>
      </c>
      <c r="C14" s="10" t="s">
        <v>1126</v>
      </c>
      <c r="D14" s="10" t="s">
        <v>152</v>
      </c>
      <c r="E14" s="11" t="n">
        <v>2030</v>
      </c>
      <c r="F14" s="9"/>
      <c r="G14" s="9"/>
      <c r="H14" s="9" t="s">
        <v>1094</v>
      </c>
      <c r="I14" s="9" t="s">
        <v>1110</v>
      </c>
      <c r="J14" s="9" t="s">
        <v>1095</v>
      </c>
      <c r="K14" s="9" t="s">
        <v>1127</v>
      </c>
      <c r="L14" s="10" t="s">
        <v>1112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1128</v>
      </c>
      <c r="B15" s="10" t="s">
        <v>1129</v>
      </c>
      <c r="C15" s="9" t="s">
        <v>71</v>
      </c>
      <c r="D15" s="10" t="s">
        <v>152</v>
      </c>
      <c r="E15" s="11" t="n">
        <v>2026</v>
      </c>
      <c r="F15" s="9"/>
      <c r="G15" s="9"/>
      <c r="H15" s="9" t="s">
        <v>1130</v>
      </c>
      <c r="I15" s="9" t="s">
        <v>1131</v>
      </c>
      <c r="J15" s="9" t="s">
        <v>1095</v>
      </c>
      <c r="K15" s="9" t="s">
        <v>1132</v>
      </c>
      <c r="L15" s="10" t="s">
        <v>1133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1134</v>
      </c>
      <c r="B16" s="9" t="s">
        <v>1135</v>
      </c>
      <c r="C16" s="9" t="s">
        <v>71</v>
      </c>
      <c r="D16" s="10" t="s">
        <v>120</v>
      </c>
      <c r="E16" s="11" t="n">
        <v>0</v>
      </c>
      <c r="F16" s="9"/>
      <c r="G16" s="9"/>
      <c r="H16" s="9" t="s">
        <v>1094</v>
      </c>
      <c r="I16" s="9" t="s">
        <v>1136</v>
      </c>
      <c r="J16" s="9" t="s">
        <v>1095</v>
      </c>
      <c r="K16" s="9" t="s">
        <v>1137</v>
      </c>
      <c r="L16" s="10" t="s">
        <v>1138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1139</v>
      </c>
      <c r="B17" s="9" t="s">
        <v>1140</v>
      </c>
      <c r="C17" s="9" t="s">
        <v>71</v>
      </c>
      <c r="D17" s="10" t="s">
        <v>120</v>
      </c>
      <c r="E17" s="11" t="n">
        <v>0.3</v>
      </c>
      <c r="F17" s="9"/>
      <c r="G17" s="9"/>
      <c r="H17" s="9" t="s">
        <v>1094</v>
      </c>
      <c r="I17" s="9" t="s">
        <v>1136</v>
      </c>
      <c r="J17" s="9" t="s">
        <v>1095</v>
      </c>
      <c r="K17" s="9" t="s">
        <v>1137</v>
      </c>
      <c r="L17" s="9" t="s">
        <v>1141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1142</v>
      </c>
      <c r="B18" s="9" t="s">
        <v>1143</v>
      </c>
      <c r="C18" s="9" t="s">
        <v>71</v>
      </c>
      <c r="D18" s="10" t="s">
        <v>120</v>
      </c>
      <c r="E18" s="11" t="n">
        <v>0.8</v>
      </c>
      <c r="F18" s="9"/>
      <c r="G18" s="9"/>
      <c r="H18" s="9" t="s">
        <v>1094</v>
      </c>
      <c r="I18" s="9" t="s">
        <v>1136</v>
      </c>
      <c r="J18" s="9" t="s">
        <v>1095</v>
      </c>
      <c r="K18" s="9" t="s">
        <v>1137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1144</v>
      </c>
      <c r="B19" s="9" t="s">
        <v>1145</v>
      </c>
      <c r="C19" s="9" t="s">
        <v>411</v>
      </c>
      <c r="D19" s="9" t="s">
        <v>165</v>
      </c>
      <c r="E19" s="11" t="n">
        <v>2.5</v>
      </c>
      <c r="F19" s="11" t="n">
        <v>1.5</v>
      </c>
      <c r="G19" s="11" t="n">
        <v>4</v>
      </c>
      <c r="H19" s="9" t="s">
        <v>1146</v>
      </c>
      <c r="I19" s="9" t="s">
        <v>71</v>
      </c>
      <c r="J19" s="9" t="s">
        <v>1095</v>
      </c>
      <c r="K19" s="9" t="s">
        <v>1147</v>
      </c>
      <c r="L19" s="9" t="s">
        <v>1148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1149</v>
      </c>
      <c r="B20" s="9" t="s">
        <v>1150</v>
      </c>
      <c r="C20" s="9" t="s">
        <v>411</v>
      </c>
      <c r="D20" s="9" t="s">
        <v>165</v>
      </c>
      <c r="E20" s="11" t="n">
        <v>1.5</v>
      </c>
      <c r="F20" s="11" t="n">
        <v>1</v>
      </c>
      <c r="G20" s="11" t="n">
        <v>2.5</v>
      </c>
      <c r="H20" s="9" t="s">
        <v>1146</v>
      </c>
      <c r="I20" s="9" t="s">
        <v>71</v>
      </c>
      <c r="J20" s="9" t="s">
        <v>1095</v>
      </c>
      <c r="K20" s="9" t="s">
        <v>1151</v>
      </c>
      <c r="L20" s="9" t="s">
        <v>1148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1152</v>
      </c>
      <c r="B21" s="9" t="s">
        <v>1153</v>
      </c>
      <c r="C21" s="9" t="s">
        <v>411</v>
      </c>
      <c r="D21" s="9" t="s">
        <v>165</v>
      </c>
      <c r="E21" s="11" t="n">
        <v>0.2</v>
      </c>
      <c r="F21" s="11" t="n">
        <v>0.1</v>
      </c>
      <c r="G21" s="11" t="n">
        <v>0.4</v>
      </c>
      <c r="H21" s="9" t="s">
        <v>1146</v>
      </c>
      <c r="I21" s="9" t="s">
        <v>71</v>
      </c>
      <c r="J21" s="9" t="s">
        <v>1095</v>
      </c>
      <c r="K21" s="9" t="s">
        <v>1154</v>
      </c>
      <c r="L21" s="9" t="s">
        <v>1148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1155</v>
      </c>
      <c r="B22" s="9" t="s">
        <v>1156</v>
      </c>
      <c r="C22" s="9" t="s">
        <v>411</v>
      </c>
      <c r="D22" s="9" t="s">
        <v>165</v>
      </c>
      <c r="E22" s="11" t="n">
        <v>14</v>
      </c>
      <c r="F22" s="11" t="n">
        <v>8</v>
      </c>
      <c r="G22" s="11" t="n">
        <v>20</v>
      </c>
      <c r="H22" s="9" t="s">
        <v>1146</v>
      </c>
      <c r="I22" s="9" t="s">
        <v>71</v>
      </c>
      <c r="J22" s="9" t="s">
        <v>1095</v>
      </c>
      <c r="K22" s="9" t="s">
        <v>1157</v>
      </c>
      <c r="L22" s="9" t="s">
        <v>1148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1158</v>
      </c>
      <c r="B23" s="9" t="s">
        <v>1159</v>
      </c>
      <c r="C23" s="9" t="s">
        <v>411</v>
      </c>
      <c r="D23" s="9" t="s">
        <v>165</v>
      </c>
      <c r="E23" s="11" t="n">
        <v>8</v>
      </c>
      <c r="F23" s="11" t="n">
        <v>5</v>
      </c>
      <c r="G23" s="11" t="n">
        <v>10</v>
      </c>
      <c r="H23" s="9" t="s">
        <v>1146</v>
      </c>
      <c r="I23" s="9" t="s">
        <v>71</v>
      </c>
      <c r="J23" s="9" t="s">
        <v>1095</v>
      </c>
      <c r="K23" s="9" t="s">
        <v>1160</v>
      </c>
      <c r="L23" s="9" t="s">
        <v>1148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1161</v>
      </c>
      <c r="B24" s="9" t="s">
        <v>1162</v>
      </c>
      <c r="C24" s="9" t="s">
        <v>411</v>
      </c>
      <c r="D24" s="9" t="s">
        <v>165</v>
      </c>
      <c r="E24" s="11" t="n">
        <v>1</v>
      </c>
      <c r="F24" s="11" t="n">
        <v>0.5</v>
      </c>
      <c r="G24" s="11" t="n">
        <v>2</v>
      </c>
      <c r="H24" s="9" t="s">
        <v>1146</v>
      </c>
      <c r="I24" s="9" t="s">
        <v>71</v>
      </c>
      <c r="J24" s="9" t="s">
        <v>1095</v>
      </c>
      <c r="K24" s="9" t="s">
        <v>1163</v>
      </c>
      <c r="L24" s="9" t="s">
        <v>1148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1164</v>
      </c>
      <c r="B25" s="10" t="s">
        <v>1165</v>
      </c>
      <c r="C25" s="9" t="s">
        <v>71</v>
      </c>
      <c r="D25" s="10" t="s">
        <v>1166</v>
      </c>
      <c r="E25" s="11" t="n">
        <v>-0.3</v>
      </c>
      <c r="F25" s="11" t="n">
        <v>-0.45</v>
      </c>
      <c r="G25" s="11" t="n">
        <v>-0.15</v>
      </c>
      <c r="H25" s="9" t="s">
        <v>1130</v>
      </c>
      <c r="I25" s="9" t="s">
        <v>1167</v>
      </c>
      <c r="J25" s="9" t="s">
        <v>1095</v>
      </c>
      <c r="K25" s="9" t="s">
        <v>1168</v>
      </c>
      <c r="L25" s="9" t="s">
        <v>1169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1170</v>
      </c>
      <c r="B26" s="10" t="s">
        <v>1171</v>
      </c>
      <c r="C26" s="9" t="s">
        <v>71</v>
      </c>
      <c r="D26" s="10" t="s">
        <v>1166</v>
      </c>
      <c r="E26" s="11" t="n">
        <v>-0.4</v>
      </c>
      <c r="F26" s="11" t="n">
        <v>-0.6</v>
      </c>
      <c r="G26" s="11" t="n">
        <v>-0.2</v>
      </c>
      <c r="H26" s="9" t="s">
        <v>1130</v>
      </c>
      <c r="I26" s="9" t="s">
        <v>1167</v>
      </c>
      <c r="J26" s="9" t="s">
        <v>1095</v>
      </c>
      <c r="K26" s="9" t="s">
        <v>1172</v>
      </c>
      <c r="L26" s="9" t="s">
        <v>1169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1173</v>
      </c>
      <c r="B27" s="10" t="s">
        <v>1174</v>
      </c>
      <c r="C27" s="9" t="s">
        <v>71</v>
      </c>
      <c r="D27" s="10" t="s">
        <v>1166</v>
      </c>
      <c r="E27" s="11" t="n">
        <v>-0.4</v>
      </c>
      <c r="F27" s="11" t="n">
        <v>-0.6</v>
      </c>
      <c r="G27" s="11" t="n">
        <v>-0.2</v>
      </c>
      <c r="H27" s="9" t="s">
        <v>1130</v>
      </c>
      <c r="I27" s="9" t="s">
        <v>1167</v>
      </c>
      <c r="J27" s="9" t="s">
        <v>1095</v>
      </c>
      <c r="K27" s="9" t="s">
        <v>1175</v>
      </c>
      <c r="L27" s="9" t="s">
        <v>1169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1176</v>
      </c>
      <c r="B28" s="9" t="s">
        <v>1177</v>
      </c>
      <c r="C28" s="10" t="s">
        <v>1178</v>
      </c>
      <c r="D28" s="10" t="s">
        <v>120</v>
      </c>
      <c r="E28" s="11" t="n">
        <v>0.4</v>
      </c>
      <c r="F28" s="11" t="n">
        <v>0.25</v>
      </c>
      <c r="G28" s="11" t="n">
        <v>0.5</v>
      </c>
      <c r="H28" s="9" t="s">
        <v>1130</v>
      </c>
      <c r="I28" s="9" t="s">
        <v>71</v>
      </c>
      <c r="J28" s="9" t="s">
        <v>1095</v>
      </c>
      <c r="K28" s="9" t="s">
        <v>1179</v>
      </c>
      <c r="L28" s="9" t="s">
        <v>1180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1181</v>
      </c>
      <c r="B29" s="9" t="s">
        <v>1177</v>
      </c>
      <c r="C29" s="10" t="s">
        <v>1182</v>
      </c>
      <c r="D29" s="10" t="s">
        <v>120</v>
      </c>
      <c r="E29" s="11" t="n">
        <v>0.15</v>
      </c>
      <c r="F29" s="11" t="n">
        <v>0.08</v>
      </c>
      <c r="G29" s="11" t="n">
        <v>0.25</v>
      </c>
      <c r="H29" s="9" t="s">
        <v>1130</v>
      </c>
      <c r="I29" s="9" t="s">
        <v>71</v>
      </c>
      <c r="J29" s="9" t="s">
        <v>1095</v>
      </c>
      <c r="K29" s="9" t="s">
        <v>1179</v>
      </c>
      <c r="L29" s="9" t="s">
        <v>1180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1183</v>
      </c>
      <c r="B30" s="9" t="s">
        <v>1184</v>
      </c>
      <c r="C30" s="10" t="s">
        <v>1178</v>
      </c>
      <c r="D30" s="10" t="s">
        <v>120</v>
      </c>
      <c r="E30" s="11" t="n">
        <v>0.4</v>
      </c>
      <c r="F30" s="11" t="n">
        <v>0.3</v>
      </c>
      <c r="G30" s="11" t="n">
        <v>0.5</v>
      </c>
      <c r="H30" s="9" t="s">
        <v>1130</v>
      </c>
      <c r="I30" s="9" t="s">
        <v>71</v>
      </c>
      <c r="J30" s="9" t="s">
        <v>1095</v>
      </c>
      <c r="K30" s="9" t="s">
        <v>1185</v>
      </c>
      <c r="L30" s="9" t="s">
        <v>1180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1186</v>
      </c>
      <c r="B31" s="9" t="s">
        <v>1184</v>
      </c>
      <c r="C31" s="10" t="s">
        <v>1182</v>
      </c>
      <c r="D31" s="10" t="s">
        <v>120</v>
      </c>
      <c r="E31" s="11" t="n">
        <v>0.45</v>
      </c>
      <c r="F31" s="11" t="n">
        <v>0.35</v>
      </c>
      <c r="G31" s="11" t="n">
        <v>0.55</v>
      </c>
      <c r="H31" s="9" t="s">
        <v>1130</v>
      </c>
      <c r="I31" s="9" t="s">
        <v>71</v>
      </c>
      <c r="J31" s="9" t="s">
        <v>1095</v>
      </c>
      <c r="K31" s="9" t="s">
        <v>1185</v>
      </c>
      <c r="L31" s="9" t="s">
        <v>1180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1187</v>
      </c>
      <c r="B32" s="10" t="s">
        <v>1188</v>
      </c>
      <c r="C32" s="9" t="s">
        <v>71</v>
      </c>
      <c r="D32" s="10" t="s">
        <v>120</v>
      </c>
      <c r="E32" s="11" t="n">
        <v>0.2</v>
      </c>
      <c r="F32" s="11" t="n">
        <v>0.1</v>
      </c>
      <c r="G32" s="11" t="n">
        <v>0.35</v>
      </c>
      <c r="H32" s="9" t="s">
        <v>1146</v>
      </c>
      <c r="I32" s="9" t="s">
        <v>71</v>
      </c>
      <c r="J32" s="9" t="s">
        <v>1095</v>
      </c>
      <c r="K32" s="9" t="s">
        <v>1189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1190</v>
      </c>
      <c r="B33" s="10" t="s">
        <v>1191</v>
      </c>
      <c r="C33" s="9" t="s">
        <v>71</v>
      </c>
      <c r="D33" s="10" t="s">
        <v>120</v>
      </c>
      <c r="E33" s="11" t="n">
        <v>0.55</v>
      </c>
      <c r="F33" s="11" t="n">
        <v>0.3</v>
      </c>
      <c r="G33" s="11" t="n">
        <v>0.75</v>
      </c>
      <c r="H33" s="9" t="s">
        <v>1130</v>
      </c>
      <c r="I33" s="9" t="s">
        <v>71</v>
      </c>
      <c r="J33" s="9" t="s">
        <v>1095</v>
      </c>
      <c r="K33" s="9" t="s">
        <v>1192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1193</v>
      </c>
      <c r="B34" s="10" t="s">
        <v>1194</v>
      </c>
      <c r="C34" s="9" t="s">
        <v>71</v>
      </c>
      <c r="D34" s="10" t="s">
        <v>120</v>
      </c>
      <c r="E34" s="11" t="n">
        <v>0.2</v>
      </c>
      <c r="F34" s="11" t="n">
        <v>0.1</v>
      </c>
      <c r="G34" s="11" t="n">
        <v>0.3</v>
      </c>
      <c r="H34" s="9" t="s">
        <v>1130</v>
      </c>
      <c r="I34" s="9" t="s">
        <v>71</v>
      </c>
      <c r="J34" s="9" t="s">
        <v>1095</v>
      </c>
      <c r="K34" s="9" t="s">
        <v>1195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1196</v>
      </c>
      <c r="B35" s="10" t="s">
        <v>1197</v>
      </c>
      <c r="C35" s="9" t="s">
        <v>71</v>
      </c>
      <c r="D35" s="9" t="s">
        <v>1198</v>
      </c>
      <c r="E35" s="11" t="n">
        <v>10</v>
      </c>
      <c r="F35" s="11" t="n">
        <v>5</v>
      </c>
      <c r="G35" s="11" t="n">
        <v>30</v>
      </c>
      <c r="H35" s="9" t="s">
        <v>1130</v>
      </c>
      <c r="I35" s="9" t="s">
        <v>71</v>
      </c>
      <c r="J35" s="9" t="s">
        <v>1095</v>
      </c>
      <c r="K35" s="9" t="s">
        <v>1199</v>
      </c>
      <c r="L35" s="10" t="s">
        <v>1200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1201</v>
      </c>
      <c r="B36" s="10" t="s">
        <v>1202</v>
      </c>
      <c r="C36" s="9" t="s">
        <v>411</v>
      </c>
      <c r="D36" s="10" t="s">
        <v>1166</v>
      </c>
      <c r="E36" s="11" t="n">
        <v>0</v>
      </c>
      <c r="F36" s="9"/>
      <c r="G36" s="9"/>
      <c r="H36" s="9" t="s">
        <v>1130</v>
      </c>
      <c r="I36" s="9" t="s">
        <v>71</v>
      </c>
      <c r="J36" s="9" t="s">
        <v>1095</v>
      </c>
      <c r="K36" s="9" t="s">
        <v>1203</v>
      </c>
      <c r="L36" s="9" t="s">
        <v>1204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1205</v>
      </c>
      <c r="B37" s="10" t="s">
        <v>1202</v>
      </c>
      <c r="C37" s="9" t="s">
        <v>423</v>
      </c>
      <c r="D37" s="10" t="s">
        <v>1166</v>
      </c>
      <c r="E37" s="11" t="n">
        <v>1.34</v>
      </c>
      <c r="F37" s="9"/>
      <c r="G37" s="9"/>
      <c r="H37" s="9" t="s">
        <v>1130</v>
      </c>
      <c r="I37" s="9" t="s">
        <v>71</v>
      </c>
      <c r="J37" s="9" t="s">
        <v>1095</v>
      </c>
      <c r="K37" s="9" t="s">
        <v>1203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1206</v>
      </c>
      <c r="B38" s="10" t="s">
        <v>1202</v>
      </c>
      <c r="C38" s="9" t="s">
        <v>1207</v>
      </c>
      <c r="D38" s="10" t="s">
        <v>1166</v>
      </c>
      <c r="E38" s="11" t="n">
        <v>0.45</v>
      </c>
      <c r="F38" s="9"/>
      <c r="G38" s="9"/>
      <c r="H38" s="9" t="s">
        <v>1130</v>
      </c>
      <c r="I38" s="9" t="s">
        <v>71</v>
      </c>
      <c r="J38" s="9" t="s">
        <v>1095</v>
      </c>
      <c r="K38" s="9" t="s">
        <v>1203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1208</v>
      </c>
      <c r="B39" s="10" t="s">
        <v>1202</v>
      </c>
      <c r="C39" s="9" t="s">
        <v>1209</v>
      </c>
      <c r="D39" s="10" t="s">
        <v>1166</v>
      </c>
      <c r="E39" s="11" t="n">
        <v>0.35</v>
      </c>
      <c r="F39" s="9"/>
      <c r="G39" s="9"/>
      <c r="H39" s="9" t="s">
        <v>1130</v>
      </c>
      <c r="I39" s="9" t="s">
        <v>71</v>
      </c>
      <c r="J39" s="9" t="s">
        <v>1095</v>
      </c>
      <c r="K39" s="9" t="s">
        <v>1203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1210</v>
      </c>
      <c r="B40" s="10" t="s">
        <v>1202</v>
      </c>
      <c r="C40" s="9" t="s">
        <v>1211</v>
      </c>
      <c r="D40" s="10" t="s">
        <v>1166</v>
      </c>
      <c r="E40" s="11" t="n">
        <v>0.25</v>
      </c>
      <c r="F40" s="9"/>
      <c r="G40" s="9"/>
      <c r="H40" s="9" t="s">
        <v>1130</v>
      </c>
      <c r="I40" s="9" t="s">
        <v>71</v>
      </c>
      <c r="J40" s="9" t="s">
        <v>1095</v>
      </c>
      <c r="K40" s="9" t="s">
        <v>1203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1212</v>
      </c>
      <c r="B41" s="10" t="s">
        <v>1202</v>
      </c>
      <c r="C41" s="9" t="s">
        <v>1213</v>
      </c>
      <c r="D41" s="10" t="s">
        <v>1166</v>
      </c>
      <c r="E41" s="11" t="n">
        <v>0.2</v>
      </c>
      <c r="F41" s="9"/>
      <c r="G41" s="9"/>
      <c r="H41" s="9" t="s">
        <v>1130</v>
      </c>
      <c r="I41" s="9" t="s">
        <v>71</v>
      </c>
      <c r="J41" s="9" t="s">
        <v>1095</v>
      </c>
      <c r="K41" s="9" t="s">
        <v>1203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1214</v>
      </c>
      <c r="B42" s="10" t="s">
        <v>1215</v>
      </c>
      <c r="C42" s="9" t="s">
        <v>71</v>
      </c>
      <c r="D42" s="10" t="s">
        <v>560</v>
      </c>
      <c r="E42" s="11" t="n">
        <v>0.5</v>
      </c>
      <c r="F42" s="9"/>
      <c r="G42" s="9"/>
      <c r="H42" s="9" t="s">
        <v>1130</v>
      </c>
      <c r="I42" s="9" t="s">
        <v>71</v>
      </c>
      <c r="J42" s="9" t="s">
        <v>1095</v>
      </c>
      <c r="K42" s="9" t="s">
        <v>1203</v>
      </c>
      <c r="L42" s="10" t="s">
        <v>1216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1217</v>
      </c>
      <c r="B43" s="10" t="s">
        <v>1218</v>
      </c>
      <c r="C43" s="9" t="s">
        <v>71</v>
      </c>
      <c r="D43" s="10" t="s">
        <v>560</v>
      </c>
      <c r="E43" s="11" t="n">
        <v>1.5</v>
      </c>
      <c r="F43" s="9"/>
      <c r="G43" s="9"/>
      <c r="H43" s="9" t="s">
        <v>1130</v>
      </c>
      <c r="I43" s="9" t="s">
        <v>71</v>
      </c>
      <c r="J43" s="9" t="s">
        <v>1095</v>
      </c>
      <c r="K43" s="9" t="s">
        <v>1203</v>
      </c>
      <c r="L43" s="10" t="s">
        <v>1216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1219</v>
      </c>
      <c r="B44" s="10" t="s">
        <v>1220</v>
      </c>
      <c r="C44" s="9" t="s">
        <v>411</v>
      </c>
      <c r="D44" s="10" t="s">
        <v>1166</v>
      </c>
      <c r="E44" s="11" t="n">
        <v>0</v>
      </c>
      <c r="F44" s="9"/>
      <c r="G44" s="9"/>
      <c r="H44" s="9" t="s">
        <v>1130</v>
      </c>
      <c r="I44" s="9" t="s">
        <v>71</v>
      </c>
      <c r="J44" s="9" t="s">
        <v>1095</v>
      </c>
      <c r="K44" s="9" t="s">
        <v>1221</v>
      </c>
      <c r="L44" s="9" t="s">
        <v>1204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1222</v>
      </c>
      <c r="B45" s="10" t="s">
        <v>1220</v>
      </c>
      <c r="C45" s="9" t="s">
        <v>423</v>
      </c>
      <c r="D45" s="10" t="s">
        <v>1166</v>
      </c>
      <c r="E45" s="11" t="n">
        <v>0.2</v>
      </c>
      <c r="F45" s="9"/>
      <c r="G45" s="9"/>
      <c r="H45" s="9" t="s">
        <v>1130</v>
      </c>
      <c r="I45" s="9" t="s">
        <v>71</v>
      </c>
      <c r="J45" s="9" t="s">
        <v>1095</v>
      </c>
      <c r="K45" s="9" t="s">
        <v>1221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1223</v>
      </c>
      <c r="B46" s="10" t="s">
        <v>1220</v>
      </c>
      <c r="C46" s="9" t="s">
        <v>1207</v>
      </c>
      <c r="D46" s="10" t="s">
        <v>1166</v>
      </c>
      <c r="E46" s="11" t="n">
        <v>0.15</v>
      </c>
      <c r="F46" s="9"/>
      <c r="G46" s="9"/>
      <c r="H46" s="9" t="s">
        <v>1130</v>
      </c>
      <c r="I46" s="9" t="s">
        <v>71</v>
      </c>
      <c r="J46" s="9" t="s">
        <v>1095</v>
      </c>
      <c r="K46" s="9" t="s">
        <v>1221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1224</v>
      </c>
      <c r="B47" s="10" t="s">
        <v>1220</v>
      </c>
      <c r="C47" s="9" t="s">
        <v>1209</v>
      </c>
      <c r="D47" s="10" t="s">
        <v>1166</v>
      </c>
      <c r="E47" s="11" t="n">
        <v>0.12</v>
      </c>
      <c r="F47" s="9"/>
      <c r="G47" s="9"/>
      <c r="H47" s="9" t="s">
        <v>1130</v>
      </c>
      <c r="I47" s="9" t="s">
        <v>71</v>
      </c>
      <c r="J47" s="9" t="s">
        <v>1095</v>
      </c>
      <c r="K47" s="9" t="s">
        <v>1221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1225</v>
      </c>
      <c r="B48" s="10" t="s">
        <v>1220</v>
      </c>
      <c r="C48" s="9" t="s">
        <v>1211</v>
      </c>
      <c r="D48" s="10" t="s">
        <v>1166</v>
      </c>
      <c r="E48" s="11" t="n">
        <v>0.1</v>
      </c>
      <c r="F48" s="9"/>
      <c r="G48" s="9"/>
      <c r="H48" s="9" t="s">
        <v>1130</v>
      </c>
      <c r="I48" s="9" t="s">
        <v>71</v>
      </c>
      <c r="J48" s="9" t="s">
        <v>1095</v>
      </c>
      <c r="K48" s="9" t="s">
        <v>1221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1226</v>
      </c>
      <c r="B49" s="10" t="s">
        <v>1220</v>
      </c>
      <c r="C49" s="9" t="s">
        <v>1213</v>
      </c>
      <c r="D49" s="10" t="s">
        <v>1166</v>
      </c>
      <c r="E49" s="11" t="n">
        <v>0.08</v>
      </c>
      <c r="F49" s="9"/>
      <c r="G49" s="9"/>
      <c r="H49" s="9" t="s">
        <v>1130</v>
      </c>
      <c r="I49" s="9" t="s">
        <v>71</v>
      </c>
      <c r="J49" s="9" t="s">
        <v>1095</v>
      </c>
      <c r="K49" s="9" t="s">
        <v>1221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1227</v>
      </c>
      <c r="B50" s="10" t="s">
        <v>1228</v>
      </c>
      <c r="C50" s="9" t="s">
        <v>71</v>
      </c>
      <c r="D50" s="10" t="s">
        <v>560</v>
      </c>
      <c r="E50" s="11" t="n">
        <v>0.5</v>
      </c>
      <c r="F50" s="9"/>
      <c r="G50" s="9"/>
      <c r="H50" s="9" t="s">
        <v>1130</v>
      </c>
      <c r="I50" s="9" t="s">
        <v>71</v>
      </c>
      <c r="J50" s="9" t="s">
        <v>1095</v>
      </c>
      <c r="K50" s="9" t="s">
        <v>1221</v>
      </c>
      <c r="L50" s="10" t="s">
        <v>1216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1229</v>
      </c>
      <c r="B51" s="10" t="s">
        <v>1230</v>
      </c>
      <c r="C51" s="9" t="s">
        <v>71</v>
      </c>
      <c r="D51" s="10" t="s">
        <v>560</v>
      </c>
      <c r="E51" s="11" t="n">
        <v>1.5</v>
      </c>
      <c r="F51" s="9"/>
      <c r="G51" s="9"/>
      <c r="H51" s="9" t="s">
        <v>1130</v>
      </c>
      <c r="I51" s="9" t="s">
        <v>71</v>
      </c>
      <c r="J51" s="9" t="s">
        <v>1095</v>
      </c>
      <c r="K51" s="9" t="s">
        <v>1221</v>
      </c>
      <c r="L51" s="10" t="s">
        <v>1216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1231</v>
      </c>
      <c r="B52" s="10" t="s">
        <v>1232</v>
      </c>
      <c r="C52" s="9" t="s">
        <v>71</v>
      </c>
      <c r="D52" s="10" t="s">
        <v>1233</v>
      </c>
      <c r="E52" s="11" t="n">
        <v>-0.7</v>
      </c>
      <c r="F52" s="11" t="n">
        <v>-1.05</v>
      </c>
      <c r="G52" s="11" t="n">
        <v>-0.35</v>
      </c>
      <c r="H52" s="9" t="s">
        <v>1130</v>
      </c>
      <c r="I52" s="9" t="s">
        <v>1167</v>
      </c>
      <c r="J52" s="9" t="s">
        <v>1095</v>
      </c>
      <c r="K52" s="9" t="s">
        <v>1234</v>
      </c>
      <c r="L52" s="10" t="s">
        <v>1235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1236</v>
      </c>
      <c r="B53" s="10" t="s">
        <v>1237</v>
      </c>
      <c r="C53" s="9" t="s">
        <v>71</v>
      </c>
      <c r="D53" s="10" t="s">
        <v>1233</v>
      </c>
      <c r="E53" s="11" t="n">
        <v>-0.3</v>
      </c>
      <c r="F53" s="11" t="n">
        <v>-0.45</v>
      </c>
      <c r="G53" s="11" t="n">
        <v>-0.15</v>
      </c>
      <c r="H53" s="9" t="s">
        <v>1130</v>
      </c>
      <c r="I53" s="9" t="s">
        <v>1167</v>
      </c>
      <c r="J53" s="9" t="s">
        <v>1095</v>
      </c>
      <c r="K53" s="9" t="s">
        <v>1238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1239</v>
      </c>
      <c r="B54" s="10" t="s">
        <v>1240</v>
      </c>
      <c r="C54" s="9" t="s">
        <v>71</v>
      </c>
      <c r="D54" s="10" t="s">
        <v>1241</v>
      </c>
      <c r="E54" s="9" t="s">
        <v>1242</v>
      </c>
      <c r="F54" s="9"/>
      <c r="G54" s="9"/>
      <c r="H54" s="9" t="s">
        <v>1094</v>
      </c>
      <c r="I54" s="9" t="s">
        <v>1243</v>
      </c>
      <c r="J54" s="9" t="s">
        <v>1095</v>
      </c>
      <c r="K54" s="9" t="s">
        <v>1244</v>
      </c>
      <c r="L54" s="10" t="s">
        <v>1245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1246</v>
      </c>
      <c r="B55" s="10" t="s">
        <v>1247</v>
      </c>
      <c r="C55" s="9" t="s">
        <v>1248</v>
      </c>
      <c r="D55" s="10" t="s">
        <v>193</v>
      </c>
      <c r="E55" s="9" t="s">
        <v>1249</v>
      </c>
      <c r="F55" s="9"/>
      <c r="G55" s="9"/>
      <c r="H55" s="9" t="s">
        <v>1130</v>
      </c>
      <c r="I55" s="9" t="s">
        <v>71</v>
      </c>
      <c r="J55" s="9" t="s">
        <v>1095</v>
      </c>
      <c r="K55" s="9" t="s">
        <v>1250</v>
      </c>
      <c r="L55" s="9" t="s">
        <v>1251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1252</v>
      </c>
      <c r="B56" s="10" t="s">
        <v>1253</v>
      </c>
      <c r="C56" s="9" t="s">
        <v>1254</v>
      </c>
      <c r="D56" s="10" t="s">
        <v>193</v>
      </c>
      <c r="E56" s="9" t="s">
        <v>1249</v>
      </c>
      <c r="F56" s="9"/>
      <c r="G56" s="9"/>
      <c r="H56" s="9" t="s">
        <v>1130</v>
      </c>
      <c r="I56" s="9" t="s">
        <v>71</v>
      </c>
      <c r="J56" s="9" t="s">
        <v>1095</v>
      </c>
      <c r="K56" s="9" t="s">
        <v>1250</v>
      </c>
      <c r="L56" s="9" t="s">
        <v>1251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1255</v>
      </c>
      <c r="B57" s="10" t="s">
        <v>1256</v>
      </c>
      <c r="C57" s="9" t="s">
        <v>1257</v>
      </c>
      <c r="D57" s="10" t="s">
        <v>193</v>
      </c>
      <c r="E57" s="9" t="s">
        <v>1258</v>
      </c>
      <c r="F57" s="9"/>
      <c r="G57" s="9"/>
      <c r="H57" s="9" t="s">
        <v>1130</v>
      </c>
      <c r="I57" s="9" t="s">
        <v>71</v>
      </c>
      <c r="J57" s="9" t="s">
        <v>1095</v>
      </c>
      <c r="K57" s="9" t="s">
        <v>1250</v>
      </c>
      <c r="L57" s="9" t="s">
        <v>1251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1259</v>
      </c>
      <c r="B58" s="10" t="s">
        <v>1260</v>
      </c>
      <c r="C58" s="9" t="s">
        <v>1261</v>
      </c>
      <c r="D58" s="10" t="s">
        <v>193</v>
      </c>
      <c r="E58" s="9" t="s">
        <v>1262</v>
      </c>
      <c r="F58" s="9"/>
      <c r="G58" s="9"/>
      <c r="H58" s="9" t="s">
        <v>1130</v>
      </c>
      <c r="I58" s="9" t="s">
        <v>71</v>
      </c>
      <c r="J58" s="9" t="s">
        <v>1095</v>
      </c>
      <c r="K58" s="9" t="s">
        <v>1250</v>
      </c>
      <c r="L58" s="9" t="s">
        <v>1251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1263</v>
      </c>
      <c r="B59" s="10" t="s">
        <v>1264</v>
      </c>
      <c r="C59" s="9" t="s">
        <v>1265</v>
      </c>
      <c r="D59" s="10" t="s">
        <v>193</v>
      </c>
      <c r="E59" s="9" t="s">
        <v>1258</v>
      </c>
      <c r="F59" s="9"/>
      <c r="G59" s="9"/>
      <c r="H59" s="9" t="s">
        <v>1130</v>
      </c>
      <c r="I59" s="9" t="s">
        <v>71</v>
      </c>
      <c r="J59" s="9" t="s">
        <v>1095</v>
      </c>
      <c r="K59" s="9" t="s">
        <v>1250</v>
      </c>
      <c r="L59" s="9" t="s">
        <v>1251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1266</v>
      </c>
      <c r="B60" s="9" t="s">
        <v>1267</v>
      </c>
      <c r="C60" s="9" t="s">
        <v>411</v>
      </c>
      <c r="D60" s="9" t="s">
        <v>258</v>
      </c>
      <c r="E60" s="11" t="n">
        <v>600</v>
      </c>
      <c r="F60" s="9"/>
      <c r="G60" s="9"/>
      <c r="H60" s="9" t="s">
        <v>1146</v>
      </c>
      <c r="I60" s="9" t="s">
        <v>71</v>
      </c>
      <c r="J60" s="9" t="s">
        <v>1095</v>
      </c>
      <c r="K60" s="9" t="s">
        <v>1268</v>
      </c>
      <c r="L60" s="10" t="s">
        <v>1269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1270</v>
      </c>
      <c r="B61" s="9" t="s">
        <v>1267</v>
      </c>
      <c r="C61" s="9" t="s">
        <v>1207</v>
      </c>
      <c r="D61" s="9" t="s">
        <v>258</v>
      </c>
      <c r="E61" s="11" t="n">
        <v>1250</v>
      </c>
      <c r="F61" s="9"/>
      <c r="G61" s="9"/>
      <c r="H61" s="9" t="s">
        <v>1130</v>
      </c>
      <c r="I61" s="9" t="s">
        <v>71</v>
      </c>
      <c r="J61" s="9" t="s">
        <v>1095</v>
      </c>
      <c r="K61" s="9" t="s">
        <v>1268</v>
      </c>
      <c r="L61" s="9" t="s">
        <v>1271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1272</v>
      </c>
      <c r="B62" s="9" t="s">
        <v>1267</v>
      </c>
      <c r="C62" s="9" t="s">
        <v>1209</v>
      </c>
      <c r="D62" s="9" t="s">
        <v>258</v>
      </c>
      <c r="E62" s="11" t="n">
        <v>1500</v>
      </c>
      <c r="F62" s="9"/>
      <c r="G62" s="9"/>
      <c r="H62" s="9" t="s">
        <v>1130</v>
      </c>
      <c r="I62" s="9" t="s">
        <v>71</v>
      </c>
      <c r="J62" s="9" t="s">
        <v>1095</v>
      </c>
      <c r="K62" s="9" t="s">
        <v>1268</v>
      </c>
      <c r="L62" s="9" t="s">
        <v>1271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1273</v>
      </c>
      <c r="B63" s="9" t="s">
        <v>1267</v>
      </c>
      <c r="C63" s="9" t="s">
        <v>1211</v>
      </c>
      <c r="D63" s="9" t="s">
        <v>258</v>
      </c>
      <c r="E63" s="11" t="n">
        <v>1700</v>
      </c>
      <c r="F63" s="9"/>
      <c r="G63" s="9"/>
      <c r="H63" s="9" t="s">
        <v>1130</v>
      </c>
      <c r="I63" s="9" t="s">
        <v>71</v>
      </c>
      <c r="J63" s="9" t="s">
        <v>1095</v>
      </c>
      <c r="K63" s="9" t="s">
        <v>1268</v>
      </c>
      <c r="L63" s="9" t="s">
        <v>1271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1274</v>
      </c>
      <c r="B64" s="9" t="s">
        <v>1267</v>
      </c>
      <c r="C64" s="9" t="s">
        <v>1213</v>
      </c>
      <c r="D64" s="9" t="s">
        <v>258</v>
      </c>
      <c r="E64" s="11" t="n">
        <v>1850</v>
      </c>
      <c r="F64" s="9"/>
      <c r="G64" s="9"/>
      <c r="H64" s="9" t="s">
        <v>1130</v>
      </c>
      <c r="I64" s="9" t="s">
        <v>71</v>
      </c>
      <c r="J64" s="9" t="s">
        <v>1095</v>
      </c>
      <c r="K64" s="9" t="s">
        <v>1268</v>
      </c>
      <c r="L64" s="9" t="s">
        <v>1271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1275</v>
      </c>
      <c r="B65" s="9" t="s">
        <v>1276</v>
      </c>
      <c r="C65" s="9" t="s">
        <v>71</v>
      </c>
      <c r="D65" s="10" t="s">
        <v>560</v>
      </c>
      <c r="E65" s="11" t="n">
        <v>0.8</v>
      </c>
      <c r="F65" s="9"/>
      <c r="G65" s="9"/>
      <c r="H65" s="9" t="s">
        <v>1130</v>
      </c>
      <c r="I65" s="9" t="s">
        <v>71</v>
      </c>
      <c r="J65" s="9" t="s">
        <v>1095</v>
      </c>
      <c r="K65" s="9" t="s">
        <v>1268</v>
      </c>
      <c r="L65" s="10" t="s">
        <v>1277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1278</v>
      </c>
      <c r="B66" s="9" t="s">
        <v>1279</v>
      </c>
      <c r="C66" s="9" t="s">
        <v>71</v>
      </c>
      <c r="D66" s="10" t="s">
        <v>560</v>
      </c>
      <c r="E66" s="11" t="n">
        <v>1.2</v>
      </c>
      <c r="F66" s="9"/>
      <c r="G66" s="9"/>
      <c r="H66" s="9" t="s">
        <v>1130</v>
      </c>
      <c r="I66" s="9" t="s">
        <v>71</v>
      </c>
      <c r="J66" s="9" t="s">
        <v>1095</v>
      </c>
      <c r="K66" s="9" t="s">
        <v>1268</v>
      </c>
      <c r="L66" s="10" t="s">
        <v>1277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1280</v>
      </c>
      <c r="B67" s="9" t="s">
        <v>1281</v>
      </c>
      <c r="C67" s="9" t="s">
        <v>411</v>
      </c>
      <c r="D67" s="9" t="s">
        <v>258</v>
      </c>
      <c r="E67" s="11" t="n">
        <v>2</v>
      </c>
      <c r="F67" s="9"/>
      <c r="G67" s="9"/>
      <c r="H67" s="9" t="s">
        <v>1130</v>
      </c>
      <c r="I67" s="9" t="s">
        <v>71</v>
      </c>
      <c r="J67" s="9" t="s">
        <v>1095</v>
      </c>
      <c r="K67" s="9" t="s">
        <v>1282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1283</v>
      </c>
      <c r="B68" s="9" t="s">
        <v>1281</v>
      </c>
      <c r="C68" s="9" t="s">
        <v>423</v>
      </c>
      <c r="D68" s="9" t="s">
        <v>258</v>
      </c>
      <c r="E68" s="11" t="n">
        <v>10</v>
      </c>
      <c r="F68" s="9"/>
      <c r="G68" s="9"/>
      <c r="H68" s="9" t="s">
        <v>1130</v>
      </c>
      <c r="I68" s="9" t="s">
        <v>71</v>
      </c>
      <c r="J68" s="9" t="s">
        <v>1095</v>
      </c>
      <c r="K68" s="9" t="s">
        <v>1282</v>
      </c>
      <c r="L68" s="9" t="s">
        <v>1271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1284</v>
      </c>
      <c r="B69" s="9" t="s">
        <v>1281</v>
      </c>
      <c r="C69" s="9" t="s">
        <v>1207</v>
      </c>
      <c r="D69" s="9" t="s">
        <v>258</v>
      </c>
      <c r="E69" s="11" t="n">
        <v>22</v>
      </c>
      <c r="F69" s="9"/>
      <c r="G69" s="9"/>
      <c r="H69" s="9" t="s">
        <v>1130</v>
      </c>
      <c r="I69" s="9" t="s">
        <v>71</v>
      </c>
      <c r="J69" s="9" t="s">
        <v>1095</v>
      </c>
      <c r="K69" s="9" t="s">
        <v>1282</v>
      </c>
      <c r="L69" s="9" t="s">
        <v>1271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1285</v>
      </c>
      <c r="B70" s="9" t="s">
        <v>1281</v>
      </c>
      <c r="C70" s="9" t="s">
        <v>1209</v>
      </c>
      <c r="D70" s="9" t="s">
        <v>258</v>
      </c>
      <c r="E70" s="11" t="n">
        <v>35</v>
      </c>
      <c r="F70" s="9"/>
      <c r="G70" s="9"/>
      <c r="H70" s="9" t="s">
        <v>1130</v>
      </c>
      <c r="I70" s="9" t="s">
        <v>71</v>
      </c>
      <c r="J70" s="9" t="s">
        <v>1095</v>
      </c>
      <c r="K70" s="9" t="s">
        <v>1282</v>
      </c>
      <c r="L70" s="9" t="s">
        <v>1271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1286</v>
      </c>
      <c r="B71" s="9" t="s">
        <v>1281</v>
      </c>
      <c r="C71" s="9" t="s">
        <v>1211</v>
      </c>
      <c r="D71" s="9" t="s">
        <v>258</v>
      </c>
      <c r="E71" s="11" t="n">
        <v>45</v>
      </c>
      <c r="F71" s="9"/>
      <c r="G71" s="9"/>
      <c r="H71" s="9" t="s">
        <v>1130</v>
      </c>
      <c r="I71" s="9" t="s">
        <v>71</v>
      </c>
      <c r="J71" s="9" t="s">
        <v>1095</v>
      </c>
      <c r="K71" s="9" t="s">
        <v>1282</v>
      </c>
      <c r="L71" s="9" t="s">
        <v>1271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1287</v>
      </c>
      <c r="B72" s="9" t="s">
        <v>1281</v>
      </c>
      <c r="C72" s="9" t="s">
        <v>1213</v>
      </c>
      <c r="D72" s="9" t="s">
        <v>258</v>
      </c>
      <c r="E72" s="11" t="n">
        <v>55</v>
      </c>
      <c r="F72" s="9"/>
      <c r="G72" s="9"/>
      <c r="H72" s="9" t="s">
        <v>1130</v>
      </c>
      <c r="I72" s="9" t="s">
        <v>71</v>
      </c>
      <c r="J72" s="9" t="s">
        <v>1095</v>
      </c>
      <c r="K72" s="9" t="s">
        <v>1282</v>
      </c>
      <c r="L72" s="9" t="s">
        <v>1271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1288</v>
      </c>
      <c r="B73" s="9" t="s">
        <v>1289</v>
      </c>
      <c r="C73" s="9" t="s">
        <v>71</v>
      </c>
      <c r="D73" s="10" t="s">
        <v>560</v>
      </c>
      <c r="E73" s="11" t="n">
        <v>0.6</v>
      </c>
      <c r="F73" s="9"/>
      <c r="G73" s="9"/>
      <c r="H73" s="9" t="s">
        <v>1130</v>
      </c>
      <c r="I73" s="9" t="s">
        <v>71</v>
      </c>
      <c r="J73" s="9" t="s">
        <v>1095</v>
      </c>
      <c r="K73" s="9" t="s">
        <v>1282</v>
      </c>
      <c r="L73" s="10" t="s">
        <v>1277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1290</v>
      </c>
      <c r="B74" s="9" t="s">
        <v>1291</v>
      </c>
      <c r="C74" s="9" t="s">
        <v>71</v>
      </c>
      <c r="D74" s="10" t="s">
        <v>560</v>
      </c>
      <c r="E74" s="11" t="n">
        <v>1.5</v>
      </c>
      <c r="F74" s="9"/>
      <c r="G74" s="9"/>
      <c r="H74" s="9" t="s">
        <v>1130</v>
      </c>
      <c r="I74" s="9" t="s">
        <v>71</v>
      </c>
      <c r="J74" s="9" t="s">
        <v>1095</v>
      </c>
      <c r="K74" s="9" t="s">
        <v>1282</v>
      </c>
      <c r="L74" s="10" t="s">
        <v>1277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1292</v>
      </c>
      <c r="B75" s="9" t="s">
        <v>1293</v>
      </c>
      <c r="C75" s="9" t="s">
        <v>423</v>
      </c>
      <c r="D75" s="9" t="s">
        <v>258</v>
      </c>
      <c r="E75" s="11" t="n">
        <v>46</v>
      </c>
      <c r="F75" s="9"/>
      <c r="G75" s="9"/>
      <c r="H75" s="9" t="s">
        <v>1130</v>
      </c>
      <c r="I75" s="9" t="s">
        <v>71</v>
      </c>
      <c r="J75" s="9" t="s">
        <v>1095</v>
      </c>
      <c r="K75" s="9" t="s">
        <v>1294</v>
      </c>
      <c r="L75" s="9" t="s">
        <v>1271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1295</v>
      </c>
      <c r="B76" s="9" t="s">
        <v>1293</v>
      </c>
      <c r="C76" s="9" t="s">
        <v>1207</v>
      </c>
      <c r="D76" s="9" t="s">
        <v>258</v>
      </c>
      <c r="E76" s="11" t="n">
        <v>52</v>
      </c>
      <c r="F76" s="9"/>
      <c r="G76" s="9"/>
      <c r="H76" s="9" t="s">
        <v>1130</v>
      </c>
      <c r="I76" s="9" t="s">
        <v>71</v>
      </c>
      <c r="J76" s="9" t="s">
        <v>1095</v>
      </c>
      <c r="K76" s="9" t="s">
        <v>1294</v>
      </c>
      <c r="L76" s="9" t="s">
        <v>1271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1296</v>
      </c>
      <c r="B77" s="9" t="s">
        <v>1293</v>
      </c>
      <c r="C77" s="9" t="s">
        <v>1209</v>
      </c>
      <c r="D77" s="9" t="s">
        <v>258</v>
      </c>
      <c r="E77" s="11" t="n">
        <v>57</v>
      </c>
      <c r="F77" s="9"/>
      <c r="G77" s="9"/>
      <c r="H77" s="9" t="s">
        <v>1130</v>
      </c>
      <c r="I77" s="9" t="s">
        <v>71</v>
      </c>
      <c r="J77" s="9" t="s">
        <v>1095</v>
      </c>
      <c r="K77" s="9" t="s">
        <v>1294</v>
      </c>
      <c r="L77" s="9" t="s">
        <v>1271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1297</v>
      </c>
      <c r="B78" s="9" t="s">
        <v>1293</v>
      </c>
      <c r="C78" s="9" t="s">
        <v>1211</v>
      </c>
      <c r="D78" s="9" t="s">
        <v>258</v>
      </c>
      <c r="E78" s="11" t="n">
        <v>61</v>
      </c>
      <c r="F78" s="9"/>
      <c r="G78" s="9"/>
      <c r="H78" s="9" t="s">
        <v>1130</v>
      </c>
      <c r="I78" s="9" t="s">
        <v>71</v>
      </c>
      <c r="J78" s="9" t="s">
        <v>1095</v>
      </c>
      <c r="K78" s="9" t="s">
        <v>1294</v>
      </c>
      <c r="L78" s="9" t="s">
        <v>1271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1298</v>
      </c>
      <c r="B79" s="9" t="s">
        <v>1293</v>
      </c>
      <c r="C79" s="9" t="s">
        <v>1213</v>
      </c>
      <c r="D79" s="9" t="s">
        <v>258</v>
      </c>
      <c r="E79" s="11" t="n">
        <v>64</v>
      </c>
      <c r="F79" s="9"/>
      <c r="G79" s="9"/>
      <c r="H79" s="9" t="s">
        <v>1130</v>
      </c>
      <c r="I79" s="9" t="s">
        <v>71</v>
      </c>
      <c r="J79" s="9" t="s">
        <v>1095</v>
      </c>
      <c r="K79" s="9" t="s">
        <v>1294</v>
      </c>
      <c r="L79" s="9" t="s">
        <v>1271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1299</v>
      </c>
      <c r="B80" s="9" t="s">
        <v>1300</v>
      </c>
      <c r="C80" s="9" t="s">
        <v>71</v>
      </c>
      <c r="D80" s="10" t="s">
        <v>560</v>
      </c>
      <c r="E80" s="11" t="n">
        <v>0.85</v>
      </c>
      <c r="F80" s="9"/>
      <c r="G80" s="9"/>
      <c r="H80" s="9" t="s">
        <v>1130</v>
      </c>
      <c r="I80" s="9" t="s">
        <v>71</v>
      </c>
      <c r="J80" s="9" t="s">
        <v>1095</v>
      </c>
      <c r="K80" s="9" t="s">
        <v>1294</v>
      </c>
      <c r="L80" s="10" t="s">
        <v>1277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1301</v>
      </c>
      <c r="B81" s="9" t="s">
        <v>1302</v>
      </c>
      <c r="C81" s="9" t="s">
        <v>71</v>
      </c>
      <c r="D81" s="10" t="s">
        <v>560</v>
      </c>
      <c r="E81" s="11" t="n">
        <v>1.15</v>
      </c>
      <c r="F81" s="9"/>
      <c r="G81" s="9"/>
      <c r="H81" s="9" t="s">
        <v>1130</v>
      </c>
      <c r="I81" s="9" t="s">
        <v>71</v>
      </c>
      <c r="J81" s="9" t="s">
        <v>1095</v>
      </c>
      <c r="K81" s="9" t="s">
        <v>1294</v>
      </c>
      <c r="L81" s="10" t="s">
        <v>1277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1303</v>
      </c>
      <c r="B82" s="9" t="s">
        <v>1304</v>
      </c>
      <c r="C82" s="9" t="s">
        <v>411</v>
      </c>
      <c r="D82" s="9" t="s">
        <v>258</v>
      </c>
      <c r="E82" s="11" t="n">
        <v>3</v>
      </c>
      <c r="F82" s="9"/>
      <c r="G82" s="9"/>
      <c r="H82" s="9" t="s">
        <v>1130</v>
      </c>
      <c r="I82" s="9" t="s">
        <v>71</v>
      </c>
      <c r="J82" s="9" t="s">
        <v>1095</v>
      </c>
      <c r="K82" s="9" t="s">
        <v>1305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1306</v>
      </c>
      <c r="B83" s="9" t="s">
        <v>1304</v>
      </c>
      <c r="C83" s="9" t="s">
        <v>423</v>
      </c>
      <c r="D83" s="9" t="s">
        <v>258</v>
      </c>
      <c r="E83" s="11" t="n">
        <v>14</v>
      </c>
      <c r="F83" s="9"/>
      <c r="G83" s="9"/>
      <c r="H83" s="9" t="s">
        <v>1130</v>
      </c>
      <c r="I83" s="9" t="s">
        <v>71</v>
      </c>
      <c r="J83" s="9" t="s">
        <v>1095</v>
      </c>
      <c r="K83" s="9" t="s">
        <v>1305</v>
      </c>
      <c r="L83" s="9" t="s">
        <v>1271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1307</v>
      </c>
      <c r="B84" s="9" t="s">
        <v>1304</v>
      </c>
      <c r="C84" s="9" t="s">
        <v>1207</v>
      </c>
      <c r="D84" s="9" t="s">
        <v>258</v>
      </c>
      <c r="E84" s="11" t="n">
        <v>26</v>
      </c>
      <c r="F84" s="9"/>
      <c r="G84" s="9"/>
      <c r="H84" s="9" t="s">
        <v>1130</v>
      </c>
      <c r="I84" s="9" t="s">
        <v>71</v>
      </c>
      <c r="J84" s="9" t="s">
        <v>1095</v>
      </c>
      <c r="K84" s="9" t="s">
        <v>1305</v>
      </c>
      <c r="L84" s="9" t="s">
        <v>1271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1308</v>
      </c>
      <c r="B85" s="9" t="s">
        <v>1304</v>
      </c>
      <c r="C85" s="9" t="s">
        <v>1209</v>
      </c>
      <c r="D85" s="9" t="s">
        <v>258</v>
      </c>
      <c r="E85" s="11" t="n">
        <v>38</v>
      </c>
      <c r="F85" s="9"/>
      <c r="G85" s="9"/>
      <c r="H85" s="9" t="s">
        <v>1130</v>
      </c>
      <c r="I85" s="9" t="s">
        <v>71</v>
      </c>
      <c r="J85" s="9" t="s">
        <v>1095</v>
      </c>
      <c r="K85" s="9" t="s">
        <v>1305</v>
      </c>
      <c r="L85" s="9" t="s">
        <v>1271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1309</v>
      </c>
      <c r="B86" s="9" t="s">
        <v>1304</v>
      </c>
      <c r="C86" s="9" t="s">
        <v>1211</v>
      </c>
      <c r="D86" s="9" t="s">
        <v>258</v>
      </c>
      <c r="E86" s="11" t="n">
        <v>48</v>
      </c>
      <c r="F86" s="9"/>
      <c r="G86" s="9"/>
      <c r="H86" s="9" t="s">
        <v>1130</v>
      </c>
      <c r="I86" s="9" t="s">
        <v>71</v>
      </c>
      <c r="J86" s="9" t="s">
        <v>1095</v>
      </c>
      <c r="K86" s="9" t="s">
        <v>1305</v>
      </c>
      <c r="L86" s="9" t="s">
        <v>1271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1310</v>
      </c>
      <c r="B87" s="9" t="s">
        <v>1304</v>
      </c>
      <c r="C87" s="9" t="s">
        <v>1213</v>
      </c>
      <c r="D87" s="9" t="s">
        <v>258</v>
      </c>
      <c r="E87" s="11" t="n">
        <v>56</v>
      </c>
      <c r="F87" s="9"/>
      <c r="G87" s="9"/>
      <c r="H87" s="9" t="s">
        <v>1130</v>
      </c>
      <c r="I87" s="9" t="s">
        <v>71</v>
      </c>
      <c r="J87" s="9" t="s">
        <v>1095</v>
      </c>
      <c r="K87" s="9" t="s">
        <v>1305</v>
      </c>
      <c r="L87" s="9" t="s">
        <v>1271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1311</v>
      </c>
      <c r="B88" s="9" t="s">
        <v>1312</v>
      </c>
      <c r="C88" s="9" t="s">
        <v>71</v>
      </c>
      <c r="D88" s="10" t="s">
        <v>560</v>
      </c>
      <c r="E88" s="11" t="n">
        <v>0.7</v>
      </c>
      <c r="F88" s="9"/>
      <c r="G88" s="9"/>
      <c r="H88" s="9" t="s">
        <v>1130</v>
      </c>
      <c r="I88" s="9" t="s">
        <v>71</v>
      </c>
      <c r="J88" s="9" t="s">
        <v>1095</v>
      </c>
      <c r="K88" s="9" t="s">
        <v>1305</v>
      </c>
      <c r="L88" s="10" t="s">
        <v>1277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1313</v>
      </c>
      <c r="B89" s="9" t="s">
        <v>1314</v>
      </c>
      <c r="C89" s="9" t="s">
        <v>71</v>
      </c>
      <c r="D89" s="10" t="s">
        <v>560</v>
      </c>
      <c r="E89" s="11" t="n">
        <v>1.3</v>
      </c>
      <c r="F89" s="9"/>
      <c r="G89" s="9"/>
      <c r="H89" s="9" t="s">
        <v>1130</v>
      </c>
      <c r="I89" s="9" t="s">
        <v>71</v>
      </c>
      <c r="J89" s="9" t="s">
        <v>1095</v>
      </c>
      <c r="K89" s="9" t="s">
        <v>1305</v>
      </c>
      <c r="L89" s="10" t="s">
        <v>1277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1315</v>
      </c>
      <c r="B90" s="9" t="s">
        <v>1316</v>
      </c>
      <c r="C90" s="10" t="s">
        <v>1317</v>
      </c>
      <c r="D90" s="9" t="s">
        <v>240</v>
      </c>
      <c r="E90" s="11" t="n">
        <v>6</v>
      </c>
      <c r="F90" s="11" t="n">
        <v>4</v>
      </c>
      <c r="G90" s="11" t="n">
        <v>8</v>
      </c>
      <c r="H90" s="9" t="s">
        <v>1130</v>
      </c>
      <c r="I90" s="9" t="s">
        <v>71</v>
      </c>
      <c r="J90" s="9" t="s">
        <v>1095</v>
      </c>
      <c r="K90" s="9" t="s">
        <v>1318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1319</v>
      </c>
      <c r="B91" s="9" t="s">
        <v>1320</v>
      </c>
      <c r="C91" s="9" t="s">
        <v>411</v>
      </c>
      <c r="D91" s="9" t="s">
        <v>240</v>
      </c>
      <c r="E91" s="11" t="n">
        <v>19.5</v>
      </c>
      <c r="F91" s="11" t="n">
        <v>18</v>
      </c>
      <c r="G91" s="11" t="n">
        <v>20</v>
      </c>
      <c r="H91" s="9" t="s">
        <v>1130</v>
      </c>
      <c r="I91" s="9" t="s">
        <v>71</v>
      </c>
      <c r="J91" s="9" t="s">
        <v>1095</v>
      </c>
      <c r="K91" s="9" t="s">
        <v>1321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1322</v>
      </c>
      <c r="B92" s="9" t="s">
        <v>1320</v>
      </c>
      <c r="C92" s="9" t="s">
        <v>1323</v>
      </c>
      <c r="D92" s="9" t="s">
        <v>240</v>
      </c>
      <c r="E92" s="11" t="n">
        <v>19</v>
      </c>
      <c r="F92" s="11" t="n">
        <v>17</v>
      </c>
      <c r="G92" s="11" t="n">
        <v>20</v>
      </c>
      <c r="H92" s="9" t="s">
        <v>1130</v>
      </c>
      <c r="I92" s="9" t="s">
        <v>71</v>
      </c>
      <c r="J92" s="9" t="s">
        <v>1095</v>
      </c>
      <c r="K92" s="9" t="s">
        <v>1321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1324</v>
      </c>
      <c r="B93" s="9" t="s">
        <v>1325</v>
      </c>
      <c r="C93" s="9" t="s">
        <v>411</v>
      </c>
      <c r="D93" s="9" t="s">
        <v>240</v>
      </c>
      <c r="E93" s="11" t="n">
        <v>200</v>
      </c>
      <c r="F93" s="11" t="n">
        <v>200</v>
      </c>
      <c r="G93" s="11" t="n">
        <v>200</v>
      </c>
      <c r="H93" s="9" t="s">
        <v>1130</v>
      </c>
      <c r="I93" s="9" t="s">
        <v>71</v>
      </c>
      <c r="J93" s="9" t="s">
        <v>1095</v>
      </c>
      <c r="K93" s="9" t="s">
        <v>1326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1327</v>
      </c>
      <c r="B94" s="9" t="s">
        <v>1325</v>
      </c>
      <c r="C94" s="9" t="s">
        <v>1323</v>
      </c>
      <c r="D94" s="9" t="s">
        <v>240</v>
      </c>
      <c r="E94" s="11" t="n">
        <v>150</v>
      </c>
      <c r="F94" s="11" t="n">
        <v>120</v>
      </c>
      <c r="G94" s="11" t="n">
        <v>190</v>
      </c>
      <c r="H94" s="9" t="s">
        <v>1130</v>
      </c>
      <c r="I94" s="9" t="s">
        <v>71</v>
      </c>
      <c r="J94" s="9" t="s">
        <v>1095</v>
      </c>
      <c r="K94" s="9" t="s">
        <v>1326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1328</v>
      </c>
      <c r="B95" s="9" t="s">
        <v>1329</v>
      </c>
      <c r="C95" s="10" t="s">
        <v>1317</v>
      </c>
      <c r="D95" s="9" t="s">
        <v>240</v>
      </c>
      <c r="E95" s="11" t="n">
        <v>30</v>
      </c>
      <c r="F95" s="11" t="n">
        <v>22</v>
      </c>
      <c r="G95" s="11" t="n">
        <v>45</v>
      </c>
      <c r="H95" s="9" t="s">
        <v>1130</v>
      </c>
      <c r="I95" s="9" t="s">
        <v>71</v>
      </c>
      <c r="J95" s="9" t="s">
        <v>1095</v>
      </c>
      <c r="K95" s="9" t="s">
        <v>1330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1331</v>
      </c>
      <c r="B96" s="10" t="s">
        <v>1332</v>
      </c>
      <c r="C96" s="9" t="s">
        <v>411</v>
      </c>
      <c r="D96" s="10" t="s">
        <v>1333</v>
      </c>
      <c r="E96" s="11" t="n">
        <v>1.7</v>
      </c>
      <c r="F96" s="9"/>
      <c r="G96" s="9"/>
      <c r="H96" s="9" t="s">
        <v>1130</v>
      </c>
      <c r="I96" s="9" t="s">
        <v>71</v>
      </c>
      <c r="J96" s="9" t="s">
        <v>1095</v>
      </c>
      <c r="K96" s="9" t="s">
        <v>1334</v>
      </c>
      <c r="L96" s="9" t="s">
        <v>1335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1336</v>
      </c>
      <c r="B97" s="10" t="s">
        <v>1332</v>
      </c>
      <c r="C97" s="9" t="s">
        <v>423</v>
      </c>
      <c r="D97" s="10" t="s">
        <v>1333</v>
      </c>
      <c r="E97" s="11" t="n">
        <v>1.7</v>
      </c>
      <c r="F97" s="9"/>
      <c r="G97" s="9"/>
      <c r="H97" s="9" t="s">
        <v>1130</v>
      </c>
      <c r="I97" s="9" t="s">
        <v>71</v>
      </c>
      <c r="J97" s="9" t="s">
        <v>1095</v>
      </c>
      <c r="K97" s="9" t="s">
        <v>1334</v>
      </c>
      <c r="L97" s="9" t="s">
        <v>1335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1337</v>
      </c>
      <c r="B98" s="10" t="s">
        <v>1338</v>
      </c>
      <c r="C98" s="9" t="s">
        <v>411</v>
      </c>
      <c r="D98" s="10" t="s">
        <v>1333</v>
      </c>
      <c r="E98" s="11" t="n">
        <v>5.3</v>
      </c>
      <c r="F98" s="9"/>
      <c r="G98" s="9"/>
      <c r="H98" s="9" t="s">
        <v>1130</v>
      </c>
      <c r="I98" s="9" t="s">
        <v>71</v>
      </c>
      <c r="J98" s="9" t="s">
        <v>1095</v>
      </c>
      <c r="K98" s="9" t="s">
        <v>1339</v>
      </c>
      <c r="L98" s="9" t="s">
        <v>1335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1340</v>
      </c>
      <c r="B99" s="10" t="s">
        <v>1338</v>
      </c>
      <c r="C99" s="9" t="s">
        <v>423</v>
      </c>
      <c r="D99" s="10" t="s">
        <v>1333</v>
      </c>
      <c r="E99" s="11" t="n">
        <v>5.7</v>
      </c>
      <c r="F99" s="9"/>
      <c r="G99" s="9"/>
      <c r="H99" s="9" t="s">
        <v>1130</v>
      </c>
      <c r="I99" s="9" t="s">
        <v>71</v>
      </c>
      <c r="J99" s="9" t="s">
        <v>1095</v>
      </c>
      <c r="K99" s="9" t="s">
        <v>1339</v>
      </c>
      <c r="L99" s="9" t="s">
        <v>1335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1341</v>
      </c>
      <c r="B100" s="10" t="s">
        <v>1342</v>
      </c>
      <c r="C100" s="9" t="s">
        <v>411</v>
      </c>
      <c r="D100" s="10" t="s">
        <v>1333</v>
      </c>
      <c r="E100" s="11" t="n">
        <v>13.4</v>
      </c>
      <c r="F100" s="9"/>
      <c r="G100" s="9"/>
      <c r="H100" s="9" t="s">
        <v>1130</v>
      </c>
      <c r="I100" s="9" t="s">
        <v>71</v>
      </c>
      <c r="J100" s="9" t="s">
        <v>1095</v>
      </c>
      <c r="K100" s="9" t="s">
        <v>1343</v>
      </c>
      <c r="L100" s="9" t="s">
        <v>1335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1344</v>
      </c>
      <c r="B101" s="10" t="s">
        <v>1342</v>
      </c>
      <c r="C101" s="9" t="s">
        <v>423</v>
      </c>
      <c r="D101" s="10" t="s">
        <v>1333</v>
      </c>
      <c r="E101" s="11" t="n">
        <v>17.9</v>
      </c>
      <c r="F101" s="9"/>
      <c r="G101" s="9"/>
      <c r="H101" s="9" t="s">
        <v>1130</v>
      </c>
      <c r="I101" s="9" t="s">
        <v>71</v>
      </c>
      <c r="J101" s="9" t="s">
        <v>1095</v>
      </c>
      <c r="K101" s="9" t="s">
        <v>1343</v>
      </c>
      <c r="L101" s="9" t="s">
        <v>1335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1345</v>
      </c>
      <c r="B102" s="10" t="s">
        <v>1346</v>
      </c>
      <c r="C102" s="9" t="s">
        <v>411</v>
      </c>
      <c r="D102" s="10" t="s">
        <v>1333</v>
      </c>
      <c r="E102" s="11" t="n">
        <v>41</v>
      </c>
      <c r="F102" s="9"/>
      <c r="G102" s="9"/>
      <c r="H102" s="9" t="s">
        <v>1130</v>
      </c>
      <c r="I102" s="9" t="s">
        <v>71</v>
      </c>
      <c r="J102" s="9" t="s">
        <v>1095</v>
      </c>
      <c r="K102" s="9" t="s">
        <v>1347</v>
      </c>
      <c r="L102" s="9" t="s">
        <v>1335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1348</v>
      </c>
      <c r="B103" s="10" t="s">
        <v>1346</v>
      </c>
      <c r="C103" s="9" t="s">
        <v>423</v>
      </c>
      <c r="D103" s="10" t="s">
        <v>1333</v>
      </c>
      <c r="E103" s="11" t="n">
        <v>51.4</v>
      </c>
      <c r="F103" s="9"/>
      <c r="G103" s="9"/>
      <c r="H103" s="9" t="s">
        <v>1130</v>
      </c>
      <c r="I103" s="9" t="s">
        <v>71</v>
      </c>
      <c r="J103" s="9" t="s">
        <v>1095</v>
      </c>
      <c r="K103" s="9" t="s">
        <v>1347</v>
      </c>
      <c r="L103" s="9" t="s">
        <v>1335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1349</v>
      </c>
      <c r="B104" s="10" t="s">
        <v>1350</v>
      </c>
      <c r="C104" s="9" t="s">
        <v>411</v>
      </c>
      <c r="D104" s="10" t="s">
        <v>1333</v>
      </c>
      <c r="E104" s="11" t="n">
        <v>10.7</v>
      </c>
      <c r="F104" s="9"/>
      <c r="G104" s="9"/>
      <c r="H104" s="9" t="s">
        <v>1130</v>
      </c>
      <c r="I104" s="9" t="s">
        <v>71</v>
      </c>
      <c r="J104" s="9" t="s">
        <v>1095</v>
      </c>
      <c r="K104" s="9" t="s">
        <v>1351</v>
      </c>
      <c r="L104" s="9" t="s">
        <v>1335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1352</v>
      </c>
      <c r="B105" s="10" t="s">
        <v>1350</v>
      </c>
      <c r="C105" s="9" t="s">
        <v>423</v>
      </c>
      <c r="D105" s="10" t="s">
        <v>1333</v>
      </c>
      <c r="E105" s="11" t="n">
        <v>14.3</v>
      </c>
      <c r="F105" s="9"/>
      <c r="G105" s="9"/>
      <c r="H105" s="9" t="s">
        <v>1130</v>
      </c>
      <c r="I105" s="9" t="s">
        <v>71</v>
      </c>
      <c r="J105" s="9" t="s">
        <v>1095</v>
      </c>
      <c r="K105" s="9" t="s">
        <v>1351</v>
      </c>
      <c r="L105" s="9" t="s">
        <v>1335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1353</v>
      </c>
      <c r="B106" s="10" t="s">
        <v>1354</v>
      </c>
      <c r="C106" s="9" t="s">
        <v>411</v>
      </c>
      <c r="D106" s="9" t="s">
        <v>1198</v>
      </c>
      <c r="E106" s="11" t="n">
        <v>2</v>
      </c>
      <c r="F106" s="9"/>
      <c r="G106" s="9"/>
      <c r="H106" s="9" t="s">
        <v>1130</v>
      </c>
      <c r="I106" s="9" t="s">
        <v>71</v>
      </c>
      <c r="J106" s="9" t="s">
        <v>1095</v>
      </c>
      <c r="K106" s="9" t="s">
        <v>1355</v>
      </c>
      <c r="L106" s="9" t="s">
        <v>1335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1356</v>
      </c>
      <c r="B107" s="10" t="s">
        <v>1354</v>
      </c>
      <c r="C107" s="9" t="s">
        <v>423</v>
      </c>
      <c r="D107" s="9" t="s">
        <v>1198</v>
      </c>
      <c r="E107" s="11" t="n">
        <v>2.94</v>
      </c>
      <c r="F107" s="9"/>
      <c r="G107" s="9"/>
      <c r="H107" s="9" t="s">
        <v>1130</v>
      </c>
      <c r="I107" s="9" t="s">
        <v>71</v>
      </c>
      <c r="J107" s="9" t="s">
        <v>1095</v>
      </c>
      <c r="K107" s="9" t="s">
        <v>1355</v>
      </c>
      <c r="L107" s="9" t="s">
        <v>1335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1357</v>
      </c>
      <c r="B108" s="10" t="s">
        <v>1358</v>
      </c>
      <c r="C108" s="9" t="s">
        <v>411</v>
      </c>
      <c r="D108" s="9" t="s">
        <v>1198</v>
      </c>
      <c r="E108" s="11" t="n">
        <v>3</v>
      </c>
      <c r="F108" s="9"/>
      <c r="G108" s="9"/>
      <c r="H108" s="9" t="s">
        <v>1130</v>
      </c>
      <c r="I108" s="9" t="s">
        <v>71</v>
      </c>
      <c r="J108" s="9" t="s">
        <v>1095</v>
      </c>
      <c r="K108" s="9" t="s">
        <v>1359</v>
      </c>
      <c r="L108" s="9" t="s">
        <v>1335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1360</v>
      </c>
      <c r="B109" s="10" t="s">
        <v>1358</v>
      </c>
      <c r="C109" s="9" t="s">
        <v>423</v>
      </c>
      <c r="D109" s="9" t="s">
        <v>1198</v>
      </c>
      <c r="E109" s="11" t="n">
        <v>4.39</v>
      </c>
      <c r="F109" s="9"/>
      <c r="G109" s="9"/>
      <c r="H109" s="9" t="s">
        <v>1130</v>
      </c>
      <c r="I109" s="9" t="s">
        <v>71</v>
      </c>
      <c r="J109" s="9" t="s">
        <v>1095</v>
      </c>
      <c r="K109" s="9" t="s">
        <v>1359</v>
      </c>
      <c r="L109" s="9" t="s">
        <v>1335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1361</v>
      </c>
      <c r="B110" s="10" t="s">
        <v>1362</v>
      </c>
      <c r="C110" s="9" t="s">
        <v>411</v>
      </c>
      <c r="D110" s="9" t="s">
        <v>1198</v>
      </c>
      <c r="E110" s="11" t="n">
        <v>4</v>
      </c>
      <c r="F110" s="9"/>
      <c r="G110" s="9"/>
      <c r="H110" s="9" t="s">
        <v>1130</v>
      </c>
      <c r="I110" s="9" t="s">
        <v>71</v>
      </c>
      <c r="J110" s="9" t="s">
        <v>1095</v>
      </c>
      <c r="K110" s="9" t="s">
        <v>1363</v>
      </c>
      <c r="L110" s="9" t="s">
        <v>1335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1364</v>
      </c>
      <c r="B111" s="10" t="s">
        <v>1362</v>
      </c>
      <c r="C111" s="9" t="s">
        <v>423</v>
      </c>
      <c r="D111" s="9" t="s">
        <v>1198</v>
      </c>
      <c r="E111" s="11" t="n">
        <v>6.15</v>
      </c>
      <c r="F111" s="9"/>
      <c r="G111" s="9"/>
      <c r="H111" s="9" t="s">
        <v>1130</v>
      </c>
      <c r="I111" s="9" t="s">
        <v>71</v>
      </c>
      <c r="J111" s="9" t="s">
        <v>1095</v>
      </c>
      <c r="K111" s="9" t="s">
        <v>1363</v>
      </c>
      <c r="L111" s="9" t="s">
        <v>1335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1365</v>
      </c>
      <c r="B112" s="10" t="s">
        <v>1366</v>
      </c>
      <c r="C112" s="9" t="s">
        <v>411</v>
      </c>
      <c r="D112" s="9" t="s">
        <v>1198</v>
      </c>
      <c r="E112" s="11" t="n">
        <v>10</v>
      </c>
      <c r="F112" s="9"/>
      <c r="G112" s="9"/>
      <c r="H112" s="9" t="s">
        <v>1130</v>
      </c>
      <c r="I112" s="9" t="s">
        <v>71</v>
      </c>
      <c r="J112" s="9" t="s">
        <v>1095</v>
      </c>
      <c r="K112" s="9" t="s">
        <v>1367</v>
      </c>
      <c r="L112" s="9" t="s">
        <v>1335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1368</v>
      </c>
      <c r="B113" s="10" t="s">
        <v>1366</v>
      </c>
      <c r="C113" s="9" t="s">
        <v>423</v>
      </c>
      <c r="D113" s="9" t="s">
        <v>1198</v>
      </c>
      <c r="E113" s="11" t="n">
        <v>15.6</v>
      </c>
      <c r="F113" s="9"/>
      <c r="G113" s="9"/>
      <c r="H113" s="9" t="s">
        <v>1130</v>
      </c>
      <c r="I113" s="9" t="s">
        <v>71</v>
      </c>
      <c r="J113" s="9" t="s">
        <v>1095</v>
      </c>
      <c r="K113" s="9" t="s">
        <v>1367</v>
      </c>
      <c r="L113" s="9" t="s">
        <v>1335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1369</v>
      </c>
      <c r="B114" s="10" t="s">
        <v>1370</v>
      </c>
      <c r="C114" s="9" t="s">
        <v>411</v>
      </c>
      <c r="D114" s="9" t="s">
        <v>1198</v>
      </c>
      <c r="E114" s="11" t="n">
        <v>4</v>
      </c>
      <c r="F114" s="9"/>
      <c r="G114" s="9"/>
      <c r="H114" s="9" t="s">
        <v>1130</v>
      </c>
      <c r="I114" s="9" t="s">
        <v>71</v>
      </c>
      <c r="J114" s="9" t="s">
        <v>1095</v>
      </c>
      <c r="K114" s="9" t="s">
        <v>1371</v>
      </c>
      <c r="L114" s="9" t="s">
        <v>1335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1372</v>
      </c>
      <c r="B115" s="10" t="s">
        <v>1370</v>
      </c>
      <c r="C115" s="9" t="s">
        <v>423</v>
      </c>
      <c r="D115" s="9" t="s">
        <v>1198</v>
      </c>
      <c r="E115" s="11" t="n">
        <v>5.94</v>
      </c>
      <c r="F115" s="9"/>
      <c r="G115" s="9"/>
      <c r="H115" s="9" t="s">
        <v>1130</v>
      </c>
      <c r="I115" s="9" t="s">
        <v>71</v>
      </c>
      <c r="J115" s="9" t="s">
        <v>1095</v>
      </c>
      <c r="K115" s="9" t="s">
        <v>1371</v>
      </c>
      <c r="L115" s="9" t="s">
        <v>1335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1373</v>
      </c>
      <c r="B116" s="10" t="s">
        <v>1374</v>
      </c>
      <c r="C116" s="9" t="s">
        <v>71</v>
      </c>
      <c r="D116" s="10" t="s">
        <v>1166</v>
      </c>
      <c r="E116" s="11" t="n">
        <v>0.1</v>
      </c>
      <c r="F116" s="11" t="n">
        <v>0.05</v>
      </c>
      <c r="G116" s="11" t="n">
        <v>0.2</v>
      </c>
      <c r="H116" s="9" t="s">
        <v>1130</v>
      </c>
      <c r="I116" s="9" t="s">
        <v>71</v>
      </c>
      <c r="J116" s="9" t="s">
        <v>1095</v>
      </c>
      <c r="K116" s="9" t="s">
        <v>1375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1376</v>
      </c>
      <c r="B117" s="10" t="s">
        <v>1377</v>
      </c>
      <c r="C117" s="9" t="s">
        <v>71</v>
      </c>
      <c r="D117" s="10" t="s">
        <v>1166</v>
      </c>
      <c r="E117" s="11" t="n">
        <v>0.15</v>
      </c>
      <c r="F117" s="11" t="n">
        <v>0.1</v>
      </c>
      <c r="G117" s="11" t="n">
        <v>0.25</v>
      </c>
      <c r="H117" s="9" t="s">
        <v>1130</v>
      </c>
      <c r="I117" s="9" t="s">
        <v>1167</v>
      </c>
      <c r="J117" s="9" t="s">
        <v>1095</v>
      </c>
      <c r="K117" s="9" t="s">
        <v>1378</v>
      </c>
      <c r="L117" s="10" t="s">
        <v>1379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1380</v>
      </c>
      <c r="B118" s="10" t="s">
        <v>1381</v>
      </c>
      <c r="C118" s="9" t="s">
        <v>411</v>
      </c>
      <c r="D118" s="10" t="s">
        <v>120</v>
      </c>
      <c r="E118" s="11" t="n">
        <v>0</v>
      </c>
      <c r="F118" s="11" t="n">
        <v>0</v>
      </c>
      <c r="G118" s="11" t="n">
        <v>0</v>
      </c>
      <c r="H118" s="9" t="s">
        <v>1130</v>
      </c>
      <c r="I118" s="9" t="s">
        <v>1382</v>
      </c>
      <c r="J118" s="9" t="s">
        <v>1095</v>
      </c>
      <c r="K118" s="9" t="s">
        <v>1383</v>
      </c>
      <c r="L118" s="9" t="s">
        <v>1384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1385</v>
      </c>
      <c r="B119" s="10" t="s">
        <v>1381</v>
      </c>
      <c r="C119" s="9" t="s">
        <v>423</v>
      </c>
      <c r="D119" s="10" t="s">
        <v>120</v>
      </c>
      <c r="E119" s="11" t="n">
        <v>0.25</v>
      </c>
      <c r="F119" s="11" t="n">
        <v>0.15</v>
      </c>
      <c r="G119" s="11" t="n">
        <v>0.35</v>
      </c>
      <c r="H119" s="9" t="s">
        <v>1130</v>
      </c>
      <c r="I119" s="9" t="s">
        <v>1382</v>
      </c>
      <c r="J119" s="9" t="s">
        <v>1095</v>
      </c>
      <c r="K119" s="9" t="s">
        <v>1383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1386</v>
      </c>
      <c r="B120" s="10" t="s">
        <v>1381</v>
      </c>
      <c r="C120" s="9" t="s">
        <v>1207</v>
      </c>
      <c r="D120" s="10" t="s">
        <v>120</v>
      </c>
      <c r="E120" s="11" t="n">
        <v>0.35</v>
      </c>
      <c r="F120" s="11" t="n">
        <v>0.25</v>
      </c>
      <c r="G120" s="11" t="n">
        <v>0.5</v>
      </c>
      <c r="H120" s="9" t="s">
        <v>1130</v>
      </c>
      <c r="I120" s="9" t="s">
        <v>1382</v>
      </c>
      <c r="J120" s="9" t="s">
        <v>1095</v>
      </c>
      <c r="K120" s="9" t="s">
        <v>1383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1387</v>
      </c>
      <c r="B121" s="10" t="s">
        <v>1381</v>
      </c>
      <c r="C121" s="9" t="s">
        <v>1209</v>
      </c>
      <c r="D121" s="10" t="s">
        <v>120</v>
      </c>
      <c r="E121" s="11" t="n">
        <v>0.4</v>
      </c>
      <c r="F121" s="11" t="n">
        <v>0.3</v>
      </c>
      <c r="G121" s="11" t="n">
        <v>0.6</v>
      </c>
      <c r="H121" s="9" t="s">
        <v>1130</v>
      </c>
      <c r="I121" s="9" t="s">
        <v>1382</v>
      </c>
      <c r="J121" s="9" t="s">
        <v>1095</v>
      </c>
      <c r="K121" s="9" t="s">
        <v>1383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1388</v>
      </c>
      <c r="B122" s="10" t="s">
        <v>1381</v>
      </c>
      <c r="C122" s="9" t="s">
        <v>1211</v>
      </c>
      <c r="D122" s="10" t="s">
        <v>120</v>
      </c>
      <c r="E122" s="11" t="n">
        <v>0.45</v>
      </c>
      <c r="F122" s="11" t="n">
        <v>0.3</v>
      </c>
      <c r="G122" s="11" t="n">
        <v>0.65</v>
      </c>
      <c r="H122" s="9" t="s">
        <v>1130</v>
      </c>
      <c r="I122" s="9" t="s">
        <v>1382</v>
      </c>
      <c r="J122" s="9" t="s">
        <v>1095</v>
      </c>
      <c r="K122" s="9" t="s">
        <v>1383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1389</v>
      </c>
      <c r="B123" s="10" t="s">
        <v>1381</v>
      </c>
      <c r="C123" s="9" t="s">
        <v>1213</v>
      </c>
      <c r="D123" s="10" t="s">
        <v>120</v>
      </c>
      <c r="E123" s="11" t="n">
        <v>0.5</v>
      </c>
      <c r="F123" s="11" t="n">
        <v>0.35</v>
      </c>
      <c r="G123" s="11" t="n">
        <v>0.7</v>
      </c>
      <c r="H123" s="9" t="s">
        <v>1130</v>
      </c>
      <c r="I123" s="9" t="s">
        <v>1382</v>
      </c>
      <c r="J123" s="9" t="s">
        <v>1095</v>
      </c>
      <c r="K123" s="9" t="s">
        <v>1383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1390</v>
      </c>
      <c r="B124" s="10" t="s">
        <v>1391</v>
      </c>
      <c r="C124" s="9" t="s">
        <v>411</v>
      </c>
      <c r="D124" s="9" t="s">
        <v>1392</v>
      </c>
      <c r="E124" s="11" t="n">
        <v>0</v>
      </c>
      <c r="F124" s="11" t="n">
        <v>0</v>
      </c>
      <c r="G124" s="11" t="n">
        <v>0</v>
      </c>
      <c r="H124" s="9" t="s">
        <v>1146</v>
      </c>
      <c r="I124" s="9" t="s">
        <v>1382</v>
      </c>
      <c r="J124" s="9" t="s">
        <v>1095</v>
      </c>
      <c r="K124" s="9" t="s">
        <v>1393</v>
      </c>
      <c r="L124" s="10" t="s">
        <v>1394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1395</v>
      </c>
      <c r="B125" s="10" t="s">
        <v>1391</v>
      </c>
      <c r="C125" s="9" t="s">
        <v>423</v>
      </c>
      <c r="D125" s="9" t="s">
        <v>1392</v>
      </c>
      <c r="E125" s="11" t="n">
        <v>3</v>
      </c>
      <c r="F125" s="11" t="n">
        <v>1.5</v>
      </c>
      <c r="G125" s="11" t="n">
        <v>5</v>
      </c>
      <c r="H125" s="9" t="s">
        <v>1146</v>
      </c>
      <c r="I125" s="9" t="s">
        <v>1382</v>
      </c>
      <c r="J125" s="9" t="s">
        <v>1095</v>
      </c>
      <c r="K125" s="9" t="s">
        <v>1393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1396</v>
      </c>
      <c r="B126" s="10" t="s">
        <v>1391</v>
      </c>
      <c r="C126" s="9" t="s">
        <v>1207</v>
      </c>
      <c r="D126" s="9" t="s">
        <v>1392</v>
      </c>
      <c r="E126" s="11" t="n">
        <v>4</v>
      </c>
      <c r="F126" s="11" t="n">
        <v>2</v>
      </c>
      <c r="G126" s="11" t="n">
        <v>6</v>
      </c>
      <c r="H126" s="9" t="s">
        <v>1146</v>
      </c>
      <c r="I126" s="9" t="s">
        <v>1382</v>
      </c>
      <c r="J126" s="9" t="s">
        <v>1095</v>
      </c>
      <c r="K126" s="9" t="s">
        <v>1393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1397</v>
      </c>
      <c r="B127" s="10" t="s">
        <v>1391</v>
      </c>
      <c r="C127" s="9" t="s">
        <v>1209</v>
      </c>
      <c r="D127" s="9" t="s">
        <v>1392</v>
      </c>
      <c r="E127" s="11" t="n">
        <v>4.5</v>
      </c>
      <c r="F127" s="11" t="n">
        <v>2.5</v>
      </c>
      <c r="G127" s="11" t="n">
        <v>7.5</v>
      </c>
      <c r="H127" s="9" t="s">
        <v>1146</v>
      </c>
      <c r="I127" s="9" t="s">
        <v>1382</v>
      </c>
      <c r="J127" s="9" t="s">
        <v>1095</v>
      </c>
      <c r="K127" s="9" t="s">
        <v>1393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1398</v>
      </c>
      <c r="B128" s="10" t="s">
        <v>1391</v>
      </c>
      <c r="C128" s="9" t="s">
        <v>1211</v>
      </c>
      <c r="D128" s="9" t="s">
        <v>1392</v>
      </c>
      <c r="E128" s="11" t="n">
        <v>5</v>
      </c>
      <c r="F128" s="11" t="n">
        <v>3</v>
      </c>
      <c r="G128" s="11" t="n">
        <v>9</v>
      </c>
      <c r="H128" s="9" t="s">
        <v>1146</v>
      </c>
      <c r="I128" s="9" t="s">
        <v>1382</v>
      </c>
      <c r="J128" s="9" t="s">
        <v>1095</v>
      </c>
      <c r="K128" s="9" t="s">
        <v>1393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1399</v>
      </c>
      <c r="B129" s="10" t="s">
        <v>1391</v>
      </c>
      <c r="C129" s="9" t="s">
        <v>1213</v>
      </c>
      <c r="D129" s="9" t="s">
        <v>1392</v>
      </c>
      <c r="E129" s="11" t="n">
        <v>5.5</v>
      </c>
      <c r="F129" s="11" t="n">
        <v>3.5</v>
      </c>
      <c r="G129" s="11" t="n">
        <v>11</v>
      </c>
      <c r="H129" s="9" t="s">
        <v>1146</v>
      </c>
      <c r="I129" s="9" t="s">
        <v>1382</v>
      </c>
      <c r="J129" s="9" t="s">
        <v>1095</v>
      </c>
      <c r="K129" s="9" t="s">
        <v>1393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1400</v>
      </c>
      <c r="B130" s="10" t="s">
        <v>1401</v>
      </c>
      <c r="C130" s="9" t="s">
        <v>71</v>
      </c>
      <c r="D130" s="9" t="s">
        <v>68</v>
      </c>
      <c r="E130" s="11" t="n">
        <v>0</v>
      </c>
      <c r="F130" s="9"/>
      <c r="G130" s="9"/>
      <c r="H130" s="9" t="s">
        <v>1130</v>
      </c>
      <c r="I130" s="9" t="s">
        <v>71</v>
      </c>
      <c r="J130" s="9" t="s">
        <v>1095</v>
      </c>
      <c r="K130" s="9" t="s">
        <v>1402</v>
      </c>
      <c r="L130" s="10" t="s">
        <v>1403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1404</v>
      </c>
      <c r="B131" s="10" t="s">
        <v>1405</v>
      </c>
      <c r="C131" s="9" t="s">
        <v>71</v>
      </c>
      <c r="D131" s="10" t="s">
        <v>1233</v>
      </c>
      <c r="E131" s="11" t="n">
        <v>-0.35</v>
      </c>
      <c r="F131" s="9"/>
      <c r="G131" s="9"/>
      <c r="H131" s="9" t="s">
        <v>1094</v>
      </c>
      <c r="I131" s="9" t="s">
        <v>1167</v>
      </c>
      <c r="J131" s="9" t="s">
        <v>1095</v>
      </c>
      <c r="K131" s="9" t="s">
        <v>1406</v>
      </c>
      <c r="L131" s="10" t="s">
        <v>1407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1408</v>
      </c>
      <c r="B132" s="10" t="s">
        <v>1409</v>
      </c>
      <c r="C132" s="9" t="s">
        <v>71</v>
      </c>
      <c r="D132" s="10" t="s">
        <v>1233</v>
      </c>
      <c r="E132" s="11" t="n">
        <v>-0.15</v>
      </c>
      <c r="F132" s="9"/>
      <c r="G132" s="9"/>
      <c r="H132" s="9" t="s">
        <v>1094</v>
      </c>
      <c r="I132" s="9" t="s">
        <v>1167</v>
      </c>
      <c r="J132" s="9" t="s">
        <v>1095</v>
      </c>
      <c r="K132" s="9" t="s">
        <v>1410</v>
      </c>
      <c r="L132" s="10" t="s">
        <v>1407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1411</v>
      </c>
      <c r="B133" s="10" t="s">
        <v>1412</v>
      </c>
      <c r="C133" s="9" t="s">
        <v>71</v>
      </c>
      <c r="D133" s="10" t="s">
        <v>1166</v>
      </c>
      <c r="E133" s="11" t="n">
        <v>0.25</v>
      </c>
      <c r="F133" s="9"/>
      <c r="G133" s="9"/>
      <c r="H133" s="9" t="s">
        <v>1094</v>
      </c>
      <c r="I133" s="9" t="s">
        <v>1167</v>
      </c>
      <c r="J133" s="9" t="s">
        <v>1095</v>
      </c>
      <c r="K133" s="9" t="s">
        <v>1413</v>
      </c>
      <c r="L133" s="10" t="s">
        <v>1407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1414</v>
      </c>
      <c r="B134" s="10" t="s">
        <v>1415</v>
      </c>
      <c r="C134" s="9" t="s">
        <v>71</v>
      </c>
      <c r="D134" s="10" t="s">
        <v>1166</v>
      </c>
      <c r="E134" s="11" t="n">
        <v>-0.45</v>
      </c>
      <c r="F134" s="9"/>
      <c r="G134" s="9"/>
      <c r="H134" s="9" t="s">
        <v>1094</v>
      </c>
      <c r="I134" s="9" t="s">
        <v>1167</v>
      </c>
      <c r="J134" s="9" t="s">
        <v>1095</v>
      </c>
      <c r="K134" s="9" t="s">
        <v>1416</v>
      </c>
      <c r="L134" s="10" t="s">
        <v>1407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1417</v>
      </c>
      <c r="B135" s="10" t="s">
        <v>1418</v>
      </c>
      <c r="C135" s="9" t="s">
        <v>71</v>
      </c>
      <c r="D135" s="10" t="s">
        <v>1166</v>
      </c>
      <c r="E135" s="11" t="n">
        <v>-0.6</v>
      </c>
      <c r="F135" s="9"/>
      <c r="G135" s="9"/>
      <c r="H135" s="9" t="s">
        <v>1094</v>
      </c>
      <c r="I135" s="9" t="s">
        <v>1167</v>
      </c>
      <c r="J135" s="9" t="s">
        <v>1095</v>
      </c>
      <c r="K135" s="9" t="s">
        <v>1419</v>
      </c>
      <c r="L135" s="10" t="s">
        <v>1407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1420</v>
      </c>
      <c r="B136" s="10" t="s">
        <v>1421</v>
      </c>
      <c r="C136" s="9" t="s">
        <v>71</v>
      </c>
      <c r="D136" s="10" t="s">
        <v>1166</v>
      </c>
      <c r="E136" s="11" t="n">
        <v>-0.6</v>
      </c>
      <c r="F136" s="9"/>
      <c r="G136" s="9"/>
      <c r="H136" s="9" t="s">
        <v>1094</v>
      </c>
      <c r="I136" s="9" t="s">
        <v>1167</v>
      </c>
      <c r="J136" s="9" t="s">
        <v>1095</v>
      </c>
      <c r="K136" s="9" t="s">
        <v>1422</v>
      </c>
      <c r="L136" s="10" t="s">
        <v>1407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1423</v>
      </c>
      <c r="B137" s="10" t="s">
        <v>1424</v>
      </c>
      <c r="C137" s="9" t="s">
        <v>71</v>
      </c>
      <c r="D137" s="10" t="s">
        <v>1233</v>
      </c>
      <c r="E137" s="11" t="n">
        <v>-0.7</v>
      </c>
      <c r="F137" s="9"/>
      <c r="G137" s="9"/>
      <c r="H137" s="9" t="s">
        <v>1094</v>
      </c>
      <c r="I137" s="9" t="s">
        <v>1167</v>
      </c>
      <c r="J137" s="9" t="s">
        <v>1095</v>
      </c>
      <c r="K137" s="9" t="s">
        <v>1425</v>
      </c>
      <c r="L137" s="10" t="s">
        <v>1407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1426</v>
      </c>
      <c r="B138" s="10" t="s">
        <v>1427</v>
      </c>
      <c r="C138" s="9" t="s">
        <v>71</v>
      </c>
      <c r="D138" s="10" t="s">
        <v>1233</v>
      </c>
      <c r="E138" s="11" t="n">
        <v>-0.3</v>
      </c>
      <c r="F138" s="9"/>
      <c r="G138" s="9"/>
      <c r="H138" s="9" t="s">
        <v>1094</v>
      </c>
      <c r="I138" s="9" t="s">
        <v>1167</v>
      </c>
      <c r="J138" s="9" t="s">
        <v>1095</v>
      </c>
      <c r="K138" s="9" t="s">
        <v>1428</v>
      </c>
      <c r="L138" s="10" t="s">
        <v>1407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1429</v>
      </c>
      <c r="B139" s="10" t="s">
        <v>1430</v>
      </c>
      <c r="C139" s="9" t="s">
        <v>71</v>
      </c>
      <c r="D139" s="10" t="s">
        <v>1166</v>
      </c>
      <c r="E139" s="11" t="n">
        <v>0.15</v>
      </c>
      <c r="F139" s="9"/>
      <c r="G139" s="9"/>
      <c r="H139" s="9" t="s">
        <v>1094</v>
      </c>
      <c r="I139" s="9" t="s">
        <v>1167</v>
      </c>
      <c r="J139" s="9" t="s">
        <v>1095</v>
      </c>
      <c r="K139" s="9" t="s">
        <v>1431</v>
      </c>
      <c r="L139" s="10" t="s">
        <v>1407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1432</v>
      </c>
      <c r="B140" s="10" t="s">
        <v>1433</v>
      </c>
      <c r="C140" s="9" t="s">
        <v>71</v>
      </c>
      <c r="D140" s="10" t="s">
        <v>1166</v>
      </c>
      <c r="E140" s="11" t="n">
        <v>-0.3</v>
      </c>
      <c r="F140" s="9"/>
      <c r="G140" s="9"/>
      <c r="H140" s="9" t="s">
        <v>1094</v>
      </c>
      <c r="I140" s="9" t="s">
        <v>1167</v>
      </c>
      <c r="J140" s="9" t="s">
        <v>1095</v>
      </c>
      <c r="K140" s="9" t="s">
        <v>1434</v>
      </c>
      <c r="L140" s="10" t="s">
        <v>1407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1435</v>
      </c>
      <c r="B141" s="10" t="s">
        <v>1436</v>
      </c>
      <c r="C141" s="9" t="s">
        <v>71</v>
      </c>
      <c r="D141" s="10" t="s">
        <v>1166</v>
      </c>
      <c r="E141" s="11" t="n">
        <v>-0.4</v>
      </c>
      <c r="F141" s="9"/>
      <c r="G141" s="9"/>
      <c r="H141" s="9" t="s">
        <v>1094</v>
      </c>
      <c r="I141" s="9" t="s">
        <v>1167</v>
      </c>
      <c r="J141" s="9" t="s">
        <v>1095</v>
      </c>
      <c r="K141" s="9" t="s">
        <v>1437</v>
      </c>
      <c r="L141" s="10" t="s">
        <v>1407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1438</v>
      </c>
      <c r="B142" s="10" t="s">
        <v>1439</v>
      </c>
      <c r="C142" s="9" t="s">
        <v>71</v>
      </c>
      <c r="D142" s="10" t="s">
        <v>1166</v>
      </c>
      <c r="E142" s="11" t="n">
        <v>-0.4</v>
      </c>
      <c r="F142" s="9"/>
      <c r="G142" s="9"/>
      <c r="H142" s="9" t="s">
        <v>1094</v>
      </c>
      <c r="I142" s="9" t="s">
        <v>1167</v>
      </c>
      <c r="J142" s="9" t="s">
        <v>1095</v>
      </c>
      <c r="K142" s="9" t="s">
        <v>1440</v>
      </c>
      <c r="L142" s="10" t="s">
        <v>1407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1441</v>
      </c>
      <c r="B143" s="10" t="s">
        <v>1442</v>
      </c>
      <c r="C143" s="9" t="s">
        <v>71</v>
      </c>
      <c r="D143" s="10" t="s">
        <v>1233</v>
      </c>
      <c r="E143" s="11" t="n">
        <v>-1.05</v>
      </c>
      <c r="F143" s="9"/>
      <c r="G143" s="9"/>
      <c r="H143" s="9" t="s">
        <v>1094</v>
      </c>
      <c r="I143" s="9" t="s">
        <v>1167</v>
      </c>
      <c r="J143" s="9" t="s">
        <v>1095</v>
      </c>
      <c r="K143" s="9" t="s">
        <v>1443</v>
      </c>
      <c r="L143" s="10" t="s">
        <v>1407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1444</v>
      </c>
      <c r="B144" s="10" t="s">
        <v>1445</v>
      </c>
      <c r="C144" s="9" t="s">
        <v>71</v>
      </c>
      <c r="D144" s="10" t="s">
        <v>1233</v>
      </c>
      <c r="E144" s="11" t="n">
        <v>-0.45</v>
      </c>
      <c r="F144" s="9"/>
      <c r="G144" s="9"/>
      <c r="H144" s="9" t="s">
        <v>1094</v>
      </c>
      <c r="I144" s="9" t="s">
        <v>1167</v>
      </c>
      <c r="J144" s="9" t="s">
        <v>1095</v>
      </c>
      <c r="K144" s="9" t="s">
        <v>1446</v>
      </c>
      <c r="L144" s="10" t="s">
        <v>1407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1447</v>
      </c>
      <c r="B145" s="10" t="s">
        <v>1448</v>
      </c>
      <c r="C145" s="9" t="s">
        <v>71</v>
      </c>
      <c r="D145" s="10" t="s">
        <v>1166</v>
      </c>
      <c r="E145" s="11" t="n">
        <v>0.1</v>
      </c>
      <c r="F145" s="9"/>
      <c r="G145" s="9"/>
      <c r="H145" s="9" t="s">
        <v>1094</v>
      </c>
      <c r="I145" s="9" t="s">
        <v>1167</v>
      </c>
      <c r="J145" s="9" t="s">
        <v>1095</v>
      </c>
      <c r="K145" s="9" t="s">
        <v>1449</v>
      </c>
      <c r="L145" s="10" t="s">
        <v>1407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1450</v>
      </c>
      <c r="B146" s="10" t="s">
        <v>1451</v>
      </c>
      <c r="C146" s="9" t="s">
        <v>71</v>
      </c>
      <c r="D146" s="10" t="s">
        <v>1166</v>
      </c>
      <c r="E146" s="11" t="n">
        <v>-0.3</v>
      </c>
      <c r="F146" s="9"/>
      <c r="G146" s="9"/>
      <c r="H146" s="9" t="s">
        <v>1094</v>
      </c>
      <c r="I146" s="9" t="s">
        <v>1167</v>
      </c>
      <c r="J146" s="9" t="s">
        <v>1095</v>
      </c>
      <c r="K146" s="9" t="s">
        <v>1452</v>
      </c>
      <c r="L146" s="10" t="s">
        <v>1407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1453</v>
      </c>
      <c r="B147" s="10" t="s">
        <v>1454</v>
      </c>
      <c r="C147" s="9" t="s">
        <v>71</v>
      </c>
      <c r="D147" s="10" t="s">
        <v>1166</v>
      </c>
      <c r="E147" s="11" t="n">
        <v>-0.4</v>
      </c>
      <c r="F147" s="9"/>
      <c r="G147" s="9"/>
      <c r="H147" s="9" t="s">
        <v>1094</v>
      </c>
      <c r="I147" s="9" t="s">
        <v>1167</v>
      </c>
      <c r="J147" s="9" t="s">
        <v>1095</v>
      </c>
      <c r="K147" s="9" t="s">
        <v>1455</v>
      </c>
      <c r="L147" s="10" t="s">
        <v>1407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1456</v>
      </c>
      <c r="B148" s="10" t="s">
        <v>1457</v>
      </c>
      <c r="C148" s="9" t="s">
        <v>71</v>
      </c>
      <c r="D148" s="10" t="s">
        <v>1166</v>
      </c>
      <c r="E148" s="11" t="n">
        <v>-0.4</v>
      </c>
      <c r="F148" s="9"/>
      <c r="G148" s="9"/>
      <c r="H148" s="9" t="s">
        <v>1094</v>
      </c>
      <c r="I148" s="9" t="s">
        <v>1167</v>
      </c>
      <c r="J148" s="9" t="s">
        <v>1095</v>
      </c>
      <c r="K148" s="9" t="s">
        <v>1458</v>
      </c>
      <c r="L148" s="10" t="s">
        <v>1407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1459</v>
      </c>
      <c r="B149" s="10" t="s">
        <v>1460</v>
      </c>
      <c r="C149" s="9" t="s">
        <v>1461</v>
      </c>
      <c r="D149" s="10" t="s">
        <v>120</v>
      </c>
      <c r="E149" s="11" t="n">
        <v>0.9</v>
      </c>
      <c r="F149" s="9"/>
      <c r="G149" s="9"/>
      <c r="H149" s="9" t="s">
        <v>1130</v>
      </c>
      <c r="I149" s="9" t="s">
        <v>71</v>
      </c>
      <c r="J149" s="10" t="s">
        <v>1462</v>
      </c>
      <c r="K149" s="9" t="s">
        <v>1463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1464</v>
      </c>
      <c r="B150" s="10" t="s">
        <v>1460</v>
      </c>
      <c r="C150" s="9" t="s">
        <v>1465</v>
      </c>
      <c r="D150" s="10" t="s">
        <v>120</v>
      </c>
      <c r="E150" s="11" t="n">
        <v>0.1</v>
      </c>
      <c r="F150" s="9"/>
      <c r="G150" s="9"/>
      <c r="H150" s="9" t="s">
        <v>1130</v>
      </c>
      <c r="I150" s="9" t="s">
        <v>71</v>
      </c>
      <c r="J150" s="10" t="s">
        <v>1462</v>
      </c>
      <c r="K150" s="9" t="s">
        <v>1463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1466</v>
      </c>
      <c r="B151" s="10" t="s">
        <v>1460</v>
      </c>
      <c r="C151" s="9" t="s">
        <v>1467</v>
      </c>
      <c r="D151" s="10" t="s">
        <v>120</v>
      </c>
      <c r="E151" s="11" t="n">
        <v>0</v>
      </c>
      <c r="F151" s="9"/>
      <c r="G151" s="9"/>
      <c r="H151" s="9" t="s">
        <v>1130</v>
      </c>
      <c r="I151" s="9" t="s">
        <v>71</v>
      </c>
      <c r="J151" s="10" t="s">
        <v>1462</v>
      </c>
      <c r="K151" s="9" t="s">
        <v>1463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1468</v>
      </c>
      <c r="B152" s="10" t="s">
        <v>1460</v>
      </c>
      <c r="C152" s="10" t="s">
        <v>1469</v>
      </c>
      <c r="D152" s="10" t="s">
        <v>120</v>
      </c>
      <c r="E152" s="11" t="n">
        <v>0.25</v>
      </c>
      <c r="F152" s="9"/>
      <c r="G152" s="9"/>
      <c r="H152" s="9" t="s">
        <v>1130</v>
      </c>
      <c r="I152" s="9" t="s">
        <v>71</v>
      </c>
      <c r="J152" s="10" t="s">
        <v>1462</v>
      </c>
      <c r="K152" s="9" t="s">
        <v>1463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1470</v>
      </c>
      <c r="B153" s="10" t="s">
        <v>1460</v>
      </c>
      <c r="C153" s="10" t="s">
        <v>1471</v>
      </c>
      <c r="D153" s="10" t="s">
        <v>120</v>
      </c>
      <c r="E153" s="11" t="n">
        <v>0.4</v>
      </c>
      <c r="F153" s="9"/>
      <c r="G153" s="9"/>
      <c r="H153" s="9" t="s">
        <v>1130</v>
      </c>
      <c r="I153" s="9" t="s">
        <v>71</v>
      </c>
      <c r="J153" s="10" t="s">
        <v>1462</v>
      </c>
      <c r="K153" s="9" t="s">
        <v>1463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1472</v>
      </c>
      <c r="B154" s="10" t="s">
        <v>1473</v>
      </c>
      <c r="C154" s="9" t="s">
        <v>1461</v>
      </c>
      <c r="D154" s="10" t="s">
        <v>120</v>
      </c>
      <c r="E154" s="11" t="n">
        <v>0.85</v>
      </c>
      <c r="F154" s="9"/>
      <c r="G154" s="9"/>
      <c r="H154" s="9" t="s">
        <v>1130</v>
      </c>
      <c r="I154" s="9" t="s">
        <v>71</v>
      </c>
      <c r="J154" s="10" t="s">
        <v>1462</v>
      </c>
      <c r="K154" s="9" t="s">
        <v>1474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1475</v>
      </c>
      <c r="B155" s="10" t="s">
        <v>1473</v>
      </c>
      <c r="C155" s="9" t="s">
        <v>1465</v>
      </c>
      <c r="D155" s="10" t="s">
        <v>120</v>
      </c>
      <c r="E155" s="11" t="n">
        <v>0.15</v>
      </c>
      <c r="F155" s="9"/>
      <c r="G155" s="9"/>
      <c r="H155" s="9" t="s">
        <v>1130</v>
      </c>
      <c r="I155" s="9" t="s">
        <v>71</v>
      </c>
      <c r="J155" s="10" t="s">
        <v>1462</v>
      </c>
      <c r="K155" s="9" t="s">
        <v>1474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1476</v>
      </c>
      <c r="B156" s="10" t="s">
        <v>1473</v>
      </c>
      <c r="C156" s="9" t="s">
        <v>1467</v>
      </c>
      <c r="D156" s="10" t="s">
        <v>120</v>
      </c>
      <c r="E156" s="11" t="n">
        <v>0</v>
      </c>
      <c r="F156" s="9"/>
      <c r="G156" s="9"/>
      <c r="H156" s="9" t="s">
        <v>1130</v>
      </c>
      <c r="I156" s="9" t="s">
        <v>71</v>
      </c>
      <c r="J156" s="10" t="s">
        <v>1462</v>
      </c>
      <c r="K156" s="9" t="s">
        <v>1474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1477</v>
      </c>
      <c r="B157" s="10" t="s">
        <v>1473</v>
      </c>
      <c r="C157" s="10" t="s">
        <v>1469</v>
      </c>
      <c r="D157" s="10" t="s">
        <v>120</v>
      </c>
      <c r="E157" s="11" t="n">
        <v>0.25</v>
      </c>
      <c r="F157" s="9"/>
      <c r="G157" s="9"/>
      <c r="H157" s="9" t="s">
        <v>1130</v>
      </c>
      <c r="I157" s="9" t="s">
        <v>71</v>
      </c>
      <c r="J157" s="10" t="s">
        <v>1462</v>
      </c>
      <c r="K157" s="9" t="s">
        <v>1474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1478</v>
      </c>
      <c r="B158" s="10" t="s">
        <v>1473</v>
      </c>
      <c r="C158" s="10" t="s">
        <v>1471</v>
      </c>
      <c r="D158" s="10" t="s">
        <v>120</v>
      </c>
      <c r="E158" s="11" t="n">
        <v>0.4</v>
      </c>
      <c r="F158" s="9"/>
      <c r="G158" s="9"/>
      <c r="H158" s="9" t="s">
        <v>1130</v>
      </c>
      <c r="I158" s="9" t="s">
        <v>71</v>
      </c>
      <c r="J158" s="10" t="s">
        <v>1462</v>
      </c>
      <c r="K158" s="9" t="s">
        <v>1474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1479</v>
      </c>
      <c r="B159" s="10" t="s">
        <v>1480</v>
      </c>
      <c r="C159" s="9" t="s">
        <v>1461</v>
      </c>
      <c r="D159" s="10" t="s">
        <v>120</v>
      </c>
      <c r="E159" s="11" t="n">
        <v>0.35</v>
      </c>
      <c r="F159" s="9"/>
      <c r="G159" s="9"/>
      <c r="H159" s="9" t="s">
        <v>1130</v>
      </c>
      <c r="I159" s="9" t="s">
        <v>71</v>
      </c>
      <c r="J159" s="10" t="s">
        <v>1462</v>
      </c>
      <c r="K159" s="9" t="s">
        <v>1481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1482</v>
      </c>
      <c r="B160" s="10" t="s">
        <v>1480</v>
      </c>
      <c r="C160" s="9" t="s">
        <v>1465</v>
      </c>
      <c r="D160" s="10" t="s">
        <v>120</v>
      </c>
      <c r="E160" s="11" t="n">
        <v>0.6</v>
      </c>
      <c r="F160" s="9"/>
      <c r="G160" s="9"/>
      <c r="H160" s="9" t="s">
        <v>1130</v>
      </c>
      <c r="I160" s="9" t="s">
        <v>71</v>
      </c>
      <c r="J160" s="10" t="s">
        <v>1462</v>
      </c>
      <c r="K160" s="9" t="s">
        <v>1481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1483</v>
      </c>
      <c r="B161" s="10" t="s">
        <v>1480</v>
      </c>
      <c r="C161" s="9" t="s">
        <v>1467</v>
      </c>
      <c r="D161" s="10" t="s">
        <v>120</v>
      </c>
      <c r="E161" s="11" t="n">
        <v>0.05</v>
      </c>
      <c r="F161" s="9"/>
      <c r="G161" s="9"/>
      <c r="H161" s="9" t="s">
        <v>1130</v>
      </c>
      <c r="I161" s="9" t="s">
        <v>71</v>
      </c>
      <c r="J161" s="10" t="s">
        <v>1462</v>
      </c>
      <c r="K161" s="9" t="s">
        <v>1481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1484</v>
      </c>
      <c r="B162" s="10" t="s">
        <v>1480</v>
      </c>
      <c r="C162" s="10" t="s">
        <v>1469</v>
      </c>
      <c r="D162" s="10" t="s">
        <v>120</v>
      </c>
      <c r="E162" s="11" t="n">
        <v>0.4</v>
      </c>
      <c r="F162" s="9"/>
      <c r="G162" s="9"/>
      <c r="H162" s="9" t="s">
        <v>1130</v>
      </c>
      <c r="I162" s="9" t="s">
        <v>71</v>
      </c>
      <c r="J162" s="10" t="s">
        <v>1462</v>
      </c>
      <c r="K162" s="9" t="s">
        <v>1481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1485</v>
      </c>
      <c r="B163" s="10" t="s">
        <v>1480</v>
      </c>
      <c r="C163" s="10" t="s">
        <v>1471</v>
      </c>
      <c r="D163" s="10" t="s">
        <v>120</v>
      </c>
      <c r="E163" s="11" t="n">
        <v>0.5</v>
      </c>
      <c r="F163" s="9"/>
      <c r="G163" s="9"/>
      <c r="H163" s="9" t="s">
        <v>1130</v>
      </c>
      <c r="I163" s="9" t="s">
        <v>71</v>
      </c>
      <c r="J163" s="10" t="s">
        <v>1462</v>
      </c>
      <c r="K163" s="9" t="s">
        <v>1481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1486</v>
      </c>
      <c r="B164" s="10" t="s">
        <v>1487</v>
      </c>
      <c r="C164" s="9" t="s">
        <v>1461</v>
      </c>
      <c r="D164" s="10" t="s">
        <v>120</v>
      </c>
      <c r="E164" s="11" t="n">
        <v>0.1</v>
      </c>
      <c r="F164" s="9"/>
      <c r="G164" s="9"/>
      <c r="H164" s="9" t="s">
        <v>1130</v>
      </c>
      <c r="I164" s="9" t="s">
        <v>71</v>
      </c>
      <c r="J164" s="10" t="s">
        <v>1462</v>
      </c>
      <c r="K164" s="9" t="s">
        <v>1488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1489</v>
      </c>
      <c r="B165" s="10" t="s">
        <v>1487</v>
      </c>
      <c r="C165" s="9" t="s">
        <v>1465</v>
      </c>
      <c r="D165" s="10" t="s">
        <v>120</v>
      </c>
      <c r="E165" s="11" t="n">
        <v>0.5</v>
      </c>
      <c r="F165" s="9"/>
      <c r="G165" s="9"/>
      <c r="H165" s="9" t="s">
        <v>1130</v>
      </c>
      <c r="I165" s="9" t="s">
        <v>71</v>
      </c>
      <c r="J165" s="10" t="s">
        <v>1462</v>
      </c>
      <c r="K165" s="9" t="s">
        <v>1488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1490</v>
      </c>
      <c r="B166" s="10" t="s">
        <v>1487</v>
      </c>
      <c r="C166" s="9" t="s">
        <v>1467</v>
      </c>
      <c r="D166" s="10" t="s">
        <v>120</v>
      </c>
      <c r="E166" s="11" t="n">
        <v>0.4</v>
      </c>
      <c r="F166" s="9"/>
      <c r="G166" s="9"/>
      <c r="H166" s="9" t="s">
        <v>1130</v>
      </c>
      <c r="I166" s="9" t="s">
        <v>71</v>
      </c>
      <c r="J166" s="10" t="s">
        <v>1462</v>
      </c>
      <c r="K166" s="9" t="s">
        <v>1488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1491</v>
      </c>
      <c r="B167" s="10" t="s">
        <v>1487</v>
      </c>
      <c r="C167" s="10" t="s">
        <v>1469</v>
      </c>
      <c r="D167" s="10" t="s">
        <v>120</v>
      </c>
      <c r="E167" s="11" t="n">
        <v>0.5</v>
      </c>
      <c r="F167" s="9"/>
      <c r="G167" s="9"/>
      <c r="H167" s="9" t="s">
        <v>1130</v>
      </c>
      <c r="I167" s="9" t="s">
        <v>71</v>
      </c>
      <c r="J167" s="10" t="s">
        <v>1462</v>
      </c>
      <c r="K167" s="9" t="s">
        <v>1488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1492</v>
      </c>
      <c r="B168" s="10" t="s">
        <v>1487</v>
      </c>
      <c r="C168" s="10" t="s">
        <v>1471</v>
      </c>
      <c r="D168" s="10" t="s">
        <v>120</v>
      </c>
      <c r="E168" s="11" t="n">
        <v>0.6</v>
      </c>
      <c r="F168" s="9"/>
      <c r="G168" s="9"/>
      <c r="H168" s="9" t="s">
        <v>1130</v>
      </c>
      <c r="I168" s="9" t="s">
        <v>71</v>
      </c>
      <c r="J168" s="10" t="s">
        <v>1462</v>
      </c>
      <c r="K168" s="9" t="s">
        <v>1488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1493</v>
      </c>
      <c r="B169" s="10" t="s">
        <v>1494</v>
      </c>
      <c r="C169" s="9" t="s">
        <v>1461</v>
      </c>
      <c r="D169" s="10" t="s">
        <v>120</v>
      </c>
      <c r="E169" s="11" t="n">
        <v>0.3</v>
      </c>
      <c r="F169" s="9"/>
      <c r="G169" s="9"/>
      <c r="H169" s="9" t="s">
        <v>1130</v>
      </c>
      <c r="I169" s="9" t="s">
        <v>71</v>
      </c>
      <c r="J169" s="10" t="s">
        <v>1462</v>
      </c>
      <c r="K169" s="9" t="s">
        <v>1495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1496</v>
      </c>
      <c r="B170" s="10" t="s">
        <v>1494</v>
      </c>
      <c r="C170" s="9" t="s">
        <v>1465</v>
      </c>
      <c r="D170" s="10" t="s">
        <v>120</v>
      </c>
      <c r="E170" s="11" t="n">
        <v>0.65</v>
      </c>
      <c r="F170" s="9"/>
      <c r="G170" s="9"/>
      <c r="H170" s="9" t="s">
        <v>1130</v>
      </c>
      <c r="I170" s="9" t="s">
        <v>71</v>
      </c>
      <c r="J170" s="10" t="s">
        <v>1462</v>
      </c>
      <c r="K170" s="9" t="s">
        <v>1495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1497</v>
      </c>
      <c r="B171" s="10" t="s">
        <v>1494</v>
      </c>
      <c r="C171" s="9" t="s">
        <v>1467</v>
      </c>
      <c r="D171" s="10" t="s">
        <v>120</v>
      </c>
      <c r="E171" s="11" t="n">
        <v>0.05</v>
      </c>
      <c r="F171" s="9"/>
      <c r="G171" s="9"/>
      <c r="H171" s="9" t="s">
        <v>1130</v>
      </c>
      <c r="I171" s="9" t="s">
        <v>71</v>
      </c>
      <c r="J171" s="10" t="s">
        <v>1462</v>
      </c>
      <c r="K171" s="9" t="s">
        <v>1495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1498</v>
      </c>
      <c r="B172" s="10" t="s">
        <v>1494</v>
      </c>
      <c r="C172" s="10" t="s">
        <v>1469</v>
      </c>
      <c r="D172" s="10" t="s">
        <v>120</v>
      </c>
      <c r="E172" s="11" t="n">
        <v>0.35</v>
      </c>
      <c r="F172" s="9"/>
      <c r="G172" s="9"/>
      <c r="H172" s="9" t="s">
        <v>1130</v>
      </c>
      <c r="I172" s="9" t="s">
        <v>71</v>
      </c>
      <c r="J172" s="10" t="s">
        <v>1462</v>
      </c>
      <c r="K172" s="9" t="s">
        <v>1495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1499</v>
      </c>
      <c r="B173" s="10" t="s">
        <v>1494</v>
      </c>
      <c r="C173" s="10" t="s">
        <v>1471</v>
      </c>
      <c r="D173" s="10" t="s">
        <v>120</v>
      </c>
      <c r="E173" s="11" t="n">
        <v>0.55</v>
      </c>
      <c r="F173" s="9"/>
      <c r="G173" s="9"/>
      <c r="H173" s="9" t="s">
        <v>1130</v>
      </c>
      <c r="I173" s="9" t="s">
        <v>71</v>
      </c>
      <c r="J173" s="10" t="s">
        <v>1462</v>
      </c>
      <c r="K173" s="9" t="s">
        <v>1495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1500</v>
      </c>
      <c r="B174" s="9" t="s">
        <v>1501</v>
      </c>
      <c r="C174" s="9" t="s">
        <v>71</v>
      </c>
      <c r="D174" s="10" t="s">
        <v>120</v>
      </c>
      <c r="E174" s="11" t="n">
        <v>0.5</v>
      </c>
      <c r="F174" s="11" t="n">
        <v>0.3</v>
      </c>
      <c r="G174" s="11" t="n">
        <v>0.65</v>
      </c>
      <c r="H174" s="9" t="s">
        <v>1130</v>
      </c>
      <c r="I174" s="9" t="s">
        <v>1502</v>
      </c>
      <c r="J174" s="9" t="s">
        <v>1095</v>
      </c>
      <c r="K174" s="9" t="s">
        <v>1503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1504</v>
      </c>
      <c r="B175" s="10" t="s">
        <v>1505</v>
      </c>
      <c r="C175" s="9" t="s">
        <v>71</v>
      </c>
      <c r="D175" s="10" t="s">
        <v>1506</v>
      </c>
      <c r="E175" s="9" t="s">
        <v>1507</v>
      </c>
      <c r="F175" s="9"/>
      <c r="G175" s="9"/>
      <c r="H175" s="9" t="s">
        <v>1094</v>
      </c>
      <c r="I175" s="9" t="s">
        <v>1508</v>
      </c>
      <c r="J175" s="9" t="s">
        <v>1095</v>
      </c>
      <c r="K175" s="9" t="s">
        <v>1509</v>
      </c>
      <c r="L175" s="10" t="s">
        <v>1510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1511</v>
      </c>
      <c r="B176" s="10" t="s">
        <v>1512</v>
      </c>
      <c r="C176" s="9" t="s">
        <v>71</v>
      </c>
      <c r="D176" s="10" t="s">
        <v>152</v>
      </c>
      <c r="E176" s="11" t="n">
        <v>2025</v>
      </c>
      <c r="F176" s="11" t="n">
        <v>2025</v>
      </c>
      <c r="G176" s="11" t="n">
        <v>2026</v>
      </c>
      <c r="H176" s="9" t="s">
        <v>1146</v>
      </c>
      <c r="I176" s="9" t="s">
        <v>1513</v>
      </c>
      <c r="J176" s="9" t="s">
        <v>1095</v>
      </c>
      <c r="K176" s="9" t="s">
        <v>356</v>
      </c>
      <c r="L176" s="9" t="s">
        <v>1514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1515</v>
      </c>
      <c r="B177" s="10" t="s">
        <v>1516</v>
      </c>
      <c r="C177" s="9" t="s">
        <v>71</v>
      </c>
      <c r="D177" s="10" t="s">
        <v>152</v>
      </c>
      <c r="E177" s="11" t="n">
        <v>2030</v>
      </c>
      <c r="F177" s="11" t="n">
        <v>2029</v>
      </c>
      <c r="G177" s="11" t="n">
        <v>2032</v>
      </c>
      <c r="H177" s="9" t="s">
        <v>1130</v>
      </c>
      <c r="I177" s="9" t="s">
        <v>1517</v>
      </c>
      <c r="J177" s="9" t="s">
        <v>1095</v>
      </c>
      <c r="K177" s="9" t="s">
        <v>356</v>
      </c>
      <c r="L177" s="9" t="s">
        <v>1518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1519</v>
      </c>
      <c r="B178" s="10" t="s">
        <v>1520</v>
      </c>
      <c r="C178" s="9" t="s">
        <v>71</v>
      </c>
      <c r="D178" s="9" t="s">
        <v>68</v>
      </c>
      <c r="E178" s="11" t="n">
        <v>20</v>
      </c>
      <c r="F178" s="11" t="n">
        <v>20</v>
      </c>
      <c r="G178" s="11" t="n">
        <v>25</v>
      </c>
      <c r="H178" s="9" t="s">
        <v>1130</v>
      </c>
      <c r="I178" s="9" t="s">
        <v>1517</v>
      </c>
      <c r="J178" s="9" t="s">
        <v>1095</v>
      </c>
      <c r="K178" s="9" t="s">
        <v>425</v>
      </c>
      <c r="L178" s="9" t="s">
        <v>1521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1522</v>
      </c>
      <c r="B179" s="10" t="s">
        <v>1523</v>
      </c>
      <c r="C179" s="9" t="s">
        <v>71</v>
      </c>
      <c r="D179" s="10" t="s">
        <v>152</v>
      </c>
      <c r="E179" s="11" t="n">
        <v>2031</v>
      </c>
      <c r="F179" s="11" t="n">
        <v>2029</v>
      </c>
      <c r="G179" s="11" t="n">
        <v>2032</v>
      </c>
      <c r="H179" s="9" t="s">
        <v>1130</v>
      </c>
      <c r="I179" s="9" t="s">
        <v>1517</v>
      </c>
      <c r="J179" s="9" t="s">
        <v>1095</v>
      </c>
      <c r="K179" s="9" t="s">
        <v>425</v>
      </c>
      <c r="L179" s="9" t="s">
        <v>1524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1525</v>
      </c>
      <c r="B180" s="10" t="s">
        <v>1526</v>
      </c>
      <c r="C180" s="9" t="s">
        <v>411</v>
      </c>
      <c r="D180" s="9" t="s">
        <v>68</v>
      </c>
      <c r="E180" s="11" t="n">
        <v>0</v>
      </c>
      <c r="F180" s="9"/>
      <c r="G180" s="9"/>
      <c r="H180" s="9" t="s">
        <v>1130</v>
      </c>
      <c r="I180" s="9" t="s">
        <v>71</v>
      </c>
      <c r="J180" s="9" t="s">
        <v>1095</v>
      </c>
      <c r="K180" s="9" t="s">
        <v>1527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1528</v>
      </c>
      <c r="B181" s="10" t="s">
        <v>1526</v>
      </c>
      <c r="C181" s="9" t="s">
        <v>423</v>
      </c>
      <c r="D181" s="9" t="s">
        <v>68</v>
      </c>
      <c r="E181" s="11" t="n">
        <v>20</v>
      </c>
      <c r="F181" s="9"/>
      <c r="G181" s="9"/>
      <c r="H181" s="9" t="s">
        <v>1130</v>
      </c>
      <c r="I181" s="9" t="s">
        <v>71</v>
      </c>
      <c r="J181" s="9" t="s">
        <v>1095</v>
      </c>
      <c r="K181" s="9" t="s">
        <v>1527</v>
      </c>
      <c r="L181" s="10" t="s">
        <v>1529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1530</v>
      </c>
      <c r="B182" s="10" t="s">
        <v>1526</v>
      </c>
      <c r="C182" s="9" t="s">
        <v>1207</v>
      </c>
      <c r="D182" s="9" t="s">
        <v>68</v>
      </c>
      <c r="E182" s="11" t="n">
        <v>30</v>
      </c>
      <c r="F182" s="9"/>
      <c r="G182" s="9"/>
      <c r="H182" s="9" t="s">
        <v>1130</v>
      </c>
      <c r="I182" s="9" t="s">
        <v>71</v>
      </c>
      <c r="J182" s="9" t="s">
        <v>1095</v>
      </c>
      <c r="K182" s="9" t="s">
        <v>1527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1531</v>
      </c>
      <c r="B183" s="10" t="s">
        <v>1526</v>
      </c>
      <c r="C183" s="9" t="s">
        <v>1209</v>
      </c>
      <c r="D183" s="9" t="s">
        <v>68</v>
      </c>
      <c r="E183" s="11" t="n">
        <v>45</v>
      </c>
      <c r="F183" s="9"/>
      <c r="G183" s="9"/>
      <c r="H183" s="9" t="s">
        <v>1130</v>
      </c>
      <c r="I183" s="9" t="s">
        <v>71</v>
      </c>
      <c r="J183" s="9" t="s">
        <v>1095</v>
      </c>
      <c r="K183" s="9" t="s">
        <v>1527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1532</v>
      </c>
      <c r="B184" s="10" t="s">
        <v>1526</v>
      </c>
      <c r="C184" s="9" t="s">
        <v>1211</v>
      </c>
      <c r="D184" s="9" t="s">
        <v>68</v>
      </c>
      <c r="E184" s="11" t="n">
        <v>60</v>
      </c>
      <c r="F184" s="9"/>
      <c r="G184" s="9"/>
      <c r="H184" s="9" t="s">
        <v>1130</v>
      </c>
      <c r="I184" s="9" t="s">
        <v>71</v>
      </c>
      <c r="J184" s="9" t="s">
        <v>1095</v>
      </c>
      <c r="K184" s="9" t="s">
        <v>1527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1533</v>
      </c>
      <c r="B185" s="10" t="s">
        <v>1526</v>
      </c>
      <c r="C185" s="9" t="s">
        <v>1213</v>
      </c>
      <c r="D185" s="9" t="s">
        <v>68</v>
      </c>
      <c r="E185" s="11" t="n">
        <v>70</v>
      </c>
      <c r="F185" s="9"/>
      <c r="G185" s="9"/>
      <c r="H185" s="9" t="s">
        <v>1130</v>
      </c>
      <c r="I185" s="9" t="s">
        <v>71</v>
      </c>
      <c r="J185" s="9" t="s">
        <v>1095</v>
      </c>
      <c r="K185" s="9" t="s">
        <v>1527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1534</v>
      </c>
      <c r="B186" s="10" t="s">
        <v>1535</v>
      </c>
      <c r="C186" s="9" t="s">
        <v>71</v>
      </c>
      <c r="D186" s="10" t="s">
        <v>560</v>
      </c>
      <c r="E186" s="11" t="n">
        <v>0.6</v>
      </c>
      <c r="F186" s="9"/>
      <c r="G186" s="9"/>
      <c r="H186" s="9" t="s">
        <v>1130</v>
      </c>
      <c r="I186" s="9" t="s">
        <v>71</v>
      </c>
      <c r="J186" s="9" t="s">
        <v>1095</v>
      </c>
      <c r="K186" s="9" t="s">
        <v>1527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1536</v>
      </c>
      <c r="B187" s="10" t="s">
        <v>1537</v>
      </c>
      <c r="C187" s="9" t="s">
        <v>71</v>
      </c>
      <c r="D187" s="10" t="s">
        <v>560</v>
      </c>
      <c r="E187" s="11" t="n">
        <v>1.5</v>
      </c>
      <c r="F187" s="9"/>
      <c r="G187" s="9"/>
      <c r="H187" s="9" t="s">
        <v>1130</v>
      </c>
      <c r="I187" s="9" t="s">
        <v>71</v>
      </c>
      <c r="J187" s="9" t="s">
        <v>1095</v>
      </c>
      <c r="K187" s="9" t="s">
        <v>1527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1538</v>
      </c>
      <c r="B188" s="10" t="s">
        <v>1539</v>
      </c>
      <c r="C188" s="9" t="s">
        <v>71</v>
      </c>
      <c r="D188" s="10" t="s">
        <v>120</v>
      </c>
      <c r="E188" s="11" t="n">
        <v>0</v>
      </c>
      <c r="F188" s="11" t="n">
        <v>0</v>
      </c>
      <c r="G188" s="11" t="n">
        <v>0.3</v>
      </c>
      <c r="H188" s="9" t="s">
        <v>1130</v>
      </c>
      <c r="I188" s="9" t="s">
        <v>1540</v>
      </c>
      <c r="J188" s="9" t="s">
        <v>1095</v>
      </c>
      <c r="K188" s="9" t="s">
        <v>1541</v>
      </c>
      <c r="L188" s="10" t="s">
        <v>1542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1543</v>
      </c>
      <c r="B189" s="10" t="s">
        <v>1544</v>
      </c>
      <c r="C189" s="9" t="s">
        <v>423</v>
      </c>
      <c r="D189" s="10" t="s">
        <v>120</v>
      </c>
      <c r="E189" s="11" t="n">
        <v>0.33</v>
      </c>
      <c r="F189" s="9"/>
      <c r="G189" s="9"/>
      <c r="H189" s="9" t="s">
        <v>1130</v>
      </c>
      <c r="I189" s="9" t="s">
        <v>1545</v>
      </c>
      <c r="J189" s="9" t="s">
        <v>1546</v>
      </c>
      <c r="K189" s="9" t="s">
        <v>1547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1548</v>
      </c>
      <c r="B190" s="10" t="s">
        <v>1544</v>
      </c>
      <c r="C190" s="9" t="s">
        <v>1207</v>
      </c>
      <c r="D190" s="10" t="s">
        <v>120</v>
      </c>
      <c r="E190" s="11" t="n">
        <v>0.265</v>
      </c>
      <c r="F190" s="9"/>
      <c r="G190" s="9"/>
      <c r="H190" s="9" t="s">
        <v>1130</v>
      </c>
      <c r="I190" s="9" t="s">
        <v>1545</v>
      </c>
      <c r="J190" s="9" t="s">
        <v>1546</v>
      </c>
      <c r="K190" s="9" t="s">
        <v>1547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1549</v>
      </c>
      <c r="B191" s="10" t="s">
        <v>1544</v>
      </c>
      <c r="C191" s="9" t="s">
        <v>1209</v>
      </c>
      <c r="D191" s="10" t="s">
        <v>120</v>
      </c>
      <c r="E191" s="11" t="n">
        <v>0.22</v>
      </c>
      <c r="F191" s="9"/>
      <c r="G191" s="9"/>
      <c r="H191" s="9" t="s">
        <v>1130</v>
      </c>
      <c r="I191" s="9" t="s">
        <v>1545</v>
      </c>
      <c r="J191" s="9" t="s">
        <v>1546</v>
      </c>
      <c r="K191" s="9" t="s">
        <v>1547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1550</v>
      </c>
      <c r="B192" s="10" t="s">
        <v>1544</v>
      </c>
      <c r="C192" s="9" t="s">
        <v>1211</v>
      </c>
      <c r="D192" s="10" t="s">
        <v>120</v>
      </c>
      <c r="E192" s="11" t="n">
        <v>0.18</v>
      </c>
      <c r="F192" s="9"/>
      <c r="G192" s="9"/>
      <c r="H192" s="9" t="s">
        <v>1130</v>
      </c>
      <c r="I192" s="9" t="s">
        <v>1545</v>
      </c>
      <c r="J192" s="9" t="s">
        <v>1546</v>
      </c>
      <c r="K192" s="9" t="s">
        <v>1547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1551</v>
      </c>
      <c r="B193" s="10" t="s">
        <v>1544</v>
      </c>
      <c r="C193" s="9" t="s">
        <v>1213</v>
      </c>
      <c r="D193" s="10" t="s">
        <v>120</v>
      </c>
      <c r="E193" s="11" t="n">
        <v>0.14</v>
      </c>
      <c r="F193" s="9"/>
      <c r="G193" s="9"/>
      <c r="H193" s="9" t="s">
        <v>1130</v>
      </c>
      <c r="I193" s="9" t="s">
        <v>1545</v>
      </c>
      <c r="J193" s="9" t="s">
        <v>1546</v>
      </c>
      <c r="K193" s="9" t="s">
        <v>1547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1552</v>
      </c>
      <c r="B194" s="10" t="s">
        <v>1553</v>
      </c>
      <c r="C194" s="9" t="s">
        <v>71</v>
      </c>
      <c r="D194" s="10" t="s">
        <v>560</v>
      </c>
      <c r="E194" s="11" t="n">
        <v>0.8</v>
      </c>
      <c r="F194" s="9"/>
      <c r="G194" s="9"/>
      <c r="H194" s="9" t="s">
        <v>1130</v>
      </c>
      <c r="I194" s="9" t="s">
        <v>1545</v>
      </c>
      <c r="J194" s="9" t="s">
        <v>1554</v>
      </c>
      <c r="K194" s="9" t="s">
        <v>1547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1555</v>
      </c>
      <c r="B195" s="10" t="s">
        <v>1556</v>
      </c>
      <c r="C195" s="9" t="s">
        <v>71</v>
      </c>
      <c r="D195" s="10" t="s">
        <v>560</v>
      </c>
      <c r="E195" s="11" t="n">
        <v>1.3</v>
      </c>
      <c r="F195" s="9"/>
      <c r="G195" s="9"/>
      <c r="H195" s="9" t="s">
        <v>1130</v>
      </c>
      <c r="I195" s="9" t="s">
        <v>1545</v>
      </c>
      <c r="J195" s="9" t="s">
        <v>1554</v>
      </c>
      <c r="K195" s="9" t="s">
        <v>1547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1557</v>
      </c>
      <c r="B196" s="10" t="s">
        <v>1558</v>
      </c>
      <c r="C196" s="9" t="s">
        <v>71</v>
      </c>
      <c r="D196" s="9" t="s">
        <v>68</v>
      </c>
      <c r="E196" s="11" t="n">
        <v>10</v>
      </c>
      <c r="F196" s="11" t="n">
        <v>5</v>
      </c>
      <c r="G196" s="11" t="n">
        <v>20</v>
      </c>
      <c r="H196" s="9" t="s">
        <v>1130</v>
      </c>
      <c r="I196" s="9" t="s">
        <v>1559</v>
      </c>
      <c r="J196" s="9" t="s">
        <v>1095</v>
      </c>
      <c r="K196" s="9" t="s">
        <v>1560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1561</v>
      </c>
      <c r="B197" s="10" t="s">
        <v>1562</v>
      </c>
      <c r="C197" s="9" t="s">
        <v>71</v>
      </c>
      <c r="D197" s="10" t="s">
        <v>560</v>
      </c>
      <c r="E197" s="11" t="n">
        <v>0.6</v>
      </c>
      <c r="F197" s="11" t="n">
        <v>0.4</v>
      </c>
      <c r="G197" s="11" t="n">
        <v>1</v>
      </c>
      <c r="H197" s="9" t="s">
        <v>1130</v>
      </c>
      <c r="I197" s="9" t="s">
        <v>71</v>
      </c>
      <c r="J197" s="9" t="s">
        <v>1563</v>
      </c>
      <c r="K197" s="9" t="s">
        <v>1564</v>
      </c>
      <c r="L197" s="9" t="s">
        <v>1565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1566</v>
      </c>
      <c r="B198" s="10" t="s">
        <v>1567</v>
      </c>
      <c r="C198" s="9" t="s">
        <v>411</v>
      </c>
      <c r="D198" s="10" t="s">
        <v>120</v>
      </c>
      <c r="E198" s="11" t="n">
        <v>0.6</v>
      </c>
      <c r="F198" s="9"/>
      <c r="G198" s="9"/>
      <c r="H198" s="9" t="s">
        <v>1130</v>
      </c>
      <c r="I198" s="9" t="s">
        <v>1568</v>
      </c>
      <c r="J198" s="9" t="s">
        <v>1569</v>
      </c>
      <c r="K198" s="9" t="s">
        <v>1570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1571</v>
      </c>
      <c r="B199" s="10" t="s">
        <v>1567</v>
      </c>
      <c r="C199" s="9" t="s">
        <v>423</v>
      </c>
      <c r="D199" s="10" t="s">
        <v>120</v>
      </c>
      <c r="E199" s="11" t="n">
        <v>0.35</v>
      </c>
      <c r="F199" s="9"/>
      <c r="G199" s="9"/>
      <c r="H199" s="9" t="s">
        <v>1130</v>
      </c>
      <c r="I199" s="9" t="s">
        <v>1568</v>
      </c>
      <c r="J199" s="9" t="s">
        <v>1569</v>
      </c>
      <c r="K199" s="9" t="s">
        <v>1570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1572</v>
      </c>
      <c r="B200" s="10" t="s">
        <v>1567</v>
      </c>
      <c r="C200" s="9" t="s">
        <v>1207</v>
      </c>
      <c r="D200" s="10" t="s">
        <v>120</v>
      </c>
      <c r="E200" s="11" t="n">
        <v>0.15</v>
      </c>
      <c r="F200" s="9"/>
      <c r="G200" s="9"/>
      <c r="H200" s="9" t="s">
        <v>1130</v>
      </c>
      <c r="I200" s="9" t="s">
        <v>1568</v>
      </c>
      <c r="J200" s="9" t="s">
        <v>1569</v>
      </c>
      <c r="K200" s="9" t="s">
        <v>1570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1573</v>
      </c>
      <c r="B201" s="10" t="s">
        <v>1567</v>
      </c>
      <c r="C201" s="9" t="s">
        <v>1209</v>
      </c>
      <c r="D201" s="10" t="s">
        <v>120</v>
      </c>
      <c r="E201" s="11" t="n">
        <v>0.05</v>
      </c>
      <c r="F201" s="9"/>
      <c r="G201" s="9"/>
      <c r="H201" s="9" t="s">
        <v>1130</v>
      </c>
      <c r="I201" s="9" t="s">
        <v>1568</v>
      </c>
      <c r="J201" s="9" t="s">
        <v>1569</v>
      </c>
      <c r="K201" s="9" t="s">
        <v>1570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1574</v>
      </c>
      <c r="B202" s="10" t="s">
        <v>1567</v>
      </c>
      <c r="C202" s="9" t="s">
        <v>1211</v>
      </c>
      <c r="D202" s="10" t="s">
        <v>120</v>
      </c>
      <c r="E202" s="11" t="n">
        <v>0</v>
      </c>
      <c r="F202" s="9"/>
      <c r="G202" s="9"/>
      <c r="H202" s="9" t="s">
        <v>1130</v>
      </c>
      <c r="I202" s="9" t="s">
        <v>1568</v>
      </c>
      <c r="J202" s="9" t="s">
        <v>1569</v>
      </c>
      <c r="K202" s="9" t="s">
        <v>1570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1575</v>
      </c>
      <c r="B203" s="10" t="s">
        <v>1567</v>
      </c>
      <c r="C203" s="9" t="s">
        <v>1213</v>
      </c>
      <c r="D203" s="10" t="s">
        <v>120</v>
      </c>
      <c r="E203" s="11" t="n">
        <v>0</v>
      </c>
      <c r="F203" s="9"/>
      <c r="G203" s="9"/>
      <c r="H203" s="9" t="s">
        <v>1130</v>
      </c>
      <c r="I203" s="9" t="s">
        <v>1568</v>
      </c>
      <c r="J203" s="9" t="s">
        <v>1569</v>
      </c>
      <c r="K203" s="9" t="s">
        <v>1570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1576</v>
      </c>
      <c r="B204" s="10" t="s">
        <v>1577</v>
      </c>
      <c r="C204" s="9" t="s">
        <v>411</v>
      </c>
      <c r="D204" s="10" t="s">
        <v>120</v>
      </c>
      <c r="E204" s="11" t="n">
        <v>0.4</v>
      </c>
      <c r="F204" s="9"/>
      <c r="G204" s="9"/>
      <c r="H204" s="9" t="s">
        <v>1130</v>
      </c>
      <c r="I204" s="9" t="s">
        <v>1568</v>
      </c>
      <c r="J204" s="9" t="s">
        <v>1569</v>
      </c>
      <c r="K204" s="9" t="s">
        <v>1578</v>
      </c>
      <c r="L204" s="9" t="s">
        <v>1579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1580</v>
      </c>
      <c r="B205" s="10" t="s">
        <v>1577</v>
      </c>
      <c r="C205" s="9" t="s">
        <v>423</v>
      </c>
      <c r="D205" s="10" t="s">
        <v>120</v>
      </c>
      <c r="E205" s="11" t="n">
        <v>0.55</v>
      </c>
      <c r="F205" s="9"/>
      <c r="G205" s="9"/>
      <c r="H205" s="9" t="s">
        <v>1130</v>
      </c>
      <c r="I205" s="9" t="s">
        <v>1568</v>
      </c>
      <c r="J205" s="9" t="s">
        <v>1569</v>
      </c>
      <c r="K205" s="9" t="s">
        <v>1578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1581</v>
      </c>
      <c r="B206" s="10" t="s">
        <v>1577</v>
      </c>
      <c r="C206" s="9" t="s">
        <v>1207</v>
      </c>
      <c r="D206" s="10" t="s">
        <v>120</v>
      </c>
      <c r="E206" s="11" t="n">
        <v>0.45</v>
      </c>
      <c r="F206" s="9"/>
      <c r="G206" s="9"/>
      <c r="H206" s="9" t="s">
        <v>1130</v>
      </c>
      <c r="I206" s="9" t="s">
        <v>1568</v>
      </c>
      <c r="J206" s="9" t="s">
        <v>1569</v>
      </c>
      <c r="K206" s="9" t="s">
        <v>1578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1582</v>
      </c>
      <c r="B207" s="10" t="s">
        <v>1577</v>
      </c>
      <c r="C207" s="9" t="s">
        <v>1209</v>
      </c>
      <c r="D207" s="10" t="s">
        <v>120</v>
      </c>
      <c r="E207" s="11" t="n">
        <v>0.3</v>
      </c>
      <c r="F207" s="9"/>
      <c r="G207" s="9"/>
      <c r="H207" s="9" t="s">
        <v>1130</v>
      </c>
      <c r="I207" s="9" t="s">
        <v>1568</v>
      </c>
      <c r="J207" s="9" t="s">
        <v>1569</v>
      </c>
      <c r="K207" s="9" t="s">
        <v>1578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1583</v>
      </c>
      <c r="B208" s="10" t="s">
        <v>1577</v>
      </c>
      <c r="C208" s="9" t="s">
        <v>1211</v>
      </c>
      <c r="D208" s="10" t="s">
        <v>120</v>
      </c>
      <c r="E208" s="11" t="n">
        <v>0.2</v>
      </c>
      <c r="F208" s="9"/>
      <c r="G208" s="9"/>
      <c r="H208" s="9" t="s">
        <v>1130</v>
      </c>
      <c r="I208" s="9" t="s">
        <v>1568</v>
      </c>
      <c r="J208" s="9" t="s">
        <v>1569</v>
      </c>
      <c r="K208" s="9" t="s">
        <v>1578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1584</v>
      </c>
      <c r="B209" s="10" t="s">
        <v>1577</v>
      </c>
      <c r="C209" s="9" t="s">
        <v>1213</v>
      </c>
      <c r="D209" s="10" t="s">
        <v>120</v>
      </c>
      <c r="E209" s="11" t="n">
        <v>0.1</v>
      </c>
      <c r="F209" s="9"/>
      <c r="G209" s="9"/>
      <c r="H209" s="9" t="s">
        <v>1130</v>
      </c>
      <c r="I209" s="9" t="s">
        <v>1568</v>
      </c>
      <c r="J209" s="9" t="s">
        <v>1569</v>
      </c>
      <c r="K209" s="9" t="s">
        <v>1578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1585</v>
      </c>
      <c r="B210" s="10" t="s">
        <v>1586</v>
      </c>
      <c r="C210" s="9" t="s">
        <v>411</v>
      </c>
      <c r="D210" s="10" t="s">
        <v>120</v>
      </c>
      <c r="E210" s="11" t="n">
        <v>0</v>
      </c>
      <c r="F210" s="9"/>
      <c r="G210" s="9"/>
      <c r="H210" s="9" t="s">
        <v>1130</v>
      </c>
      <c r="I210" s="9" t="s">
        <v>1568</v>
      </c>
      <c r="J210" s="9" t="s">
        <v>1569</v>
      </c>
      <c r="K210" s="9" t="s">
        <v>1587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1588</v>
      </c>
      <c r="B211" s="10" t="s">
        <v>1586</v>
      </c>
      <c r="C211" s="9" t="s">
        <v>423</v>
      </c>
      <c r="D211" s="10" t="s">
        <v>120</v>
      </c>
      <c r="E211" s="11" t="n">
        <v>0.05</v>
      </c>
      <c r="F211" s="9"/>
      <c r="G211" s="9"/>
      <c r="H211" s="9" t="s">
        <v>1130</v>
      </c>
      <c r="I211" s="9" t="s">
        <v>1568</v>
      </c>
      <c r="J211" s="9" t="s">
        <v>1569</v>
      </c>
      <c r="K211" s="9" t="s">
        <v>1587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1589</v>
      </c>
      <c r="B212" s="10" t="s">
        <v>1586</v>
      </c>
      <c r="C212" s="9" t="s">
        <v>1207</v>
      </c>
      <c r="D212" s="10" t="s">
        <v>120</v>
      </c>
      <c r="E212" s="11" t="n">
        <v>0.3</v>
      </c>
      <c r="F212" s="9"/>
      <c r="G212" s="9"/>
      <c r="H212" s="9" t="s">
        <v>1130</v>
      </c>
      <c r="I212" s="9" t="s">
        <v>1568</v>
      </c>
      <c r="J212" s="9" t="s">
        <v>1569</v>
      </c>
      <c r="K212" s="9" t="s">
        <v>1587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1590</v>
      </c>
      <c r="B213" s="10" t="s">
        <v>1586</v>
      </c>
      <c r="C213" s="9" t="s">
        <v>1209</v>
      </c>
      <c r="D213" s="10" t="s">
        <v>120</v>
      </c>
      <c r="E213" s="11" t="n">
        <v>0.45</v>
      </c>
      <c r="F213" s="9"/>
      <c r="G213" s="9"/>
      <c r="H213" s="9" t="s">
        <v>1130</v>
      </c>
      <c r="I213" s="9" t="s">
        <v>1568</v>
      </c>
      <c r="J213" s="9" t="s">
        <v>1569</v>
      </c>
      <c r="K213" s="9" t="s">
        <v>1587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1591</v>
      </c>
      <c r="B214" s="10" t="s">
        <v>1586</v>
      </c>
      <c r="C214" s="9" t="s">
        <v>1211</v>
      </c>
      <c r="D214" s="10" t="s">
        <v>120</v>
      </c>
      <c r="E214" s="11" t="n">
        <v>0.5</v>
      </c>
      <c r="F214" s="9"/>
      <c r="G214" s="9"/>
      <c r="H214" s="9" t="s">
        <v>1130</v>
      </c>
      <c r="I214" s="9" t="s">
        <v>1568</v>
      </c>
      <c r="J214" s="9" t="s">
        <v>1569</v>
      </c>
      <c r="K214" s="9" t="s">
        <v>1587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1592</v>
      </c>
      <c r="B215" s="10" t="s">
        <v>1586</v>
      </c>
      <c r="C215" s="9" t="s">
        <v>1213</v>
      </c>
      <c r="D215" s="10" t="s">
        <v>120</v>
      </c>
      <c r="E215" s="11" t="n">
        <v>0.45</v>
      </c>
      <c r="F215" s="9"/>
      <c r="G215" s="9"/>
      <c r="H215" s="9" t="s">
        <v>1130</v>
      </c>
      <c r="I215" s="9" t="s">
        <v>1568</v>
      </c>
      <c r="J215" s="9" t="s">
        <v>1569</v>
      </c>
      <c r="K215" s="9" t="s">
        <v>1587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1593</v>
      </c>
      <c r="B216" s="10" t="s">
        <v>1594</v>
      </c>
      <c r="C216" s="9" t="s">
        <v>411</v>
      </c>
      <c r="D216" s="10" t="s">
        <v>120</v>
      </c>
      <c r="E216" s="11" t="n">
        <v>0</v>
      </c>
      <c r="F216" s="9"/>
      <c r="G216" s="9"/>
      <c r="H216" s="9" t="s">
        <v>1130</v>
      </c>
      <c r="I216" s="9" t="s">
        <v>1568</v>
      </c>
      <c r="J216" s="9" t="s">
        <v>1569</v>
      </c>
      <c r="K216" s="9" t="s">
        <v>1595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1596</v>
      </c>
      <c r="B217" s="10" t="s">
        <v>1594</v>
      </c>
      <c r="C217" s="9" t="s">
        <v>423</v>
      </c>
      <c r="D217" s="10" t="s">
        <v>120</v>
      </c>
      <c r="E217" s="11" t="n">
        <v>0</v>
      </c>
      <c r="F217" s="9"/>
      <c r="G217" s="9"/>
      <c r="H217" s="9" t="s">
        <v>1130</v>
      </c>
      <c r="I217" s="9" t="s">
        <v>1568</v>
      </c>
      <c r="J217" s="9" t="s">
        <v>1569</v>
      </c>
      <c r="K217" s="9" t="s">
        <v>1595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1597</v>
      </c>
      <c r="B218" s="10" t="s">
        <v>1594</v>
      </c>
      <c r="C218" s="9" t="s">
        <v>1207</v>
      </c>
      <c r="D218" s="10" t="s">
        <v>120</v>
      </c>
      <c r="E218" s="11" t="n">
        <v>0</v>
      </c>
      <c r="F218" s="9"/>
      <c r="G218" s="9"/>
      <c r="H218" s="9" t="s">
        <v>1130</v>
      </c>
      <c r="I218" s="9" t="s">
        <v>1568</v>
      </c>
      <c r="J218" s="9" t="s">
        <v>1569</v>
      </c>
      <c r="K218" s="9" t="s">
        <v>1595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1598</v>
      </c>
      <c r="B219" s="10" t="s">
        <v>1594</v>
      </c>
      <c r="C219" s="9" t="s">
        <v>1209</v>
      </c>
      <c r="D219" s="10" t="s">
        <v>120</v>
      </c>
      <c r="E219" s="11" t="n">
        <v>0.05</v>
      </c>
      <c r="F219" s="9"/>
      <c r="G219" s="9"/>
      <c r="H219" s="9" t="s">
        <v>1130</v>
      </c>
      <c r="I219" s="9" t="s">
        <v>1568</v>
      </c>
      <c r="J219" s="9" t="s">
        <v>1569</v>
      </c>
      <c r="K219" s="9" t="s">
        <v>1595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1599</v>
      </c>
      <c r="B220" s="10" t="s">
        <v>1594</v>
      </c>
      <c r="C220" s="9" t="s">
        <v>1211</v>
      </c>
      <c r="D220" s="10" t="s">
        <v>120</v>
      </c>
      <c r="E220" s="11" t="n">
        <v>0.1</v>
      </c>
      <c r="F220" s="9"/>
      <c r="G220" s="9"/>
      <c r="H220" s="9" t="s">
        <v>1130</v>
      </c>
      <c r="I220" s="9" t="s">
        <v>1568</v>
      </c>
      <c r="J220" s="9" t="s">
        <v>1569</v>
      </c>
      <c r="K220" s="9" t="s">
        <v>1595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1600</v>
      </c>
      <c r="B221" s="10" t="s">
        <v>1594</v>
      </c>
      <c r="C221" s="9" t="s">
        <v>1213</v>
      </c>
      <c r="D221" s="10" t="s">
        <v>120</v>
      </c>
      <c r="E221" s="11" t="n">
        <v>0.2</v>
      </c>
      <c r="F221" s="9"/>
      <c r="G221" s="9"/>
      <c r="H221" s="9" t="s">
        <v>1130</v>
      </c>
      <c r="I221" s="9" t="s">
        <v>1568</v>
      </c>
      <c r="J221" s="9" t="s">
        <v>1569</v>
      </c>
      <c r="K221" s="9" t="s">
        <v>1595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1601</v>
      </c>
      <c r="B222" s="10" t="s">
        <v>1602</v>
      </c>
      <c r="C222" s="9" t="s">
        <v>71</v>
      </c>
      <c r="D222" s="9" t="s">
        <v>1603</v>
      </c>
      <c r="E222" s="11" t="n">
        <v>12</v>
      </c>
      <c r="F222" s="11" t="n">
        <v>8</v>
      </c>
      <c r="G222" s="11" t="n">
        <v>20</v>
      </c>
      <c r="H222" s="9" t="s">
        <v>1146</v>
      </c>
      <c r="I222" s="9" t="s">
        <v>1604</v>
      </c>
      <c r="J222" s="9" t="s">
        <v>1605</v>
      </c>
      <c r="K222" s="9" t="s">
        <v>1606</v>
      </c>
      <c r="L222" s="10" t="s">
        <v>1607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1608</v>
      </c>
      <c r="B223" s="9" t="s">
        <v>1609</v>
      </c>
      <c r="C223" s="9" t="s">
        <v>71</v>
      </c>
      <c r="D223" s="9" t="s">
        <v>68</v>
      </c>
      <c r="E223" s="11" t="n">
        <v>1.41</v>
      </c>
      <c r="F223" s="11" t="n">
        <v>0</v>
      </c>
      <c r="G223" s="11" t="n">
        <v>2.91</v>
      </c>
      <c r="H223" s="9" t="s">
        <v>1130</v>
      </c>
      <c r="I223" s="9" t="s">
        <v>1610</v>
      </c>
      <c r="J223" s="9" t="s">
        <v>1611</v>
      </c>
      <c r="K223" s="9" t="s">
        <v>1612</v>
      </c>
      <c r="L223" s="10" t="s">
        <v>1613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1614</v>
      </c>
      <c r="B224" s="10" t="s">
        <v>1615</v>
      </c>
      <c r="C224" s="9" t="s">
        <v>71</v>
      </c>
      <c r="D224" s="10" t="s">
        <v>120</v>
      </c>
      <c r="E224" s="11" t="n">
        <v>0.1</v>
      </c>
      <c r="F224" s="9"/>
      <c r="G224" s="9"/>
      <c r="H224" s="9" t="s">
        <v>1130</v>
      </c>
      <c r="I224" s="9" t="s">
        <v>71</v>
      </c>
      <c r="J224" s="9" t="s">
        <v>1095</v>
      </c>
      <c r="K224" s="9" t="s">
        <v>1616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1617</v>
      </c>
      <c r="B225" s="10" t="s">
        <v>1618</v>
      </c>
      <c r="C225" s="9" t="s">
        <v>71</v>
      </c>
      <c r="D225" s="10" t="s">
        <v>120</v>
      </c>
      <c r="E225" s="11" t="n">
        <v>0.3</v>
      </c>
      <c r="F225" s="9"/>
      <c r="G225" s="9"/>
      <c r="H225" s="9" t="s">
        <v>1130</v>
      </c>
      <c r="I225" s="9" t="s">
        <v>1619</v>
      </c>
      <c r="J225" s="9" t="s">
        <v>1095</v>
      </c>
      <c r="K225" s="9" t="s">
        <v>1620</v>
      </c>
      <c r="L225" s="9" t="s">
        <v>1621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1622</v>
      </c>
      <c r="B226" s="10" t="s">
        <v>1623</v>
      </c>
      <c r="C226" s="9" t="s">
        <v>71</v>
      </c>
      <c r="D226" s="10" t="s">
        <v>560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1130</v>
      </c>
      <c r="I226" s="9" t="s">
        <v>1624</v>
      </c>
      <c r="J226" s="9" t="s">
        <v>1095</v>
      </c>
      <c r="K226" s="9" t="s">
        <v>1625</v>
      </c>
      <c r="L226" s="10" t="s">
        <v>1626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1627</v>
      </c>
      <c r="B227" s="10" t="s">
        <v>1628</v>
      </c>
      <c r="C227" s="9" t="s">
        <v>71</v>
      </c>
      <c r="D227" s="10" t="s">
        <v>560</v>
      </c>
      <c r="E227" s="11" t="n">
        <v>0.857142857142857</v>
      </c>
      <c r="F227" s="11" t="n">
        <v>0.8</v>
      </c>
      <c r="G227" s="11" t="n">
        <v>0.942857142857143</v>
      </c>
      <c r="H227" s="9" t="s">
        <v>1130</v>
      </c>
      <c r="I227" s="9" t="s">
        <v>1624</v>
      </c>
      <c r="J227" s="9" t="s">
        <v>1095</v>
      </c>
      <c r="K227" s="9" t="s">
        <v>1629</v>
      </c>
      <c r="L227" s="10" t="s">
        <v>1630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1631</v>
      </c>
      <c r="B228" s="9" t="s">
        <v>1632</v>
      </c>
      <c r="C228" s="9" t="s">
        <v>71</v>
      </c>
      <c r="D228" s="10" t="s">
        <v>120</v>
      </c>
      <c r="E228" s="11" t="n">
        <v>0.008</v>
      </c>
      <c r="F228" s="11" t="n">
        <v>0.005</v>
      </c>
      <c r="G228" s="11" t="n">
        <v>0.01</v>
      </c>
      <c r="H228" s="9" t="s">
        <v>1130</v>
      </c>
      <c r="I228" s="9" t="s">
        <v>1633</v>
      </c>
      <c r="J228" s="9" t="s">
        <v>1095</v>
      </c>
      <c r="K228" s="9" t="s">
        <v>1634</v>
      </c>
      <c r="L228" s="9" t="s">
        <v>1635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1636</v>
      </c>
      <c r="B229" s="9" t="s">
        <v>1637</v>
      </c>
      <c r="C229" s="9" t="s">
        <v>71</v>
      </c>
      <c r="D229" s="9" t="s">
        <v>127</v>
      </c>
      <c r="E229" s="11" t="n">
        <v>5</v>
      </c>
      <c r="F229" s="11" t="n">
        <v>3.8</v>
      </c>
      <c r="G229" s="11" t="n">
        <v>6.1</v>
      </c>
      <c r="H229" s="9" t="s">
        <v>1130</v>
      </c>
      <c r="I229" s="9" t="s">
        <v>1638</v>
      </c>
      <c r="J229" s="9" t="s">
        <v>1095</v>
      </c>
      <c r="K229" s="9" t="s">
        <v>1639</v>
      </c>
      <c r="L229" s="9" t="s">
        <v>1640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1641</v>
      </c>
      <c r="B230" s="10" t="s">
        <v>1642</v>
      </c>
      <c r="C230" s="9" t="s">
        <v>71</v>
      </c>
      <c r="D230" s="10" t="s">
        <v>1643</v>
      </c>
      <c r="E230" s="11" t="n">
        <v>525600</v>
      </c>
      <c r="F230" s="11" t="n">
        <v>525600</v>
      </c>
      <c r="G230" s="11" t="n">
        <v>525600</v>
      </c>
      <c r="H230" s="9" t="s">
        <v>1094</v>
      </c>
      <c r="I230" s="9" t="s">
        <v>1624</v>
      </c>
      <c r="J230" s="9" t="s">
        <v>1095</v>
      </c>
      <c r="K230" s="9" t="s">
        <v>1644</v>
      </c>
      <c r="L230" s="10" t="s">
        <v>1645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1646</v>
      </c>
      <c r="B231" s="10" t="s">
        <v>1647</v>
      </c>
      <c r="C231" s="9" t="s">
        <v>71</v>
      </c>
      <c r="D231" s="9" t="s">
        <v>1648</v>
      </c>
      <c r="E231" s="11" t="n">
        <v>1000</v>
      </c>
      <c r="F231" s="11" t="n">
        <v>1000</v>
      </c>
      <c r="G231" s="11" t="n">
        <v>1000</v>
      </c>
      <c r="H231" s="9" t="s">
        <v>1094</v>
      </c>
      <c r="I231" s="9" t="s">
        <v>1624</v>
      </c>
      <c r="J231" s="9" t="s">
        <v>1095</v>
      </c>
      <c r="K231" s="9" t="s">
        <v>1649</v>
      </c>
      <c r="L231" s="10" t="s">
        <v>1650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1651</v>
      </c>
      <c r="B232" s="9" t="s">
        <v>1652</v>
      </c>
      <c r="C232" s="9" t="s">
        <v>1207</v>
      </c>
      <c r="D232" s="10" t="s">
        <v>120</v>
      </c>
      <c r="E232" s="11" t="n">
        <v>0.008</v>
      </c>
      <c r="F232" s="11" t="n">
        <v>0.005</v>
      </c>
      <c r="G232" s="11" t="n">
        <v>0.02</v>
      </c>
      <c r="H232" s="9" t="s">
        <v>1130</v>
      </c>
      <c r="I232" s="9" t="s">
        <v>1653</v>
      </c>
      <c r="J232" s="9" t="s">
        <v>1095</v>
      </c>
      <c r="K232" s="9" t="s">
        <v>1634</v>
      </c>
      <c r="L232" s="9" t="s">
        <v>1654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1655</v>
      </c>
      <c r="B233" s="9" t="s">
        <v>1652</v>
      </c>
      <c r="C233" s="9" t="s">
        <v>1209</v>
      </c>
      <c r="D233" s="10" t="s">
        <v>120</v>
      </c>
      <c r="E233" s="11" t="n">
        <v>0.008</v>
      </c>
      <c r="F233" s="11" t="n">
        <v>0.005</v>
      </c>
      <c r="G233" s="11" t="n">
        <v>0.02</v>
      </c>
      <c r="H233" s="9" t="s">
        <v>1130</v>
      </c>
      <c r="I233" s="9" t="s">
        <v>1653</v>
      </c>
      <c r="J233" s="9" t="s">
        <v>1095</v>
      </c>
      <c r="K233" s="9" t="s">
        <v>1634</v>
      </c>
      <c r="L233" s="9" t="s">
        <v>1654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1656</v>
      </c>
      <c r="B234" s="9" t="s">
        <v>1652</v>
      </c>
      <c r="C234" s="9" t="s">
        <v>1211</v>
      </c>
      <c r="D234" s="10" t="s">
        <v>120</v>
      </c>
      <c r="E234" s="11" t="n">
        <v>0.008</v>
      </c>
      <c r="F234" s="11" t="n">
        <v>0.005</v>
      </c>
      <c r="G234" s="11" t="n">
        <v>0.02</v>
      </c>
      <c r="H234" s="9" t="s">
        <v>1130</v>
      </c>
      <c r="I234" s="9" t="s">
        <v>1653</v>
      </c>
      <c r="J234" s="9" t="s">
        <v>1095</v>
      </c>
      <c r="K234" s="9" t="s">
        <v>1634</v>
      </c>
      <c r="L234" s="9" t="s">
        <v>1654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1657</v>
      </c>
      <c r="B235" s="9" t="s">
        <v>1652</v>
      </c>
      <c r="C235" s="9" t="s">
        <v>1213</v>
      </c>
      <c r="D235" s="10" t="s">
        <v>120</v>
      </c>
      <c r="E235" s="11" t="n">
        <v>0.008</v>
      </c>
      <c r="F235" s="11" t="n">
        <v>0.005</v>
      </c>
      <c r="G235" s="11" t="n">
        <v>0.02</v>
      </c>
      <c r="H235" s="9" t="s">
        <v>1130</v>
      </c>
      <c r="I235" s="9" t="s">
        <v>1653</v>
      </c>
      <c r="J235" s="9" t="s">
        <v>1095</v>
      </c>
      <c r="K235" s="9" t="s">
        <v>1634</v>
      </c>
      <c r="L235" s="9" t="s">
        <v>1654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1658</v>
      </c>
      <c r="B236" s="10" t="s">
        <v>1659</v>
      </c>
      <c r="C236" s="9" t="s">
        <v>71</v>
      </c>
      <c r="D236" s="9" t="s">
        <v>375</v>
      </c>
      <c r="E236" s="11" t="n">
        <v>2</v>
      </c>
      <c r="F236" s="11" t="n">
        <v>2</v>
      </c>
      <c r="G236" s="11" t="n">
        <v>5</v>
      </c>
      <c r="H236" s="9" t="s">
        <v>1130</v>
      </c>
      <c r="I236" s="9" t="s">
        <v>1660</v>
      </c>
      <c r="J236" s="9" t="s">
        <v>1095</v>
      </c>
      <c r="K236" s="9" t="s">
        <v>1661</v>
      </c>
      <c r="L236" s="9" t="s">
        <v>1662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1663</v>
      </c>
      <c r="B237" s="9" t="s">
        <v>1664</v>
      </c>
      <c r="C237" s="9" t="s">
        <v>71</v>
      </c>
      <c r="D237" s="10" t="s">
        <v>120</v>
      </c>
      <c r="E237" s="11" t="n">
        <v>1</v>
      </c>
      <c r="F237" s="11" t="n">
        <v>0</v>
      </c>
      <c r="G237" s="11" t="n">
        <v>1</v>
      </c>
      <c r="H237" s="9" t="s">
        <v>1130</v>
      </c>
      <c r="I237" s="9" t="s">
        <v>1665</v>
      </c>
      <c r="J237" s="9" t="s">
        <v>1095</v>
      </c>
      <c r="K237" s="9" t="s">
        <v>1666</v>
      </c>
      <c r="L237" s="9" t="s">
        <v>1667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1668</v>
      </c>
      <c r="B238" s="10" t="s">
        <v>1669</v>
      </c>
      <c r="C238" s="9" t="s">
        <v>71</v>
      </c>
      <c r="D238" s="10" t="s">
        <v>1670</v>
      </c>
      <c r="E238" s="11" t="n">
        <v>0</v>
      </c>
      <c r="F238" s="11" t="n">
        <v>-91</v>
      </c>
      <c r="G238" s="11" t="n">
        <v>91</v>
      </c>
      <c r="H238" s="9" t="s">
        <v>1130</v>
      </c>
      <c r="I238" s="9" t="s">
        <v>1671</v>
      </c>
      <c r="J238" s="9" t="s">
        <v>1672</v>
      </c>
      <c r="K238" s="9" t="s">
        <v>1673</v>
      </c>
      <c r="L238" s="10" t="s">
        <v>1674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1675</v>
      </c>
      <c r="B239" s="10" t="s">
        <v>1676</v>
      </c>
      <c r="C239" s="9" t="s">
        <v>71</v>
      </c>
      <c r="D239" s="10" t="s">
        <v>1670</v>
      </c>
      <c r="E239" s="11" t="n">
        <v>0</v>
      </c>
      <c r="F239" s="11" t="n">
        <v>-91</v>
      </c>
      <c r="G239" s="11" t="n">
        <v>91</v>
      </c>
      <c r="H239" s="9" t="s">
        <v>1130</v>
      </c>
      <c r="I239" s="9" t="s">
        <v>1671</v>
      </c>
      <c r="J239" s="9" t="s">
        <v>1672</v>
      </c>
      <c r="K239" s="9" t="s">
        <v>1673</v>
      </c>
      <c r="L239" s="10" t="s">
        <v>1674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1677</v>
      </c>
      <c r="B240" s="10" t="s">
        <v>1678</v>
      </c>
      <c r="C240" s="9" t="s">
        <v>71</v>
      </c>
      <c r="D240" s="10" t="s">
        <v>1670</v>
      </c>
      <c r="E240" s="11" t="n">
        <v>0</v>
      </c>
      <c r="F240" s="11" t="n">
        <v>-91</v>
      </c>
      <c r="G240" s="11" t="n">
        <v>91</v>
      </c>
      <c r="H240" s="9" t="s">
        <v>1130</v>
      </c>
      <c r="I240" s="9" t="s">
        <v>1671</v>
      </c>
      <c r="J240" s="9" t="s">
        <v>1672</v>
      </c>
      <c r="K240" s="9" t="s">
        <v>1673</v>
      </c>
      <c r="L240" s="10" t="s">
        <v>1674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1679</v>
      </c>
      <c r="B241" s="10" t="s">
        <v>1680</v>
      </c>
      <c r="C241" s="9" t="s">
        <v>71</v>
      </c>
      <c r="D241" s="10" t="s">
        <v>1670</v>
      </c>
      <c r="E241" s="11" t="n">
        <v>0</v>
      </c>
      <c r="F241" s="11" t="n">
        <v>-91</v>
      </c>
      <c r="G241" s="11" t="n">
        <v>91</v>
      </c>
      <c r="H241" s="9" t="s">
        <v>1130</v>
      </c>
      <c r="I241" s="9" t="s">
        <v>1671</v>
      </c>
      <c r="J241" s="9" t="s">
        <v>1672</v>
      </c>
      <c r="K241" s="9" t="s">
        <v>1673</v>
      </c>
      <c r="L241" s="10" t="s">
        <v>1674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1681</v>
      </c>
      <c r="B242" s="9" t="s">
        <v>1682</v>
      </c>
      <c r="C242" s="9" t="s">
        <v>71</v>
      </c>
      <c r="D242" s="10" t="s">
        <v>665</v>
      </c>
      <c r="E242" s="11" t="n">
        <v>46023</v>
      </c>
      <c r="F242" s="11" t="n">
        <v>46023</v>
      </c>
      <c r="G242" s="11" t="n">
        <v>46023</v>
      </c>
      <c r="H242" s="9" t="s">
        <v>1094</v>
      </c>
      <c r="I242" s="9" t="s">
        <v>1624</v>
      </c>
      <c r="J242" s="9" t="s">
        <v>1683</v>
      </c>
      <c r="K242" s="9" t="s">
        <v>1684</v>
      </c>
      <c r="L242" s="10" t="s">
        <v>1685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1686</v>
      </c>
      <c r="B243" s="10" t="s">
        <v>1687</v>
      </c>
      <c r="C243" s="9" t="s">
        <v>71</v>
      </c>
      <c r="D243" s="10" t="s">
        <v>1670</v>
      </c>
      <c r="E243" s="11" t="n">
        <v>365</v>
      </c>
      <c r="F243" s="11" t="n">
        <v>365</v>
      </c>
      <c r="G243" s="11" t="n">
        <v>365</v>
      </c>
      <c r="H243" s="9" t="s">
        <v>1094</v>
      </c>
      <c r="I243" s="9" t="s">
        <v>1624</v>
      </c>
      <c r="J243" s="9" t="s">
        <v>1683</v>
      </c>
      <c r="K243" s="9" t="s">
        <v>1684</v>
      </c>
      <c r="L243" s="10" t="s">
        <v>1688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1689</v>
      </c>
      <c r="B244" s="10" t="s">
        <v>1690</v>
      </c>
      <c r="C244" s="9" t="s">
        <v>71</v>
      </c>
      <c r="D244" s="10" t="s">
        <v>1691</v>
      </c>
      <c r="E244" s="11" t="n">
        <v>12</v>
      </c>
      <c r="F244" s="11" t="n">
        <v>12</v>
      </c>
      <c r="G244" s="11" t="n">
        <v>12</v>
      </c>
      <c r="H244" s="9" t="s">
        <v>1094</v>
      </c>
      <c r="I244" s="9" t="s">
        <v>1624</v>
      </c>
      <c r="J244" s="9" t="s">
        <v>1683</v>
      </c>
      <c r="K244" s="9" t="s">
        <v>1684</v>
      </c>
      <c r="L244" s="10" t="s">
        <v>1692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1693</v>
      </c>
      <c r="B245" s="10" t="s">
        <v>1694</v>
      </c>
      <c r="C245" s="9" t="s">
        <v>71</v>
      </c>
      <c r="D245" s="9" t="s">
        <v>1695</v>
      </c>
      <c r="E245" s="11" t="n">
        <v>1000</v>
      </c>
      <c r="F245" s="11" t="n">
        <v>1000</v>
      </c>
      <c r="G245" s="11" t="n">
        <v>1000</v>
      </c>
      <c r="H245" s="9" t="s">
        <v>1094</v>
      </c>
      <c r="I245" s="9" t="s">
        <v>1624</v>
      </c>
      <c r="J245" s="9" t="s">
        <v>1683</v>
      </c>
      <c r="K245" s="9" t="s">
        <v>1684</v>
      </c>
      <c r="L245" s="10" t="s">
        <v>1696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1697</v>
      </c>
      <c r="B246" s="10" t="s">
        <v>1698</v>
      </c>
      <c r="C246" s="9" t="s">
        <v>71</v>
      </c>
      <c r="D246" s="9" t="s">
        <v>1699</v>
      </c>
      <c r="E246" s="11" t="n">
        <v>1000000</v>
      </c>
      <c r="F246" s="11" t="n">
        <v>1000000</v>
      </c>
      <c r="G246" s="11" t="n">
        <v>1000000</v>
      </c>
      <c r="H246" s="9" t="s">
        <v>1094</v>
      </c>
      <c r="I246" s="9" t="s">
        <v>1624</v>
      </c>
      <c r="J246" s="9" t="s">
        <v>1683</v>
      </c>
      <c r="K246" s="9" t="s">
        <v>1684</v>
      </c>
      <c r="L246" s="10" t="s">
        <v>1700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1701</v>
      </c>
      <c r="B247" s="9" t="s">
        <v>1702</v>
      </c>
      <c r="C247" s="9" t="s">
        <v>71</v>
      </c>
      <c r="D247" s="10" t="s">
        <v>1691</v>
      </c>
      <c r="E247" s="11" t="n">
        <v>6</v>
      </c>
      <c r="F247" s="11" t="n">
        <v>6</v>
      </c>
      <c r="G247" s="11" t="n">
        <v>6</v>
      </c>
      <c r="H247" s="9" t="s">
        <v>1094</v>
      </c>
      <c r="I247" s="9" t="s">
        <v>1624</v>
      </c>
      <c r="J247" s="9" t="s">
        <v>1683</v>
      </c>
      <c r="K247" s="9" t="s">
        <v>1684</v>
      </c>
      <c r="L247" s="10" t="s">
        <v>1703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1704</v>
      </c>
      <c r="B248" s="9" t="s">
        <v>1705</v>
      </c>
      <c r="C248" s="9" t="s">
        <v>411</v>
      </c>
      <c r="D248" s="10" t="s">
        <v>120</v>
      </c>
      <c r="E248" s="11" t="n">
        <v>0</v>
      </c>
      <c r="F248" s="11" t="n">
        <v>0</v>
      </c>
      <c r="G248" s="11" t="n">
        <v>0.8</v>
      </c>
      <c r="H248" s="9" t="s">
        <v>1130</v>
      </c>
      <c r="I248" s="9" t="s">
        <v>1568</v>
      </c>
      <c r="J248" s="9" t="s">
        <v>1706</v>
      </c>
      <c r="K248" s="9" t="s">
        <v>1707</v>
      </c>
      <c r="L248" s="9" t="s">
        <v>1708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1709</v>
      </c>
      <c r="B249" s="9" t="s">
        <v>1705</v>
      </c>
      <c r="C249" s="9" t="s">
        <v>1710</v>
      </c>
      <c r="D249" s="10" t="s">
        <v>120</v>
      </c>
      <c r="E249" s="11" t="n">
        <v>0.5</v>
      </c>
      <c r="F249" s="11" t="n">
        <v>0</v>
      </c>
      <c r="G249" s="11" t="n">
        <v>0.8</v>
      </c>
      <c r="H249" s="9" t="s">
        <v>1130</v>
      </c>
      <c r="I249" s="9" t="s">
        <v>1568</v>
      </c>
      <c r="J249" s="9" t="s">
        <v>1706</v>
      </c>
      <c r="K249" s="9" t="s">
        <v>1707</v>
      </c>
      <c r="L249" s="9" t="s">
        <v>1711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1712</v>
      </c>
      <c r="B250" s="9" t="s">
        <v>1713</v>
      </c>
      <c r="C250" s="9" t="s">
        <v>71</v>
      </c>
      <c r="D250" s="10" t="s">
        <v>1714</v>
      </c>
      <c r="E250" s="11" t="n">
        <v>0</v>
      </c>
      <c r="F250" s="11" t="n">
        <v>0</v>
      </c>
      <c r="G250" s="11" t="n">
        <v>1</v>
      </c>
      <c r="H250" s="9" t="s">
        <v>1094</v>
      </c>
      <c r="I250" s="9" t="s">
        <v>1715</v>
      </c>
      <c r="J250" s="9" t="s">
        <v>1716</v>
      </c>
      <c r="K250" s="9" t="s">
        <v>1717</v>
      </c>
      <c r="L250" s="9" t="s">
        <v>1718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1719</v>
      </c>
      <c r="B251" s="9" t="s">
        <v>1720</v>
      </c>
      <c r="C251" s="9" t="s">
        <v>71</v>
      </c>
      <c r="D251" s="10" t="s">
        <v>560</v>
      </c>
      <c r="E251" s="11" t="n">
        <v>1</v>
      </c>
      <c r="F251" s="11" t="n">
        <v>1</v>
      </c>
      <c r="G251" s="11" t="n">
        <v>1</v>
      </c>
      <c r="H251" s="9" t="s">
        <v>1094</v>
      </c>
      <c r="I251" s="9" t="s">
        <v>1715</v>
      </c>
      <c r="J251" s="9" t="s">
        <v>1716</v>
      </c>
      <c r="K251" s="9" t="s">
        <v>1717</v>
      </c>
      <c r="L251" s="9" t="s">
        <v>1721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1722</v>
      </c>
      <c r="B252" s="9" t="s">
        <v>1723</v>
      </c>
      <c r="C252" s="9" t="s">
        <v>71</v>
      </c>
      <c r="D252" s="10" t="s">
        <v>152</v>
      </c>
      <c r="E252" s="11" t="n">
        <v>2030</v>
      </c>
      <c r="F252" s="11" t="n">
        <v>2030</v>
      </c>
      <c r="G252" s="11" t="n">
        <v>2030</v>
      </c>
      <c r="H252" s="9" t="s">
        <v>1094</v>
      </c>
      <c r="I252" s="9" t="s">
        <v>1715</v>
      </c>
      <c r="J252" s="9" t="s">
        <v>1716</v>
      </c>
      <c r="K252" s="9" t="s">
        <v>1717</v>
      </c>
      <c r="L252" s="9" t="s">
        <v>1724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1725</v>
      </c>
      <c r="B253" s="10" t="s">
        <v>1726</v>
      </c>
      <c r="C253" s="9" t="s">
        <v>71</v>
      </c>
      <c r="D253" s="9" t="s">
        <v>71</v>
      </c>
      <c r="E253" s="11" t="n">
        <v>2</v>
      </c>
      <c r="F253" s="11" t="n">
        <v>2</v>
      </c>
      <c r="G253" s="11" t="n">
        <v>2</v>
      </c>
      <c r="H253" s="9" t="s">
        <v>1094</v>
      </c>
      <c r="I253" s="9" t="s">
        <v>1624</v>
      </c>
      <c r="J253" s="9" t="s">
        <v>1727</v>
      </c>
      <c r="K253" s="9" t="s">
        <v>1728</v>
      </c>
      <c r="L253" s="10" t="s">
        <v>1729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1730</v>
      </c>
      <c r="B254" s="10" t="s">
        <v>1731</v>
      </c>
      <c r="C254" s="9" t="s">
        <v>71</v>
      </c>
      <c r="D254" s="10" t="s">
        <v>152</v>
      </c>
      <c r="E254" s="11" t="n">
        <v>1</v>
      </c>
      <c r="F254" s="11" t="n">
        <v>1</v>
      </c>
      <c r="G254" s="11" t="n">
        <v>2</v>
      </c>
      <c r="H254" s="9" t="s">
        <v>1130</v>
      </c>
      <c r="I254" s="9" t="s">
        <v>1732</v>
      </c>
      <c r="J254" s="9" t="s">
        <v>1733</v>
      </c>
      <c r="K254" s="9" t="s">
        <v>1734</v>
      </c>
      <c r="L254" s="9" t="s">
        <v>1735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1736</v>
      </c>
      <c r="B255" s="10" t="s">
        <v>1737</v>
      </c>
      <c r="C255" s="9" t="s">
        <v>423</v>
      </c>
      <c r="D255" s="10" t="s">
        <v>120</v>
      </c>
      <c r="E255" s="11" t="n">
        <v>0.55</v>
      </c>
      <c r="F255" s="11" t="n">
        <v>0.3</v>
      </c>
      <c r="G255" s="11" t="n">
        <v>0.8</v>
      </c>
      <c r="H255" s="9" t="s">
        <v>1130</v>
      </c>
      <c r="I255" s="9" t="s">
        <v>1738</v>
      </c>
      <c r="J255" s="9" t="s">
        <v>1739</v>
      </c>
      <c r="K255" s="9" t="s">
        <v>1740</v>
      </c>
      <c r="L255" s="9" t="s">
        <v>1741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1742</v>
      </c>
      <c r="B256" s="10" t="s">
        <v>1737</v>
      </c>
      <c r="C256" s="9" t="s">
        <v>1207</v>
      </c>
      <c r="D256" s="10" t="s">
        <v>120</v>
      </c>
      <c r="E256" s="11" t="n">
        <v>0.3</v>
      </c>
      <c r="F256" s="11" t="n">
        <v>0.1</v>
      </c>
      <c r="G256" s="11" t="n">
        <v>0.5</v>
      </c>
      <c r="H256" s="9" t="s">
        <v>1130</v>
      </c>
      <c r="I256" s="9" t="s">
        <v>1738</v>
      </c>
      <c r="J256" s="9" t="s">
        <v>1739</v>
      </c>
      <c r="K256" s="9" t="s">
        <v>1740</v>
      </c>
      <c r="L256" s="9" t="s">
        <v>1743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1744</v>
      </c>
      <c r="B257" s="10" t="s">
        <v>1737</v>
      </c>
      <c r="C257" s="9" t="s">
        <v>1209</v>
      </c>
      <c r="D257" s="10" t="s">
        <v>120</v>
      </c>
      <c r="E257" s="11" t="n">
        <v>0.2</v>
      </c>
      <c r="F257" s="11" t="n">
        <v>0.05</v>
      </c>
      <c r="G257" s="11" t="n">
        <v>0.35</v>
      </c>
      <c r="H257" s="9" t="s">
        <v>1130</v>
      </c>
      <c r="I257" s="9" t="s">
        <v>1738</v>
      </c>
      <c r="J257" s="9" t="s">
        <v>1739</v>
      </c>
      <c r="K257" s="9" t="s">
        <v>1740</v>
      </c>
      <c r="L257" s="9" t="s">
        <v>1743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1745</v>
      </c>
      <c r="B258" s="10" t="s">
        <v>1737</v>
      </c>
      <c r="C258" s="9" t="s">
        <v>1211</v>
      </c>
      <c r="D258" s="10" t="s">
        <v>120</v>
      </c>
      <c r="E258" s="11" t="n">
        <v>0.15</v>
      </c>
      <c r="F258" s="11" t="n">
        <v>0</v>
      </c>
      <c r="G258" s="11" t="n">
        <v>0.3</v>
      </c>
      <c r="H258" s="9" t="s">
        <v>1130</v>
      </c>
      <c r="I258" s="9" t="s">
        <v>1738</v>
      </c>
      <c r="J258" s="9" t="s">
        <v>1739</v>
      </c>
      <c r="K258" s="9" t="s">
        <v>1740</v>
      </c>
      <c r="L258" s="9" t="s">
        <v>1743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1746</v>
      </c>
      <c r="B259" s="10" t="s">
        <v>1737</v>
      </c>
      <c r="C259" s="9" t="s">
        <v>1213</v>
      </c>
      <c r="D259" s="10" t="s">
        <v>120</v>
      </c>
      <c r="E259" s="11" t="n">
        <v>0.1</v>
      </c>
      <c r="F259" s="11" t="n">
        <v>0</v>
      </c>
      <c r="G259" s="11" t="n">
        <v>0.25</v>
      </c>
      <c r="H259" s="9" t="s">
        <v>1130</v>
      </c>
      <c r="I259" s="9" t="s">
        <v>1738</v>
      </c>
      <c r="J259" s="9" t="s">
        <v>1739</v>
      </c>
      <c r="K259" s="9" t="s">
        <v>1740</v>
      </c>
      <c r="L259" s="9" t="s">
        <v>1743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1747</v>
      </c>
      <c r="B260" s="10" t="s">
        <v>1748</v>
      </c>
      <c r="C260" s="9" t="s">
        <v>1710</v>
      </c>
      <c r="D260" s="10" t="s">
        <v>120</v>
      </c>
      <c r="E260" s="11" t="n">
        <v>0.03</v>
      </c>
      <c r="F260" s="11" t="n">
        <v>0</v>
      </c>
      <c r="G260" s="11" t="n">
        <v>0.08</v>
      </c>
      <c r="H260" s="9" t="s">
        <v>1130</v>
      </c>
      <c r="I260" s="9" t="s">
        <v>1738</v>
      </c>
      <c r="J260" s="9" t="s">
        <v>1749</v>
      </c>
      <c r="K260" s="9" t="s">
        <v>1750</v>
      </c>
      <c r="L260" s="9" t="s">
        <v>1751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1752</v>
      </c>
      <c r="B261" s="10" t="s">
        <v>1753</v>
      </c>
      <c r="C261" s="9" t="s">
        <v>1710</v>
      </c>
      <c r="D261" s="10" t="s">
        <v>120</v>
      </c>
      <c r="E261" s="11" t="n">
        <v>0</v>
      </c>
      <c r="F261" s="11" t="n">
        <v>-0.2</v>
      </c>
      <c r="G261" s="11" t="n">
        <v>0.2</v>
      </c>
      <c r="H261" s="9" t="s">
        <v>1130</v>
      </c>
      <c r="I261" s="9" t="s">
        <v>1738</v>
      </c>
      <c r="J261" s="9" t="s">
        <v>1749</v>
      </c>
      <c r="K261" s="9" t="s">
        <v>1754</v>
      </c>
      <c r="L261" s="9" t="s">
        <v>1755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1756</v>
      </c>
      <c r="B262" s="10" t="s">
        <v>1757</v>
      </c>
      <c r="C262" s="9" t="s">
        <v>71</v>
      </c>
      <c r="D262" s="9" t="s">
        <v>1758</v>
      </c>
      <c r="E262" s="11" t="n">
        <v>1000000000</v>
      </c>
      <c r="F262" s="11" t="n">
        <v>1000000000</v>
      </c>
      <c r="G262" s="11" t="n">
        <v>1000000000</v>
      </c>
      <c r="H262" s="9" t="s">
        <v>1094</v>
      </c>
      <c r="I262" s="9" t="s">
        <v>1624</v>
      </c>
      <c r="J262" s="9" t="s">
        <v>1759</v>
      </c>
      <c r="K262" s="9" t="s">
        <v>1760</v>
      </c>
      <c r="L262" s="10" t="s">
        <v>1761</v>
      </c>
      <c r="M262" s="9" t="n">
        <f aca="false">IF(AND(ISNUMBER($E262),ISNUMBER($F262),ISNUMBER($G262)),IF(AND($F262&lt;=$E262,$E262&lt;=$G262),0,1),0)</f>
        <v>0</v>
      </c>
    </row>
    <row r="263" customFormat="false" ht="15" hidden="false" customHeight="false" outlineLevel="0" collapsed="false">
      <c r="A263" s="9" t="s">
        <v>1762</v>
      </c>
      <c r="B263" s="10" t="s">
        <v>1763</v>
      </c>
      <c r="C263" s="9" t="s">
        <v>1207</v>
      </c>
      <c r="D263" s="9" t="s">
        <v>68</v>
      </c>
      <c r="E263" s="11" t="n">
        <v>75.1</v>
      </c>
      <c r="F263" s="11" t="n">
        <v>75.1</v>
      </c>
      <c r="G263" s="11" t="n">
        <v>75.1</v>
      </c>
      <c r="H263" s="9" t="s">
        <v>1094</v>
      </c>
      <c r="I263" s="9" t="s">
        <v>1764</v>
      </c>
      <c r="J263" s="9" t="s">
        <v>1765</v>
      </c>
      <c r="K263" s="9" t="s">
        <v>1766</v>
      </c>
      <c r="L263" s="9" t="s">
        <v>1767</v>
      </c>
      <c r="M263" s="9" t="n">
        <f aca="false">IF(AND(ISNUMBER($E263),ISNUMBER($F263),ISNUMBER($G263)),IF(AND($F263&lt;=$E263,$E263&lt;=$G263),0,1),0)</f>
        <v>0</v>
      </c>
    </row>
    <row r="264" customFormat="false" ht="15" hidden="false" customHeight="false" outlineLevel="0" collapsed="false">
      <c r="A264" s="9" t="s">
        <v>1768</v>
      </c>
      <c r="B264" s="10" t="s">
        <v>1763</v>
      </c>
      <c r="C264" s="9" t="s">
        <v>1209</v>
      </c>
      <c r="D264" s="9" t="s">
        <v>68</v>
      </c>
      <c r="E264" s="11" t="n">
        <v>141.5</v>
      </c>
      <c r="F264" s="11" t="n">
        <v>141.5</v>
      </c>
      <c r="G264" s="11" t="n">
        <v>141.5</v>
      </c>
      <c r="H264" s="9" t="s">
        <v>1094</v>
      </c>
      <c r="I264" s="9" t="s">
        <v>1764</v>
      </c>
      <c r="J264" s="9" t="s">
        <v>1765</v>
      </c>
      <c r="K264" s="9" t="s">
        <v>1766</v>
      </c>
      <c r="L264" s="9" t="s">
        <v>1767</v>
      </c>
      <c r="M264" s="9" t="n">
        <f aca="false">IF(AND(ISNUMBER($E264),ISNUMBER($F264),ISNUMBER($G264)),IF(AND($F264&lt;=$E264,$E264&lt;=$G264),0,1),0)</f>
        <v>0</v>
      </c>
    </row>
    <row r="265" customFormat="false" ht="15" hidden="false" customHeight="false" outlineLevel="0" collapsed="false">
      <c r="A265" s="9" t="s">
        <v>1769</v>
      </c>
      <c r="B265" s="9" t="s">
        <v>1770</v>
      </c>
      <c r="C265" s="9" t="s">
        <v>71</v>
      </c>
      <c r="D265" s="10" t="s">
        <v>152</v>
      </c>
      <c r="E265" s="11" t="n">
        <v>2026</v>
      </c>
      <c r="F265" s="11" t="n">
        <v>2026</v>
      </c>
      <c r="G265" s="11" t="n">
        <v>2027</v>
      </c>
      <c r="H265" s="9" t="s">
        <v>1094</v>
      </c>
      <c r="I265" s="9" t="s">
        <v>1559</v>
      </c>
      <c r="J265" s="9" t="s">
        <v>1771</v>
      </c>
      <c r="K265" s="9" t="s">
        <v>1772</v>
      </c>
      <c r="L265" s="9" t="s">
        <v>1773</v>
      </c>
      <c r="M265" s="9" t="n">
        <f aca="false">IF(AND(ISNUMBER($E265),ISNUMBER($F265),ISNUMBER($G265)),IF(AND($F265&lt;=$E265,$E265&lt;=$G265),0,1),0)</f>
        <v>0</v>
      </c>
    </row>
    <row r="266" customFormat="false" ht="15" hidden="false" customHeight="false" outlineLevel="0" collapsed="false">
      <c r="A266" s="9" t="s">
        <v>1774</v>
      </c>
      <c r="B266" s="10" t="s">
        <v>1775</v>
      </c>
      <c r="C266" s="9" t="s">
        <v>71</v>
      </c>
      <c r="D266" s="10" t="s">
        <v>1714</v>
      </c>
      <c r="E266" s="11" t="n">
        <v>0</v>
      </c>
      <c r="F266" s="11" t="n">
        <v>0</v>
      </c>
      <c r="G266" s="11" t="n">
        <v>1</v>
      </c>
      <c r="H266" s="9" t="s">
        <v>1094</v>
      </c>
      <c r="I266" s="9" t="s">
        <v>1559</v>
      </c>
      <c r="J266" s="9" t="s">
        <v>1776</v>
      </c>
      <c r="K266" s="9" t="s">
        <v>1772</v>
      </c>
      <c r="L266" s="9" t="s">
        <v>1777</v>
      </c>
      <c r="M266" s="9" t="n">
        <f aca="false">IF(AND(ISNUMBER($E266),ISNUMBER($F266),ISNUMBER($G266)),IF(AND($F266&lt;=$E266,$E266&lt;=$G266),0,1),0)</f>
        <v>0</v>
      </c>
    </row>
    <row r="267" customFormat="false" ht="15" hidden="false" customHeight="false" outlineLevel="0" collapsed="false">
      <c r="A267" s="9" t="s">
        <v>1778</v>
      </c>
      <c r="B267" s="9" t="s">
        <v>1779</v>
      </c>
      <c r="C267" s="9" t="s">
        <v>71</v>
      </c>
      <c r="D267" s="10" t="s">
        <v>152</v>
      </c>
      <c r="E267" s="11" t="n">
        <v>2026</v>
      </c>
      <c r="F267" s="11" t="n">
        <v>2026</v>
      </c>
      <c r="G267" s="11" t="n">
        <v>2027</v>
      </c>
      <c r="H267" s="9" t="s">
        <v>1130</v>
      </c>
      <c r="I267" s="9" t="s">
        <v>1559</v>
      </c>
      <c r="J267" s="9" t="s">
        <v>1780</v>
      </c>
      <c r="K267" s="9" t="s">
        <v>1772</v>
      </c>
      <c r="L267" s="10" t="s">
        <v>1781</v>
      </c>
      <c r="M267" s="9" t="n">
        <f aca="false">IF(AND(ISNUMBER($E267),ISNUMBER($F267),ISNUMBER($G267)),IF(AND($F267&lt;=$E267,$E267&lt;=$G267),0,1),0)</f>
        <v>0</v>
      </c>
    </row>
    <row r="268" customFormat="false" ht="15" hidden="false" customHeight="false" outlineLevel="0" collapsed="false">
      <c r="A268" s="9" t="s">
        <v>1782</v>
      </c>
      <c r="B268" s="9" t="s">
        <v>1783</v>
      </c>
      <c r="C268" s="9" t="s">
        <v>71</v>
      </c>
      <c r="D268" s="10" t="s">
        <v>1714</v>
      </c>
      <c r="E268" s="11" t="n">
        <v>0</v>
      </c>
      <c r="F268" s="11" t="n">
        <v>0</v>
      </c>
      <c r="G268" s="11" t="n">
        <v>1</v>
      </c>
      <c r="H268" s="9" t="s">
        <v>1094</v>
      </c>
      <c r="I268" s="10" t="s">
        <v>1784</v>
      </c>
      <c r="J268" s="9" t="s">
        <v>1785</v>
      </c>
      <c r="K268" s="9" t="s">
        <v>1786</v>
      </c>
      <c r="L268" s="10" t="s">
        <v>1787</v>
      </c>
      <c r="M268" s="9" t="n">
        <f aca="false">IF(AND(ISNUMBER($E268),ISNUMBER($F268),ISNUMBER($G268)),IF(AND($F268&lt;=$E268,$E268&lt;=$G268),0,1),0)</f>
        <v>0</v>
      </c>
    </row>
    <row r="269" customFormat="false" ht="15" hidden="false" customHeight="false" outlineLevel="0" collapsed="false">
      <c r="A269" s="9" t="s">
        <v>1788</v>
      </c>
      <c r="B269" s="10" t="s">
        <v>1789</v>
      </c>
      <c r="C269" s="9" t="s">
        <v>71</v>
      </c>
      <c r="D269" s="9" t="s">
        <v>375</v>
      </c>
      <c r="E269" s="11" t="n">
        <v>3</v>
      </c>
      <c r="F269" s="11" t="n">
        <v>2.5</v>
      </c>
      <c r="G269" s="11" t="n">
        <v>3.8</v>
      </c>
      <c r="H269" s="9" t="s">
        <v>1130</v>
      </c>
      <c r="I269" s="10" t="s">
        <v>1790</v>
      </c>
      <c r="J269" s="9" t="s">
        <v>1791</v>
      </c>
      <c r="K269" s="9" t="s">
        <v>1792</v>
      </c>
      <c r="L269" s="9" t="s">
        <v>1793</v>
      </c>
      <c r="M269" s="9" t="n">
        <f aca="false">IF(AND(ISNUMBER($E269),ISNUMBER($F269),ISNUMBER($G269)),IF(AND($F269&lt;=$E269,$E269&lt;=$G269),0,1),0)</f>
        <v>0</v>
      </c>
    </row>
    <row r="270" customFormat="false" ht="15" hidden="false" customHeight="false" outlineLevel="0" collapsed="false">
      <c r="A270" s="9" t="s">
        <v>1794</v>
      </c>
      <c r="B270" s="10" t="s">
        <v>1795</v>
      </c>
      <c r="C270" s="9" t="s">
        <v>71</v>
      </c>
      <c r="D270" s="9" t="s">
        <v>375</v>
      </c>
      <c r="E270" s="11" t="n">
        <v>2.5</v>
      </c>
      <c r="F270" s="11" t="n">
        <v>2.5</v>
      </c>
      <c r="G270" s="11" t="n">
        <v>2.5</v>
      </c>
      <c r="H270" s="9" t="s">
        <v>1130</v>
      </c>
      <c r="I270" s="10" t="s">
        <v>1790</v>
      </c>
      <c r="J270" s="9" t="s">
        <v>1791</v>
      </c>
      <c r="K270" s="9" t="s">
        <v>1792</v>
      </c>
      <c r="L270" s="10" t="s">
        <v>1796</v>
      </c>
      <c r="M270" s="9" t="n">
        <f aca="false">IF(AND(ISNUMBER($E270),ISNUMBER($F270),ISNUMBER($G270)),IF(AND($F270&lt;=$E270,$E270&lt;=$G270),0,1),0)</f>
        <v>0</v>
      </c>
    </row>
    <row r="271" customFormat="false" ht="15" hidden="false" customHeight="false" outlineLevel="0" collapsed="false">
      <c r="A271" s="9" t="s">
        <v>1797</v>
      </c>
      <c r="B271" s="10" t="s">
        <v>1798</v>
      </c>
      <c r="C271" s="9" t="s">
        <v>71</v>
      </c>
      <c r="D271" s="9" t="s">
        <v>375</v>
      </c>
      <c r="E271" s="11" t="n">
        <v>3.8</v>
      </c>
      <c r="F271" s="11" t="n">
        <v>3.8</v>
      </c>
      <c r="G271" s="11" t="n">
        <v>3.8</v>
      </c>
      <c r="H271" s="9" t="s">
        <v>1130</v>
      </c>
      <c r="I271" s="10" t="s">
        <v>1790</v>
      </c>
      <c r="J271" s="9" t="s">
        <v>1791</v>
      </c>
      <c r="K271" s="9" t="s">
        <v>1792</v>
      </c>
      <c r="L271" s="10" t="s">
        <v>1799</v>
      </c>
      <c r="M271" s="9" t="n">
        <f aca="false">IF(AND(ISNUMBER($E271),ISNUMBER($F271),ISNUMBER($G271)),IF(AND($F271&lt;=$E271,$E271&lt;=$G271),0,1),0)</f>
        <v>0</v>
      </c>
    </row>
    <row r="272" customFormat="false" ht="15" hidden="false" customHeight="false" outlineLevel="0" collapsed="false">
      <c r="A272" s="9" t="s">
        <v>1800</v>
      </c>
      <c r="B272" s="10" t="s">
        <v>1801</v>
      </c>
      <c r="C272" s="9" t="s">
        <v>71</v>
      </c>
      <c r="D272" s="10" t="s">
        <v>1714</v>
      </c>
      <c r="E272" s="11" t="n">
        <v>0</v>
      </c>
      <c r="F272" s="11" t="n">
        <v>0</v>
      </c>
      <c r="G272" s="11" t="n">
        <v>1</v>
      </c>
      <c r="H272" s="9" t="s">
        <v>1094</v>
      </c>
      <c r="I272" s="10" t="s">
        <v>1802</v>
      </c>
      <c r="J272" s="9" t="s">
        <v>1785</v>
      </c>
      <c r="K272" s="9" t="s">
        <v>1803</v>
      </c>
      <c r="L272" s="10" t="s">
        <v>1804</v>
      </c>
      <c r="M272" s="9" t="n">
        <f aca="false">IF(AND(ISNUMBER($E272),ISNUMBER($F272),ISNUMBER($G272)),IF(AND($F272&lt;=$E272,$E272&lt;=$G272),0,1),0)</f>
        <v>0</v>
      </c>
    </row>
    <row r="273" customFormat="false" ht="15" hidden="false" customHeight="false" outlineLevel="0" collapsed="false">
      <c r="A273" s="9" t="s">
        <v>1805</v>
      </c>
      <c r="B273" s="10" t="s">
        <v>1806</v>
      </c>
      <c r="C273" s="9" t="s">
        <v>423</v>
      </c>
      <c r="D273" s="10" t="s">
        <v>120</v>
      </c>
      <c r="E273" s="11" t="n">
        <v>0.25</v>
      </c>
      <c r="F273" s="9"/>
      <c r="G273" s="9"/>
      <c r="H273" s="9" t="s">
        <v>1130</v>
      </c>
      <c r="I273" s="10" t="s">
        <v>1802</v>
      </c>
      <c r="J273" s="9" t="s">
        <v>1785</v>
      </c>
      <c r="K273" s="9" t="s">
        <v>1803</v>
      </c>
      <c r="L273" s="10" t="s">
        <v>1807</v>
      </c>
      <c r="M273" s="9" t="n">
        <f aca="false">IF(AND(ISNUMBER($E273),ISNUMBER($F273),ISNUMBER($G273)),IF(AND($F273&lt;=$E273,$E273&lt;=$G273),0,1),0)</f>
        <v>0</v>
      </c>
    </row>
    <row r="274" customFormat="false" ht="15" hidden="false" customHeight="false" outlineLevel="0" collapsed="false">
      <c r="A274" s="9" t="s">
        <v>1808</v>
      </c>
      <c r="B274" s="10" t="s">
        <v>1809</v>
      </c>
      <c r="C274" s="9" t="s">
        <v>423</v>
      </c>
      <c r="D274" s="10" t="s">
        <v>120</v>
      </c>
      <c r="E274" s="11" t="n">
        <v>0.45</v>
      </c>
      <c r="F274" s="9"/>
      <c r="G274" s="9"/>
      <c r="H274" s="9" t="s">
        <v>1130</v>
      </c>
      <c r="I274" s="10" t="s">
        <v>1802</v>
      </c>
      <c r="J274" s="9" t="s">
        <v>1785</v>
      </c>
      <c r="K274" s="9" t="s">
        <v>1803</v>
      </c>
      <c r="L274" s="10" t="s">
        <v>1807</v>
      </c>
      <c r="M274" s="9" t="n">
        <f aca="false">IF(AND(ISNUMBER($E274),ISNUMBER($F274),ISNUMBER($G274)),IF(AND($F274&lt;=$E274,$E274&lt;=$G274),0,1),0)</f>
        <v>0</v>
      </c>
    </row>
    <row r="275" customFormat="false" ht="15" hidden="false" customHeight="false" outlineLevel="0" collapsed="false">
      <c r="A275" s="9" t="s">
        <v>1810</v>
      </c>
      <c r="B275" s="10" t="s">
        <v>1811</v>
      </c>
      <c r="C275" s="9" t="s">
        <v>423</v>
      </c>
      <c r="D275" s="10" t="s">
        <v>120</v>
      </c>
      <c r="E275" s="11" t="n">
        <v>0.25</v>
      </c>
      <c r="F275" s="9"/>
      <c r="G275" s="9"/>
      <c r="H275" s="9" t="s">
        <v>1130</v>
      </c>
      <c r="I275" s="10" t="s">
        <v>1802</v>
      </c>
      <c r="J275" s="9" t="s">
        <v>1785</v>
      </c>
      <c r="K275" s="9" t="s">
        <v>1803</v>
      </c>
      <c r="L275" s="10" t="s">
        <v>1807</v>
      </c>
      <c r="M275" s="9" t="n">
        <f aca="false">IF(AND(ISNUMBER($E275),ISNUMBER($F275),ISNUMBER($G275)),IF(AND($F275&lt;=$E275,$E275&lt;=$G275),0,1),0)</f>
        <v>0</v>
      </c>
    </row>
    <row r="276" customFormat="false" ht="15" hidden="false" customHeight="false" outlineLevel="0" collapsed="false">
      <c r="A276" s="9" t="s">
        <v>1812</v>
      </c>
      <c r="B276" s="10" t="s">
        <v>1813</v>
      </c>
      <c r="C276" s="9" t="s">
        <v>423</v>
      </c>
      <c r="D276" s="10" t="s">
        <v>120</v>
      </c>
      <c r="E276" s="11" t="n">
        <v>0.05</v>
      </c>
      <c r="F276" s="9"/>
      <c r="G276" s="9"/>
      <c r="H276" s="9" t="s">
        <v>1130</v>
      </c>
      <c r="I276" s="10" t="s">
        <v>1802</v>
      </c>
      <c r="J276" s="9" t="s">
        <v>1785</v>
      </c>
      <c r="K276" s="9" t="s">
        <v>1803</v>
      </c>
      <c r="L276" s="10" t="s">
        <v>1807</v>
      </c>
      <c r="M276" s="9" t="n">
        <f aca="false">IF(AND(ISNUMBER($E276),ISNUMBER($F276),ISNUMBER($G276)),IF(AND($F276&lt;=$E276,$E276&lt;=$G276),0,1),0)</f>
        <v>0</v>
      </c>
    </row>
    <row r="277" customFormat="false" ht="15" hidden="false" customHeight="false" outlineLevel="0" collapsed="false">
      <c r="A277" s="9" t="s">
        <v>1814</v>
      </c>
      <c r="B277" s="10" t="s">
        <v>1815</v>
      </c>
      <c r="C277" s="9" t="s">
        <v>423</v>
      </c>
      <c r="D277" s="10" t="s">
        <v>120</v>
      </c>
      <c r="E277" s="11" t="n">
        <v>0</v>
      </c>
      <c r="F277" s="9"/>
      <c r="G277" s="9"/>
      <c r="H277" s="9" t="s">
        <v>1130</v>
      </c>
      <c r="I277" s="10" t="s">
        <v>1802</v>
      </c>
      <c r="J277" s="9" t="s">
        <v>1785</v>
      </c>
      <c r="K277" s="9" t="s">
        <v>1803</v>
      </c>
      <c r="L277" s="10" t="s">
        <v>1807</v>
      </c>
      <c r="M277" s="9" t="n">
        <f aca="false">IF(AND(ISNUMBER($E277),ISNUMBER($F277),ISNUMBER($G277)),IF(AND($F277&lt;=$E277,$E277&lt;=$G277),0,1),0)</f>
        <v>0</v>
      </c>
    </row>
    <row r="278" customFormat="false" ht="15" hidden="false" customHeight="false" outlineLevel="0" collapsed="false">
      <c r="A278" s="9" t="s">
        <v>1816</v>
      </c>
      <c r="B278" s="10" t="s">
        <v>1817</v>
      </c>
      <c r="C278" s="9" t="s">
        <v>423</v>
      </c>
      <c r="D278" s="10" t="s">
        <v>120</v>
      </c>
      <c r="E278" s="11" t="n">
        <v>0</v>
      </c>
      <c r="F278" s="9"/>
      <c r="G278" s="9"/>
      <c r="H278" s="9" t="s">
        <v>1130</v>
      </c>
      <c r="I278" s="10" t="s">
        <v>1802</v>
      </c>
      <c r="J278" s="9" t="s">
        <v>1785</v>
      </c>
      <c r="K278" s="9" t="s">
        <v>1803</v>
      </c>
      <c r="L278" s="10" t="s">
        <v>1807</v>
      </c>
      <c r="M278" s="9" t="n">
        <f aca="false">IF(AND(ISNUMBER($E278),ISNUMBER($F278),ISNUMBER($G278)),IF(AND($F278&lt;=$E278,$E278&lt;=$G278),0,1),0)</f>
        <v>0</v>
      </c>
    </row>
    <row r="279" customFormat="false" ht="15" hidden="false" customHeight="false" outlineLevel="0" collapsed="false">
      <c r="A279" s="9" t="s">
        <v>1818</v>
      </c>
      <c r="B279" s="10" t="s">
        <v>1819</v>
      </c>
      <c r="C279" s="9" t="s">
        <v>71</v>
      </c>
      <c r="D279" s="10" t="s">
        <v>1714</v>
      </c>
      <c r="E279" s="11" t="n">
        <v>0</v>
      </c>
      <c r="F279" s="11" t="n">
        <v>0</v>
      </c>
      <c r="G279" s="11" t="n">
        <v>1</v>
      </c>
      <c r="H279" s="9" t="s">
        <v>1094</v>
      </c>
      <c r="I279" s="10" t="s">
        <v>1820</v>
      </c>
      <c r="J279" s="9" t="s">
        <v>1785</v>
      </c>
      <c r="K279" s="9" t="s">
        <v>1821</v>
      </c>
      <c r="L279" s="10" t="s">
        <v>1822</v>
      </c>
      <c r="M279" s="9" t="n">
        <f aca="false">IF(AND(ISNUMBER($E279),ISNUMBER($F279),ISNUMBER($G279)),IF(AND($F279&lt;=$E279,$E279&lt;=$G279),0,1),0)</f>
        <v>0</v>
      </c>
    </row>
    <row r="280" customFormat="false" ht="15" hidden="false" customHeight="false" outlineLevel="0" collapsed="false">
      <c r="A280" s="9" t="s">
        <v>1823</v>
      </c>
      <c r="B280" s="10" t="s">
        <v>1824</v>
      </c>
      <c r="C280" s="9" t="s">
        <v>71</v>
      </c>
      <c r="D280" s="10" t="s">
        <v>120</v>
      </c>
      <c r="E280" s="11" t="n">
        <v>0.005</v>
      </c>
      <c r="F280" s="11" t="n">
        <v>0.005</v>
      </c>
      <c r="G280" s="11" t="n">
        <v>0.005</v>
      </c>
      <c r="H280" s="9" t="s">
        <v>1094</v>
      </c>
      <c r="I280" s="10" t="s">
        <v>1825</v>
      </c>
      <c r="J280" s="9" t="s">
        <v>1785</v>
      </c>
      <c r="K280" s="9" t="s">
        <v>1826</v>
      </c>
      <c r="L280" s="10" t="s">
        <v>1827</v>
      </c>
      <c r="M280" s="9" t="n">
        <f aca="false">IF(AND(ISNUMBER($E280),ISNUMBER($F280),ISNUMBER($G280)),IF(AND($F280&lt;=$E280,$E280&lt;=$G280),0,1),0)</f>
        <v>0</v>
      </c>
    </row>
    <row r="281" customFormat="false" ht="15" hidden="false" customHeight="false" outlineLevel="0" collapsed="false">
      <c r="A281" s="9" t="s">
        <v>1828</v>
      </c>
      <c r="B281" s="10" t="s">
        <v>1829</v>
      </c>
      <c r="C281" s="9" t="s">
        <v>71</v>
      </c>
      <c r="D281" s="9" t="s">
        <v>375</v>
      </c>
      <c r="E281" s="11" t="n">
        <v>2.26</v>
      </c>
      <c r="F281" s="11" t="n">
        <v>2.17</v>
      </c>
      <c r="G281" s="11" t="n">
        <v>2.35</v>
      </c>
      <c r="H281" s="9" t="s">
        <v>1830</v>
      </c>
      <c r="I281" s="10" t="s">
        <v>1831</v>
      </c>
      <c r="J281" s="9" t="s">
        <v>1832</v>
      </c>
      <c r="K281" s="9" t="s">
        <v>1833</v>
      </c>
      <c r="L281" s="9" t="s">
        <v>1834</v>
      </c>
      <c r="M281" s="9" t="n">
        <f aca="false">IF(AND(ISNUMBER($E281),ISNUMBER($F281),ISNUMBER($G281)),IF(AND($F281&lt;=$E281,$E281&lt;=$G281),0,1),0)</f>
        <v>0</v>
      </c>
    </row>
    <row r="282" customFormat="false" ht="15" hidden="false" customHeight="false" outlineLevel="0" collapsed="false">
      <c r="A282" s="9" t="s">
        <v>1835</v>
      </c>
      <c r="B282" s="10" t="s">
        <v>1836</v>
      </c>
      <c r="C282" s="9" t="s">
        <v>71</v>
      </c>
      <c r="D282" s="9" t="s">
        <v>375</v>
      </c>
      <c r="E282" s="11" t="n">
        <v>2.17</v>
      </c>
      <c r="F282" s="11" t="n">
        <v>2.17</v>
      </c>
      <c r="G282" s="11" t="n">
        <v>2.17</v>
      </c>
      <c r="H282" s="9" t="s">
        <v>1830</v>
      </c>
      <c r="I282" s="10" t="s">
        <v>1831</v>
      </c>
      <c r="J282" s="9" t="s">
        <v>1832</v>
      </c>
      <c r="K282" s="9" t="s">
        <v>1833</v>
      </c>
      <c r="L282" s="10" t="s">
        <v>1837</v>
      </c>
      <c r="M282" s="9" t="n">
        <f aca="false">IF(AND(ISNUMBER($E282),ISNUMBER($F282),ISNUMBER($G282)),IF(AND($F282&lt;=$E282,$E282&lt;=$G282),0,1),0)</f>
        <v>0</v>
      </c>
    </row>
    <row r="283" customFormat="false" ht="15" hidden="false" customHeight="false" outlineLevel="0" collapsed="false">
      <c r="A283" s="9" t="s">
        <v>1838</v>
      </c>
      <c r="B283" s="10" t="s">
        <v>1839</v>
      </c>
      <c r="C283" s="9" t="s">
        <v>71</v>
      </c>
      <c r="D283" s="9" t="s">
        <v>375</v>
      </c>
      <c r="E283" s="11" t="n">
        <v>2.35</v>
      </c>
      <c r="F283" s="11" t="n">
        <v>2.35</v>
      </c>
      <c r="G283" s="11" t="n">
        <v>2.35</v>
      </c>
      <c r="H283" s="9" t="s">
        <v>1830</v>
      </c>
      <c r="I283" s="10" t="s">
        <v>1831</v>
      </c>
      <c r="J283" s="9" t="s">
        <v>1832</v>
      </c>
      <c r="K283" s="9" t="s">
        <v>1833</v>
      </c>
      <c r="L283" s="10" t="s">
        <v>1840</v>
      </c>
      <c r="M283" s="9" t="n">
        <f aca="false">IF(AND(ISNUMBER($E283),ISNUMBER($F283),ISNUMBER($G283)),IF(AND($F283&lt;=$E283,$E283&lt;=$G283),0,1),0)</f>
        <v>0</v>
      </c>
    </row>
    <row r="284" customFormat="false" ht="15" hidden="false" customHeight="false" outlineLevel="0" collapsed="false">
      <c r="A284" s="9" t="s">
        <v>1841</v>
      </c>
      <c r="B284" s="10" t="s">
        <v>1842</v>
      </c>
      <c r="C284" s="9" t="s">
        <v>71</v>
      </c>
      <c r="D284" s="9" t="s">
        <v>375</v>
      </c>
      <c r="E284" s="11" t="n">
        <v>4.6</v>
      </c>
      <c r="F284" s="11" t="n">
        <v>3.5</v>
      </c>
      <c r="G284" s="11" t="n">
        <v>5.7</v>
      </c>
      <c r="H284" s="9" t="s">
        <v>1130</v>
      </c>
      <c r="I284" s="10" t="s">
        <v>1843</v>
      </c>
      <c r="J284" s="9" t="s">
        <v>1844</v>
      </c>
      <c r="K284" s="9" t="s">
        <v>1845</v>
      </c>
      <c r="L284" s="9" t="s">
        <v>1846</v>
      </c>
      <c r="M284" s="9" t="n">
        <f aca="false">IF(AND(ISNUMBER($E284),ISNUMBER($F284),ISNUMBER($G284)),IF(AND($F284&lt;=$E284,$E284&lt;=$G284),0,1),0)</f>
        <v>0</v>
      </c>
    </row>
    <row r="285" customFormat="false" ht="15" hidden="false" customHeight="false" outlineLevel="0" collapsed="false">
      <c r="A285" s="9" t="s">
        <v>1847</v>
      </c>
      <c r="B285" s="10" t="s">
        <v>1848</v>
      </c>
      <c r="C285" s="9" t="s">
        <v>71</v>
      </c>
      <c r="D285" s="9" t="s">
        <v>375</v>
      </c>
      <c r="E285" s="11" t="n">
        <v>3.5</v>
      </c>
      <c r="F285" s="11" t="n">
        <v>3.5</v>
      </c>
      <c r="G285" s="11" t="n">
        <v>3.5</v>
      </c>
      <c r="H285" s="9" t="s">
        <v>1130</v>
      </c>
      <c r="I285" s="10" t="s">
        <v>1843</v>
      </c>
      <c r="J285" s="9" t="s">
        <v>1844</v>
      </c>
      <c r="K285" s="9" t="s">
        <v>1845</v>
      </c>
      <c r="L285" s="10" t="s">
        <v>1849</v>
      </c>
      <c r="M285" s="9" t="n">
        <f aca="false">IF(AND(ISNUMBER($E285),ISNUMBER($F285),ISNUMBER($G285)),IF(AND($F285&lt;=$E285,$E285&lt;=$G285),0,1),0)</f>
        <v>0</v>
      </c>
    </row>
    <row r="286" customFormat="false" ht="15" hidden="false" customHeight="false" outlineLevel="0" collapsed="false">
      <c r="A286" s="9" t="s">
        <v>1850</v>
      </c>
      <c r="B286" s="10" t="s">
        <v>1851</v>
      </c>
      <c r="C286" s="9" t="s">
        <v>71</v>
      </c>
      <c r="D286" s="9" t="s">
        <v>375</v>
      </c>
      <c r="E286" s="11" t="n">
        <v>5.7</v>
      </c>
      <c r="F286" s="11" t="n">
        <v>5.7</v>
      </c>
      <c r="G286" s="11" t="n">
        <v>5.7</v>
      </c>
      <c r="H286" s="9" t="s">
        <v>1130</v>
      </c>
      <c r="I286" s="10" t="s">
        <v>1843</v>
      </c>
      <c r="J286" s="9" t="s">
        <v>1844</v>
      </c>
      <c r="K286" s="9" t="s">
        <v>1845</v>
      </c>
      <c r="L286" s="10" t="s">
        <v>1852</v>
      </c>
      <c r="M286" s="9" t="n">
        <f aca="false">IF(AND(ISNUMBER($E286),ISNUMBER($F286),ISNUMBER($G286)),IF(AND($F286&lt;=$E286,$E286&lt;=$G286),0,1),0)</f>
        <v>0</v>
      </c>
    </row>
    <row r="287" customFormat="false" ht="15" hidden="false" customHeight="false" outlineLevel="0" collapsed="false">
      <c r="A287" s="9" t="s">
        <v>1853</v>
      </c>
      <c r="B287" s="9" t="s">
        <v>1854</v>
      </c>
      <c r="C287" s="9" t="s">
        <v>71</v>
      </c>
      <c r="D287" s="9" t="s">
        <v>375</v>
      </c>
      <c r="E287" s="11" t="n">
        <v>2.21</v>
      </c>
      <c r="F287" s="9"/>
      <c r="G287" s="9"/>
      <c r="H287" s="9" t="s">
        <v>1830</v>
      </c>
      <c r="I287" s="10" t="s">
        <v>1855</v>
      </c>
      <c r="J287" s="9" t="s">
        <v>1844</v>
      </c>
      <c r="K287" s="9" t="s">
        <v>1856</v>
      </c>
      <c r="L287" s="10" t="s">
        <v>1857</v>
      </c>
      <c r="M287" s="9" t="n">
        <f aca="false">IF(AND(ISNUMBER($E287),ISNUMBER($F287),ISNUMBER($G287)),IF(AND($F287&lt;=$E287,$E287&lt;=$G287),0,1),0)</f>
        <v>0</v>
      </c>
    </row>
    <row r="288" customFormat="false" ht="15" hidden="false" customHeight="false" outlineLevel="0" collapsed="false">
      <c r="A288" s="9" t="s">
        <v>1858</v>
      </c>
      <c r="B288" s="9" t="s">
        <v>1859</v>
      </c>
      <c r="C288" s="9" t="s">
        <v>71</v>
      </c>
      <c r="D288" s="9" t="s">
        <v>375</v>
      </c>
      <c r="E288" s="11" t="n">
        <v>2.39</v>
      </c>
      <c r="F288" s="9"/>
      <c r="G288" s="9"/>
      <c r="H288" s="9" t="s">
        <v>1830</v>
      </c>
      <c r="I288" s="10" t="s">
        <v>1855</v>
      </c>
      <c r="J288" s="9" t="s">
        <v>1844</v>
      </c>
      <c r="K288" s="9" t="s">
        <v>1856</v>
      </c>
      <c r="L288" s="10" t="s">
        <v>1860</v>
      </c>
      <c r="M288" s="9" t="n">
        <f aca="false">IF(AND(ISNUMBER($E288),ISNUMBER($F288),ISNUMBER($G288)),IF(AND($F288&lt;=$E288,$E288&lt;=$G288),0,1),0)</f>
        <v>0</v>
      </c>
    </row>
    <row r="289" customFormat="false" ht="15" hidden="false" customHeight="false" outlineLevel="0" collapsed="false">
      <c r="A289" s="9" t="s">
        <v>1861</v>
      </c>
      <c r="B289" s="9" t="s">
        <v>1862</v>
      </c>
      <c r="C289" s="9" t="s">
        <v>71</v>
      </c>
      <c r="D289" s="9" t="s">
        <v>375</v>
      </c>
      <c r="E289" s="11" t="n">
        <v>2.34</v>
      </c>
      <c r="F289" s="9"/>
      <c r="G289" s="9"/>
      <c r="H289" s="9" t="s">
        <v>1830</v>
      </c>
      <c r="I289" s="10" t="s">
        <v>1855</v>
      </c>
      <c r="J289" s="9" t="s">
        <v>1844</v>
      </c>
      <c r="K289" s="9" t="s">
        <v>1856</v>
      </c>
      <c r="L289" s="10" t="s">
        <v>1863</v>
      </c>
      <c r="M289" s="9" t="n">
        <f aca="false">IF(AND(ISNUMBER($E289),ISNUMBER($F289),ISNUMBER($G289)),IF(AND($F289&lt;=$E289,$E289&lt;=$G289),0,1),0)</f>
        <v>0</v>
      </c>
    </row>
    <row r="290" customFormat="false" ht="15" hidden="false" customHeight="false" outlineLevel="0" collapsed="false">
      <c r="A290" s="9" t="s">
        <v>1864</v>
      </c>
      <c r="B290" s="9" t="s">
        <v>1865</v>
      </c>
      <c r="C290" s="9" t="s">
        <v>71</v>
      </c>
      <c r="D290" s="9" t="s">
        <v>375</v>
      </c>
      <c r="E290" s="11" t="n">
        <v>2.59</v>
      </c>
      <c r="F290" s="9"/>
      <c r="G290" s="9"/>
      <c r="H290" s="9" t="s">
        <v>1830</v>
      </c>
      <c r="I290" s="10" t="s">
        <v>1855</v>
      </c>
      <c r="J290" s="9" t="s">
        <v>1844</v>
      </c>
      <c r="K290" s="9" t="s">
        <v>1856</v>
      </c>
      <c r="L290" s="10" t="s">
        <v>1866</v>
      </c>
      <c r="M290" s="9" t="n">
        <f aca="false">IF(AND(ISNUMBER($E290),ISNUMBER($F290),ISNUMBER($G290)),IF(AND($F290&lt;=$E290,$E290&lt;=$G290),0,1),0)</f>
        <v>0</v>
      </c>
    </row>
    <row r="291" customFormat="false" ht="15" hidden="false" customHeight="false" outlineLevel="0" collapsed="false">
      <c r="A291" s="9" t="s">
        <v>1867</v>
      </c>
      <c r="B291" s="9" t="s">
        <v>1868</v>
      </c>
      <c r="C291" s="9" t="s">
        <v>71</v>
      </c>
      <c r="D291" s="9" t="s">
        <v>375</v>
      </c>
      <c r="E291" s="11" t="n">
        <v>2.53</v>
      </c>
      <c r="F291" s="9"/>
      <c r="G291" s="9"/>
      <c r="H291" s="9" t="s">
        <v>1830</v>
      </c>
      <c r="I291" s="10" t="s">
        <v>1855</v>
      </c>
      <c r="J291" s="9" t="s">
        <v>1844</v>
      </c>
      <c r="K291" s="9" t="s">
        <v>1856</v>
      </c>
      <c r="L291" s="10" t="s">
        <v>1869</v>
      </c>
      <c r="M291" s="9" t="n">
        <f aca="false">IF(AND(ISNUMBER($E291),ISNUMBER($F291),ISNUMBER($G291)),IF(AND($F291&lt;=$E291,$E291&lt;=$G291),0,1),0)</f>
        <v>0</v>
      </c>
    </row>
    <row r="292" customFormat="false" ht="15" hidden="false" customHeight="false" outlineLevel="0" collapsed="false">
      <c r="A292" s="9" t="s">
        <v>1870</v>
      </c>
      <c r="B292" s="9" t="s">
        <v>1871</v>
      </c>
      <c r="C292" s="9" t="s">
        <v>71</v>
      </c>
      <c r="D292" s="9" t="s">
        <v>375</v>
      </c>
      <c r="E292" s="11" t="n">
        <v>2.85</v>
      </c>
      <c r="F292" s="9"/>
      <c r="G292" s="9"/>
      <c r="H292" s="9" t="s">
        <v>1830</v>
      </c>
      <c r="I292" s="10" t="s">
        <v>1855</v>
      </c>
      <c r="J292" s="9" t="s">
        <v>1844</v>
      </c>
      <c r="K292" s="9" t="s">
        <v>1856</v>
      </c>
      <c r="L292" s="10" t="s">
        <v>1872</v>
      </c>
      <c r="M292" s="9" t="n">
        <f aca="false">IF(AND(ISNUMBER($E292),ISNUMBER($F292),ISNUMBER($G292)),IF(AND($F292&lt;=$E292,$E292&lt;=$G292),0,1),0)</f>
        <v>0</v>
      </c>
    </row>
    <row r="293" customFormat="false" ht="15" hidden="false" customHeight="false" outlineLevel="0" collapsed="false">
      <c r="A293" s="9" t="s">
        <v>1873</v>
      </c>
      <c r="B293" s="9" t="s">
        <v>1874</v>
      </c>
      <c r="C293" s="9" t="s">
        <v>71</v>
      </c>
      <c r="D293" s="9" t="s">
        <v>375</v>
      </c>
      <c r="E293" s="11" t="n">
        <v>1.11</v>
      </c>
      <c r="F293" s="9"/>
      <c r="G293" s="9"/>
      <c r="H293" s="9" t="s">
        <v>1830</v>
      </c>
      <c r="I293" s="10" t="s">
        <v>1875</v>
      </c>
      <c r="J293" s="9" t="s">
        <v>1844</v>
      </c>
      <c r="K293" s="9" t="s">
        <v>1876</v>
      </c>
      <c r="L293" s="10" t="s">
        <v>1877</v>
      </c>
      <c r="M293" s="9" t="n">
        <f aca="false">IF(AND(ISNUMBER($E293),ISNUMBER($F293),ISNUMBER($G293)),IF(AND($F293&lt;=$E293,$E293&lt;=$G293),0,1),0)</f>
        <v>0</v>
      </c>
    </row>
    <row r="294" customFormat="false" ht="15" hidden="false" customHeight="false" outlineLevel="0" collapsed="false">
      <c r="A294" s="9" t="s">
        <v>1878</v>
      </c>
      <c r="B294" s="9" t="s">
        <v>1879</v>
      </c>
      <c r="C294" s="9" t="s">
        <v>71</v>
      </c>
      <c r="D294" s="9" t="s">
        <v>375</v>
      </c>
      <c r="E294" s="11" t="n">
        <v>1.06</v>
      </c>
      <c r="F294" s="9"/>
      <c r="G294" s="9"/>
      <c r="H294" s="9" t="s">
        <v>1830</v>
      </c>
      <c r="I294" s="10" t="s">
        <v>1875</v>
      </c>
      <c r="J294" s="9" t="s">
        <v>1844</v>
      </c>
      <c r="K294" s="9" t="s">
        <v>1876</v>
      </c>
      <c r="L294" s="10" t="s">
        <v>1880</v>
      </c>
      <c r="M294" s="9" t="n">
        <f aca="false">IF(AND(ISNUMBER($E294),ISNUMBER($F294),ISNUMBER($G294)),IF(AND($F294&lt;=$E294,$E294&lt;=$G294),0,1),0)</f>
        <v>0</v>
      </c>
    </row>
    <row r="295" customFormat="false" ht="15" hidden="false" customHeight="false" outlineLevel="0" collapsed="false">
      <c r="A295" s="9" t="s">
        <v>1881</v>
      </c>
      <c r="B295" s="9" t="s">
        <v>1882</v>
      </c>
      <c r="C295" s="9" t="s">
        <v>71</v>
      </c>
      <c r="D295" s="10" t="s">
        <v>560</v>
      </c>
      <c r="E295" s="11" t="n">
        <v>1.397</v>
      </c>
      <c r="F295" s="11" t="n">
        <v>1.397</v>
      </c>
      <c r="G295" s="11" t="n">
        <v>1.397</v>
      </c>
      <c r="H295" s="9" t="s">
        <v>1830</v>
      </c>
      <c r="I295" s="10" t="s">
        <v>1883</v>
      </c>
      <c r="J295" s="9" t="s">
        <v>1884</v>
      </c>
      <c r="K295" s="9" t="s">
        <v>1885</v>
      </c>
      <c r="L295" s="10" t="s">
        <v>1886</v>
      </c>
      <c r="M295" s="9" t="n">
        <f aca="false">IF(AND(ISNUMBER($E295),ISNUMBER($F295),ISNUMBER($G295)),IF(AND($F295&lt;=$E295,$E295&lt;=$G295),0,1),0)</f>
        <v>0</v>
      </c>
    </row>
    <row r="296" customFormat="false" ht="15" hidden="false" customHeight="false" outlineLevel="0" collapsed="false">
      <c r="A296" s="9" t="s">
        <v>1887</v>
      </c>
      <c r="B296" s="9" t="s">
        <v>1888</v>
      </c>
      <c r="C296" s="9" t="s">
        <v>71</v>
      </c>
      <c r="D296" s="9" t="s">
        <v>552</v>
      </c>
      <c r="E296" s="11" t="n">
        <v>3.6</v>
      </c>
      <c r="F296" s="11" t="n">
        <v>3.2</v>
      </c>
      <c r="G296" s="11" t="n">
        <v>3.8</v>
      </c>
      <c r="H296" s="9" t="s">
        <v>1130</v>
      </c>
      <c r="I296" s="10" t="s">
        <v>1889</v>
      </c>
      <c r="J296" s="9" t="s">
        <v>1844</v>
      </c>
      <c r="K296" s="9" t="s">
        <v>1890</v>
      </c>
      <c r="L296" s="10" t="s">
        <v>1891</v>
      </c>
      <c r="M296" s="9" t="n">
        <f aca="false">IF(AND(ISNUMBER($E296),ISNUMBER($F296),ISNUMBER($G296)),IF(AND($F296&lt;=$E296,$E296&lt;=$G296),0,1),0)</f>
        <v>0</v>
      </c>
    </row>
    <row r="297" customFormat="false" ht="15" hidden="false" customHeight="false" outlineLevel="0" collapsed="false">
      <c r="A297" s="9" t="s">
        <v>1892</v>
      </c>
      <c r="B297" s="9" t="s">
        <v>1893</v>
      </c>
      <c r="C297" s="9" t="s">
        <v>71</v>
      </c>
      <c r="D297" s="9" t="s">
        <v>1894</v>
      </c>
      <c r="E297" s="11" t="n">
        <v>4000</v>
      </c>
      <c r="F297" s="11" t="n">
        <v>2000</v>
      </c>
      <c r="G297" s="11" t="n">
        <v>11000</v>
      </c>
      <c r="H297" s="9" t="s">
        <v>1130</v>
      </c>
      <c r="I297" s="10" t="s">
        <v>1889</v>
      </c>
      <c r="J297" s="9" t="s">
        <v>1844</v>
      </c>
      <c r="K297" s="9" t="s">
        <v>1890</v>
      </c>
      <c r="L297" s="10" t="s">
        <v>1895</v>
      </c>
      <c r="M297" s="9" t="n">
        <f aca="false">IF(AND(ISNUMBER($E297),ISNUMBER($F297),ISNUMBER($G297)),IF(AND($F297&lt;=$E297,$E297&lt;=$G297),0,1),0)</f>
        <v>0</v>
      </c>
    </row>
    <row r="298" customFormat="false" ht="15" hidden="false" customHeight="false" outlineLevel="0" collapsed="false">
      <c r="A298" s="9" t="s">
        <v>1896</v>
      </c>
      <c r="B298" s="9" t="s">
        <v>1897</v>
      </c>
      <c r="C298" s="9" t="s">
        <v>71</v>
      </c>
      <c r="D298" s="10" t="s">
        <v>120</v>
      </c>
      <c r="E298" s="11" t="n">
        <v>0.6</v>
      </c>
      <c r="F298" s="11" t="n">
        <v>0.4</v>
      </c>
      <c r="G298" s="11" t="n">
        <v>0.8</v>
      </c>
      <c r="H298" s="9" t="s">
        <v>1130</v>
      </c>
      <c r="I298" s="10" t="s">
        <v>1889</v>
      </c>
      <c r="J298" s="9" t="s">
        <v>1844</v>
      </c>
      <c r="K298" s="9" t="s">
        <v>1890</v>
      </c>
      <c r="L298" s="10" t="s">
        <v>1898</v>
      </c>
      <c r="M298" s="9" t="n">
        <f aca="false">IF(AND(ISNUMBER($E298),ISNUMBER($F298),ISNUMBER($G298)),IF(AND($F298&lt;=$E298,$E298&lt;=$G298),0,1),0)</f>
        <v>0</v>
      </c>
    </row>
    <row r="299" customFormat="false" ht="15" hidden="false" customHeight="false" outlineLevel="0" collapsed="false">
      <c r="A299" s="9" t="s">
        <v>1899</v>
      </c>
      <c r="B299" s="10" t="s">
        <v>1900</v>
      </c>
      <c r="C299" s="9" t="s">
        <v>71</v>
      </c>
      <c r="D299" s="10" t="s">
        <v>120</v>
      </c>
      <c r="E299" s="11" t="n">
        <v>0.01</v>
      </c>
      <c r="F299" s="11" t="n">
        <v>0.01</v>
      </c>
      <c r="G299" s="11" t="n">
        <v>0.01</v>
      </c>
      <c r="H299" s="9" t="s">
        <v>1094</v>
      </c>
      <c r="I299" s="10" t="s">
        <v>1901</v>
      </c>
      <c r="J299" s="9" t="s">
        <v>1844</v>
      </c>
      <c r="K299" s="9" t="s">
        <v>1902</v>
      </c>
      <c r="L299" s="10" t="s">
        <v>1903</v>
      </c>
      <c r="M299" s="9" t="n">
        <f aca="false">IF(AND(ISNUMBER($E299),ISNUMBER($F299),ISNUMBER($G299)),IF(AND($F299&lt;=$E299,$E299&lt;=$G299),0,1),0)</f>
        <v>0</v>
      </c>
    </row>
    <row r="300" customFormat="false" ht="15" hidden="false" customHeight="false" outlineLevel="0" collapsed="false">
      <c r="A300" s="9" t="s">
        <v>1904</v>
      </c>
      <c r="B300" s="10" t="s">
        <v>1905</v>
      </c>
      <c r="C300" s="9" t="s">
        <v>71</v>
      </c>
      <c r="D300" s="10" t="s">
        <v>120</v>
      </c>
      <c r="E300" s="11" t="n">
        <v>0.2</v>
      </c>
      <c r="F300" s="11" t="n">
        <v>0.1</v>
      </c>
      <c r="G300" s="11" t="n">
        <v>0.3</v>
      </c>
      <c r="H300" s="9" t="s">
        <v>1130</v>
      </c>
      <c r="I300" s="10" t="s">
        <v>1906</v>
      </c>
      <c r="J300" s="9" t="s">
        <v>1907</v>
      </c>
      <c r="K300" s="9" t="s">
        <v>1908</v>
      </c>
      <c r="L300" s="9" t="s">
        <v>1909</v>
      </c>
      <c r="M300" s="9" t="n">
        <f aca="false">IF(AND(ISNUMBER($E300),ISNUMBER($F300),ISNUMBER($G300)),IF(AND($F300&lt;=$E300,$E300&lt;=$G300),0,1),0)</f>
        <v>0</v>
      </c>
    </row>
    <row r="301" customFormat="false" ht="15" hidden="false" customHeight="false" outlineLevel="0" collapsed="false">
      <c r="A301" s="9" t="s">
        <v>1910</v>
      </c>
      <c r="B301" s="10" t="s">
        <v>1911</v>
      </c>
      <c r="C301" s="9" t="s">
        <v>71</v>
      </c>
      <c r="D301" s="10" t="s">
        <v>120</v>
      </c>
      <c r="E301" s="11" t="n">
        <v>0.1</v>
      </c>
      <c r="F301" s="11" t="n">
        <v>0.1</v>
      </c>
      <c r="G301" s="11" t="n">
        <v>0.1</v>
      </c>
      <c r="H301" s="9" t="s">
        <v>1130</v>
      </c>
      <c r="I301" s="10" t="s">
        <v>1906</v>
      </c>
      <c r="J301" s="9" t="s">
        <v>1907</v>
      </c>
      <c r="K301" s="9" t="s">
        <v>1908</v>
      </c>
      <c r="L301" s="10" t="s">
        <v>1849</v>
      </c>
      <c r="M301" s="9" t="n">
        <f aca="false">IF(AND(ISNUMBER($E301),ISNUMBER($F301),ISNUMBER($G301)),IF(AND($F301&lt;=$E301,$E301&lt;=$G301),0,1),0)</f>
        <v>0</v>
      </c>
    </row>
    <row r="302" customFormat="false" ht="15" hidden="false" customHeight="false" outlineLevel="0" collapsed="false">
      <c r="A302" s="9" t="s">
        <v>1912</v>
      </c>
      <c r="B302" s="10" t="s">
        <v>1913</v>
      </c>
      <c r="C302" s="9" t="s">
        <v>71</v>
      </c>
      <c r="D302" s="10" t="s">
        <v>120</v>
      </c>
      <c r="E302" s="11" t="n">
        <v>0.3</v>
      </c>
      <c r="F302" s="11" t="n">
        <v>0.3</v>
      </c>
      <c r="G302" s="11" t="n">
        <v>0.3</v>
      </c>
      <c r="H302" s="9" t="s">
        <v>1130</v>
      </c>
      <c r="I302" s="10" t="s">
        <v>1906</v>
      </c>
      <c r="J302" s="9" t="s">
        <v>1907</v>
      </c>
      <c r="K302" s="9" t="s">
        <v>1908</v>
      </c>
      <c r="L302" s="10" t="s">
        <v>1852</v>
      </c>
      <c r="M302" s="9" t="n">
        <f aca="false">IF(AND(ISNUMBER($E302),ISNUMBER($F302),ISNUMBER($G302)),IF(AND($F302&lt;=$E302,$E302&lt;=$G302),0,1),0)</f>
        <v>0</v>
      </c>
    </row>
    <row r="303" customFormat="false" ht="15" hidden="false" customHeight="false" outlineLevel="0" collapsed="false">
      <c r="A303" s="9" t="s">
        <v>1914</v>
      </c>
      <c r="B303" s="9" t="s">
        <v>1915</v>
      </c>
      <c r="C303" s="9" t="s">
        <v>71</v>
      </c>
      <c r="D303" s="10" t="s">
        <v>120</v>
      </c>
      <c r="E303" s="11" t="n">
        <v>0.7</v>
      </c>
      <c r="F303" s="11" t="n">
        <v>0.7</v>
      </c>
      <c r="G303" s="11" t="n">
        <v>0.7</v>
      </c>
      <c r="H303" s="9" t="s">
        <v>1130</v>
      </c>
      <c r="I303" s="10" t="s">
        <v>1906</v>
      </c>
      <c r="J303" s="9" t="s">
        <v>1907</v>
      </c>
      <c r="K303" s="9" t="s">
        <v>1916</v>
      </c>
      <c r="L303" s="9" t="s">
        <v>1917</v>
      </c>
      <c r="M303" s="9" t="n">
        <f aca="false">IF(AND(ISNUMBER($E303),ISNUMBER($F303),ISNUMBER($G303)),IF(AND($F303&lt;=$E303,$E303&lt;=$G303),0,1),0)</f>
        <v>0</v>
      </c>
    </row>
    <row r="304" customFormat="false" ht="15" hidden="false" customHeight="false" outlineLevel="0" collapsed="false">
      <c r="A304" s="9" t="s">
        <v>1918</v>
      </c>
      <c r="B304" s="9" t="s">
        <v>1919</v>
      </c>
      <c r="C304" s="9" t="s">
        <v>71</v>
      </c>
      <c r="D304" s="10" t="s">
        <v>560</v>
      </c>
      <c r="E304" s="11" t="n">
        <v>1</v>
      </c>
      <c r="F304" s="11" t="n">
        <v>1</v>
      </c>
      <c r="G304" s="11" t="n">
        <v>2</v>
      </c>
      <c r="H304" s="9" t="s">
        <v>1130</v>
      </c>
      <c r="I304" s="10" t="s">
        <v>1906</v>
      </c>
      <c r="J304" s="9" t="s">
        <v>1907</v>
      </c>
      <c r="K304" s="9" t="s">
        <v>1920</v>
      </c>
      <c r="L304" s="9" t="s">
        <v>1921</v>
      </c>
      <c r="M304" s="9" t="n">
        <f aca="false">IF(AND(ISNUMBER($E304),ISNUMBER($F304),ISNUMBER($G304)),IF(AND($F304&lt;=$E304,$E304&lt;=$G304),0,1),0)</f>
        <v>0</v>
      </c>
    </row>
    <row r="305" customFormat="false" ht="15" hidden="false" customHeight="false" outlineLevel="0" collapsed="false">
      <c r="A305" s="9" t="s">
        <v>1922</v>
      </c>
      <c r="B305" s="9" t="s">
        <v>1923</v>
      </c>
      <c r="C305" s="9" t="s">
        <v>71</v>
      </c>
      <c r="D305" s="10" t="s">
        <v>560</v>
      </c>
      <c r="E305" s="11" t="n">
        <v>2</v>
      </c>
      <c r="F305" s="11" t="n">
        <v>2</v>
      </c>
      <c r="G305" s="11" t="n">
        <v>2</v>
      </c>
      <c r="H305" s="9" t="s">
        <v>1130</v>
      </c>
      <c r="I305" s="10" t="s">
        <v>1906</v>
      </c>
      <c r="J305" s="9" t="s">
        <v>1907</v>
      </c>
      <c r="K305" s="9" t="s">
        <v>1920</v>
      </c>
      <c r="L305" s="9" t="s">
        <v>1924</v>
      </c>
      <c r="M305" s="9" t="n">
        <f aca="false">IF(AND(ISNUMBER($E305),ISNUMBER($F305),ISNUMBER($G305)),IF(AND($F305&lt;=$E305,$E305&lt;=$G305),0,1),0)</f>
        <v>0</v>
      </c>
    </row>
    <row r="306" customFormat="false" ht="15" hidden="false" customHeight="false" outlineLevel="0" collapsed="false">
      <c r="A306" s="9" t="s">
        <v>1925</v>
      </c>
      <c r="B306" s="9" t="s">
        <v>1926</v>
      </c>
      <c r="C306" s="9" t="s">
        <v>71</v>
      </c>
      <c r="D306" s="9" t="s">
        <v>1894</v>
      </c>
      <c r="E306" s="11" t="n">
        <v>6000</v>
      </c>
      <c r="F306" s="11" t="n">
        <v>4000</v>
      </c>
      <c r="G306" s="11" t="n">
        <v>11000</v>
      </c>
      <c r="H306" s="9" t="s">
        <v>1130</v>
      </c>
      <c r="I306" s="10" t="s">
        <v>1906</v>
      </c>
      <c r="J306" s="9" t="s">
        <v>1907</v>
      </c>
      <c r="K306" s="9" t="s">
        <v>1927</v>
      </c>
      <c r="L306" s="9" t="s">
        <v>1928</v>
      </c>
      <c r="M306" s="9" t="n">
        <f aca="false">IF(AND(ISNUMBER($E306),ISNUMBER($F306),ISNUMBER($G306)),IF(AND($F306&lt;=$E306,$E306&lt;=$G306),0,1),0)</f>
        <v>0</v>
      </c>
    </row>
    <row r="307" customFormat="false" ht="15" hidden="false" customHeight="false" outlineLevel="0" collapsed="false">
      <c r="A307" s="9" t="s">
        <v>1929</v>
      </c>
      <c r="B307" s="10" t="s">
        <v>1930</v>
      </c>
      <c r="C307" s="9" t="s">
        <v>71</v>
      </c>
      <c r="D307" s="9" t="s">
        <v>68</v>
      </c>
      <c r="E307" s="11" t="n">
        <v>0.5</v>
      </c>
      <c r="F307" s="11" t="n">
        <v>0.3</v>
      </c>
      <c r="G307" s="11" t="n">
        <v>0.8</v>
      </c>
      <c r="H307" s="9" t="s">
        <v>1130</v>
      </c>
      <c r="I307" s="10" t="s">
        <v>1931</v>
      </c>
      <c r="J307" s="9" t="s">
        <v>1932</v>
      </c>
      <c r="K307" s="9" t="s">
        <v>1933</v>
      </c>
      <c r="L307" s="10" t="s">
        <v>1934</v>
      </c>
      <c r="M307" s="9" t="n">
        <f aca="false">IF(AND(ISNUMBER($E307),ISNUMBER($F307),ISNUMBER($G307)),IF(AND($F307&lt;=$E307,$E307&lt;=$G307),0,1),0)</f>
        <v>0</v>
      </c>
    </row>
    <row r="308" customFormat="false" ht="15" hidden="false" customHeight="false" outlineLevel="0" collapsed="false">
      <c r="A308" s="9" t="s">
        <v>1935</v>
      </c>
      <c r="B308" s="10" t="s">
        <v>1936</v>
      </c>
      <c r="C308" s="9" t="s">
        <v>71</v>
      </c>
      <c r="D308" s="9" t="s">
        <v>68</v>
      </c>
      <c r="E308" s="11" t="n">
        <v>1</v>
      </c>
      <c r="F308" s="11" t="n">
        <v>0.5</v>
      </c>
      <c r="G308" s="11" t="n">
        <v>1.5</v>
      </c>
      <c r="H308" s="9" t="s">
        <v>1130</v>
      </c>
      <c r="I308" s="10" t="s">
        <v>1931</v>
      </c>
      <c r="J308" s="9" t="s">
        <v>1932</v>
      </c>
      <c r="K308" s="9" t="s">
        <v>1933</v>
      </c>
      <c r="L308" s="10" t="s">
        <v>1937</v>
      </c>
      <c r="M308" s="9" t="n">
        <f aca="false">IF(AND(ISNUMBER($E308),ISNUMBER($F308),ISNUMBER($G308)),IF(AND($F308&lt;=$E308,$E308&lt;=$G308),0,1),0)</f>
        <v>0</v>
      </c>
    </row>
    <row r="309" customFormat="false" ht="15" hidden="false" customHeight="false" outlineLevel="0" collapsed="false">
      <c r="A309" s="9" t="s">
        <v>1938</v>
      </c>
      <c r="B309" s="10" t="s">
        <v>1939</v>
      </c>
      <c r="C309" s="9" t="s">
        <v>71</v>
      </c>
      <c r="D309" s="10" t="s">
        <v>1940</v>
      </c>
      <c r="E309" s="11" t="n">
        <v>4</v>
      </c>
      <c r="F309" s="11" t="n">
        <v>4</v>
      </c>
      <c r="G309" s="11" t="n">
        <v>4</v>
      </c>
      <c r="H309" s="9" t="s">
        <v>1094</v>
      </c>
      <c r="I309" s="10" t="s">
        <v>1941</v>
      </c>
      <c r="J309" s="9" t="s">
        <v>1932</v>
      </c>
      <c r="K309" s="9" t="s">
        <v>1933</v>
      </c>
      <c r="L309" s="10" t="s">
        <v>1942</v>
      </c>
      <c r="M309" s="9" t="n">
        <f aca="false">IF(AND(ISNUMBER($E309),ISNUMBER($F309),ISNUMBER($G309)),IF(AND($F309&lt;=$E309,$E309&lt;=$G309),0,1),0)</f>
        <v>0</v>
      </c>
    </row>
    <row r="310" customFormat="false" ht="15" hidden="false" customHeight="false" outlineLevel="0" collapsed="false">
      <c r="A310" s="9" t="s">
        <v>1943</v>
      </c>
      <c r="B310" s="10" t="s">
        <v>1944</v>
      </c>
      <c r="C310" s="9" t="s">
        <v>71</v>
      </c>
      <c r="D310" s="9" t="s">
        <v>68</v>
      </c>
      <c r="E310" s="9" t="n">
        <f aca="false">SRC_OAI_005*INP_317</f>
        <v>26.8</v>
      </c>
      <c r="F310" s="9" t="n">
        <f aca="false">INP_318</f>
        <v>26.8</v>
      </c>
      <c r="G310" s="9" t="n">
        <f aca="false">INP_318</f>
        <v>26.8</v>
      </c>
      <c r="H310" s="9" t="s">
        <v>1830</v>
      </c>
      <c r="I310" s="10" t="s">
        <v>1931</v>
      </c>
      <c r="J310" s="9" t="s">
        <v>1932</v>
      </c>
      <c r="K310" s="9" t="s">
        <v>1933</v>
      </c>
      <c r="L310" s="10" t="s">
        <v>1945</v>
      </c>
      <c r="M310" s="9" t="n">
        <f aca="false">IF(AND(ISNUMBER($E310),ISNUMBER($F310),ISNUMBER($G310)),IF(AND($F310&lt;=$E310,$E310&lt;=$G310),0,1),0)</f>
        <v>0</v>
      </c>
    </row>
    <row r="311" customFormat="false" ht="15" hidden="false" customHeight="false" outlineLevel="0" collapsed="false">
      <c r="A311" s="9" t="s">
        <v>1946</v>
      </c>
      <c r="B311" s="10" t="s">
        <v>1947</v>
      </c>
      <c r="C311" s="9" t="s">
        <v>71</v>
      </c>
      <c r="D311" s="9" t="s">
        <v>68</v>
      </c>
      <c r="E311" s="9" t="n">
        <f aca="false">INP_318-INP_315</f>
        <v>26.3</v>
      </c>
      <c r="F311" s="9" t="n">
        <f aca="false">INP_318-Inputs!$G$307</f>
        <v>26</v>
      </c>
      <c r="G311" s="9" t="n">
        <f aca="false">INP_318-Inputs!$F$307</f>
        <v>26.5</v>
      </c>
      <c r="H311" s="9" t="s">
        <v>1830</v>
      </c>
      <c r="I311" s="10" t="s">
        <v>1931</v>
      </c>
      <c r="J311" s="9" t="s">
        <v>1932</v>
      </c>
      <c r="K311" s="9" t="s">
        <v>1933</v>
      </c>
      <c r="L311" s="10" t="s">
        <v>1948</v>
      </c>
      <c r="M311" s="9" t="n">
        <f aca="false">IF(AND(ISNUMBER($E311),ISNUMBER($F311),ISNUMBER($G311)),IF(AND($F311&lt;=$E311,$E311&lt;=$G311),0,1),0)</f>
        <v>0</v>
      </c>
    </row>
    <row r="312" customFormat="false" ht="15" hidden="false" customHeight="false" outlineLevel="0" collapsed="false">
      <c r="A312" s="9" t="s">
        <v>1949</v>
      </c>
      <c r="B312" s="10" t="s">
        <v>1950</v>
      </c>
      <c r="C312" s="9" t="s">
        <v>71</v>
      </c>
      <c r="D312" s="9" t="s">
        <v>68</v>
      </c>
      <c r="E312" s="9" t="n">
        <f aca="false">SRC_OAI_043-INP_316</f>
        <v>35</v>
      </c>
      <c r="F312" s="9" t="n">
        <f aca="false">SRC_OAI_043-Inputs!$G$308</f>
        <v>34.5</v>
      </c>
      <c r="G312" s="9" t="n">
        <f aca="false">SRC_OAI_043-Inputs!$F$308</f>
        <v>35.5</v>
      </c>
      <c r="H312" s="9" t="s">
        <v>1830</v>
      </c>
      <c r="I312" s="10" t="s">
        <v>1931</v>
      </c>
      <c r="J312" s="9" t="s">
        <v>1932</v>
      </c>
      <c r="K312" s="9" t="s">
        <v>1933</v>
      </c>
      <c r="L312" s="10" t="s">
        <v>1951</v>
      </c>
      <c r="M312" s="9" t="n">
        <f aca="false">IF(AND(ISNUMBER($E312),ISNUMBER($F312),ISNUMBER($G312)),IF(AND($F312&lt;=$E312,$E312&lt;=$G312),0,1),0)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1952</v>
      </c>
    </row>
    <row r="2" customFormat="false" ht="15" hidden="false" customHeight="false" outlineLevel="0" collapsed="false">
      <c r="A2" s="12" t="s">
        <v>1953</v>
      </c>
    </row>
    <row r="3" customFormat="false" ht="15" hidden="false" customHeight="false" outlineLevel="0" collapsed="false">
      <c r="A3" s="2" t="s">
        <v>1954</v>
      </c>
    </row>
    <row r="4" customFormat="false" ht="44" hidden="false" customHeight="false" outlineLevel="0" collapsed="false">
      <c r="A4" s="8" t="s">
        <v>1955</v>
      </c>
      <c r="B4" s="8" t="s">
        <v>1956</v>
      </c>
      <c r="C4" s="8" t="s">
        <v>1957</v>
      </c>
      <c r="D4" s="7" t="s">
        <v>1958</v>
      </c>
      <c r="E4" s="8" t="s">
        <v>1959</v>
      </c>
      <c r="F4" s="8" t="s">
        <v>46</v>
      </c>
      <c r="G4" s="8" t="s">
        <v>815</v>
      </c>
    </row>
    <row r="5" customFormat="false" ht="15" hidden="false" customHeight="false" outlineLevel="0" collapsed="false">
      <c r="A5" s="9" t="s">
        <v>1960</v>
      </c>
      <c r="B5" s="9" t="s">
        <v>1961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258</v>
      </c>
      <c r="G5" s="12" t="s">
        <v>1962</v>
      </c>
    </row>
    <row r="6" customFormat="false" ht="15" hidden="false" customHeight="false" outlineLevel="0" collapsed="false">
      <c r="A6" s="9" t="s">
        <v>1963</v>
      </c>
      <c r="B6" s="9" t="s">
        <v>1964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258</v>
      </c>
      <c r="G6" s="12" t="s">
        <v>1965</v>
      </c>
    </row>
    <row r="7" customFormat="false" ht="15" hidden="false" customHeight="false" outlineLevel="0" collapsed="false">
      <c r="A7" s="9" t="s">
        <v>1966</v>
      </c>
      <c r="B7" s="9" t="s">
        <v>1967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258</v>
      </c>
      <c r="G7" s="2" t="s">
        <v>1968</v>
      </c>
    </row>
    <row r="8" customFormat="false" ht="15" hidden="false" customHeight="false" outlineLevel="0" collapsed="false">
      <c r="A8" s="9" t="s">
        <v>1969</v>
      </c>
      <c r="B8" s="9" t="s">
        <v>1970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258</v>
      </c>
      <c r="G8" s="12" t="s">
        <v>1971</v>
      </c>
    </row>
    <row r="9" customFormat="false" ht="15" hidden="false" customHeight="false" outlineLevel="0" collapsed="false">
      <c r="A9" s="9" t="s">
        <v>1972</v>
      </c>
      <c r="B9" s="9" t="s">
        <v>1973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120</v>
      </c>
      <c r="G9" s="12" t="s">
        <v>1974</v>
      </c>
    </row>
    <row r="10" customFormat="false" ht="15" hidden="false" customHeight="false" outlineLevel="0" collapsed="false">
      <c r="A10" s="9" t="s">
        <v>1975</v>
      </c>
      <c r="B10" s="10" t="s">
        <v>1976</v>
      </c>
      <c r="C10" s="14" t="n">
        <f aca="false">C9-MIN(C9,SRC_OAI!$E$100)</f>
        <v>0</v>
      </c>
      <c r="F10" s="9"/>
      <c r="G10" s="12" t="s">
        <v>1977</v>
      </c>
    </row>
    <row r="11" customFormat="false" ht="15" hidden="false" customHeight="false" outlineLevel="0" collapsed="false">
      <c r="A11" s="9" t="s">
        <v>1978</v>
      </c>
      <c r="B11" s="9" t="s">
        <v>1979</v>
      </c>
      <c r="C11" s="14" t="n">
        <f aca="false">(D9-SRC_OAI!$E$100)</f>
        <v>0.00408450704225352</v>
      </c>
      <c r="F11" s="10" t="s">
        <v>120</v>
      </c>
      <c r="G11" s="2" t="s">
        <v>1980</v>
      </c>
    </row>
    <row r="12" customFormat="false" ht="15" hidden="false" customHeight="false" outlineLevel="0" collapsed="false">
      <c r="A12" s="9" t="s">
        <v>1981</v>
      </c>
      <c r="B12" s="9" t="s">
        <v>1982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1983</v>
      </c>
      <c r="G12" s="12" t="s">
        <v>1984</v>
      </c>
    </row>
    <row r="13" customFormat="false" ht="15" hidden="false" customHeight="false" outlineLevel="0" collapsed="false">
      <c r="A13" s="9" t="s">
        <v>1985</v>
      </c>
      <c r="B13" s="9" t="s">
        <v>1986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1983</v>
      </c>
      <c r="G13" s="12" t="s">
        <v>1987</v>
      </c>
    </row>
    <row r="14" customFormat="false" ht="15" hidden="false" customHeight="false" outlineLevel="0" collapsed="false">
      <c r="A14" s="9" t="s">
        <v>1988</v>
      </c>
      <c r="B14" s="9" t="s">
        <v>1989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258</v>
      </c>
      <c r="G14" s="12" t="s">
        <v>1990</v>
      </c>
    </row>
    <row r="15" customFormat="false" ht="15" hidden="false" customHeight="false" outlineLevel="0" collapsed="false">
      <c r="A15" s="9" t="s">
        <v>1991</v>
      </c>
      <c r="B15" s="9" t="s">
        <v>1992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258</v>
      </c>
      <c r="G15" s="12" t="s">
        <v>1990</v>
      </c>
    </row>
    <row r="16" customFormat="false" ht="15" hidden="false" customHeight="false" outlineLevel="0" collapsed="false">
      <c r="A16" s="9" t="s">
        <v>1633</v>
      </c>
      <c r="B16" s="9" t="s">
        <v>1993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258</v>
      </c>
      <c r="G16" s="12" t="s">
        <v>1990</v>
      </c>
    </row>
    <row r="17" customFormat="false" ht="15" hidden="false" customHeight="false" outlineLevel="0" collapsed="false">
      <c r="A17" s="9" t="s">
        <v>1517</v>
      </c>
      <c r="B17" s="9" t="s">
        <v>1994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258</v>
      </c>
      <c r="G17" s="12" t="s">
        <v>1990</v>
      </c>
    </row>
    <row r="18" customFormat="false" ht="15" hidden="false" customHeight="false" outlineLevel="0" collapsed="false">
      <c r="A18" s="9" t="s">
        <v>1995</v>
      </c>
      <c r="B18" s="9" t="s">
        <v>1996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120</v>
      </c>
      <c r="G18" s="12" t="s">
        <v>1997</v>
      </c>
    </row>
    <row r="19" customFormat="false" ht="15" hidden="false" customHeight="false" outlineLevel="0" collapsed="false">
      <c r="A19" s="9" t="s">
        <v>1653</v>
      </c>
      <c r="B19" s="9" t="s">
        <v>1998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120</v>
      </c>
      <c r="G19" s="12" t="s">
        <v>1997</v>
      </c>
    </row>
    <row r="20" customFormat="false" ht="15" hidden="false" customHeight="false" outlineLevel="0" collapsed="false">
      <c r="A20" s="9" t="s">
        <v>1513</v>
      </c>
      <c r="B20" s="9" t="s">
        <v>1999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120</v>
      </c>
      <c r="G20" s="12" t="s">
        <v>1997</v>
      </c>
    </row>
    <row r="21" customFormat="false" ht="15" hidden="false" customHeight="false" outlineLevel="0" collapsed="false">
      <c r="A21" s="9" t="s">
        <v>2000</v>
      </c>
      <c r="B21" s="9" t="s">
        <v>2001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120</v>
      </c>
      <c r="G21" s="12" t="s">
        <v>1997</v>
      </c>
    </row>
    <row r="22" customFormat="false" ht="15" hidden="false" customHeight="false" outlineLevel="0" collapsed="false">
      <c r="A22" s="9" t="s">
        <v>2002</v>
      </c>
      <c r="B22" s="9" t="s">
        <v>2003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1983</v>
      </c>
      <c r="G22" s="12" t="s">
        <v>1987</v>
      </c>
    </row>
    <row r="23" customFormat="false" ht="15" hidden="false" customHeight="false" outlineLevel="0" collapsed="false">
      <c r="A23" s="9" t="s">
        <v>2004</v>
      </c>
      <c r="B23" s="9" t="s">
        <v>2005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1983</v>
      </c>
      <c r="G23" s="12" t="s">
        <v>1987</v>
      </c>
    </row>
    <row r="24" customFormat="false" ht="15" hidden="false" customHeight="false" outlineLevel="0" collapsed="false">
      <c r="A24" s="9" t="s">
        <v>2006</v>
      </c>
      <c r="B24" s="9" t="s">
        <v>2007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1983</v>
      </c>
      <c r="G24" s="12" t="s">
        <v>1987</v>
      </c>
    </row>
    <row r="25" customFormat="false" ht="15" hidden="false" customHeight="false" outlineLevel="0" collapsed="false">
      <c r="A25" s="9" t="s">
        <v>2008</v>
      </c>
      <c r="B25" s="9" t="s">
        <v>2009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1983</v>
      </c>
      <c r="G25" s="12" t="s">
        <v>1987</v>
      </c>
    </row>
    <row r="26" customFormat="false" ht="15" hidden="false" customHeight="false" outlineLevel="0" collapsed="false">
      <c r="A26" s="9" t="s">
        <v>2010</v>
      </c>
      <c r="B26" s="9" t="s">
        <v>2011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2012</v>
      </c>
      <c r="G26" s="12" t="s">
        <v>2013</v>
      </c>
    </row>
    <row r="27" customFormat="false" ht="15" hidden="false" customHeight="false" outlineLevel="0" collapsed="false">
      <c r="A27" s="9" t="s">
        <v>2014</v>
      </c>
      <c r="B27" s="9" t="s">
        <v>2015</v>
      </c>
      <c r="C27" s="14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2012</v>
      </c>
      <c r="G27" s="12" t="s">
        <v>2016</v>
      </c>
    </row>
    <row r="28" customFormat="false" ht="15" hidden="false" customHeight="false" outlineLevel="0" collapsed="false">
      <c r="A28" s="9" t="s">
        <v>2017</v>
      </c>
      <c r="B28" s="9" t="s">
        <v>2018</v>
      </c>
      <c r="C28" s="14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2012</v>
      </c>
      <c r="G28" s="12" t="s">
        <v>2019</v>
      </c>
    </row>
    <row r="29" customFormat="false" ht="15" hidden="false" customHeight="false" outlineLevel="0" collapsed="false">
      <c r="A29" s="9" t="s">
        <v>2020</v>
      </c>
      <c r="B29" s="9" t="s">
        <v>2021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68</v>
      </c>
      <c r="G29" s="12" t="s">
        <v>2022</v>
      </c>
    </row>
    <row r="30" customFormat="false" ht="15" hidden="false" customHeight="false" outlineLevel="0" collapsed="false">
      <c r="A30" s="9" t="s">
        <v>2023</v>
      </c>
      <c r="B30" s="9" t="s">
        <v>2024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375</v>
      </c>
      <c r="G30" s="12" t="s">
        <v>2025</v>
      </c>
    </row>
    <row r="31" customFormat="false" ht="15" hidden="false" customHeight="false" outlineLevel="0" collapsed="false">
      <c r="A31" s="9" t="s">
        <v>2026</v>
      </c>
      <c r="B31" s="9" t="s">
        <v>2027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68</v>
      </c>
      <c r="G31" s="12" t="s">
        <v>2028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2029</v>
      </c>
    </row>
    <row r="2" customFormat="false" ht="15" hidden="false" customHeight="false" outlineLevel="0" collapsed="false">
      <c r="A2" s="2" t="s">
        <v>2030</v>
      </c>
    </row>
    <row r="3" customFormat="false" ht="15" hidden="false" customHeight="false" outlineLevel="0" collapsed="false">
      <c r="A3" s="12" t="s">
        <v>2031</v>
      </c>
    </row>
    <row r="5" customFormat="false" ht="15" hidden="false" customHeight="false" outlineLevel="0" collapsed="false">
      <c r="A5" s="8" t="s">
        <v>1955</v>
      </c>
      <c r="B5" s="8" t="s">
        <v>1956</v>
      </c>
      <c r="C5" s="8" t="s">
        <v>46</v>
      </c>
      <c r="D5" s="7" t="s">
        <v>411</v>
      </c>
      <c r="E5" s="7" t="s">
        <v>423</v>
      </c>
      <c r="F5" s="7" t="s">
        <v>1207</v>
      </c>
      <c r="G5" s="7" t="s">
        <v>1209</v>
      </c>
      <c r="H5" s="7" t="s">
        <v>1211</v>
      </c>
      <c r="I5" s="7" t="s">
        <v>1213</v>
      </c>
      <c r="J5" s="8"/>
      <c r="K5" s="7" t="s">
        <v>2032</v>
      </c>
      <c r="L5" s="7" t="s">
        <v>2033</v>
      </c>
      <c r="M5" s="7" t="s">
        <v>2034</v>
      </c>
      <c r="N5" s="7" t="s">
        <v>2035</v>
      </c>
      <c r="O5" s="7" t="s">
        <v>2036</v>
      </c>
      <c r="P5" s="7" t="s">
        <v>2037</v>
      </c>
      <c r="Q5" s="8" t="s">
        <v>815</v>
      </c>
    </row>
    <row r="6" customFormat="false" ht="15" hidden="false" customHeight="false" outlineLevel="0" collapsed="false">
      <c r="B6" s="3" t="s">
        <v>2038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2039</v>
      </c>
    </row>
    <row r="8" customFormat="false" ht="15" hidden="false" customHeight="false" outlineLevel="0" collapsed="false">
      <c r="A8" s="9" t="s">
        <v>2040</v>
      </c>
      <c r="B8" s="10" t="s">
        <v>2041</v>
      </c>
      <c r="C8" s="10" t="s">
        <v>120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2042</v>
      </c>
    </row>
    <row r="9" customFormat="false" ht="15" hidden="false" customHeight="false" outlineLevel="0" collapsed="false">
      <c r="A9" s="9" t="s">
        <v>2043</v>
      </c>
      <c r="B9" s="9" t="s">
        <v>2044</v>
      </c>
      <c r="C9" s="10" t="s">
        <v>560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2045</v>
      </c>
    </row>
    <row r="10" customFormat="false" ht="15" hidden="false" customHeight="false" outlineLevel="0" collapsed="false">
      <c r="A10" s="9" t="s">
        <v>2046</v>
      </c>
      <c r="B10" s="9" t="s">
        <v>2047</v>
      </c>
      <c r="C10" s="9" t="s">
        <v>258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2048</v>
      </c>
    </row>
    <row r="11" customFormat="false" ht="15" hidden="false" customHeight="false" outlineLevel="0" collapsed="false">
      <c r="A11" s="9" t="s">
        <v>2049</v>
      </c>
      <c r="B11" s="9" t="s">
        <v>2050</v>
      </c>
      <c r="C11" s="9" t="s">
        <v>258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2051</v>
      </c>
    </row>
    <row r="12" customFormat="false" ht="15" hidden="false" customHeight="false" outlineLevel="0" collapsed="false">
      <c r="A12" s="9" t="s">
        <v>2052</v>
      </c>
      <c r="B12" s="9" t="s">
        <v>2053</v>
      </c>
      <c r="C12" s="9" t="s">
        <v>258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2054</v>
      </c>
    </row>
    <row r="13" customFormat="false" ht="15" hidden="false" customHeight="false" outlineLevel="0" collapsed="false">
      <c r="A13" s="9" t="s">
        <v>2055</v>
      </c>
      <c r="B13" s="9" t="s">
        <v>2056</v>
      </c>
      <c r="C13" s="9" t="s">
        <v>258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2057</v>
      </c>
    </row>
    <row r="14" customFormat="false" ht="15" hidden="false" customHeight="false" outlineLevel="0" collapsed="false">
      <c r="A14" s="9" t="s">
        <v>2058</v>
      </c>
      <c r="B14" s="10" t="s">
        <v>2059</v>
      </c>
      <c r="C14" s="9" t="s">
        <v>258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14</v>
      </c>
    </row>
    <row r="15" customFormat="false" ht="15" hidden="false" customHeight="false" outlineLevel="0" collapsed="false">
      <c r="A15" s="9" t="s">
        <v>2060</v>
      </c>
      <c r="B15" s="10" t="s">
        <v>2061</v>
      </c>
      <c r="C15" s="9" t="s">
        <v>258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2062</v>
      </c>
      <c r="B16" s="10" t="s">
        <v>2063</v>
      </c>
      <c r="C16" s="9" t="s">
        <v>258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5" t="s">
        <v>2064</v>
      </c>
    </row>
    <row r="18" customFormat="false" ht="15" hidden="false" customHeight="false" outlineLevel="0" collapsed="false">
      <c r="A18" s="9" t="s">
        <v>2065</v>
      </c>
      <c r="B18" s="9" t="s">
        <v>2066</v>
      </c>
      <c r="C18" s="10" t="s">
        <v>1333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2067</v>
      </c>
    </row>
    <row r="19" customFormat="false" ht="15" hidden="false" customHeight="false" outlineLevel="0" collapsed="false">
      <c r="A19" s="9" t="s">
        <v>1167</v>
      </c>
      <c r="B19" s="9" t="s">
        <v>2068</v>
      </c>
      <c r="C19" s="10" t="s">
        <v>1333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2067</v>
      </c>
    </row>
    <row r="20" customFormat="false" ht="15" hidden="false" customHeight="false" outlineLevel="0" collapsed="false">
      <c r="A20" s="9" t="s">
        <v>2069</v>
      </c>
      <c r="B20" s="9" t="s">
        <v>2070</v>
      </c>
      <c r="C20" s="10" t="s">
        <v>1333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2067</v>
      </c>
    </row>
    <row r="21" customFormat="false" ht="15" hidden="false" customHeight="false" outlineLevel="0" collapsed="false">
      <c r="A21" s="9" t="s">
        <v>2071</v>
      </c>
      <c r="B21" s="9" t="s">
        <v>2072</v>
      </c>
      <c r="C21" s="10" t="s">
        <v>1333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2067</v>
      </c>
    </row>
    <row r="22" customFormat="false" ht="15" hidden="false" customHeight="false" outlineLevel="0" collapsed="false">
      <c r="A22" s="9" t="s">
        <v>2073</v>
      </c>
      <c r="B22" s="10" t="s">
        <v>2074</v>
      </c>
      <c r="C22" s="10" t="s">
        <v>1333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2067</v>
      </c>
    </row>
    <row r="23" customFormat="false" ht="15" hidden="false" customHeight="false" outlineLevel="0" collapsed="false">
      <c r="A23" s="9" t="s">
        <v>2075</v>
      </c>
      <c r="B23" s="9" t="s">
        <v>2076</v>
      </c>
      <c r="C23" s="9" t="s">
        <v>2077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2078</v>
      </c>
    </row>
    <row r="24" customFormat="false" ht="15" hidden="false" customHeight="false" outlineLevel="0" collapsed="false">
      <c r="A24" s="9" t="s">
        <v>2079</v>
      </c>
      <c r="B24" s="9" t="s">
        <v>2080</v>
      </c>
      <c r="C24" s="9" t="s">
        <v>2077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2078</v>
      </c>
    </row>
    <row r="25" customFormat="false" ht="15" hidden="false" customHeight="false" outlineLevel="0" collapsed="false">
      <c r="A25" s="9" t="s">
        <v>2081</v>
      </c>
      <c r="B25" s="9" t="s">
        <v>2082</v>
      </c>
      <c r="C25" s="9" t="s">
        <v>2077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2078</v>
      </c>
    </row>
    <row r="26" customFormat="false" ht="15" hidden="false" customHeight="false" outlineLevel="0" collapsed="false">
      <c r="A26" s="9" t="s">
        <v>2083</v>
      </c>
      <c r="B26" s="9" t="s">
        <v>2084</v>
      </c>
      <c r="C26" s="9" t="s">
        <v>2077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2078</v>
      </c>
    </row>
    <row r="27" customFormat="false" ht="15" hidden="false" customHeight="false" outlineLevel="0" collapsed="false">
      <c r="A27" s="9" t="s">
        <v>2085</v>
      </c>
      <c r="B27" s="10" t="s">
        <v>2086</v>
      </c>
      <c r="C27" s="9" t="s">
        <v>2077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2078</v>
      </c>
    </row>
    <row r="28" customFormat="false" ht="15" hidden="false" customHeight="false" outlineLevel="0" collapsed="false">
      <c r="A28" s="9" t="s">
        <v>2087</v>
      </c>
      <c r="B28" s="9" t="s">
        <v>2088</v>
      </c>
      <c r="C28" s="9" t="s">
        <v>2012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2089</v>
      </c>
    </row>
    <row r="29" customFormat="false" ht="15" hidden="false" customHeight="false" outlineLevel="0" collapsed="false">
      <c r="A29" s="9" t="s">
        <v>2090</v>
      </c>
      <c r="B29" s="9" t="s">
        <v>2091</v>
      </c>
      <c r="C29" s="9" t="s">
        <v>2012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2089</v>
      </c>
    </row>
    <row r="30" customFormat="false" ht="15" hidden="false" customHeight="false" outlineLevel="0" collapsed="false">
      <c r="A30" s="9" t="s">
        <v>2092</v>
      </c>
      <c r="B30" s="9" t="s">
        <v>2093</v>
      </c>
      <c r="C30" s="9" t="s">
        <v>2012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2089</v>
      </c>
    </row>
    <row r="31" customFormat="false" ht="15" hidden="false" customHeight="false" outlineLevel="0" collapsed="false">
      <c r="A31" s="9" t="s">
        <v>2094</v>
      </c>
      <c r="B31" s="9" t="s">
        <v>2095</v>
      </c>
      <c r="C31" s="9" t="s">
        <v>2012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2089</v>
      </c>
    </row>
    <row r="32" customFormat="false" ht="15" hidden="false" customHeight="false" outlineLevel="0" collapsed="false">
      <c r="A32" s="9" t="s">
        <v>2096</v>
      </c>
      <c r="B32" s="10" t="s">
        <v>2097</v>
      </c>
      <c r="C32" s="9" t="s">
        <v>2012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2089</v>
      </c>
    </row>
    <row r="33" customFormat="false" ht="15" hidden="false" customHeight="false" outlineLevel="0" collapsed="false">
      <c r="A33" s="9" t="s">
        <v>2098</v>
      </c>
      <c r="B33" s="10" t="s">
        <v>2099</v>
      </c>
      <c r="C33" s="9" t="s">
        <v>2012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2100</v>
      </c>
    </row>
    <row r="34" customFormat="false" ht="15" hidden="false" customHeight="false" outlineLevel="0" collapsed="false">
      <c r="A34" s="15" t="s">
        <v>2101</v>
      </c>
    </row>
    <row r="35" customFormat="false" ht="15" hidden="false" customHeight="false" outlineLevel="0" collapsed="false">
      <c r="A35" s="9" t="s">
        <v>2102</v>
      </c>
      <c r="B35" s="10" t="s">
        <v>2103</v>
      </c>
      <c r="C35" s="10" t="s">
        <v>560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2104</v>
      </c>
    </row>
    <row r="36" customFormat="false" ht="15" hidden="false" customHeight="false" outlineLevel="0" collapsed="false">
      <c r="A36" s="9" t="s">
        <v>2105</v>
      </c>
      <c r="B36" s="9" t="s">
        <v>2106</v>
      </c>
      <c r="C36" s="9" t="s">
        <v>2077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2107</v>
      </c>
    </row>
    <row r="37" customFormat="false" ht="15" hidden="false" customHeight="false" outlineLevel="0" collapsed="false">
      <c r="A37" s="9" t="s">
        <v>2108</v>
      </c>
      <c r="B37" s="9" t="s">
        <v>2109</v>
      </c>
      <c r="C37" s="10" t="s">
        <v>2110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2111</v>
      </c>
    </row>
    <row r="38" customFormat="false" ht="15" hidden="false" customHeight="false" outlineLevel="0" collapsed="false">
      <c r="A38" s="9" t="s">
        <v>2112</v>
      </c>
      <c r="B38" s="9" t="s">
        <v>2113</v>
      </c>
      <c r="C38" s="9" t="s">
        <v>2012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2114</v>
      </c>
    </row>
    <row r="39" customFormat="false" ht="15" hidden="false" customHeight="false" outlineLevel="0" collapsed="false">
      <c r="A39" s="9" t="s">
        <v>2115</v>
      </c>
      <c r="B39" s="9" t="s">
        <v>2116</v>
      </c>
      <c r="C39" s="9" t="s">
        <v>2012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2117</v>
      </c>
    </row>
    <row r="40" customFormat="false" ht="15" hidden="false" customHeight="false" outlineLevel="0" collapsed="false">
      <c r="A40" s="9" t="s">
        <v>2118</v>
      </c>
      <c r="B40" s="9" t="s">
        <v>2119</v>
      </c>
      <c r="C40" s="9" t="s">
        <v>2012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2117</v>
      </c>
    </row>
    <row r="41" customFormat="false" ht="15" hidden="false" customHeight="false" outlineLevel="0" collapsed="false">
      <c r="A41" s="9" t="s">
        <v>2120</v>
      </c>
      <c r="B41" s="9" t="s">
        <v>2121</v>
      </c>
      <c r="C41" s="9" t="s">
        <v>2012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2117</v>
      </c>
    </row>
    <row r="42" customFormat="false" ht="15" hidden="false" customHeight="false" outlineLevel="0" collapsed="false">
      <c r="A42" s="15" t="s">
        <v>2122</v>
      </c>
    </row>
    <row r="43" customFormat="false" ht="15" hidden="false" customHeight="false" outlineLevel="0" collapsed="false">
      <c r="A43" s="9" t="s">
        <v>2123</v>
      </c>
      <c r="B43" s="10" t="s">
        <v>2124</v>
      </c>
      <c r="C43" s="9" t="s">
        <v>2012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2125</v>
      </c>
    </row>
    <row r="44" customFormat="false" ht="15" hidden="false" customHeight="false" outlineLevel="0" collapsed="false">
      <c r="A44" s="9" t="s">
        <v>2126</v>
      </c>
      <c r="B44" s="10" t="s">
        <v>2127</v>
      </c>
      <c r="C44" s="9" t="s">
        <v>2012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2128</v>
      </c>
    </row>
    <row r="45" customFormat="false" ht="15" hidden="false" customHeight="false" outlineLevel="0" collapsed="false">
      <c r="A45" s="9" t="s">
        <v>2129</v>
      </c>
      <c r="B45" s="10" t="s">
        <v>2130</v>
      </c>
      <c r="C45" s="9" t="s">
        <v>2012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2131</v>
      </c>
    </row>
    <row r="46" customFormat="false" ht="15" hidden="false" customHeight="false" outlineLevel="0" collapsed="false">
      <c r="A46" s="9" t="s">
        <v>2132</v>
      </c>
      <c r="B46" s="10" t="s">
        <v>2133</v>
      </c>
      <c r="C46" s="9" t="s">
        <v>2012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2134</v>
      </c>
    </row>
    <row r="47" customFormat="false" ht="15" hidden="false" customHeight="false" outlineLevel="0" collapsed="false">
      <c r="A47" s="9" t="s">
        <v>2135</v>
      </c>
      <c r="B47" s="10" t="s">
        <v>2136</v>
      </c>
      <c r="C47" s="9" t="s">
        <v>2012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2134</v>
      </c>
    </row>
    <row r="48" customFormat="false" ht="15" hidden="false" customHeight="false" outlineLevel="0" collapsed="false">
      <c r="A48" s="9" t="s">
        <v>2137</v>
      </c>
      <c r="B48" s="10" t="s">
        <v>2138</v>
      </c>
      <c r="C48" s="9" t="s">
        <v>2012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2134</v>
      </c>
    </row>
    <row r="49" customFormat="false" ht="15" hidden="false" customHeight="false" outlineLevel="0" collapsed="false">
      <c r="A49" s="9" t="s">
        <v>2139</v>
      </c>
      <c r="B49" s="10" t="s">
        <v>2140</v>
      </c>
      <c r="C49" s="9" t="s">
        <v>2012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2141</v>
      </c>
      <c r="B50" s="10" t="s">
        <v>2142</v>
      </c>
      <c r="C50" s="9" t="s">
        <v>2012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2143</v>
      </c>
      <c r="B51" s="9" t="s">
        <v>2144</v>
      </c>
      <c r="C51" s="9" t="s">
        <v>2012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2145</v>
      </c>
      <c r="B52" s="10" t="s">
        <v>2146</v>
      </c>
      <c r="C52" s="9" t="s">
        <v>2012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2147</v>
      </c>
    </row>
    <row r="53" customFormat="false" ht="15" hidden="false" customHeight="false" outlineLevel="0" collapsed="false">
      <c r="A53" s="15" t="s">
        <v>2148</v>
      </c>
    </row>
    <row r="54" customFormat="false" ht="15" hidden="false" customHeight="false" outlineLevel="0" collapsed="false">
      <c r="A54" s="9" t="s">
        <v>2149</v>
      </c>
      <c r="B54" s="9" t="s">
        <v>2150</v>
      </c>
      <c r="C54" s="9" t="s">
        <v>836</v>
      </c>
      <c r="D54" s="9" t="n">
        <f aca="false">TK_IF_AllocDemand</f>
        <v>6015200000</v>
      </c>
      <c r="Q54" s="12" t="s">
        <v>2151</v>
      </c>
    </row>
    <row r="55" customFormat="false" ht="15" hidden="false" customHeight="false" outlineLevel="0" collapsed="false">
      <c r="A55" s="9" t="s">
        <v>2152</v>
      </c>
      <c r="B55" s="10" t="s">
        <v>2153</v>
      </c>
      <c r="C55" s="9" t="s">
        <v>836</v>
      </c>
      <c r="D55" s="9" t="n">
        <f aca="false">D51*INP_254</f>
        <v>3538060109.94171</v>
      </c>
      <c r="Q55" s="12" t="s">
        <v>2154</v>
      </c>
    </row>
    <row r="56" customFormat="false" ht="15" hidden="false" customHeight="false" outlineLevel="0" collapsed="false">
      <c r="A56" s="9" t="s">
        <v>2155</v>
      </c>
      <c r="B56" s="10" t="s">
        <v>2156</v>
      </c>
      <c r="C56" s="9" t="s">
        <v>836</v>
      </c>
      <c r="D56" s="9" t="n">
        <f aca="false">D55-D54</f>
        <v>-2477139890.05829</v>
      </c>
      <c r="Q56" s="2"/>
    </row>
    <row r="57" customFormat="false" ht="15" hidden="false" customHeight="false" outlineLevel="0" collapsed="false">
      <c r="A57" s="9" t="s">
        <v>2157</v>
      </c>
      <c r="B57" s="10" t="s">
        <v>2158</v>
      </c>
      <c r="C57" s="10" t="s">
        <v>560</v>
      </c>
      <c r="D57" s="9" t="n">
        <f aca="false">D55/D54</f>
        <v>0.588186612239279</v>
      </c>
      <c r="Q57" s="2"/>
    </row>
    <row r="58" customFormat="false" ht="15" hidden="false" customHeight="false" outlineLevel="0" collapsed="false">
      <c r="A58" s="9" t="s">
        <v>2159</v>
      </c>
      <c r="B58" s="9" t="s">
        <v>2160</v>
      </c>
      <c r="C58" s="9" t="s">
        <v>2012</v>
      </c>
      <c r="D58" s="9" t="n">
        <f aca="false">V9_ApiTok</f>
        <v>2628</v>
      </c>
      <c r="K58" s="2" t="n">
        <v>2628</v>
      </c>
      <c r="Q58" s="12" t="s">
        <v>2161</v>
      </c>
    </row>
    <row r="59" customFormat="false" ht="15" hidden="false" customHeight="false" outlineLevel="0" collapsed="false">
      <c r="A59" s="9" t="s">
        <v>2162</v>
      </c>
      <c r="B59" s="9" t="s">
        <v>2163</v>
      </c>
      <c r="C59" s="10" t="s">
        <v>120</v>
      </c>
      <c r="D59" s="9" t="n">
        <f aca="false">D38/D58</f>
        <v>0.801304106007182</v>
      </c>
      <c r="K59" s="2" t="n">
        <v>0.700366929535506</v>
      </c>
      <c r="Q59" s="12" t="s">
        <v>2164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2165</v>
      </c>
    </row>
    <row r="2" customFormat="false" ht="15" hidden="false" customHeight="false" outlineLevel="0" collapsed="false">
      <c r="A2" s="2" t="s">
        <v>2166</v>
      </c>
    </row>
    <row r="3" customFormat="false" ht="15" hidden="false" customHeight="false" outlineLevel="0" collapsed="false">
      <c r="A3" s="2" t="s">
        <v>2167</v>
      </c>
    </row>
    <row r="5" customFormat="false" ht="15" hidden="false" customHeight="false" outlineLevel="0" collapsed="false">
      <c r="A5" s="8" t="s">
        <v>1955</v>
      </c>
      <c r="B5" s="8" t="s">
        <v>1956</v>
      </c>
      <c r="C5" s="8" t="s">
        <v>46</v>
      </c>
      <c r="D5" s="7" t="s">
        <v>411</v>
      </c>
      <c r="E5" s="7" t="s">
        <v>423</v>
      </c>
      <c r="F5" s="7" t="s">
        <v>1207</v>
      </c>
      <c r="G5" s="7" t="s">
        <v>1209</v>
      </c>
      <c r="H5" s="7" t="s">
        <v>1211</v>
      </c>
      <c r="I5" s="7" t="s">
        <v>1213</v>
      </c>
      <c r="J5" s="8"/>
      <c r="K5" s="7" t="s">
        <v>2032</v>
      </c>
      <c r="L5" s="7" t="s">
        <v>2033</v>
      </c>
      <c r="M5" s="7" t="s">
        <v>2034</v>
      </c>
      <c r="N5" s="7" t="s">
        <v>2035</v>
      </c>
      <c r="O5" s="7" t="s">
        <v>2036</v>
      </c>
      <c r="P5" s="7" t="s">
        <v>2037</v>
      </c>
      <c r="Q5" s="8" t="s">
        <v>815</v>
      </c>
    </row>
    <row r="6" customFormat="false" ht="15" hidden="false" customHeight="false" outlineLevel="0" collapsed="false">
      <c r="B6" s="3" t="s">
        <v>2038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2168</v>
      </c>
    </row>
    <row r="8" customFormat="false" ht="15" hidden="false" customHeight="false" outlineLevel="0" collapsed="false">
      <c r="A8" s="9" t="s">
        <v>2169</v>
      </c>
      <c r="B8" s="10" t="s">
        <v>2170</v>
      </c>
      <c r="C8" s="9" t="s">
        <v>853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2171</v>
      </c>
    </row>
    <row r="9" customFormat="false" ht="15" hidden="false" customHeight="false" outlineLevel="0" collapsed="false">
      <c r="A9" s="9" t="s">
        <v>2172</v>
      </c>
      <c r="B9" s="10" t="s">
        <v>2173</v>
      </c>
      <c r="C9" s="9" t="s">
        <v>853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2171</v>
      </c>
    </row>
    <row r="10" customFormat="false" ht="15" hidden="false" customHeight="false" outlineLevel="0" collapsed="false">
      <c r="A10" s="9" t="s">
        <v>2174</v>
      </c>
      <c r="B10" s="10" t="s">
        <v>2175</v>
      </c>
      <c r="C10" s="9" t="s">
        <v>853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2171</v>
      </c>
    </row>
    <row r="11" customFormat="false" ht="15" hidden="false" customHeight="false" outlineLevel="0" collapsed="false">
      <c r="A11" s="9" t="s">
        <v>2176</v>
      </c>
      <c r="B11" s="10" t="s">
        <v>2177</v>
      </c>
      <c r="C11" s="9" t="s">
        <v>853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2171</v>
      </c>
    </row>
    <row r="12" customFormat="false" ht="15" hidden="false" customHeight="false" outlineLevel="0" collapsed="false">
      <c r="A12" s="9" t="s">
        <v>2178</v>
      </c>
      <c r="B12" s="10" t="s">
        <v>2179</v>
      </c>
      <c r="C12" s="9" t="s">
        <v>853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2171</v>
      </c>
    </row>
    <row r="13" customFormat="false" ht="15" hidden="false" customHeight="false" outlineLevel="0" collapsed="false">
      <c r="A13" s="9" t="s">
        <v>2180</v>
      </c>
      <c r="B13" s="10" t="s">
        <v>2181</v>
      </c>
      <c r="C13" s="9" t="s">
        <v>853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2171</v>
      </c>
    </row>
    <row r="14" customFormat="false" ht="15" hidden="false" customHeight="false" outlineLevel="0" collapsed="false">
      <c r="A14" s="15" t="s">
        <v>2182</v>
      </c>
    </row>
    <row r="15" customFormat="false" ht="15" hidden="false" customHeight="false" outlineLevel="0" collapsed="false">
      <c r="A15" s="9" t="s">
        <v>2183</v>
      </c>
      <c r="B15" s="10" t="s">
        <v>2184</v>
      </c>
      <c r="C15" s="9" t="s">
        <v>853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2185</v>
      </c>
    </row>
    <row r="16" customFormat="false" ht="15" hidden="false" customHeight="false" outlineLevel="0" collapsed="false">
      <c r="A16" s="9" t="s">
        <v>2186</v>
      </c>
      <c r="B16" s="10" t="s">
        <v>2187</v>
      </c>
      <c r="C16" s="9" t="s">
        <v>853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2185</v>
      </c>
    </row>
    <row r="17" customFormat="false" ht="15" hidden="false" customHeight="false" outlineLevel="0" collapsed="false">
      <c r="A17" s="9" t="s">
        <v>2188</v>
      </c>
      <c r="B17" s="10" t="s">
        <v>2189</v>
      </c>
      <c r="C17" s="9" t="s">
        <v>853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2185</v>
      </c>
    </row>
    <row r="18" customFormat="false" ht="15" hidden="false" customHeight="false" outlineLevel="0" collapsed="false">
      <c r="A18" s="9" t="s">
        <v>2190</v>
      </c>
      <c r="B18" s="9" t="s">
        <v>2191</v>
      </c>
      <c r="C18" s="10" t="s">
        <v>120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2192</v>
      </c>
    </row>
    <row r="19" customFormat="false" ht="15" hidden="false" customHeight="false" outlineLevel="0" collapsed="false">
      <c r="A19" s="9" t="s">
        <v>2193</v>
      </c>
      <c r="B19" s="9" t="s">
        <v>2194</v>
      </c>
      <c r="C19" s="10" t="s">
        <v>120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388</v>
      </c>
    </row>
    <row r="20" customFormat="false" ht="15" hidden="false" customHeight="false" outlineLevel="0" collapsed="false">
      <c r="A20" s="9" t="s">
        <v>2195</v>
      </c>
      <c r="B20" s="9" t="s">
        <v>2196</v>
      </c>
      <c r="C20" s="10" t="s">
        <v>120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2197</v>
      </c>
    </row>
    <row r="21" customFormat="false" ht="15" hidden="false" customHeight="false" outlineLevel="0" collapsed="false">
      <c r="A21" s="9" t="s">
        <v>2198</v>
      </c>
      <c r="B21" s="10" t="s">
        <v>2199</v>
      </c>
      <c r="C21" s="9" t="s">
        <v>853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2200</v>
      </c>
    </row>
    <row r="22" customFormat="false" ht="15" hidden="false" customHeight="false" outlineLevel="0" collapsed="false">
      <c r="A22" s="15" t="s">
        <v>2201</v>
      </c>
    </row>
    <row r="23" customFormat="false" ht="15" hidden="false" customHeight="false" outlineLevel="0" collapsed="false">
      <c r="A23" s="9" t="s">
        <v>2202</v>
      </c>
      <c r="B23" s="9" t="s">
        <v>2203</v>
      </c>
      <c r="C23" s="9" t="s">
        <v>68</v>
      </c>
      <c r="D23" s="14" t="n">
        <f aca="false">Demand!D11*INP_096*INP_252/INP_253</f>
        <v>0.144</v>
      </c>
      <c r="E23" s="14" t="n">
        <f aca="false">Demand!E11*INP_096*INP_252/INP_253</f>
        <v>2.9232</v>
      </c>
      <c r="F23" s="14" t="n">
        <f aca="false">Demand!F11*INP_096*INP_252/INP_253</f>
        <v>5.57624347826087</v>
      </c>
      <c r="G23" s="14" t="n">
        <f aca="false">Demand!G11*INP_096*INP_252/INP_253</f>
        <v>8.42431304347826</v>
      </c>
      <c r="H23" s="14" t="n">
        <f aca="false">Demand!H11*INP_096*INP_252/INP_253</f>
        <v>10.6178086956522</v>
      </c>
      <c r="I23" s="14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2204</v>
      </c>
    </row>
    <row r="24" customFormat="false" ht="15" hidden="false" customHeight="false" outlineLevel="0" collapsed="false">
      <c r="A24" s="9" t="s">
        <v>2205</v>
      </c>
      <c r="B24" s="9" t="s">
        <v>2206</v>
      </c>
      <c r="C24" s="9" t="s">
        <v>68</v>
      </c>
      <c r="D24" s="14" t="n">
        <f aca="false">Demand!D12*INP_097*INP_252/INP_253</f>
        <v>7.02</v>
      </c>
      <c r="E24" s="14" t="n">
        <f aca="false">Demand!E12*INP_098*INP_252/INP_253</f>
        <v>7.9572</v>
      </c>
      <c r="F24" s="14" t="n">
        <f aca="false">Demand!F12*INP_098*INP_252/INP_253</f>
        <v>8.99509565217391</v>
      </c>
      <c r="G24" s="14" t="n">
        <f aca="false">Demand!G12*INP_098*INP_252/INP_253</f>
        <v>9.86000869565217</v>
      </c>
      <c r="H24" s="14" t="n">
        <f aca="false">Demand!H12*INP_098*INP_252/INP_253</f>
        <v>10.5519391304348</v>
      </c>
      <c r="I24" s="14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2204</v>
      </c>
    </row>
    <row r="25" customFormat="false" ht="15" hidden="false" customHeight="false" outlineLevel="0" collapsed="false">
      <c r="A25" s="9" t="s">
        <v>2207</v>
      </c>
      <c r="B25" s="9" t="s">
        <v>2208</v>
      </c>
      <c r="C25" s="9" t="s">
        <v>68</v>
      </c>
      <c r="D25" s="14" t="n">
        <f aca="false">Demand!D13*INP_099*INP_252/INP_253</f>
        <v>0.67741935483871</v>
      </c>
      <c r="E25" s="14" t="n">
        <f aca="false">Demand!E13*INP_100*INP_252/INP_253</f>
        <v>1.01612903225806</v>
      </c>
      <c r="F25" s="14" t="n">
        <f aca="false">Demand!F13*INP_100*INP_252/INP_253</f>
        <v>1.45161290322581</v>
      </c>
      <c r="G25" s="14" t="n">
        <f aca="false">Demand!G13*INP_100*INP_252/INP_253</f>
        <v>1.88709677419355</v>
      </c>
      <c r="H25" s="14" t="n">
        <f aca="false">Demand!H13*INP_100*INP_252/INP_253</f>
        <v>2.23548387096774</v>
      </c>
      <c r="I25" s="14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2204</v>
      </c>
    </row>
    <row r="26" customFormat="false" ht="15" hidden="false" customHeight="false" outlineLevel="0" collapsed="false">
      <c r="A26" s="9" t="s">
        <v>2209</v>
      </c>
      <c r="B26" s="10" t="s">
        <v>2210</v>
      </c>
      <c r="C26" s="9" t="s">
        <v>68</v>
      </c>
      <c r="D26" s="14" t="n">
        <f aca="false">Demand!D14*INP_101*INP_252/INP_253</f>
        <v>1.08</v>
      </c>
      <c r="E26" s="14" t="n">
        <f aca="false">Demand!E14*INP_101*INP_252/INP_253</f>
        <v>5.04</v>
      </c>
      <c r="F26" s="14" t="n">
        <f aca="false">Demand!F14*INP_101*INP_252/INP_253</f>
        <v>9.36</v>
      </c>
      <c r="G26" s="14" t="n">
        <f aca="false">Demand!G14*INP_101*INP_252/INP_253</f>
        <v>13.68</v>
      </c>
      <c r="H26" s="14" t="n">
        <f aca="false">Demand!H14*INP_101*INP_252/INP_253</f>
        <v>17.28</v>
      </c>
      <c r="I26" s="14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2204</v>
      </c>
    </row>
    <row r="27" customFormat="false" ht="15" hidden="false" customHeight="false" outlineLevel="0" collapsed="false">
      <c r="A27" s="9" t="s">
        <v>2211</v>
      </c>
      <c r="B27" s="10" t="s">
        <v>2212</v>
      </c>
      <c r="C27" s="9" t="s">
        <v>68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5" t="s">
        <v>2213</v>
      </c>
    </row>
    <row r="29" customFormat="false" ht="15" hidden="false" customHeight="false" outlineLevel="0" collapsed="false">
      <c r="A29" s="9" t="s">
        <v>2214</v>
      </c>
      <c r="B29" s="10" t="s">
        <v>2215</v>
      </c>
      <c r="C29" s="9" t="s">
        <v>258</v>
      </c>
      <c r="D29" s="14" t="n">
        <f aca="false">(Demand!D10+Demand!D11)*INP_124</f>
        <v>0</v>
      </c>
      <c r="E29" s="14" t="n">
        <f aca="false">(Demand!E10+Demand!E11)*INP_125</f>
        <v>247.65</v>
      </c>
      <c r="F29" s="14" t="n">
        <f aca="false">(Demand!F10+Demand!F11)*INP_126</f>
        <v>464.606739130435</v>
      </c>
      <c r="G29" s="14" t="n">
        <f aca="false">(Demand!G10+Demand!G11)*INP_127</f>
        <v>646.801739130435</v>
      </c>
      <c r="H29" s="14" t="n">
        <f aca="false">(Demand!H10+Demand!H11)*INP_128</f>
        <v>831.361304347826</v>
      </c>
      <c r="I29" s="14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2216</v>
      </c>
    </row>
    <row r="30" customFormat="false" ht="15" hidden="false" customHeight="false" outlineLevel="0" collapsed="false">
      <c r="A30" s="9" t="s">
        <v>2217</v>
      </c>
      <c r="B30" s="10" t="s">
        <v>2218</v>
      </c>
      <c r="C30" s="9" t="s">
        <v>68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2219</v>
      </c>
    </row>
    <row r="31" customFormat="false" ht="15" hidden="false" customHeight="false" outlineLevel="0" collapsed="false">
      <c r="A31" s="9" t="s">
        <v>2220</v>
      </c>
      <c r="B31" s="10" t="s">
        <v>1401</v>
      </c>
      <c r="C31" s="9" t="s">
        <v>68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2221</v>
      </c>
    </row>
    <row r="32" customFormat="false" ht="15" hidden="false" customHeight="false" outlineLevel="0" collapsed="false">
      <c r="A32" s="15" t="s">
        <v>2222</v>
      </c>
    </row>
    <row r="33" customFormat="false" ht="15" hidden="false" customHeight="false" outlineLevel="0" collapsed="false">
      <c r="A33" s="9" t="s">
        <v>2223</v>
      </c>
      <c r="B33" s="9" t="s">
        <v>2224</v>
      </c>
      <c r="C33" s="9" t="s">
        <v>68</v>
      </c>
      <c r="D33" s="9" t="n">
        <f aca="false">SRC_OAI_002-D27-D30-D31</f>
        <v>4.14858064516129</v>
      </c>
      <c r="Q33" s="12" t="s">
        <v>2225</v>
      </c>
    </row>
    <row r="34" customFormat="false" ht="15" hidden="false" customHeight="false" outlineLevel="0" collapsed="false">
      <c r="A34" s="9" t="s">
        <v>2226</v>
      </c>
      <c r="B34" s="9" t="s">
        <v>2227</v>
      </c>
      <c r="C34" s="9" t="s">
        <v>68</v>
      </c>
      <c r="D34" s="14" t="n">
        <f aca="false">Demand!D38*D21/INP_253</f>
        <v>4.14858064516129</v>
      </c>
      <c r="E34" s="14" t="n">
        <f aca="false">Demand!E38*E21/INP_253</f>
        <v>16.5243023976881</v>
      </c>
      <c r="F34" s="14" t="n">
        <f aca="false">Demand!F38*F21/INP_253</f>
        <v>27.5542742481448</v>
      </c>
      <c r="G34" s="14" t="n">
        <f aca="false">Demand!G38*G21/INP_253</f>
        <v>41.662062663195</v>
      </c>
      <c r="H34" s="14" t="n">
        <f aca="false">Demand!H38*H21/INP_253</f>
        <v>57.2853361618931</v>
      </c>
      <c r="I34" s="14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2228</v>
      </c>
    </row>
    <row r="35" customFormat="false" ht="15" hidden="false" customHeight="false" outlineLevel="0" collapsed="false">
      <c r="A35" s="9" t="s">
        <v>2229</v>
      </c>
      <c r="B35" s="9" t="s">
        <v>2230</v>
      </c>
      <c r="C35" s="9" t="s">
        <v>68</v>
      </c>
      <c r="D35" s="14" t="n">
        <f aca="false">Demand!D38*D18*D15*(1-INP_030)/INP_253</f>
        <v>2.56742451076352</v>
      </c>
      <c r="E35" s="14" t="n">
        <f aca="false">Demand!E38*E18*E15*(1-INP_030)/INP_253</f>
        <v>7.03913002977269</v>
      </c>
      <c r="F35" s="14" t="n">
        <f aca="false">Demand!F38*F18*F15*(1-INP_030)/INP_253</f>
        <v>12.7862461352633</v>
      </c>
      <c r="G35" s="14" t="n">
        <f aca="false">Demand!G38*G18*G15*(1-INP_030)/INP_253</f>
        <v>20.935770655166</v>
      </c>
      <c r="H35" s="14" t="n">
        <f aca="false">Demand!H38*H18*H15*(1-INP_030)/INP_253</f>
        <v>30.9890592912215</v>
      </c>
      <c r="I35" s="14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2231</v>
      </c>
      <c r="B36" s="9" t="s">
        <v>2232</v>
      </c>
      <c r="C36" s="9" t="s">
        <v>68</v>
      </c>
      <c r="D36" s="14" t="n">
        <f aca="false">Demand!D38*D19*D16*(1-INP_030)/INP_253</f>
        <v>1.48654553037909</v>
      </c>
      <c r="E36" s="14" t="n">
        <f aca="false">Demand!E38*E19*E16*(1-INP_030)/INP_253</f>
        <v>7.57562658805685</v>
      </c>
      <c r="F36" s="14" t="n">
        <f aca="false">Demand!F38*F19*F16*(1-INP_030)/INP_253</f>
        <v>11.7949428946123</v>
      </c>
      <c r="G36" s="14" t="n">
        <f aca="false">Demand!G38*G19*G16*(1-INP_030)/INP_253</f>
        <v>16.553694832049</v>
      </c>
      <c r="H36" s="14" t="n">
        <f aca="false">Demand!H38*H19*H16*(1-INP_030)/INP_253</f>
        <v>21.002335698423</v>
      </c>
      <c r="I36" s="14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2233</v>
      </c>
      <c r="B37" s="9" t="s">
        <v>2234</v>
      </c>
      <c r="C37" s="9" t="s">
        <v>68</v>
      </c>
      <c r="D37" s="14" t="n">
        <f aca="false">Demand!D38*D20*D17*(1-INP_030)/INP_253</f>
        <v>0.0946106040186871</v>
      </c>
      <c r="E37" s="14" t="n">
        <f aca="false">Demand!E38*E20*E17*(1-INP_030)/INP_253</f>
        <v>1.9095457798585</v>
      </c>
      <c r="F37" s="14" t="n">
        <f aca="false">Demand!F38*F20*F17*(1-INP_030)/INP_253</f>
        <v>2.97308521826921</v>
      </c>
      <c r="G37" s="14" t="n">
        <f aca="false">Demand!G38*G20*G17*(1-INP_030)/INP_253</f>
        <v>4.17259717597996</v>
      </c>
      <c r="H37" s="14" t="n">
        <f aca="false">Demand!H38*H20*H17*(1-INP_030)/INP_253</f>
        <v>5.29394117224858</v>
      </c>
      <c r="I37" s="14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2235</v>
      </c>
      <c r="B38" s="10" t="s">
        <v>2236</v>
      </c>
      <c r="C38" s="9" t="s">
        <v>68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2237</v>
      </c>
    </row>
    <row r="39" customFormat="false" ht="15" hidden="false" customHeight="false" outlineLevel="0" collapsed="false">
      <c r="A39" s="9" t="s">
        <v>2238</v>
      </c>
      <c r="B39" s="9" t="s">
        <v>2239</v>
      </c>
      <c r="C39" s="9" t="s">
        <v>68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2240</v>
      </c>
    </row>
    <row r="40" customFormat="false" ht="15" hidden="false" customHeight="false" outlineLevel="0" collapsed="false">
      <c r="A40" s="9" t="s">
        <v>2241</v>
      </c>
      <c r="B40" s="9" t="s">
        <v>2242</v>
      </c>
      <c r="C40" s="9" t="s">
        <v>68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2243</v>
      </c>
    </row>
    <row r="41" customFormat="false" ht="15" hidden="false" customHeight="false" outlineLevel="0" collapsed="false">
      <c r="A41" s="9" t="s">
        <v>2244</v>
      </c>
      <c r="B41" s="10" t="s">
        <v>2245</v>
      </c>
      <c r="C41" s="9" t="s">
        <v>68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2246</v>
      </c>
    </row>
    <row r="42" customFormat="false" ht="15" hidden="false" customHeight="false" outlineLevel="0" collapsed="false">
      <c r="A42" s="9" t="s">
        <v>2247</v>
      </c>
      <c r="B42" s="10" t="s">
        <v>2248</v>
      </c>
      <c r="C42" s="9" t="s">
        <v>68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2249</v>
      </c>
      <c r="B43" s="10" t="s">
        <v>2250</v>
      </c>
      <c r="C43" s="9" t="s">
        <v>68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2251</v>
      </c>
      <c r="B44" s="10" t="s">
        <v>2252</v>
      </c>
      <c r="C44" s="10" t="s">
        <v>120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2253</v>
      </c>
    </row>
    <row r="45" customFormat="false" ht="15" hidden="false" customHeight="false" outlineLevel="0" collapsed="false">
      <c r="A45" s="9" t="s">
        <v>2254</v>
      </c>
      <c r="B45" s="10" t="s">
        <v>2255</v>
      </c>
      <c r="C45" s="9" t="s">
        <v>68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2256</v>
      </c>
      <c r="B46" s="10" t="s">
        <v>2257</v>
      </c>
      <c r="C46" s="10" t="s">
        <v>120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2258</v>
      </c>
      <c r="B47" s="10" t="s">
        <v>2259</v>
      </c>
      <c r="C47" s="10" t="s">
        <v>120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5" t="s">
        <v>2260</v>
      </c>
    </row>
    <row r="49" customFormat="false" ht="15" hidden="false" customHeight="false" outlineLevel="0" collapsed="false">
      <c r="A49" s="9" t="s">
        <v>2261</v>
      </c>
      <c r="B49" s="9" t="s">
        <v>2262</v>
      </c>
      <c r="C49" s="9" t="s">
        <v>68</v>
      </c>
      <c r="D49" s="9" t="n">
        <f aca="false">D38-SRC_OAI_002</f>
        <v>0</v>
      </c>
      <c r="Q49" s="12" t="s">
        <v>2263</v>
      </c>
    </row>
    <row r="50" customFormat="false" ht="15" hidden="false" customHeight="false" outlineLevel="0" collapsed="false">
      <c r="A50" s="9" t="s">
        <v>2264</v>
      </c>
      <c r="B50" s="9" t="s">
        <v>2265</v>
      </c>
      <c r="C50" s="9" t="s">
        <v>68</v>
      </c>
      <c r="D50" s="9" t="n">
        <f aca="false">D27+D30+D31+V9_ApiTok*D21/INP_253</f>
        <v>14.0987054988387</v>
      </c>
      <c r="Q50" s="2" t="s">
        <v>2266</v>
      </c>
    </row>
    <row r="51" customFormat="false" ht="15" hidden="false" customHeight="false" outlineLevel="0" collapsed="false">
      <c r="A51" s="9" t="s">
        <v>2267</v>
      </c>
      <c r="B51" s="9" t="s">
        <v>2268</v>
      </c>
      <c r="C51" s="9" t="s">
        <v>68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2269</v>
      </c>
      <c r="B52" s="9" t="s">
        <v>2270</v>
      </c>
      <c r="C52" s="10" t="s">
        <v>120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2271</v>
      </c>
      <c r="B53" s="9" t="s">
        <v>2272</v>
      </c>
      <c r="C53" s="9" t="s">
        <v>68</v>
      </c>
      <c r="E53" s="9" t="n">
        <f aca="false">SRC_OAI_004+SRC_OAI_005+SRC_OAI_006*INP_255/INP_252</f>
        <v>32.4</v>
      </c>
      <c r="L53" s="2" t="n">
        <v>32.9</v>
      </c>
      <c r="Q53" s="12" t="s">
        <v>2273</v>
      </c>
    </row>
    <row r="54" customFormat="false" ht="15" hidden="false" customHeight="false" outlineLevel="0" collapsed="false">
      <c r="A54" s="9" t="s">
        <v>2274</v>
      </c>
      <c r="B54" s="9" t="s">
        <v>2275</v>
      </c>
      <c r="C54" s="9" t="s">
        <v>68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2276</v>
      </c>
      <c r="B55" s="9" t="s">
        <v>2277</v>
      </c>
      <c r="C55" s="9" t="s">
        <v>68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2278</v>
      </c>
      <c r="B56" s="10" t="s">
        <v>2279</v>
      </c>
      <c r="C56" s="9" t="s">
        <v>68</v>
      </c>
      <c r="E56" s="9" t="n">
        <f aca="false">SRC_OAI_043</f>
        <v>36</v>
      </c>
      <c r="I56" s="9" t="n">
        <f aca="false">SRC_OAI_044</f>
        <v>350</v>
      </c>
      <c r="Q56" s="12" t="s">
        <v>2280</v>
      </c>
    </row>
    <row r="57" customFormat="false" ht="15" hidden="false" customHeight="false" outlineLevel="0" collapsed="false">
      <c r="A57" s="9" t="s">
        <v>2281</v>
      </c>
      <c r="B57" s="10" t="s">
        <v>2282</v>
      </c>
      <c r="C57" s="9" t="s">
        <v>68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5" t="s">
        <v>2283</v>
      </c>
    </row>
    <row r="60" customFormat="false" ht="41" hidden="false" customHeight="false" outlineLevel="0" collapsed="false">
      <c r="A60" s="8" t="s">
        <v>1955</v>
      </c>
      <c r="B60" s="8" t="s">
        <v>1956</v>
      </c>
      <c r="C60" s="8" t="s">
        <v>46</v>
      </c>
      <c r="D60" s="8" t="s">
        <v>811</v>
      </c>
      <c r="E60" s="8" t="s">
        <v>2284</v>
      </c>
      <c r="F60" s="8" t="s">
        <v>2285</v>
      </c>
      <c r="G60" s="7" t="s">
        <v>2286</v>
      </c>
      <c r="H60" s="7" t="s">
        <v>2287</v>
      </c>
      <c r="I60" s="8"/>
      <c r="J60" s="7" t="s">
        <v>2288</v>
      </c>
      <c r="K60" s="7" t="s">
        <v>2289</v>
      </c>
      <c r="L60" s="7" t="s">
        <v>2290</v>
      </c>
    </row>
    <row r="61" customFormat="false" ht="15" hidden="false" customHeight="false" outlineLevel="0" collapsed="false">
      <c r="A61" s="9" t="s">
        <v>2291</v>
      </c>
      <c r="B61" s="10" t="s">
        <v>2292</v>
      </c>
      <c r="C61" s="10" t="s">
        <v>120</v>
      </c>
      <c r="D61" s="9" t="n">
        <f aca="false">(INP_250+INP_251-MAX(INP_250,MIN(INP_250+INP_251,SRC_OAI_125+INP_246)))/INP_251</f>
        <v>0.424657534246575</v>
      </c>
      <c r="E61" s="14" t="n">
        <f aca="false">(INP_250+INP_251-MAX(INP_250,MIN(INP_250+INP_251,SRC_OAI_125+Inputs!$F$238)))/INP_251</f>
        <v>0.673972602739726</v>
      </c>
      <c r="F61" s="14" t="n">
        <f aca="false">(INP_250+INP_251-MAX(INP_250,MIN(INP_250+INP_251,SRC_OAI_125+Inputs!$G$238)))/INP_251</f>
        <v>0.175342465753425</v>
      </c>
      <c r="Q61" s="2" t="s">
        <v>2293</v>
      </c>
    </row>
    <row r="62" customFormat="false" ht="15" hidden="false" customHeight="false" outlineLevel="0" collapsed="false">
      <c r="A62" s="9" t="s">
        <v>2294</v>
      </c>
      <c r="B62" s="10" t="s">
        <v>2295</v>
      </c>
      <c r="C62" s="10" t="s">
        <v>120</v>
      </c>
      <c r="D62" s="9" t="n">
        <f aca="false">(INP_250+INP_251-MAX(INP_250,MIN(INP_250+INP_251,SRC_OAI_126+INP_247)))/INP_251</f>
        <v>0.361643835616438</v>
      </c>
      <c r="E62" s="14" t="n">
        <f aca="false">(INP_250+INP_251-MAX(INP_250,MIN(INP_250+INP_251,SRC_OAI_126+Inputs!$F$239)))/INP_251</f>
        <v>0.610958904109589</v>
      </c>
      <c r="F62" s="14" t="n">
        <f aca="false">(INP_250+INP_251-MAX(INP_250,MIN(INP_250+INP_251,SRC_OAI_126+Inputs!$G$239)))/INP_251</f>
        <v>0.112328767123288</v>
      </c>
      <c r="Q62" s="2" t="s">
        <v>2293</v>
      </c>
    </row>
    <row r="63" customFormat="false" ht="15" hidden="false" customHeight="false" outlineLevel="0" collapsed="false">
      <c r="A63" s="9" t="s">
        <v>2296</v>
      </c>
      <c r="B63" s="10" t="s">
        <v>2297</v>
      </c>
      <c r="C63" s="10" t="s">
        <v>120</v>
      </c>
      <c r="D63" s="9" t="n">
        <f aca="false">(INP_250+INP_251-MAX(INP_250,MIN(INP_250+INP_251,SRC_OAI_127+INP_248)))/INP_251</f>
        <v>0.328767123287671</v>
      </c>
      <c r="E63" s="14" t="n">
        <f aca="false">(INP_250+INP_251-MAX(INP_250,MIN(INP_250+INP_251,SRC_OAI_127+Inputs!$F$240)))/INP_251</f>
        <v>0.578082191780822</v>
      </c>
      <c r="F63" s="14" t="n">
        <f aca="false">(INP_250+INP_251-MAX(INP_250,MIN(INP_250+INP_251,SRC_OAI_127+Inputs!$G$240)))/INP_251</f>
        <v>0.0794520547945206</v>
      </c>
      <c r="Q63" s="2" t="s">
        <v>2293</v>
      </c>
    </row>
    <row r="64" customFormat="false" ht="15" hidden="false" customHeight="false" outlineLevel="0" collapsed="false">
      <c r="A64" s="9" t="s">
        <v>2298</v>
      </c>
      <c r="B64" s="10" t="s">
        <v>2299</v>
      </c>
      <c r="C64" s="10" t="s">
        <v>120</v>
      </c>
      <c r="D64" s="9" t="n">
        <f aca="false">(INP_250+INP_251-MAX(INP_250,MIN(INP_250+INP_251,SRC_OAI_128+INP_249)))/INP_251</f>
        <v>0.276712328767123</v>
      </c>
      <c r="E64" s="14" t="n">
        <f aca="false">(INP_250+INP_251-MAX(INP_250,MIN(INP_250+INP_251,SRC_OAI_128+Inputs!$F$241)))/INP_251</f>
        <v>0.526027397260274</v>
      </c>
      <c r="F64" s="14" t="n">
        <f aca="false">(INP_250+INP_251-MAX(INP_250,MIN(INP_250+INP_251,SRC_OAI_128+Inputs!$G$241)))/INP_251</f>
        <v>0.0273972602739726</v>
      </c>
      <c r="Q64" s="2" t="s">
        <v>2293</v>
      </c>
    </row>
    <row r="65" customFormat="false" ht="15" hidden="false" customHeight="false" outlineLevel="0" collapsed="false">
      <c r="A65" s="9" t="s">
        <v>2300</v>
      </c>
      <c r="B65" s="9" t="s">
        <v>2301</v>
      </c>
      <c r="C65" s="9" t="s">
        <v>853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2302</v>
      </c>
    </row>
    <row r="66" customFormat="false" ht="15" hidden="false" customHeight="false" outlineLevel="0" collapsed="false">
      <c r="A66" s="9" t="s">
        <v>2303</v>
      </c>
      <c r="B66" s="9" t="s">
        <v>2304</v>
      </c>
      <c r="C66" s="9" t="s">
        <v>853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2302</v>
      </c>
    </row>
    <row r="67" customFormat="false" ht="15" hidden="false" customHeight="false" outlineLevel="0" collapsed="false">
      <c r="A67" s="9" t="s">
        <v>2305</v>
      </c>
      <c r="B67" s="9" t="s">
        <v>2306</v>
      </c>
      <c r="C67" s="9" t="s">
        <v>853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2307</v>
      </c>
    </row>
    <row r="68" customFormat="false" ht="15" hidden="false" customHeight="false" outlineLevel="0" collapsed="false">
      <c r="A68" s="9" t="s">
        <v>2308</v>
      </c>
      <c r="B68" s="9" t="s">
        <v>2309</v>
      </c>
      <c r="C68" s="9" t="s">
        <v>853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2307</v>
      </c>
    </row>
    <row r="69" customFormat="false" ht="15" hidden="false" customHeight="false" outlineLevel="0" collapsed="false">
      <c r="A69" s="9" t="s">
        <v>2310</v>
      </c>
      <c r="B69" s="9" t="s">
        <v>2311</v>
      </c>
      <c r="C69" s="9" t="s">
        <v>853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2312</v>
      </c>
    </row>
    <row r="70" customFormat="false" ht="15" hidden="false" customHeight="false" outlineLevel="0" collapsed="false">
      <c r="A70" s="9" t="s">
        <v>2313</v>
      </c>
      <c r="B70" s="9" t="s">
        <v>2314</v>
      </c>
      <c r="C70" s="9" t="s">
        <v>853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2312</v>
      </c>
    </row>
    <row r="72" customFormat="false" ht="15" hidden="false" customHeight="false" outlineLevel="0" collapsed="false">
      <c r="A72" s="15" t="s">
        <v>2315</v>
      </c>
    </row>
    <row r="73" customFormat="false" ht="15" hidden="false" customHeight="false" outlineLevel="0" collapsed="false">
      <c r="A73" s="9" t="s">
        <v>2316</v>
      </c>
      <c r="B73" s="10" t="s">
        <v>2317</v>
      </c>
      <c r="C73" s="10" t="s">
        <v>560</v>
      </c>
      <c r="D73" s="14" t="n">
        <f aca="false">Compute!D93</f>
        <v>1</v>
      </c>
      <c r="E73" s="14" t="n">
        <f aca="false">Compute!E93</f>
        <v>1</v>
      </c>
      <c r="F73" s="14" t="n">
        <f aca="false">Compute!F93</f>
        <v>1</v>
      </c>
      <c r="G73" s="14" t="n">
        <f aca="false">Compute!G93</f>
        <v>1</v>
      </c>
      <c r="H73" s="14" t="n">
        <f aca="false">Compute!H93</f>
        <v>1</v>
      </c>
      <c r="I73" s="14" t="n">
        <f aca="false">Compute!I93</f>
        <v>1</v>
      </c>
      <c r="Q73" s="12" t="s">
        <v>2318</v>
      </c>
    </row>
    <row r="74" customFormat="false" ht="15" hidden="false" customHeight="false" outlineLevel="0" collapsed="false">
      <c r="A74" s="9" t="s">
        <v>2319</v>
      </c>
      <c r="B74" s="10" t="s">
        <v>2320</v>
      </c>
      <c r="C74" s="9" t="s">
        <v>68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2321</v>
      </c>
    </row>
    <row r="75" customFormat="false" ht="15" hidden="false" customHeight="false" outlineLevel="0" collapsed="false">
      <c r="A75" s="9" t="s">
        <v>2322</v>
      </c>
      <c r="B75" s="10" t="s">
        <v>2323</v>
      </c>
      <c r="C75" s="9" t="s">
        <v>68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2324</v>
      </c>
    </row>
    <row r="76" customFormat="false" ht="15" hidden="false" customHeight="false" outlineLevel="0" collapsed="false">
      <c r="A76" s="9" t="s">
        <v>2325</v>
      </c>
      <c r="B76" s="10" t="s">
        <v>2326</v>
      </c>
      <c r="C76" s="9" t="s">
        <v>68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2327</v>
      </c>
      <c r="B77" s="10" t="s">
        <v>2328</v>
      </c>
      <c r="C77" s="9" t="s">
        <v>68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2329</v>
      </c>
    </row>
    <row r="78" customFormat="false" ht="15" hidden="false" customHeight="false" outlineLevel="0" collapsed="false">
      <c r="A78" s="9" t="s">
        <v>2330</v>
      </c>
      <c r="B78" s="10" t="s">
        <v>2331</v>
      </c>
      <c r="C78" s="9" t="s">
        <v>68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2332</v>
      </c>
      <c r="B79" s="10" t="s">
        <v>2333</v>
      </c>
      <c r="C79" s="10" t="s">
        <v>2334</v>
      </c>
      <c r="D79" s="14" t="n">
        <f aca="false">Compute!D94</f>
        <v>0</v>
      </c>
      <c r="E79" s="14" t="n">
        <f aca="false">Compute!E94</f>
        <v>0</v>
      </c>
      <c r="F79" s="14" t="n">
        <f aca="false">Compute!F94</f>
        <v>0</v>
      </c>
      <c r="G79" s="14" t="n">
        <f aca="false">Compute!G94</f>
        <v>0</v>
      </c>
      <c r="H79" s="14" t="n">
        <f aca="false">Compute!H94</f>
        <v>0</v>
      </c>
      <c r="I79" s="14" t="n">
        <f aca="false">Compute!I94</f>
        <v>0</v>
      </c>
      <c r="Q79" s="12" t="s">
        <v>2335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2336</v>
      </c>
    </row>
    <row r="2" customFormat="false" ht="15" hidden="false" customHeight="false" outlineLevel="0" collapsed="false">
      <c r="A2" s="12" t="s">
        <v>2337</v>
      </c>
    </row>
    <row r="3" customFormat="false" ht="15" hidden="false" customHeight="false" outlineLevel="0" collapsed="false">
      <c r="A3" s="12" t="s">
        <v>2338</v>
      </c>
    </row>
    <row r="5" customFormat="false" ht="15" hidden="false" customHeight="false" outlineLevel="0" collapsed="false">
      <c r="A5" s="8" t="s">
        <v>1955</v>
      </c>
      <c r="B5" s="8" t="s">
        <v>1956</v>
      </c>
      <c r="C5" s="8" t="s">
        <v>46</v>
      </c>
      <c r="D5" s="7" t="s">
        <v>411</v>
      </c>
      <c r="E5" s="7" t="s">
        <v>423</v>
      </c>
      <c r="F5" s="7" t="s">
        <v>1207</v>
      </c>
      <c r="G5" s="7" t="s">
        <v>1209</v>
      </c>
      <c r="H5" s="7" t="s">
        <v>1211</v>
      </c>
      <c r="I5" s="7" t="s">
        <v>1213</v>
      </c>
      <c r="J5" s="8"/>
      <c r="K5" s="8"/>
      <c r="L5" s="8"/>
      <c r="M5" s="8"/>
      <c r="N5" s="8"/>
      <c r="O5" s="8"/>
      <c r="P5" s="8"/>
      <c r="Q5" s="8" t="s">
        <v>815</v>
      </c>
    </row>
    <row r="6" customFormat="false" ht="15" hidden="false" customHeight="false" outlineLevel="0" collapsed="false">
      <c r="B6" s="3" t="s">
        <v>2038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2339</v>
      </c>
    </row>
    <row r="8" customFormat="false" ht="15" hidden="false" customHeight="false" outlineLevel="0" collapsed="false">
      <c r="A8" s="9" t="s">
        <v>2340</v>
      </c>
      <c r="B8" s="9" t="s">
        <v>2341</v>
      </c>
      <c r="C8" s="10" t="s">
        <v>193</v>
      </c>
      <c r="D8" s="9" t="s">
        <v>804</v>
      </c>
      <c r="E8" s="9" t="s">
        <v>805</v>
      </c>
      <c r="F8" s="9" t="s">
        <v>806</v>
      </c>
      <c r="G8" s="9" t="s">
        <v>807</v>
      </c>
      <c r="H8" s="9" t="s">
        <v>808</v>
      </c>
      <c r="I8" s="10" t="s">
        <v>2342</v>
      </c>
      <c r="Q8" s="12" t="s">
        <v>2343</v>
      </c>
    </row>
    <row r="9" customFormat="false" ht="15" hidden="false" customHeight="false" outlineLevel="0" collapsed="false">
      <c r="A9" s="9" t="s">
        <v>2344</v>
      </c>
      <c r="B9" s="9" t="s">
        <v>2345</v>
      </c>
      <c r="C9" s="10" t="s">
        <v>193</v>
      </c>
      <c r="D9" s="10" t="s">
        <v>811</v>
      </c>
      <c r="E9" s="10" t="s">
        <v>811</v>
      </c>
      <c r="F9" s="10" t="s">
        <v>811</v>
      </c>
      <c r="G9" s="10" t="s">
        <v>811</v>
      </c>
      <c r="H9" s="10" t="s">
        <v>811</v>
      </c>
      <c r="I9" s="9" t="s">
        <v>71</v>
      </c>
      <c r="Q9" s="2" t="s">
        <v>2346</v>
      </c>
    </row>
    <row r="10" customFormat="false" ht="15" hidden="false" customHeight="false" outlineLevel="0" collapsed="false">
      <c r="A10" s="9" t="s">
        <v>2347</v>
      </c>
      <c r="B10" s="10" t="s">
        <v>2348</v>
      </c>
      <c r="C10" s="9" t="s">
        <v>1014</v>
      </c>
      <c r="D10" s="9" t="n">
        <f aca="false">SUMIFS(TK_IF_TokGW_Astra,TK_HdrGen,D$8,TK_HdrCost,D$9)</f>
        <v>6809025705.99183</v>
      </c>
      <c r="E10" s="9" t="n">
        <f aca="false">SUMIFS(TK_IF_TokGW_Astra,TK_HdrGen,E$8,TK_HdrCost,E$9)</f>
        <v>33674781620.6943</v>
      </c>
      <c r="F10" s="9" t="n">
        <f aca="false">SUMIFS(TK_IF_TokGW_Astra,TK_HdrGen,F$8,TK_HdrCost,F$9)</f>
        <v>39257828144.5082</v>
      </c>
      <c r="G10" s="9" t="n">
        <f aca="false">SUMIFS(TK_IF_TokGW_Astra,TK_HdrGen,G$8,TK_HdrCost,G$9)</f>
        <v>69625193603.6778</v>
      </c>
      <c r="H10" s="9" t="n">
        <f aca="false">SUMIFS(TK_IF_TokGW_Astra,TK_HdrGen,H$8,TK_HdrCost,H$9)</f>
        <v>98521567397.5749</v>
      </c>
      <c r="I10" s="9" t="n">
        <f aca="false">$G$10*INP_204</f>
        <v>41775116162.2067</v>
      </c>
      <c r="Q10" s="12" t="s">
        <v>2349</v>
      </c>
    </row>
    <row r="11" customFormat="false" ht="15" hidden="false" customHeight="false" outlineLevel="0" collapsed="false">
      <c r="A11" s="9" t="s">
        <v>2350</v>
      </c>
      <c r="B11" s="10" t="s">
        <v>2351</v>
      </c>
      <c r="C11" s="9" t="s">
        <v>1014</v>
      </c>
      <c r="D11" s="9" t="n">
        <f aca="false">SUMIFS(TK_IF_TokGW_Sol,TK_HdrGen,D$8,TK_HdrCost,D$9)</f>
        <v>33634916325.118</v>
      </c>
      <c r="E11" s="9" t="n">
        <f aca="false">SUMIFS(TK_IF_TokGW_Sol,TK_HdrGen,E$8,TK_HdrCost,E$9)</f>
        <v>163715850475.954</v>
      </c>
      <c r="F11" s="9" t="n">
        <f aca="false">SUMIFS(TK_IF_TokGW_Sol,TK_HdrGen,F$8,TK_HdrCost,F$9)</f>
        <v>212334321421.888</v>
      </c>
      <c r="G11" s="9" t="n">
        <f aca="false">SUMIFS(TK_IF_TokGW_Sol,TK_HdrGen,G$8,TK_HdrCost,G$9)</f>
        <v>318984897819.054</v>
      </c>
      <c r="H11" s="9" t="n">
        <f aca="false">SUMIFS(TK_IF_TokGW_Sol,TK_HdrGen,H$8,TK_HdrCost,H$9)</f>
        <v>434380455314.928</v>
      </c>
      <c r="I11" s="9" t="n">
        <f aca="false">$G$11*INP_204</f>
        <v>191390938691.432</v>
      </c>
      <c r="Q11" s="12" t="s">
        <v>2352</v>
      </c>
    </row>
    <row r="12" customFormat="false" ht="15" hidden="false" customHeight="false" outlineLevel="0" collapsed="false">
      <c r="A12" s="9" t="s">
        <v>2353</v>
      </c>
      <c r="B12" s="10" t="s">
        <v>2354</v>
      </c>
      <c r="C12" s="9" t="s">
        <v>1014</v>
      </c>
      <c r="D12" s="9" t="n">
        <f aca="false">SUMIFS(TK_IF_TokGW_Luna,TK_HdrGen,D$8,TK_HdrCost,D$9)</f>
        <v>132127787230.323</v>
      </c>
      <c r="E12" s="9" t="n">
        <f aca="false">SUMIFS(TK_IF_TokGW_Luna,TK_HdrGen,E$8,TK_HdrCost,E$9)</f>
        <v>657207761225.876</v>
      </c>
      <c r="F12" s="9" t="n">
        <f aca="false">SUMIFS(TK_IF_TokGW_Luna,TK_HdrGen,F$8,TK_HdrCost,F$9)</f>
        <v>852150688542.553</v>
      </c>
      <c r="G12" s="9" t="n">
        <f aca="false">SUMIFS(TK_IF_TokGW_Luna,TK_HdrGen,G$8,TK_HdrCost,G$9)</f>
        <v>1229271098522.29</v>
      </c>
      <c r="H12" s="9" t="n">
        <f aca="false">SUMIFS(TK_IF_TokGW_Luna,TK_HdrGen,H$8,TK_HdrCost,H$9)</f>
        <v>1654989853130.96</v>
      </c>
      <c r="I12" s="9" t="n">
        <f aca="false">$G$12*INP_204</f>
        <v>737562659113.374</v>
      </c>
      <c r="Q12" s="12" t="s">
        <v>2355</v>
      </c>
    </row>
    <row r="13" customFormat="false" ht="15" hidden="false" customHeight="false" outlineLevel="0" collapsed="false">
      <c r="A13" s="9" t="s">
        <v>2356</v>
      </c>
      <c r="B13" s="9" t="s">
        <v>2357</v>
      </c>
      <c r="C13" s="10" t="s">
        <v>560</v>
      </c>
      <c r="D13" s="9" t="n">
        <f aca="false">D11/$G$11</f>
        <v>0.10544360110803</v>
      </c>
      <c r="E13" s="9" t="n">
        <f aca="false">E11/$G$11</f>
        <v>0.513240130160716</v>
      </c>
      <c r="F13" s="9" t="n">
        <f aca="false">F11/$G$11</f>
        <v>0.665656345719338</v>
      </c>
      <c r="G13" s="9" t="n">
        <f aca="false">G11/$G$11</f>
        <v>1</v>
      </c>
      <c r="H13" s="9" t="n">
        <f aca="false">H11/$G$11</f>
        <v>1.36175868602197</v>
      </c>
      <c r="I13" s="9" t="n">
        <f aca="false">I11/$G$11</f>
        <v>0.6</v>
      </c>
      <c r="Q13" s="2" t="s">
        <v>2358</v>
      </c>
    </row>
    <row r="14" customFormat="false" ht="15" hidden="false" customHeight="false" outlineLevel="0" collapsed="false">
      <c r="A14" s="15" t="s">
        <v>2359</v>
      </c>
    </row>
    <row r="15" customFormat="false" ht="15" hidden="false" customHeight="false" outlineLevel="0" collapsed="false">
      <c r="A15" s="9" t="s">
        <v>2360</v>
      </c>
      <c r="B15" s="9" t="s">
        <v>2361</v>
      </c>
      <c r="C15" s="10" t="s">
        <v>120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2362</v>
      </c>
    </row>
    <row r="16" customFormat="false" ht="15" hidden="false" customHeight="false" outlineLevel="0" collapsed="false">
      <c r="A16" s="9" t="s">
        <v>2363</v>
      </c>
      <c r="B16" s="9" t="s">
        <v>2364</v>
      </c>
      <c r="C16" s="10" t="s">
        <v>120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2362</v>
      </c>
    </row>
    <row r="17" customFormat="false" ht="15" hidden="false" customHeight="false" outlineLevel="0" collapsed="false">
      <c r="A17" s="9" t="s">
        <v>2365</v>
      </c>
      <c r="B17" s="9" t="s">
        <v>1705</v>
      </c>
      <c r="C17" s="10" t="s">
        <v>120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2366</v>
      </c>
    </row>
    <row r="18" customFormat="false" ht="15" hidden="false" customHeight="false" outlineLevel="0" collapsed="false">
      <c r="A18" s="9" t="s">
        <v>2367</v>
      </c>
      <c r="B18" s="9" t="s">
        <v>2368</v>
      </c>
      <c r="C18" s="10" t="s">
        <v>120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2369</v>
      </c>
    </row>
    <row r="19" customFormat="false" ht="15" hidden="false" customHeight="false" outlineLevel="0" collapsed="false">
      <c r="A19" s="9" t="s">
        <v>2370</v>
      </c>
      <c r="B19" s="9" t="s">
        <v>2371</v>
      </c>
      <c r="C19" s="10" t="s">
        <v>120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2372</v>
      </c>
    </row>
    <row r="20" customFormat="false" ht="15" hidden="false" customHeight="false" outlineLevel="0" collapsed="false">
      <c r="A20" s="9" t="s">
        <v>2373</v>
      </c>
      <c r="B20" s="9" t="s">
        <v>2374</v>
      </c>
      <c r="C20" s="10" t="s">
        <v>120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2362</v>
      </c>
    </row>
    <row r="21" customFormat="false" ht="15" hidden="false" customHeight="false" outlineLevel="0" collapsed="false">
      <c r="A21" s="9" t="s">
        <v>2375</v>
      </c>
      <c r="B21" s="9" t="s">
        <v>2376</v>
      </c>
      <c r="C21" s="10" t="s">
        <v>120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2377</v>
      </c>
    </row>
    <row r="22" customFormat="false" ht="15" hidden="false" customHeight="false" outlineLevel="0" collapsed="false">
      <c r="A22" s="9" t="s">
        <v>2378</v>
      </c>
      <c r="B22" s="10" t="s">
        <v>2379</v>
      </c>
      <c r="C22" s="10" t="s">
        <v>120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2380</v>
      </c>
    </row>
    <row r="23" customFormat="false" ht="15" hidden="false" customHeight="false" outlineLevel="0" collapsed="false">
      <c r="A23" s="9" t="s">
        <v>2381</v>
      </c>
      <c r="B23" s="10" t="s">
        <v>2382</v>
      </c>
      <c r="C23" s="10" t="s">
        <v>120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2383</v>
      </c>
    </row>
    <row r="24" customFormat="false" ht="15" hidden="false" customHeight="false" outlineLevel="0" collapsed="false">
      <c r="A24" s="15" t="s">
        <v>2384</v>
      </c>
    </row>
    <row r="25" customFormat="false" ht="15" hidden="false" customHeight="false" outlineLevel="0" collapsed="false">
      <c r="A25" s="9" t="s">
        <v>2385</v>
      </c>
      <c r="B25" s="10" t="s">
        <v>2386</v>
      </c>
      <c r="C25" s="10" t="s">
        <v>120</v>
      </c>
      <c r="D25" s="14" t="n">
        <f aca="false">Demand!D46/Demand!D50</f>
        <v>0.318929252222354</v>
      </c>
      <c r="E25" s="14" t="n">
        <f aca="false">Demand!E46/Demand!E50</f>
        <v>0.126108450327373</v>
      </c>
      <c r="F25" s="14" t="n">
        <f aca="false">Demand!F46/Demand!F50</f>
        <v>0.131491186941358</v>
      </c>
      <c r="G25" s="14" t="n">
        <f aca="false">Demand!G46/Demand!G50</f>
        <v>0.135959474492606</v>
      </c>
      <c r="H25" s="14" t="n">
        <f aca="false">Demand!H46/Demand!H50</f>
        <v>0.139519702183015</v>
      </c>
      <c r="I25" s="14" t="n">
        <f aca="false">Demand!I46/Demand!I50</f>
        <v>0.142103525313182</v>
      </c>
      <c r="Q25" s="12" t="s">
        <v>2387</v>
      </c>
    </row>
    <row r="26" customFormat="false" ht="15" hidden="false" customHeight="false" outlineLevel="0" collapsed="false">
      <c r="A26" s="9" t="s">
        <v>2388</v>
      </c>
      <c r="B26" s="10" t="s">
        <v>2389</v>
      </c>
      <c r="C26" s="10" t="s">
        <v>120</v>
      </c>
      <c r="D26" s="14" t="n">
        <f aca="false">Demand!D47/Demand!D50</f>
        <v>0.446688600088227</v>
      </c>
      <c r="E26" s="14" t="n">
        <f aca="false">Demand!E47/Demand!E50</f>
        <v>0.473435271419342</v>
      </c>
      <c r="F26" s="14" t="n">
        <f aca="false">Demand!F47/Demand!F50</f>
        <v>0.462842072105722</v>
      </c>
      <c r="G26" s="14" t="n">
        <f aca="false">Demand!G47/Demand!G50</f>
        <v>0.457149021745625</v>
      </c>
      <c r="H26" s="14" t="n">
        <f aca="false">Demand!H47/Demand!H50</f>
        <v>0.454481271004448</v>
      </c>
      <c r="I26" s="14" t="n">
        <f aca="false">Demand!I47/Demand!I50</f>
        <v>0.452694746249216</v>
      </c>
      <c r="Q26" s="12" t="s">
        <v>2390</v>
      </c>
    </row>
    <row r="27" customFormat="false" ht="15" hidden="false" customHeight="false" outlineLevel="0" collapsed="false">
      <c r="A27" s="9" t="s">
        <v>2391</v>
      </c>
      <c r="B27" s="10" t="s">
        <v>2392</v>
      </c>
      <c r="C27" s="10" t="s">
        <v>120</v>
      </c>
      <c r="D27" s="14" t="n">
        <f aca="false">Demand!D48/Demand!D50</f>
        <v>0.234382147689419</v>
      </c>
      <c r="E27" s="14" t="n">
        <f aca="false">Demand!E48/Demand!E50</f>
        <v>0.400456278253285</v>
      </c>
      <c r="F27" s="14" t="n">
        <f aca="false">Demand!F48/Demand!F50</f>
        <v>0.40566674095292</v>
      </c>
      <c r="G27" s="14" t="n">
        <f aca="false">Demand!G48/Demand!G50</f>
        <v>0.406891503761769</v>
      </c>
      <c r="H27" s="14" t="n">
        <f aca="false">Demand!H48/Demand!H50</f>
        <v>0.405999026812537</v>
      </c>
      <c r="I27" s="14" t="n">
        <f aca="false">Demand!I48/Demand!I50</f>
        <v>0.405201728437602</v>
      </c>
      <c r="Q27" s="12" t="s">
        <v>2393</v>
      </c>
    </row>
    <row r="28" customFormat="false" ht="15" hidden="false" customHeight="false" outlineLevel="0" collapsed="false">
      <c r="A28" s="9" t="s">
        <v>2394</v>
      </c>
      <c r="B28" s="10" t="s">
        <v>2395</v>
      </c>
      <c r="C28" s="10" t="s">
        <v>120</v>
      </c>
      <c r="D28" s="14" t="n">
        <f aca="false">Demand!D43/Demand!D49</f>
        <v>0</v>
      </c>
      <c r="E28" s="14" t="n">
        <f aca="false">Demand!E43/Demand!E49</f>
        <v>0</v>
      </c>
      <c r="F28" s="14" t="n">
        <f aca="false">Demand!F43/Demand!F49</f>
        <v>0</v>
      </c>
      <c r="G28" s="14" t="n">
        <f aca="false">Demand!G43/Demand!G49</f>
        <v>0</v>
      </c>
      <c r="H28" s="14" t="n">
        <f aca="false">Demand!H43/Demand!H49</f>
        <v>0</v>
      </c>
      <c r="I28" s="14" t="n">
        <f aca="false">Demand!I43/Demand!I49</f>
        <v>0</v>
      </c>
      <c r="Q28" s="12" t="s">
        <v>2396</v>
      </c>
    </row>
    <row r="29" customFormat="false" ht="15" hidden="false" customHeight="false" outlineLevel="0" collapsed="false">
      <c r="A29" s="9" t="s">
        <v>2397</v>
      </c>
      <c r="B29" s="10" t="s">
        <v>2398</v>
      </c>
      <c r="C29" s="10" t="s">
        <v>120</v>
      </c>
      <c r="D29" s="14" t="n">
        <f aca="false">Demand!D44/Demand!D49</f>
        <v>0.1</v>
      </c>
      <c r="E29" s="14" t="n">
        <f aca="false">Demand!E44/Demand!E49</f>
        <v>0.1</v>
      </c>
      <c r="F29" s="14" t="n">
        <f aca="false">Demand!F44/Demand!F49</f>
        <v>0.1</v>
      </c>
      <c r="G29" s="14" t="n">
        <f aca="false">Demand!G44/Demand!G49</f>
        <v>0.1</v>
      </c>
      <c r="H29" s="14" t="n">
        <f aca="false">Demand!H44/Demand!H49</f>
        <v>0.1</v>
      </c>
      <c r="I29" s="14" t="n">
        <f aca="false">Demand!I44/Demand!I49</f>
        <v>0.1</v>
      </c>
      <c r="Q29" s="12" t="s">
        <v>2399</v>
      </c>
    </row>
    <row r="30" customFormat="false" ht="15" hidden="false" customHeight="false" outlineLevel="0" collapsed="false">
      <c r="A30" s="9" t="s">
        <v>2400</v>
      </c>
      <c r="B30" s="10" t="s">
        <v>2401</v>
      </c>
      <c r="C30" s="10" t="s">
        <v>120</v>
      </c>
      <c r="D30" s="14" t="n">
        <f aca="false">Demand!D45/Demand!D49</f>
        <v>0.9</v>
      </c>
      <c r="E30" s="14" t="n">
        <f aca="false">Demand!E45/Demand!E49</f>
        <v>0.9</v>
      </c>
      <c r="F30" s="14" t="n">
        <f aca="false">Demand!F45/Demand!F49</f>
        <v>0.9</v>
      </c>
      <c r="G30" s="14" t="n">
        <f aca="false">Demand!G45/Demand!G49</f>
        <v>0.9</v>
      </c>
      <c r="H30" s="14" t="n">
        <f aca="false">Demand!H45/Demand!H49</f>
        <v>0.9</v>
      </c>
      <c r="I30" s="14" t="n">
        <f aca="false">Demand!I45/Demand!I49</f>
        <v>0.9</v>
      </c>
      <c r="Q30" s="12" t="s">
        <v>2402</v>
      </c>
    </row>
    <row r="31" customFormat="false" ht="15" hidden="false" customHeight="false" outlineLevel="0" collapsed="false">
      <c r="A31" s="15" t="s">
        <v>2403</v>
      </c>
    </row>
    <row r="32" customFormat="false" ht="15" hidden="false" customHeight="false" outlineLevel="0" collapsed="false">
      <c r="A32" s="9" t="s">
        <v>2404</v>
      </c>
      <c r="B32" s="10" t="s">
        <v>2405</v>
      </c>
      <c r="C32" s="9" t="s">
        <v>1014</v>
      </c>
      <c r="D32" s="9" t="n">
        <f aca="false">TK_IF_Util/(D25/$D$10+D26/$D$11+D27/$D$12)</f>
        <v>9694055865.33013</v>
      </c>
      <c r="E32" s="9" t="n">
        <f aca="false">TK_IF_Util/(E25/$D$10+E26/$D$11+E27/$D$12)</f>
        <v>16841012577.1193</v>
      </c>
      <c r="F32" s="9" t="n">
        <f aca="false">TK_IF_Util/(F25/$D$10+F26/$D$11+F27/$D$12)</f>
        <v>16601032825.6547</v>
      </c>
      <c r="G32" s="9" t="n">
        <f aca="false">TK_IF_Util/(G25/$D$10+G26/$D$11+G27/$D$12)</f>
        <v>16376185396.2251</v>
      </c>
      <c r="H32" s="9" t="n">
        <f aca="false">TK_IF_Util/(H25/$D$10+H26/$D$11+H27/$D$12)</f>
        <v>16183251195.4459</v>
      </c>
      <c r="I32" s="9" t="n">
        <f aca="false">TK_IF_Util/(I25/$D$10+I26/$D$11+I27/$D$12)</f>
        <v>16044630070.2238</v>
      </c>
      <c r="Q32" s="12" t="s">
        <v>2406</v>
      </c>
    </row>
    <row r="33" customFormat="false" ht="15" hidden="false" customHeight="false" outlineLevel="0" collapsed="false">
      <c r="A33" s="9" t="s">
        <v>2407</v>
      </c>
      <c r="B33" s="10" t="s">
        <v>2408</v>
      </c>
      <c r="C33" s="9" t="s">
        <v>1014</v>
      </c>
      <c r="D33" s="9" t="n">
        <f aca="false">TK_IF_Util/(D25/$E$10+D26/$E$11+D27/$E$12)</f>
        <v>47786167041.7206</v>
      </c>
      <c r="E33" s="9" t="n">
        <f aca="false">TK_IF_Util/(E25/$E$10+E26/$E$11+E27/$E$12)</f>
        <v>82803922534.6892</v>
      </c>
      <c r="F33" s="9" t="n">
        <f aca="false">TK_IF_Util/(F25/$E$10+F26/$E$11+F27/$E$12)</f>
        <v>81642631541.8414</v>
      </c>
      <c r="G33" s="9" t="n">
        <f aca="false">TK_IF_Util/(G25/$E$10+G26/$E$11+G27/$E$12)</f>
        <v>80549014400.7453</v>
      </c>
      <c r="H33" s="9" t="n">
        <f aca="false">TK_IF_Util/(H25/$E$10+H26/$E$11+H27/$E$12)</f>
        <v>79607782219.5822</v>
      </c>
      <c r="I33" s="9" t="n">
        <f aca="false">TK_IF_Util/(I25/$E$10+I26/$E$11+I27/$E$12)</f>
        <v>78931220791.4579</v>
      </c>
      <c r="Q33" s="12" t="s">
        <v>2406</v>
      </c>
    </row>
    <row r="34" customFormat="false" ht="15" hidden="false" customHeight="false" outlineLevel="0" collapsed="false">
      <c r="A34" s="9" t="s">
        <v>2409</v>
      </c>
      <c r="B34" s="10" t="s">
        <v>2410</v>
      </c>
      <c r="C34" s="9" t="s">
        <v>1014</v>
      </c>
      <c r="D34" s="9" t="n">
        <f aca="false">TK_IF_Util/(D25/$F$10+D26/$F$11+D27/$F$12)</f>
        <v>57128070612.0534</v>
      </c>
      <c r="E34" s="9" t="n">
        <f aca="false">TK_IF_Util/(E25/$F$10+E26/$F$11+E27/$F$12)</f>
        <v>101489896255.527</v>
      </c>
      <c r="F34" s="9" t="n">
        <f aca="false">TK_IF_Util/(F25/$F$10+F26/$F$11+F27/$F$12)</f>
        <v>99912472915.3361</v>
      </c>
      <c r="G34" s="9" t="n">
        <f aca="false">TK_IF_Util/(G25/$F$10+G26/$F$11+G27/$F$12)</f>
        <v>98462333790.0214</v>
      </c>
      <c r="H34" s="9" t="n">
        <f aca="false">TK_IF_Util/(H25/$F$10+H26/$F$11+H27/$F$12)</f>
        <v>97232473895.7982</v>
      </c>
      <c r="I34" s="9" t="n">
        <f aca="false">TK_IF_Util/(I25/$F$10+I26/$F$11+I27/$F$12)</f>
        <v>96350789562.0971</v>
      </c>
      <c r="Q34" s="12" t="s">
        <v>2406</v>
      </c>
    </row>
    <row r="35" customFormat="false" ht="15" hidden="false" customHeight="false" outlineLevel="0" collapsed="false">
      <c r="A35" s="9" t="s">
        <v>2411</v>
      </c>
      <c r="B35" s="10" t="s">
        <v>2412</v>
      </c>
      <c r="C35" s="9" t="s">
        <v>1014</v>
      </c>
      <c r="D35" s="9" t="n">
        <f aca="false">TK_IF_Util/(D25/$G$10+D26/$G$11+D27/$G$12)</f>
        <v>97218413184.1746</v>
      </c>
      <c r="E35" s="9" t="n">
        <f aca="false">TK_IF_Util/(E25/$G$10+E26/$G$11+E27/$G$12)</f>
        <v>165690563972.478</v>
      </c>
      <c r="F35" s="9" t="n">
        <f aca="false">TK_IF_Util/(F25/$G$10+F26/$G$11+F27/$G$12)</f>
        <v>163507886088.024</v>
      </c>
      <c r="G35" s="9" t="n">
        <f aca="false">TK_IF_Util/(G25/$G$10+G26/$G$11+G27/$G$12)</f>
        <v>161426015218.888</v>
      </c>
      <c r="H35" s="9" t="n">
        <f aca="false">TK_IF_Util/(H25/$G$10+H26/$G$11+H27/$G$12)</f>
        <v>159620404340.308</v>
      </c>
      <c r="I35" s="9" t="n">
        <f aca="false">TK_IF_Util/(I25/$G$10+I26/$G$11+I27/$G$12)</f>
        <v>158320571575.758</v>
      </c>
      <c r="Q35" s="12" t="s">
        <v>2406</v>
      </c>
    </row>
    <row r="36" customFormat="false" ht="15" hidden="false" customHeight="false" outlineLevel="0" collapsed="false">
      <c r="A36" s="9" t="s">
        <v>2413</v>
      </c>
      <c r="B36" s="10" t="s">
        <v>2414</v>
      </c>
      <c r="C36" s="9" t="s">
        <v>1014</v>
      </c>
      <c r="D36" s="9" t="n">
        <f aca="false">TK_IF_Util/(D25/$H$10+D26/$H$11+D27/$H$12)</f>
        <v>136143700236.344</v>
      </c>
      <c r="E36" s="9" t="n">
        <f aca="false">TK_IF_Util/(E25/$H$10+E26/$H$11+E27/$H$12)</f>
        <v>229718988304.025</v>
      </c>
      <c r="F36" s="9" t="n">
        <f aca="false">TK_IF_Util/(F25/$H$10+F26/$H$11+F27/$H$12)</f>
        <v>226818801102.526</v>
      </c>
      <c r="G36" s="9" t="n">
        <f aca="false">TK_IF_Util/(G25/$H$10+G26/$H$11+G27/$H$12)</f>
        <v>224025155289.719</v>
      </c>
      <c r="H36" s="9" t="n">
        <f aca="false">TK_IF_Util/(H25/$H$10+H26/$H$11+H27/$H$12)</f>
        <v>221588117683.031</v>
      </c>
      <c r="I36" s="9" t="n">
        <f aca="false">TK_IF_Util/(I25/$H$10+I26/$H$11+I27/$H$12)</f>
        <v>219831931301.596</v>
      </c>
      <c r="Q36" s="12" t="s">
        <v>2406</v>
      </c>
    </row>
    <row r="37" customFormat="false" ht="15" hidden="false" customHeight="false" outlineLevel="0" collapsed="false">
      <c r="A37" s="9" t="s">
        <v>2415</v>
      </c>
      <c r="B37" s="10" t="s">
        <v>2416</v>
      </c>
      <c r="C37" s="9" t="s">
        <v>1014</v>
      </c>
      <c r="D37" s="9" t="n">
        <f aca="false">TK_IF_Util/(D25/$I$10+D26/$I$11+D27/$I$12)</f>
        <v>58331047910.5047</v>
      </c>
      <c r="E37" s="9" t="n">
        <f aca="false">TK_IF_Util/(E25/$I$10+E26/$I$11+E27/$I$12)</f>
        <v>99414338383.4869</v>
      </c>
      <c r="F37" s="9" t="n">
        <f aca="false">TK_IF_Util/(F25/$I$10+F26/$I$11+F27/$I$12)</f>
        <v>98104731652.8142</v>
      </c>
      <c r="G37" s="9" t="n">
        <f aca="false">TK_IF_Util/(G25/$I$10+G26/$I$11+G27/$I$12)</f>
        <v>96855609131.3328</v>
      </c>
      <c r="H37" s="9" t="n">
        <f aca="false">TK_IF_Util/(H25/$I$10+H26/$I$11+H27/$I$12)</f>
        <v>95772242604.185</v>
      </c>
      <c r="I37" s="9" t="n">
        <f aca="false">TK_IF_Util/(I25/$I$10+I26/$I$11+I27/$I$12)</f>
        <v>94992342945.455</v>
      </c>
      <c r="Q37" s="12" t="s">
        <v>2406</v>
      </c>
    </row>
    <row r="38" customFormat="false" ht="15" hidden="false" customHeight="false" outlineLevel="0" collapsed="false">
      <c r="A38" s="9" t="s">
        <v>2417</v>
      </c>
      <c r="B38" s="10" t="s">
        <v>2418</v>
      </c>
      <c r="C38" s="9" t="s">
        <v>1014</v>
      </c>
      <c r="D38" s="9" t="n">
        <f aca="false">D15*D32+D18*D33+D19*D34+D20*D35+D21*D36+D22*D37</f>
        <v>24930900335.8863</v>
      </c>
      <c r="E38" s="9" t="n">
        <f aca="false">E15*E32+E18*E33+E19*E34+E20*E35+E21*E36+E22*E37</f>
        <v>69830399687.0995</v>
      </c>
      <c r="F38" s="9" t="n">
        <f aca="false">F15*F32+F18*F33+F19*F34+F20*F35+F21*F36+F22*F37</f>
        <v>102202892418.402</v>
      </c>
      <c r="G38" s="9" t="n">
        <f aca="false">G15*G32+G18*G33+G19*G34+G20*G35+G21*G36+G22*G37</f>
        <v>126041817481.112</v>
      </c>
      <c r="H38" s="9" t="n">
        <f aca="false">H15*H32+H18*H33+H19*H34+H20*H35+H21*H36+H22*H37</f>
        <v>138807488070.832</v>
      </c>
      <c r="I38" s="9" t="n">
        <f aca="false">I15*I32+I18*I33+I19*I34+I20*I35+I21*I36+I22*I37</f>
        <v>147722829723.452</v>
      </c>
      <c r="Q38" s="12" t="s">
        <v>2419</v>
      </c>
    </row>
    <row r="39" customFormat="false" ht="15" hidden="false" customHeight="false" outlineLevel="0" collapsed="false">
      <c r="A39" s="9" t="s">
        <v>2420</v>
      </c>
      <c r="B39" s="10" t="s">
        <v>2421</v>
      </c>
      <c r="C39" s="9" t="s">
        <v>1014</v>
      </c>
      <c r="D39" s="9" t="n">
        <f aca="false">TK_IF_Util/(D28/$D$10+D29/$D$11+D30/$D$12)</f>
        <v>61320296364.6791</v>
      </c>
      <c r="E39" s="9" t="n">
        <f aca="false">TK_IF_Util/(E28/$D$10+E29/$D$11+E30/$D$12)</f>
        <v>61320296364.6791</v>
      </c>
      <c r="F39" s="9" t="n">
        <f aca="false">TK_IF_Util/(F28/$D$10+F29/$D$11+F30/$D$12)</f>
        <v>61320296364.6791</v>
      </c>
      <c r="G39" s="9" t="n">
        <f aca="false">TK_IF_Util/(G28/$D$10+G29/$D$11+G30/$D$12)</f>
        <v>61320296364.6791</v>
      </c>
      <c r="H39" s="9" t="n">
        <f aca="false">TK_IF_Util/(H28/$D$10+H29/$D$11+H30/$D$12)</f>
        <v>61320296364.6791</v>
      </c>
      <c r="I39" s="9" t="n">
        <f aca="false">TK_IF_Util/(I28/$D$10+I29/$D$11+I30/$D$12)</f>
        <v>61320296364.6791</v>
      </c>
      <c r="Q39" s="12" t="s">
        <v>2406</v>
      </c>
    </row>
    <row r="40" customFormat="false" ht="15" hidden="false" customHeight="false" outlineLevel="0" collapsed="false">
      <c r="A40" s="9" t="s">
        <v>2422</v>
      </c>
      <c r="B40" s="10" t="s">
        <v>2423</v>
      </c>
      <c r="C40" s="9" t="s">
        <v>1014</v>
      </c>
      <c r="D40" s="9" t="n">
        <f aca="false">TK_IF_Util/(D28/$E$10+D29/$E$11+D30/$E$12)</f>
        <v>302992908039.58</v>
      </c>
      <c r="E40" s="9" t="n">
        <f aca="false">TK_IF_Util/(E28/$E$10+E29/$E$11+E30/$E$12)</f>
        <v>302992908039.58</v>
      </c>
      <c r="F40" s="9" t="n">
        <f aca="false">TK_IF_Util/(F28/$E$10+F29/$E$11+F30/$E$12)</f>
        <v>302992908039.58</v>
      </c>
      <c r="G40" s="9" t="n">
        <f aca="false">TK_IF_Util/(G28/$E$10+G29/$E$11+G30/$E$12)</f>
        <v>302992908039.58</v>
      </c>
      <c r="H40" s="9" t="n">
        <f aca="false">TK_IF_Util/(H28/$E$10+H29/$E$11+H30/$E$12)</f>
        <v>302992908039.58</v>
      </c>
      <c r="I40" s="9" t="n">
        <f aca="false">TK_IF_Util/(I28/$E$10+I29/$E$11+I30/$E$12)</f>
        <v>302992908039.58</v>
      </c>
      <c r="Q40" s="12" t="s">
        <v>2406</v>
      </c>
    </row>
    <row r="41" customFormat="false" ht="15" hidden="false" customHeight="false" outlineLevel="0" collapsed="false">
      <c r="A41" s="9" t="s">
        <v>2424</v>
      </c>
      <c r="B41" s="10" t="s">
        <v>2425</v>
      </c>
      <c r="C41" s="9" t="s">
        <v>1014</v>
      </c>
      <c r="D41" s="9" t="n">
        <f aca="false">TK_IF_Util/(D28/$F$10+D29/$F$11+D30/$F$12)</f>
        <v>392899865985.648</v>
      </c>
      <c r="E41" s="9" t="n">
        <f aca="false">TK_IF_Util/(E28/$F$10+E29/$F$11+E30/$F$12)</f>
        <v>392899865985.648</v>
      </c>
      <c r="F41" s="9" t="n">
        <f aca="false">TK_IF_Util/(F28/$F$10+F29/$F$11+F30/$F$12)</f>
        <v>392899865985.648</v>
      </c>
      <c r="G41" s="9" t="n">
        <f aca="false">TK_IF_Util/(G28/$F$10+G29/$F$11+G30/$F$12)</f>
        <v>392899865985.648</v>
      </c>
      <c r="H41" s="9" t="n">
        <f aca="false">TK_IF_Util/(H28/$F$10+H29/$F$11+H30/$F$12)</f>
        <v>392899865985.648</v>
      </c>
      <c r="I41" s="9" t="n">
        <f aca="false">TK_IF_Util/(I28/$F$10+I29/$F$11+I30/$F$12)</f>
        <v>392899865985.648</v>
      </c>
      <c r="Q41" s="12" t="s">
        <v>2406</v>
      </c>
    </row>
    <row r="42" customFormat="false" ht="15" hidden="false" customHeight="false" outlineLevel="0" collapsed="false">
      <c r="A42" s="9" t="s">
        <v>2426</v>
      </c>
      <c r="B42" s="10" t="s">
        <v>2427</v>
      </c>
      <c r="C42" s="9" t="s">
        <v>1014</v>
      </c>
      <c r="D42" s="9" t="n">
        <f aca="false">TK_IF_Util/(D28/$G$10+D29/$G$11+D30/$G$12)</f>
        <v>573813640739.294</v>
      </c>
      <c r="E42" s="9" t="n">
        <f aca="false">TK_IF_Util/(E28/$G$10+E29/$G$11+E30/$G$12)</f>
        <v>573813640739.294</v>
      </c>
      <c r="F42" s="9" t="n">
        <f aca="false">TK_IF_Util/(F28/$G$10+F29/$G$11+F30/$G$12)</f>
        <v>573813640739.294</v>
      </c>
      <c r="G42" s="9" t="n">
        <f aca="false">TK_IF_Util/(G28/$G$10+G29/$G$11+G30/$G$12)</f>
        <v>573813640739.294</v>
      </c>
      <c r="H42" s="9" t="n">
        <f aca="false">TK_IF_Util/(H28/$G$10+H29/$G$11+H30/$G$12)</f>
        <v>573813640739.294</v>
      </c>
      <c r="I42" s="9" t="n">
        <f aca="false">TK_IF_Util/(I28/$G$10+I29/$G$11+I30/$G$12)</f>
        <v>573813640739.294</v>
      </c>
      <c r="Q42" s="12" t="s">
        <v>2406</v>
      </c>
    </row>
    <row r="43" customFormat="false" ht="15" hidden="false" customHeight="false" outlineLevel="0" collapsed="false">
      <c r="A43" s="9" t="s">
        <v>2428</v>
      </c>
      <c r="B43" s="10" t="s">
        <v>2429</v>
      </c>
      <c r="C43" s="9" t="s">
        <v>1014</v>
      </c>
      <c r="D43" s="9" t="n">
        <f aca="false">TK_IF_Util/(D28/$H$10+D29/$H$11+D30/$H$12)</f>
        <v>775170847043.001</v>
      </c>
      <c r="E43" s="9" t="n">
        <f aca="false">TK_IF_Util/(E28/$H$10+E29/$H$11+E30/$H$12)</f>
        <v>775170847043.001</v>
      </c>
      <c r="F43" s="9" t="n">
        <f aca="false">TK_IF_Util/(F28/$H$10+F29/$H$11+F30/$H$12)</f>
        <v>775170847043.001</v>
      </c>
      <c r="G43" s="9" t="n">
        <f aca="false">TK_IF_Util/(G28/$H$10+G29/$H$11+G30/$H$12)</f>
        <v>775170847043.001</v>
      </c>
      <c r="H43" s="9" t="n">
        <f aca="false">TK_IF_Util/(H28/$H$10+H29/$H$11+H30/$H$12)</f>
        <v>775170847043.001</v>
      </c>
      <c r="I43" s="9" t="n">
        <f aca="false">TK_IF_Util/(I28/$H$10+I29/$H$11+I30/$H$12)</f>
        <v>775170847043.001</v>
      </c>
      <c r="Q43" s="12" t="s">
        <v>2406</v>
      </c>
    </row>
    <row r="44" customFormat="false" ht="15" hidden="false" customHeight="false" outlineLevel="0" collapsed="false">
      <c r="A44" s="9" t="s">
        <v>2430</v>
      </c>
      <c r="B44" s="10" t="s">
        <v>2431</v>
      </c>
      <c r="C44" s="9" t="s">
        <v>1014</v>
      </c>
      <c r="D44" s="9" t="n">
        <f aca="false">TK_IF_Util/(D28/$I$10+D29/$I$11+D30/$I$12)</f>
        <v>344288184443.576</v>
      </c>
      <c r="E44" s="9" t="n">
        <f aca="false">TK_IF_Util/(E28/$I$10+E29/$I$11+E30/$I$12)</f>
        <v>344288184443.576</v>
      </c>
      <c r="F44" s="9" t="n">
        <f aca="false">TK_IF_Util/(F28/$I$10+F29/$I$11+F30/$I$12)</f>
        <v>344288184443.576</v>
      </c>
      <c r="G44" s="9" t="n">
        <f aca="false">TK_IF_Util/(G28/$I$10+G29/$I$11+G30/$I$12)</f>
        <v>344288184443.576</v>
      </c>
      <c r="H44" s="9" t="n">
        <f aca="false">TK_IF_Util/(H28/$I$10+H29/$I$11+H30/$I$12)</f>
        <v>344288184443.576</v>
      </c>
      <c r="I44" s="9" t="n">
        <f aca="false">TK_IF_Util/(I28/$I$10+I29/$I$11+I30/$I$12)</f>
        <v>344288184443.576</v>
      </c>
      <c r="Q44" s="12" t="s">
        <v>2406</v>
      </c>
    </row>
    <row r="45" customFormat="false" ht="15" hidden="false" customHeight="false" outlineLevel="0" collapsed="false">
      <c r="A45" s="9" t="s">
        <v>2432</v>
      </c>
      <c r="B45" s="10" t="s">
        <v>2433</v>
      </c>
      <c r="C45" s="9" t="s">
        <v>1014</v>
      </c>
      <c r="D45" s="9" t="n">
        <f aca="false">D15*D39+D18*D40+D19*D41+D20*D42+D21*D43+D22*D44</f>
        <v>157989341034.64</v>
      </c>
      <c r="E45" s="9" t="n">
        <f aca="false">E15*E39+E18*E40+E19*E41+E20*E42+E21*E43+E22*E44</f>
        <v>258737707843.719</v>
      </c>
      <c r="F45" s="9" t="n">
        <f aca="false">F15*F39+F18*F40+F19*F41+F20*F42+F21*F43+F22*F44</f>
        <v>372346829276.524</v>
      </c>
      <c r="G45" s="9" t="n">
        <f aca="false">G15*G39+G18*G40+G19*G41+G20*G42+G21*G43+G22*G44</f>
        <v>456067839273.387</v>
      </c>
      <c r="H45" s="9" t="n">
        <f aca="false">H15*H39+H18*H40+H19*H41+H20*H42+H21*H43+H22*H44</f>
        <v>502870819365.185</v>
      </c>
      <c r="I45" s="9" t="n">
        <f aca="false">I15*I39+I18*I40+I19*I41+I20*I42+I21*I43+I22*I44</f>
        <v>534116992553.438</v>
      </c>
      <c r="Q45" s="12" t="s">
        <v>2419</v>
      </c>
    </row>
    <row r="46" customFormat="false" ht="15" hidden="false" customHeight="false" outlineLevel="0" collapsed="false">
      <c r="A46" s="15" t="s">
        <v>2434</v>
      </c>
    </row>
    <row r="47" customFormat="false" ht="15" hidden="false" customHeight="false" outlineLevel="0" collapsed="false">
      <c r="A47" s="9" t="s">
        <v>2435</v>
      </c>
      <c r="B47" s="10" t="s">
        <v>2436</v>
      </c>
      <c r="C47" s="9" t="s">
        <v>836</v>
      </c>
      <c r="D47" s="14" t="n">
        <f aca="false">Demand!D50*INP_254</f>
        <v>2793460109.94171</v>
      </c>
      <c r="E47" s="14" t="n">
        <f aca="false">Demand!E50*INP_254</f>
        <v>8285567819.37762</v>
      </c>
      <c r="F47" s="14" t="n">
        <f aca="false">Demand!F50*INP_254</f>
        <v>19562672071.542</v>
      </c>
      <c r="G47" s="14" t="n">
        <f aca="false">Demand!G50*INP_254</f>
        <v>42758688093.7428</v>
      </c>
      <c r="H47" s="14" t="n">
        <f aca="false">Demand!H50*INP_254</f>
        <v>86134488967.1973</v>
      </c>
      <c r="I47" s="14" t="n">
        <f aca="false">Demand!I50*INP_254</f>
        <v>165031693077.84</v>
      </c>
      <c r="Q47" s="12" t="s">
        <v>2437</v>
      </c>
    </row>
    <row r="48" customFormat="false" ht="15" hidden="false" customHeight="false" outlineLevel="0" collapsed="false">
      <c r="A48" s="9" t="s">
        <v>2438</v>
      </c>
      <c r="B48" s="10" t="s">
        <v>2439</v>
      </c>
      <c r="C48" s="9" t="s">
        <v>836</v>
      </c>
      <c r="D48" s="14" t="n">
        <f aca="false">Demand!D49*INP_254</f>
        <v>744600000</v>
      </c>
      <c r="E48" s="14" t="n">
        <f aca="false">Demand!E49*INP_254</f>
        <v>1733056500</v>
      </c>
      <c r="F48" s="14" t="n">
        <f aca="false">Demand!F49*INP_254</f>
        <v>2884626937.5</v>
      </c>
      <c r="G48" s="14" t="n">
        <f aca="false">Demand!G49*INP_254</f>
        <v>4378863691.125</v>
      </c>
      <c r="H48" s="14" t="n">
        <f aca="false">Demand!H49*INP_254</f>
        <v>6277830911.84288</v>
      </c>
      <c r="I48" s="14" t="n">
        <f aca="false">Demand!I49*INP_254</f>
        <v>8642172818.49429</v>
      </c>
      <c r="Q48" s="12" t="s">
        <v>2440</v>
      </c>
    </row>
    <row r="49" customFormat="false" ht="15" hidden="false" customHeight="false" outlineLevel="0" collapsed="false">
      <c r="A49" s="9" t="s">
        <v>2441</v>
      </c>
      <c r="B49" s="10" t="s">
        <v>2442</v>
      </c>
      <c r="C49" s="9" t="s">
        <v>375</v>
      </c>
      <c r="D49" s="9" t="n">
        <f aca="false">D47/D38</f>
        <v>0.112048103851297</v>
      </c>
      <c r="E49" s="9" t="n">
        <f aca="false">E47/E38</f>
        <v>0.11865273371632</v>
      </c>
      <c r="F49" s="9" t="n">
        <f aca="false">F47/F38</f>
        <v>0.191410160795212</v>
      </c>
      <c r="G49" s="9" t="n">
        <f aca="false">G47/G38</f>
        <v>0.339242078131335</v>
      </c>
      <c r="H49" s="9" t="n">
        <f aca="false">H47/H38</f>
        <v>0.62053200561661</v>
      </c>
      <c r="I49" s="9" t="n">
        <f aca="false">I47/I38</f>
        <v>1.11717121440736</v>
      </c>
      <c r="Q49" s="2"/>
    </row>
    <row r="50" customFormat="false" ht="15" hidden="false" customHeight="false" outlineLevel="0" collapsed="false">
      <c r="A50" s="9" t="s">
        <v>2443</v>
      </c>
      <c r="B50" s="10" t="s">
        <v>2444</v>
      </c>
      <c r="C50" s="9" t="s">
        <v>375</v>
      </c>
      <c r="D50" s="9" t="n">
        <f aca="false">D48/D45</f>
        <v>0.00471297617373279</v>
      </c>
      <c r="E50" s="9" t="n">
        <f aca="false">E48/E45</f>
        <v>0.00669812109894237</v>
      </c>
      <c r="F50" s="9" t="n">
        <f aca="false">F48/F45</f>
        <v>0.00774715053463696</v>
      </c>
      <c r="G50" s="9" t="n">
        <f aca="false">G48/G45</f>
        <v>0.00960134285746055</v>
      </c>
      <c r="H50" s="9" t="n">
        <f aca="false">H48/H45</f>
        <v>0.0124839833016517</v>
      </c>
      <c r="I50" s="9" t="n">
        <f aca="false">I48/I45</f>
        <v>0.0161802993332582</v>
      </c>
      <c r="Q50" s="2"/>
    </row>
    <row r="51" customFormat="false" ht="15" hidden="false" customHeight="false" outlineLevel="0" collapsed="false">
      <c r="A51" s="9" t="s">
        <v>2445</v>
      </c>
      <c r="B51" s="10" t="s">
        <v>2446</v>
      </c>
      <c r="C51" s="9" t="s">
        <v>375</v>
      </c>
      <c r="D51" s="9" t="n">
        <f aca="false">D49+D50</f>
        <v>0.116761080025029</v>
      </c>
      <c r="E51" s="9" t="n">
        <f aca="false">E49+E50</f>
        <v>0.125350854815263</v>
      </c>
      <c r="F51" s="9" t="n">
        <f aca="false">F49+F50</f>
        <v>0.199157311329849</v>
      </c>
      <c r="G51" s="9" t="n">
        <f aca="false">G49+G50</f>
        <v>0.348843420988796</v>
      </c>
      <c r="H51" s="9" t="n">
        <f aca="false">H49+H50</f>
        <v>0.633015988918262</v>
      </c>
      <c r="I51" s="9" t="n">
        <f aca="false">I49+I50</f>
        <v>1.13335151374061</v>
      </c>
      <c r="Q51" s="2"/>
    </row>
    <row r="52" customFormat="false" ht="15" hidden="false" customHeight="false" outlineLevel="0" collapsed="false">
      <c r="A52" s="15" t="s">
        <v>2447</v>
      </c>
    </row>
    <row r="53" customFormat="false" ht="15" hidden="false" customHeight="false" outlineLevel="0" collapsed="false">
      <c r="A53" s="9" t="s">
        <v>2448</v>
      </c>
      <c r="B53" s="9" t="s">
        <v>2449</v>
      </c>
      <c r="C53" s="9" t="s">
        <v>68</v>
      </c>
      <c r="D53" s="9" t="n">
        <f aca="false">SRC_OAI_047</f>
        <v>8.4</v>
      </c>
      <c r="Q53" s="12" t="s">
        <v>2450</v>
      </c>
    </row>
    <row r="54" customFormat="false" ht="15" hidden="false" customHeight="false" outlineLevel="0" collapsed="false">
      <c r="A54" s="9" t="s">
        <v>2451</v>
      </c>
      <c r="B54" s="10" t="s">
        <v>2452</v>
      </c>
      <c r="C54" s="9" t="s">
        <v>1603</v>
      </c>
      <c r="D54" s="9" t="n">
        <f aca="false">INP_229</f>
        <v>12</v>
      </c>
      <c r="Q54" s="12" t="s">
        <v>2453</v>
      </c>
    </row>
    <row r="55" customFormat="false" ht="15" hidden="false" customHeight="false" outlineLevel="0" collapsed="false">
      <c r="A55" s="9" t="s">
        <v>2454</v>
      </c>
      <c r="B55" s="9" t="s">
        <v>2455</v>
      </c>
      <c r="C55" s="9" t="s">
        <v>375</v>
      </c>
      <c r="D55" s="9" t="n">
        <f aca="false">D53/D54</f>
        <v>0.7</v>
      </c>
      <c r="Q55" s="12" t="s">
        <v>2456</v>
      </c>
    </row>
    <row r="56" customFormat="false" ht="15" hidden="false" customHeight="false" outlineLevel="0" collapsed="false">
      <c r="A56" s="9" t="s">
        <v>2457</v>
      </c>
      <c r="B56" s="9" t="s">
        <v>2458</v>
      </c>
      <c r="C56" s="9" t="s">
        <v>375</v>
      </c>
      <c r="D56" s="9" t="n">
        <f aca="false">D51</f>
        <v>0.116761080025029</v>
      </c>
      <c r="Q56" s="2" t="s">
        <v>2459</v>
      </c>
    </row>
    <row r="57" customFormat="false" ht="15" hidden="false" customHeight="false" outlineLevel="0" collapsed="false">
      <c r="A57" s="9" t="s">
        <v>2460</v>
      </c>
      <c r="B57" s="9" t="s">
        <v>2461</v>
      </c>
      <c r="C57" s="10" t="s">
        <v>560</v>
      </c>
      <c r="D57" s="9" t="n">
        <f aca="false">D56/D55</f>
        <v>0.166801542892899</v>
      </c>
      <c r="Q57" s="12" t="s">
        <v>2462</v>
      </c>
    </row>
    <row r="58" customFormat="false" ht="15" hidden="false" customHeight="false" outlineLevel="0" collapsed="false">
      <c r="A58" s="9" t="s">
        <v>2463</v>
      </c>
      <c r="B58" s="9" t="s">
        <v>2464</v>
      </c>
      <c r="C58" s="10" t="s">
        <v>560</v>
      </c>
      <c r="D58" s="9" t="n">
        <f aca="false">$D$57+INP_258*(INP_259-$D$57)*MIN(INP_260-INP_002,D$6-INP_002)/(INP_260-INP_002)</f>
        <v>0.166801542892899</v>
      </c>
      <c r="E58" s="9" t="n">
        <f aca="false">$D$57+INP_258*(INP_259-$D$57)*MIN(INP_260-INP_002,E$6-INP_002)/(INP_260-INP_002)</f>
        <v>0.166801542892899</v>
      </c>
      <c r="F58" s="9" t="n">
        <f aca="false">$D$57+INP_258*(INP_259-$D$57)*MIN(INP_260-INP_002,F$6-INP_002)/(INP_260-INP_002)</f>
        <v>0.166801542892899</v>
      </c>
      <c r="G58" s="9" t="n">
        <f aca="false">$D$57+INP_258*(INP_259-$D$57)*MIN(INP_260-INP_002,G$6-INP_002)/(INP_260-INP_002)</f>
        <v>0.166801542892899</v>
      </c>
      <c r="H58" s="9" t="n">
        <f aca="false">$D$57+INP_258*(INP_259-$D$57)*MIN(INP_260-INP_002,H$6-INP_002)/(INP_260-INP_002)</f>
        <v>0.166801542892899</v>
      </c>
      <c r="I58" s="9" t="n">
        <f aca="false">$D$57+INP_258*(INP_259-$D$57)*MIN(INP_260-INP_002,I$6-INP_002)/(INP_260-INP_002)</f>
        <v>0.166801542892899</v>
      </c>
      <c r="Q58" s="2" t="s">
        <v>2465</v>
      </c>
    </row>
    <row r="59" customFormat="false" ht="15" hidden="false" customHeight="false" outlineLevel="0" collapsed="false">
      <c r="A59" s="9" t="s">
        <v>2466</v>
      </c>
      <c r="B59" s="10" t="s">
        <v>2467</v>
      </c>
      <c r="C59" s="9" t="s">
        <v>375</v>
      </c>
      <c r="D59" s="9" t="n">
        <f aca="false">D49/D58</f>
        <v>0.671745008517344</v>
      </c>
      <c r="E59" s="9" t="n">
        <f aca="false">E49/E58</f>
        <v>0.711340744566766</v>
      </c>
      <c r="F59" s="9" t="n">
        <f aca="false">F49/F58</f>
        <v>1.14753231580186</v>
      </c>
      <c r="G59" s="9" t="n">
        <f aca="false">G49/G58</f>
        <v>2.03380659583681</v>
      </c>
      <c r="H59" s="9" t="n">
        <f aca="false">H49/H58</f>
        <v>3.72018144949082</v>
      </c>
      <c r="I59" s="9" t="n">
        <f aca="false">I49/I58</f>
        <v>6.69760719854178</v>
      </c>
      <c r="Q59" s="12" t="s">
        <v>2468</v>
      </c>
    </row>
    <row r="60" customFormat="false" ht="15" hidden="false" customHeight="false" outlineLevel="0" collapsed="false">
      <c r="A60" s="9" t="s">
        <v>2469</v>
      </c>
      <c r="B60" s="10" t="s">
        <v>2470</v>
      </c>
      <c r="C60" s="9" t="s">
        <v>375</v>
      </c>
      <c r="D60" s="9" t="n">
        <f aca="false">D50/D58</f>
        <v>0.0282549914826563</v>
      </c>
      <c r="E60" s="9" t="n">
        <f aca="false">E50/E58</f>
        <v>0.0401562298691874</v>
      </c>
      <c r="F60" s="9" t="n">
        <f aca="false">F50/F58</f>
        <v>0.0464453169933284</v>
      </c>
      <c r="G60" s="9" t="n">
        <f aca="false">G50/G58</f>
        <v>0.0575614750975382</v>
      </c>
      <c r="H60" s="9" t="n">
        <f aca="false">H50/H58</f>
        <v>0.0748433322926005</v>
      </c>
      <c r="I60" s="9" t="n">
        <f aca="false">I50/I58</f>
        <v>0.0970032953690806</v>
      </c>
      <c r="Q60" s="12" t="s">
        <v>2468</v>
      </c>
    </row>
    <row r="61" customFormat="false" ht="15" hidden="false" customHeight="false" outlineLevel="0" collapsed="false">
      <c r="A61" s="9" t="s">
        <v>2471</v>
      </c>
      <c r="B61" s="10" t="s">
        <v>2472</v>
      </c>
      <c r="C61" s="9" t="s">
        <v>375</v>
      </c>
      <c r="D61" s="9" t="n">
        <f aca="false">D51/D58</f>
        <v>0.7</v>
      </c>
      <c r="E61" s="9" t="n">
        <f aca="false">E51/E58</f>
        <v>0.751496974435954</v>
      </c>
      <c r="F61" s="9" t="n">
        <f aca="false">F51/F58</f>
        <v>1.19397763279519</v>
      </c>
      <c r="G61" s="9" t="n">
        <f aca="false">G51/G58</f>
        <v>2.09136807093435</v>
      </c>
      <c r="H61" s="9" t="n">
        <f aca="false">H51/H58</f>
        <v>3.79502478178342</v>
      </c>
      <c r="I61" s="9" t="n">
        <f aca="false">I51/I58</f>
        <v>6.79461049391086</v>
      </c>
      <c r="Q61" s="12" t="s">
        <v>2473</v>
      </c>
    </row>
    <row r="62" customFormat="false" ht="15" hidden="false" customHeight="false" outlineLevel="0" collapsed="false">
      <c r="A62" s="15" t="s">
        <v>2474</v>
      </c>
    </row>
    <row r="63" customFormat="false" ht="15" hidden="false" customHeight="false" outlineLevel="0" collapsed="false">
      <c r="A63" s="9" t="s">
        <v>2475</v>
      </c>
      <c r="B63" s="9" t="s">
        <v>2476</v>
      </c>
      <c r="C63" s="9" t="s">
        <v>68</v>
      </c>
      <c r="D63" s="9" t="n">
        <f aca="false">SRC_OAI_047+SRC_OAI_098+INP_230</f>
        <v>20.4</v>
      </c>
      <c r="Q63" s="12" t="s">
        <v>2477</v>
      </c>
    </row>
    <row r="64" customFormat="false" ht="15" hidden="false" customHeight="false" outlineLevel="0" collapsed="false">
      <c r="A64" s="9" t="s">
        <v>2478</v>
      </c>
      <c r="B64" s="9" t="s">
        <v>2479</v>
      </c>
      <c r="C64" s="9" t="s">
        <v>375</v>
      </c>
      <c r="D64" s="9" t="n">
        <f aca="false">AVERAGE(SRC_OAI_089,SRC_OAI_090)</f>
        <v>1.25</v>
      </c>
      <c r="Q64" s="12" t="s">
        <v>2480</v>
      </c>
    </row>
    <row r="65" customFormat="false" ht="15" hidden="false" customHeight="false" outlineLevel="0" collapsed="false">
      <c r="A65" s="9" t="s">
        <v>2481</v>
      </c>
      <c r="B65" s="10" t="s">
        <v>2482</v>
      </c>
      <c r="C65" s="9" t="s">
        <v>1603</v>
      </c>
      <c r="D65" s="9" t="n">
        <f aca="false">D63/D64</f>
        <v>16.32</v>
      </c>
      <c r="Q65" s="12" t="s">
        <v>2483</v>
      </c>
    </row>
    <row r="66" customFormat="false" ht="15" hidden="false" customHeight="false" outlineLevel="0" collapsed="false">
      <c r="A66" s="9" t="s">
        <v>2484</v>
      </c>
      <c r="B66" s="10" t="s">
        <v>2485</v>
      </c>
      <c r="C66" s="9" t="s">
        <v>1603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2486</v>
      </c>
      <c r="B67" s="10" t="s">
        <v>2487</v>
      </c>
      <c r="C67" s="10" t="s">
        <v>120</v>
      </c>
      <c r="D67" s="9" t="n">
        <f aca="false">D66/INP_229</f>
        <v>0.36</v>
      </c>
      <c r="Q67" s="12" t="s">
        <v>2488</v>
      </c>
    </row>
    <row r="68" customFormat="false" ht="15" hidden="false" customHeight="false" outlineLevel="0" collapsed="false">
      <c r="A68" s="9" t="s">
        <v>2489</v>
      </c>
      <c r="B68" s="10" t="s">
        <v>2490</v>
      </c>
      <c r="C68" s="10" t="s">
        <v>560</v>
      </c>
      <c r="D68" s="9" t="n">
        <f aca="false">D51/(D53/D65)</f>
        <v>0.226850098334343</v>
      </c>
      <c r="Q68" s="2" t="s">
        <v>2491</v>
      </c>
    </row>
    <row r="69" customFormat="false" ht="15" hidden="false" customHeight="false" outlineLevel="0" collapsed="false">
      <c r="A69" s="9" t="s">
        <v>2492</v>
      </c>
      <c r="B69" s="9" t="s">
        <v>2493</v>
      </c>
      <c r="C69" s="10" t="s">
        <v>560</v>
      </c>
      <c r="D69" s="9" t="n">
        <f aca="false">D68-D57</f>
        <v>0.0600485554414436</v>
      </c>
      <c r="Q69" s="2"/>
    </row>
    <row r="70" customFormat="false" ht="15" hidden="false" customHeight="false" outlineLevel="0" collapsed="false">
      <c r="A70" s="15" t="s">
        <v>2494</v>
      </c>
    </row>
    <row r="71" customFormat="false" ht="15" hidden="false" customHeight="false" outlineLevel="0" collapsed="false">
      <c r="A71" s="9" t="s">
        <v>2495</v>
      </c>
      <c r="B71" s="9" t="s">
        <v>2496</v>
      </c>
      <c r="C71" s="9" t="s">
        <v>68</v>
      </c>
      <c r="D71" s="9" t="n">
        <f aca="false">SRC_OAI_098+INP_230</f>
        <v>12</v>
      </c>
      <c r="Q71" s="12" t="s">
        <v>2497</v>
      </c>
    </row>
    <row r="72" customFormat="false" ht="15" hidden="false" customHeight="false" outlineLevel="0" collapsed="false">
      <c r="A72" s="9" t="s">
        <v>2498</v>
      </c>
      <c r="B72" s="10" t="s">
        <v>2499</v>
      </c>
      <c r="C72" s="9" t="s">
        <v>375</v>
      </c>
      <c r="D72" s="9" t="n">
        <f aca="false">D71/INP_229</f>
        <v>1</v>
      </c>
      <c r="E72" s="9" t="n">
        <f aca="false">E87*(1-INP_232)-E92</f>
        <v>1.79928873984976</v>
      </c>
      <c r="F72" s="9" t="n">
        <f aca="false">F87*(1-INP_232)-F92</f>
        <v>7.209114619117</v>
      </c>
      <c r="G72" s="9" t="n">
        <f aca="false">G87*(1-INP_232)-G92</f>
        <v>8.29311255884611</v>
      </c>
      <c r="H72" s="9" t="n">
        <f aca="false">H87*(1-INP_232)-H92</f>
        <v>8.83946698622803</v>
      </c>
      <c r="I72" s="9" t="n">
        <f aca="false">I87*(1-INP_232)-I92</f>
        <v>7.68651517269429</v>
      </c>
      <c r="Q72" s="12" t="s">
        <v>2500</v>
      </c>
    </row>
    <row r="73" customFormat="false" ht="15" hidden="false" customHeight="false" outlineLevel="0" collapsed="false">
      <c r="A73" s="9" t="s">
        <v>2501</v>
      </c>
      <c r="B73" s="10" t="s">
        <v>2502</v>
      </c>
      <c r="C73" s="9" t="s">
        <v>375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12.6344917680115</v>
      </c>
      <c r="I73" s="9" t="n">
        <f aca="false">I61+I72</f>
        <v>14.4811256666051</v>
      </c>
      <c r="Q73" s="12" t="s">
        <v>2503</v>
      </c>
    </row>
    <row r="74" customFormat="false" ht="15" hidden="false" customHeight="false" outlineLevel="0" collapsed="false">
      <c r="A74" s="9" t="s">
        <v>2504</v>
      </c>
      <c r="B74" s="10" t="s">
        <v>2505</v>
      </c>
      <c r="C74" s="9" t="s">
        <v>375</v>
      </c>
      <c r="D74" s="9" t="n">
        <f aca="false">SRC_OAI_089</f>
        <v>0.6</v>
      </c>
      <c r="Q74" s="12" t="s">
        <v>2506</v>
      </c>
    </row>
    <row r="75" customFormat="false" ht="15" hidden="false" customHeight="false" outlineLevel="0" collapsed="false">
      <c r="A75" s="9" t="s">
        <v>2507</v>
      </c>
      <c r="B75" s="10" t="s">
        <v>2508</v>
      </c>
      <c r="C75" s="9" t="s">
        <v>375</v>
      </c>
      <c r="D75" s="9" t="n">
        <f aca="false">SRC_OAI_090</f>
        <v>1.9</v>
      </c>
      <c r="Q75" s="2" t="s">
        <v>2509</v>
      </c>
    </row>
    <row r="76" customFormat="false" ht="15" hidden="false" customHeight="false" outlineLevel="0" collapsed="false">
      <c r="A76" s="9" t="s">
        <v>2510</v>
      </c>
      <c r="B76" s="10" t="s">
        <v>2511</v>
      </c>
      <c r="C76" s="9" t="s">
        <v>375</v>
      </c>
      <c r="D76" s="9" t="n">
        <f aca="false">D73-D64</f>
        <v>0.45</v>
      </c>
      <c r="Q76" s="2" t="s">
        <v>2512</v>
      </c>
    </row>
    <row r="77" customFormat="false" ht="15" hidden="false" customHeight="false" outlineLevel="0" collapsed="false">
      <c r="A77" s="9" t="s">
        <v>2513</v>
      </c>
      <c r="B77" s="10" t="s">
        <v>2514</v>
      </c>
      <c r="C77" s="9" t="s">
        <v>375</v>
      </c>
      <c r="D77" s="9" t="n">
        <f aca="false">D73-D75</f>
        <v>-0.2</v>
      </c>
      <c r="Q77" s="2" t="s">
        <v>2512</v>
      </c>
    </row>
    <row r="78" customFormat="false" ht="15" hidden="false" customHeight="false" outlineLevel="0" collapsed="false">
      <c r="A78" s="15" t="s">
        <v>2515</v>
      </c>
    </row>
    <row r="79" customFormat="false" ht="15" hidden="false" customHeight="false" outlineLevel="0" collapsed="false">
      <c r="A79" s="9" t="s">
        <v>2516</v>
      </c>
      <c r="B79" s="10" t="s">
        <v>2517</v>
      </c>
      <c r="C79" s="9" t="s">
        <v>375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2518</v>
      </c>
    </row>
    <row r="80" customFormat="false" ht="15" hidden="false" customHeight="false" outlineLevel="0" collapsed="false">
      <c r="A80" s="9" t="s">
        <v>2519</v>
      </c>
      <c r="B80" s="10" t="s">
        <v>2520</v>
      </c>
      <c r="C80" s="9" t="s">
        <v>375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2521</v>
      </c>
    </row>
    <row r="81" customFormat="false" ht="15" hidden="false" customHeight="false" outlineLevel="0" collapsed="false">
      <c r="A81" s="9" t="s">
        <v>2522</v>
      </c>
      <c r="B81" s="10" t="s">
        <v>2523</v>
      </c>
      <c r="C81" s="9" t="s">
        <v>375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2524</v>
      </c>
    </row>
    <row r="82" customFormat="false" ht="15" hidden="false" customHeight="false" outlineLevel="0" collapsed="false">
      <c r="A82" s="9" t="s">
        <v>2525</v>
      </c>
      <c r="B82" s="10" t="s">
        <v>2526</v>
      </c>
      <c r="C82" s="9" t="s">
        <v>375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2527</v>
      </c>
    </row>
    <row r="83" customFormat="false" ht="15" hidden="false" customHeight="false" outlineLevel="0" collapsed="false">
      <c r="A83" s="9" t="s">
        <v>2528</v>
      </c>
      <c r="B83" s="10" t="s">
        <v>2529</v>
      </c>
      <c r="C83" s="9" t="s">
        <v>375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2524</v>
      </c>
    </row>
    <row r="84" customFormat="false" ht="15" hidden="false" customHeight="false" outlineLevel="0" collapsed="false">
      <c r="A84" s="9" t="s">
        <v>2530</v>
      </c>
      <c r="B84" s="10" t="s">
        <v>2531</v>
      </c>
      <c r="C84" s="9" t="s">
        <v>375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2532</v>
      </c>
    </row>
    <row r="85" customFormat="false" ht="15" hidden="false" customHeight="false" outlineLevel="0" collapsed="false">
      <c r="A85" s="9" t="s">
        <v>2533</v>
      </c>
      <c r="B85" s="10" t="s">
        <v>2534</v>
      </c>
      <c r="C85" s="9" t="s">
        <v>375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2535</v>
      </c>
    </row>
    <row r="86" customFormat="false" ht="15" hidden="false" customHeight="false" outlineLevel="0" collapsed="false">
      <c r="A86" s="9" t="s">
        <v>2536</v>
      </c>
      <c r="B86" s="10" t="s">
        <v>2537</v>
      </c>
      <c r="C86" s="9" t="s">
        <v>375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2538</v>
      </c>
    </row>
    <row r="87" customFormat="false" ht="15" hidden="false" customHeight="false" outlineLevel="0" collapsed="false">
      <c r="A87" s="9" t="s">
        <v>2539</v>
      </c>
      <c r="B87" s="10" t="s">
        <v>2540</v>
      </c>
      <c r="C87" s="9" t="s">
        <v>375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2541</v>
      </c>
    </row>
    <row r="88" customFormat="false" ht="15" hidden="false" customHeight="false" outlineLevel="0" collapsed="false">
      <c r="A88" s="9" t="s">
        <v>2542</v>
      </c>
      <c r="B88" s="10" t="s">
        <v>2543</v>
      </c>
      <c r="C88" s="9" t="s">
        <v>375</v>
      </c>
      <c r="D88" s="9" t="n">
        <f aca="false">D64-D87</f>
        <v>0.0203968253968254</v>
      </c>
      <c r="Q88" s="2" t="s">
        <v>2512</v>
      </c>
    </row>
    <row r="89" customFormat="false" ht="15" hidden="false" customHeight="false" outlineLevel="0" collapsed="false">
      <c r="A89" s="15" t="s">
        <v>2544</v>
      </c>
    </row>
    <row r="90" customFormat="false" ht="15" hidden="false" customHeight="false" outlineLevel="0" collapsed="false">
      <c r="A90" s="9" t="s">
        <v>2545</v>
      </c>
      <c r="B90" s="10" t="s">
        <v>2546</v>
      </c>
      <c r="C90" s="9" t="s">
        <v>375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2547</v>
      </c>
    </row>
    <row r="91" customFormat="false" ht="15" hidden="false" customHeight="false" outlineLevel="0" collapsed="false">
      <c r="A91" s="9" t="s">
        <v>2548</v>
      </c>
      <c r="B91" s="10" t="s">
        <v>2549</v>
      </c>
      <c r="C91" s="9" t="s">
        <v>375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2550</v>
      </c>
    </row>
    <row r="92" customFormat="false" ht="15" hidden="false" customHeight="false" outlineLevel="0" collapsed="false">
      <c r="A92" s="9" t="s">
        <v>2551</v>
      </c>
      <c r="B92" s="10" t="s">
        <v>2552</v>
      </c>
      <c r="C92" s="9" t="s">
        <v>375</v>
      </c>
      <c r="D92" s="9" t="n">
        <f aca="false">IF(D$6&lt;=INP_002,D61,MIN(D91,D61))</f>
        <v>0.7</v>
      </c>
      <c r="E92" s="9" t="n">
        <f aca="false">IF(E$6&lt;=INP_002,E61,MIN(E91,E61))</f>
        <v>0.751496974435954</v>
      </c>
      <c r="F92" s="9" t="n">
        <f aca="false">IF(F$6&lt;=INP_002,F61,MIN(F91,F61))</f>
        <v>1.19397763279519</v>
      </c>
      <c r="G92" s="9" t="n">
        <f aca="false">IF(G$6&lt;=INP_002,G61,MIN(G91,G61))</f>
        <v>2.09136807093435</v>
      </c>
      <c r="H92" s="9" t="n">
        <f aca="false">IF(H$6&lt;=INP_002,H61,MIN(H91,H61))</f>
        <v>3.79502478178342</v>
      </c>
      <c r="I92" s="9" t="n">
        <f aca="false">IF(I$6&lt;=INP_002,I61,MIN(I91,I61))</f>
        <v>6.79461049391086</v>
      </c>
      <c r="Q92" s="2" t="s">
        <v>2553</v>
      </c>
    </row>
    <row r="93" customFormat="false" ht="15" hidden="false" customHeight="false" outlineLevel="0" collapsed="false">
      <c r="A93" s="9" t="s">
        <v>2554</v>
      </c>
      <c r="B93" s="10" t="s">
        <v>2555</v>
      </c>
      <c r="C93" s="10" t="s">
        <v>560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2556</v>
      </c>
    </row>
    <row r="94" customFormat="false" ht="15" hidden="false" customHeight="false" outlineLevel="0" collapsed="false">
      <c r="A94" s="9" t="s">
        <v>2557</v>
      </c>
      <c r="B94" s="10" t="s">
        <v>2558</v>
      </c>
      <c r="C94" s="10" t="s">
        <v>2334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2559</v>
      </c>
    </row>
    <row r="95" customFormat="false" ht="15" hidden="false" customHeight="false" outlineLevel="0" collapsed="false">
      <c r="A95" s="9" t="s">
        <v>2560</v>
      </c>
      <c r="B95" s="10" t="s">
        <v>2561</v>
      </c>
      <c r="C95" s="9" t="s">
        <v>375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2562</v>
      </c>
      <c r="B96" s="10" t="s">
        <v>2563</v>
      </c>
      <c r="C96" s="9" t="s">
        <v>375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2564</v>
      </c>
    </row>
    <row r="97" customFormat="false" ht="15" hidden="false" customHeight="false" outlineLevel="0" collapsed="false">
      <c r="A97" s="15" t="s">
        <v>2565</v>
      </c>
    </row>
    <row r="98" customFormat="false" ht="15" hidden="false" customHeight="false" outlineLevel="0" collapsed="false">
      <c r="A98" s="9" t="s">
        <v>2566</v>
      </c>
      <c r="B98" s="10" t="s">
        <v>2567</v>
      </c>
      <c r="C98" s="10" t="s">
        <v>560</v>
      </c>
      <c r="D98" s="9" t="n">
        <f aca="false">D15*$D$13+D18*$E$13+D19*$F$13+D20*$G$13+D21*$H$13+D22*$I$13</f>
        <v>0.268562212729104</v>
      </c>
      <c r="E98" s="9" t="n">
        <f aca="false">E15*$D$13+E18*$E$13+E19*$F$13+E20*$G$13+E21*$H$13+E22*$I$13</f>
        <v>0.441101791254825</v>
      </c>
      <c r="F98" s="9" t="n">
        <f aca="false">F15*$D$13+F18*$E$13+F19*$F$13+F20*$G$13+F21*$H$13+F22*$I$13</f>
        <v>0.641068247239217</v>
      </c>
      <c r="G98" s="9" t="n">
        <f aca="false">G15*$D$13+G18*$E$13+G19*$F$13+G20*$G$13+G21*$H$13+G22*$I$13</f>
        <v>0.790194585738508</v>
      </c>
      <c r="H98" s="9" t="n">
        <f aca="false">H15*$D$13+H18*$E$13+H19*$F$13+H20*$G$13+H21*$H$13+H22*$I$13</f>
        <v>0.874065516190203</v>
      </c>
      <c r="I98" s="9" t="n">
        <f aca="false">I15*$D$13+I18*$E$13+I19*$F$13+I20*$G$13+I21*$H$13+I22*$I$13</f>
        <v>0.931296560998397</v>
      </c>
      <c r="Q98" s="2"/>
    </row>
    <row r="99" customFormat="false" ht="15" hidden="false" customHeight="false" outlineLevel="0" collapsed="false">
      <c r="A99" s="9" t="s">
        <v>2568</v>
      </c>
      <c r="B99" s="10" t="s">
        <v>2569</v>
      </c>
      <c r="C99" s="9" t="s">
        <v>375</v>
      </c>
      <c r="D99" s="9" t="n">
        <f aca="false">D87*D98</f>
        <v>0.33022494935016</v>
      </c>
      <c r="E99" s="9" t="n">
        <f aca="false">E87*E98</f>
        <v>1.25017349742072</v>
      </c>
      <c r="F99" s="9" t="n">
        <f aca="false">F87*F98</f>
        <v>5.98550624591421</v>
      </c>
      <c r="G99" s="9" t="n">
        <f aca="false">G87*G98</f>
        <v>9.11751152150993</v>
      </c>
      <c r="H99" s="9" t="n">
        <f aca="false">H87*H98</f>
        <v>12.2704150766753</v>
      </c>
      <c r="I99" s="9" t="n">
        <f aca="false">I87*I98</f>
        <v>14.9846917029944</v>
      </c>
      <c r="Q99" s="2"/>
    </row>
    <row r="100" customFormat="false" ht="15" hidden="false" customHeight="false" outlineLevel="0" collapsed="false">
      <c r="A100" s="9" t="s">
        <v>2570</v>
      </c>
      <c r="B100" s="10" t="s">
        <v>2571</v>
      </c>
      <c r="C100" s="9" t="s">
        <v>375</v>
      </c>
      <c r="D100" s="9" t="n">
        <f aca="false">D92*D98</f>
        <v>0.187993548910373</v>
      </c>
      <c r="E100" s="9" t="n">
        <f aca="false">E92*E98</f>
        <v>0.331486661546281</v>
      </c>
      <c r="F100" s="9" t="n">
        <f aca="false">F92*F98</f>
        <v>0.765421148298841</v>
      </c>
      <c r="G100" s="9" t="n">
        <f aca="false">G92*G98</f>
        <v>1.65258772643871</v>
      </c>
      <c r="H100" s="9" t="n">
        <f aca="false">H92*H98</f>
        <v>3.31710029484414</v>
      </c>
      <c r="I100" s="9" t="n">
        <f aca="false">I92*I98</f>
        <v>6.3277973863028</v>
      </c>
      <c r="Q100" s="2"/>
    </row>
    <row r="101" customFormat="false" ht="15" hidden="false" customHeight="false" outlineLevel="0" collapsed="false">
      <c r="A101" s="9" t="s">
        <v>2572</v>
      </c>
      <c r="B101" s="10" t="s">
        <v>2573</v>
      </c>
      <c r="C101" s="9" t="s">
        <v>375</v>
      </c>
      <c r="D101" s="9" t="n">
        <f aca="false">D72*D98</f>
        <v>0.268562212729104</v>
      </c>
      <c r="E101" s="9" t="n">
        <f aca="false">E72*E98</f>
        <v>0.793669486132367</v>
      </c>
      <c r="F101" s="9" t="n">
        <f aca="false">F72*F98</f>
        <v>4.62153447302395</v>
      </c>
      <c r="G101" s="9" t="n">
        <f aca="false">G72*G98</f>
        <v>6.55317264292022</v>
      </c>
      <c r="H101" s="9" t="n">
        <f aca="false">H72*H98</f>
        <v>7.72627327416366</v>
      </c>
      <c r="I101" s="9" t="n">
        <f aca="false">I72*I98</f>
        <v>7.15842514639219</v>
      </c>
      <c r="Q101" s="2"/>
    </row>
    <row r="102" customFormat="false" ht="15" hidden="false" customHeight="false" outlineLevel="0" collapsed="false">
      <c r="A102" s="9" t="s">
        <v>2574</v>
      </c>
      <c r="B102" s="10" t="s">
        <v>2575</v>
      </c>
      <c r="C102" s="10" t="s">
        <v>560</v>
      </c>
      <c r="D102" s="9" t="n">
        <f aca="false">D38/D35</f>
        <v>0.256442164805305</v>
      </c>
      <c r="E102" s="9" t="n">
        <f aca="false">E38/E35</f>
        <v>0.421450672946581</v>
      </c>
      <c r="F102" s="9" t="n">
        <f aca="false">F38/F35</f>
        <v>0.625063994548748</v>
      </c>
      <c r="G102" s="9" t="n">
        <f aca="false">G38/G35</f>
        <v>0.780802383743435</v>
      </c>
      <c r="H102" s="9" t="n">
        <f aca="false">H38/H35</f>
        <v>0.869609926403248</v>
      </c>
      <c r="I102" s="9" t="n">
        <f aca="false">I38/I35</f>
        <v>0.933061498282709</v>
      </c>
      <c r="Q102" s="2" t="s">
        <v>2576</v>
      </c>
    </row>
    <row r="103" customFormat="false" ht="15" hidden="false" customHeight="false" outlineLevel="0" collapsed="false">
      <c r="A103" s="15" t="s">
        <v>2577</v>
      </c>
    </row>
    <row r="104" customFormat="false" ht="15" hidden="false" customHeight="false" outlineLevel="0" collapsed="false">
      <c r="A104" s="9" t="s">
        <v>2578</v>
      </c>
      <c r="B104" s="9" t="s">
        <v>2579</v>
      </c>
      <c r="C104" s="9" t="s">
        <v>1603</v>
      </c>
      <c r="D104" s="14" t="n">
        <f aca="false">Inputs!$F$222</f>
        <v>8</v>
      </c>
      <c r="Q104" s="12" t="s">
        <v>2580</v>
      </c>
    </row>
    <row r="105" customFormat="false" ht="15" hidden="false" customHeight="false" outlineLevel="0" collapsed="false">
      <c r="A105" s="9" t="s">
        <v>2581</v>
      </c>
      <c r="B105" s="9" t="s">
        <v>2582</v>
      </c>
      <c r="C105" s="10" t="s">
        <v>560</v>
      </c>
      <c r="D105" s="9" t="n">
        <f aca="false">D51/(D53/D104)</f>
        <v>0.111201028595266</v>
      </c>
      <c r="Q105" s="2"/>
    </row>
    <row r="106" customFormat="false" ht="15" hidden="false" customHeight="false" outlineLevel="0" collapsed="false">
      <c r="A106" s="9" t="s">
        <v>2583</v>
      </c>
      <c r="B106" s="9" t="s">
        <v>2584</v>
      </c>
      <c r="C106" s="9" t="s">
        <v>375</v>
      </c>
      <c r="D106" s="9" t="n">
        <f aca="false">D51/$D$105</f>
        <v>1.05</v>
      </c>
      <c r="E106" s="9" t="n">
        <f aca="false">E51/$D$105</f>
        <v>1.12724546165393</v>
      </c>
      <c r="F106" s="9" t="n">
        <f aca="false">F51/$D$105</f>
        <v>1.79096644919278</v>
      </c>
      <c r="G106" s="9" t="n">
        <f aca="false">G51/$D$105</f>
        <v>3.13705210640153</v>
      </c>
      <c r="H106" s="9" t="n">
        <f aca="false">H51/$D$105</f>
        <v>5.69253717267513</v>
      </c>
      <c r="I106" s="9" t="n">
        <f aca="false">I51/$D$105</f>
        <v>10.1919157408663</v>
      </c>
      <c r="Q106" s="12" t="s">
        <v>2585</v>
      </c>
    </row>
    <row r="107" customFormat="false" ht="15" hidden="false" customHeight="false" outlineLevel="0" collapsed="false">
      <c r="A107" s="9" t="s">
        <v>2586</v>
      </c>
      <c r="B107" s="9" t="s">
        <v>2587</v>
      </c>
      <c r="C107" s="9" t="s">
        <v>375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2588</v>
      </c>
    </row>
    <row r="108" customFormat="false" ht="15" hidden="false" customHeight="false" outlineLevel="0" collapsed="false">
      <c r="A108" s="9" t="s">
        <v>2589</v>
      </c>
      <c r="B108" s="9" t="s">
        <v>2590</v>
      </c>
      <c r="C108" s="10" t="s">
        <v>560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2591</v>
      </c>
      <c r="B109" s="9" t="s">
        <v>2592</v>
      </c>
      <c r="C109" s="9" t="s">
        <v>1603</v>
      </c>
      <c r="D109" s="14" t="n">
        <f aca="false">Inputs!$E$222</f>
        <v>12</v>
      </c>
      <c r="Q109" s="12" t="s">
        <v>2593</v>
      </c>
    </row>
    <row r="110" customFormat="false" ht="15" hidden="false" customHeight="false" outlineLevel="0" collapsed="false">
      <c r="A110" s="9" t="s">
        <v>2594</v>
      </c>
      <c r="B110" s="9" t="s">
        <v>2595</v>
      </c>
      <c r="C110" s="10" t="s">
        <v>560</v>
      </c>
      <c r="D110" s="9" t="n">
        <f aca="false">D51/(D53/D109)</f>
        <v>0.166801542892899</v>
      </c>
      <c r="Q110" s="2"/>
    </row>
    <row r="111" customFormat="false" ht="15" hidden="false" customHeight="false" outlineLevel="0" collapsed="false">
      <c r="A111" s="9" t="s">
        <v>2596</v>
      </c>
      <c r="B111" s="9" t="s">
        <v>2597</v>
      </c>
      <c r="C111" s="9" t="s">
        <v>375</v>
      </c>
      <c r="D111" s="9" t="n">
        <f aca="false">D51/$D$110</f>
        <v>0.7</v>
      </c>
      <c r="E111" s="9" t="n">
        <f aca="false">E51/$D$110</f>
        <v>0.751496974435954</v>
      </c>
      <c r="F111" s="9" t="n">
        <f aca="false">F51/$D$110</f>
        <v>1.19397763279519</v>
      </c>
      <c r="G111" s="9" t="n">
        <f aca="false">G51/$D$110</f>
        <v>2.09136807093435</v>
      </c>
      <c r="H111" s="9" t="n">
        <f aca="false">H51/$D$110</f>
        <v>3.79502478178342</v>
      </c>
      <c r="I111" s="9" t="n">
        <f aca="false">I51/$D$110</f>
        <v>6.79461049391086</v>
      </c>
      <c r="Q111" s="12" t="s">
        <v>2585</v>
      </c>
    </row>
    <row r="112" customFormat="false" ht="15" hidden="false" customHeight="false" outlineLevel="0" collapsed="false">
      <c r="A112" s="9" t="s">
        <v>2598</v>
      </c>
      <c r="B112" s="9" t="s">
        <v>2599</v>
      </c>
      <c r="C112" s="9" t="s">
        <v>375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2588</v>
      </c>
    </row>
    <row r="113" customFormat="false" ht="15" hidden="false" customHeight="false" outlineLevel="0" collapsed="false">
      <c r="A113" s="9" t="s">
        <v>2600</v>
      </c>
      <c r="B113" s="9" t="s">
        <v>2601</v>
      </c>
      <c r="C113" s="10" t="s">
        <v>560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2602</v>
      </c>
      <c r="B114" s="9" t="s">
        <v>2603</v>
      </c>
      <c r="C114" s="9" t="s">
        <v>1603</v>
      </c>
      <c r="D114" s="14" t="n">
        <f aca="false">Inputs!$G$222</f>
        <v>20</v>
      </c>
      <c r="Q114" s="12" t="s">
        <v>2604</v>
      </c>
    </row>
    <row r="115" customFormat="false" ht="15" hidden="false" customHeight="false" outlineLevel="0" collapsed="false">
      <c r="A115" s="9" t="s">
        <v>2605</v>
      </c>
      <c r="B115" s="9" t="s">
        <v>2606</v>
      </c>
      <c r="C115" s="10" t="s">
        <v>560</v>
      </c>
      <c r="D115" s="9" t="n">
        <f aca="false">D51/(D53/D114)</f>
        <v>0.278002571488165</v>
      </c>
      <c r="Q115" s="2"/>
    </row>
    <row r="116" customFormat="false" ht="15" hidden="false" customHeight="false" outlineLevel="0" collapsed="false">
      <c r="A116" s="9" t="s">
        <v>2607</v>
      </c>
      <c r="B116" s="9" t="s">
        <v>2608</v>
      </c>
      <c r="C116" s="9" t="s">
        <v>375</v>
      </c>
      <c r="D116" s="9" t="n">
        <f aca="false">D51/$D$115</f>
        <v>0.42</v>
      </c>
      <c r="E116" s="9" t="n">
        <f aca="false">E51/$D$115</f>
        <v>0.450898184661572</v>
      </c>
      <c r="F116" s="9" t="n">
        <f aca="false">F51/$D$115</f>
        <v>0.716386579677114</v>
      </c>
      <c r="G116" s="9" t="n">
        <f aca="false">G51/$D$115</f>
        <v>1.25482084256061</v>
      </c>
      <c r="H116" s="9" t="n">
        <f aca="false">H51/$D$115</f>
        <v>2.27701486907005</v>
      </c>
      <c r="I116" s="9" t="n">
        <f aca="false">I51/$D$115</f>
        <v>4.07676629634652</v>
      </c>
      <c r="Q116" s="12" t="s">
        <v>2585</v>
      </c>
    </row>
    <row r="117" customFormat="false" ht="15" hidden="false" customHeight="false" outlineLevel="0" collapsed="false">
      <c r="A117" s="9" t="s">
        <v>2609</v>
      </c>
      <c r="B117" s="9" t="s">
        <v>2610</v>
      </c>
      <c r="C117" s="9" t="s">
        <v>375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2588</v>
      </c>
    </row>
    <row r="118" customFormat="false" ht="15" hidden="false" customHeight="false" outlineLevel="0" collapsed="false">
      <c r="A118" s="9" t="s">
        <v>2611</v>
      </c>
      <c r="B118" s="9" t="s">
        <v>2612</v>
      </c>
      <c r="C118" s="10" t="s">
        <v>560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2613</v>
      </c>
      <c r="B119" s="9" t="s">
        <v>2614</v>
      </c>
      <c r="C119" s="10" t="s">
        <v>560</v>
      </c>
      <c r="D119" s="9" t="n">
        <f aca="false">$D$57</f>
        <v>0.166801542892899</v>
      </c>
      <c r="E119" s="9" t="n">
        <f aca="false">$D$57</f>
        <v>0.166801542892899</v>
      </c>
      <c r="F119" s="9" t="n">
        <f aca="false">$D$57</f>
        <v>0.166801542892899</v>
      </c>
      <c r="G119" s="9" t="n">
        <f aca="false">$D$57</f>
        <v>0.166801542892899</v>
      </c>
      <c r="H119" s="9" t="n">
        <f aca="false">$D$57</f>
        <v>0.166801542892899</v>
      </c>
      <c r="I119" s="9" t="n">
        <f aca="false">$D$57</f>
        <v>0.166801542892899</v>
      </c>
      <c r="Q119" s="2"/>
    </row>
    <row r="120" customFormat="false" ht="15" hidden="false" customHeight="false" outlineLevel="0" collapsed="false">
      <c r="A120" s="9" t="s">
        <v>2615</v>
      </c>
      <c r="B120" s="9" t="s">
        <v>2616</v>
      </c>
      <c r="C120" s="9" t="s">
        <v>375</v>
      </c>
      <c r="D120" s="9" t="n">
        <f aca="false">D51/D119</f>
        <v>0.7</v>
      </c>
      <c r="E120" s="9" t="n">
        <f aca="false">E51/E119</f>
        <v>0.751496974435954</v>
      </c>
      <c r="F120" s="9" t="n">
        <f aca="false">F51/F119</f>
        <v>1.19397763279519</v>
      </c>
      <c r="G120" s="9" t="n">
        <f aca="false">G51/G119</f>
        <v>2.09136807093435</v>
      </c>
      <c r="H120" s="9" t="n">
        <f aca="false">H51/H119</f>
        <v>3.79502478178342</v>
      </c>
      <c r="I120" s="9" t="n">
        <f aca="false">I51/I119</f>
        <v>6.79461049391086</v>
      </c>
      <c r="Q120" s="2"/>
    </row>
    <row r="121" customFormat="false" ht="15" hidden="false" customHeight="false" outlineLevel="0" collapsed="false">
      <c r="A121" s="9" t="s">
        <v>2617</v>
      </c>
      <c r="B121" s="9" t="s">
        <v>2618</v>
      </c>
      <c r="C121" s="10" t="s">
        <v>560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2619</v>
      </c>
    </row>
    <row r="122" customFormat="false" ht="15" hidden="false" customHeight="false" outlineLevel="0" collapsed="false">
      <c r="A122" s="9" t="s">
        <v>2620</v>
      </c>
      <c r="B122" s="9" t="s">
        <v>2621</v>
      </c>
      <c r="C122" s="10" t="s">
        <v>560</v>
      </c>
      <c r="D122" s="9" t="n">
        <f aca="false">$D$57+(INP_259-$D$57)*MIN(INP_260-INP_002,D$6-INP_002)/(INP_260-INP_002)</f>
        <v>0.166801542892899</v>
      </c>
      <c r="E122" s="9" t="n">
        <f aca="false">$D$57+(INP_259-$D$57)*MIN(INP_260-INP_002,E$6-INP_002)/(INP_260-INP_002)</f>
        <v>0.333441234314319</v>
      </c>
      <c r="F122" s="9" t="n">
        <f aca="false">$D$57+(INP_259-$D$57)*MIN(INP_260-INP_002,F$6-INP_002)/(INP_260-INP_002)</f>
        <v>0.500080925735739</v>
      </c>
      <c r="G122" s="9" t="n">
        <f aca="false">$D$57+(INP_259-$D$57)*MIN(INP_260-INP_002,G$6-INP_002)/(INP_260-INP_002)</f>
        <v>0.66672061715716</v>
      </c>
      <c r="H122" s="9" t="n">
        <f aca="false">$D$57+(INP_259-$D$57)*MIN(INP_260-INP_002,H$6-INP_002)/(INP_260-INP_002)</f>
        <v>0.83336030857858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2622</v>
      </c>
      <c r="B123" s="9" t="s">
        <v>2623</v>
      </c>
      <c r="C123" s="9" t="s">
        <v>375</v>
      </c>
      <c r="D123" s="9" t="n">
        <f aca="false">D51/D122</f>
        <v>0.7</v>
      </c>
      <c r="E123" s="9" t="n">
        <f aca="false">E51/E122</f>
        <v>0.375930874515358</v>
      </c>
      <c r="F123" s="9" t="n">
        <f aca="false">F51/F122</f>
        <v>0.39825016528443</v>
      </c>
      <c r="G123" s="9" t="n">
        <f aca="false">G51/G122</f>
        <v>0.523222789294014</v>
      </c>
      <c r="H123" s="9" t="n">
        <f aca="false">H51/H122</f>
        <v>0.759594598401219</v>
      </c>
      <c r="I123" s="9" t="n">
        <f aca="false">I51/I122</f>
        <v>1.13335151374061</v>
      </c>
      <c r="Q123" s="2"/>
    </row>
    <row r="124" customFormat="false" ht="15" hidden="false" customHeight="false" outlineLevel="0" collapsed="false">
      <c r="A124" s="9" t="s">
        <v>2624</v>
      </c>
      <c r="B124" s="9" t="s">
        <v>2625</v>
      </c>
      <c r="C124" s="10" t="s">
        <v>560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2619</v>
      </c>
    </row>
    <row r="125" customFormat="false" ht="15" hidden="false" customHeight="false" outlineLevel="0" collapsed="false">
      <c r="A125" s="9" t="s">
        <v>2626</v>
      </c>
      <c r="B125" s="9" t="s">
        <v>2627</v>
      </c>
      <c r="C125" s="10" t="s">
        <v>120</v>
      </c>
      <c r="D125" s="14" t="n">
        <f aca="false">Inputs!$F$249</f>
        <v>0</v>
      </c>
      <c r="Q125" s="12" t="s">
        <v>2628</v>
      </c>
    </row>
    <row r="126" customFormat="false" ht="15" hidden="false" customHeight="false" outlineLevel="0" collapsed="false">
      <c r="A126" s="9" t="s">
        <v>2629</v>
      </c>
      <c r="B126" s="9" t="s">
        <v>2630</v>
      </c>
      <c r="C126" s="9" t="s">
        <v>375</v>
      </c>
      <c r="D126" s="14" t="n">
        <f aca="false">D47/(D38+D16*(Inputs!$F$249-D17)*(D34-D33)*(D$6&gt;INP_002))+D48/(D45+D16*(Inputs!$F$249-D17)*(D41-D40)*(D$6&gt;INP_002))</f>
        <v>0.116761080025029</v>
      </c>
      <c r="E126" s="14" t="n">
        <f aca="false">E47/(E38+E16*(Inputs!$F$249-E17)*(E34-E33)*(E$6&gt;INP_002))+E48/(E45+E16*(Inputs!$F$249-E17)*(E41-E40)*(E$6&gt;INP_002))</f>
        <v>0.135483447725705</v>
      </c>
      <c r="F126" s="14" t="n">
        <f aca="false">F47/(F38+F16*(Inputs!$F$249-F17)*(F34-F33)*(F$6&gt;INP_002))+F48/(F45+F16*(Inputs!$F$249-F17)*(F41-F40)*(F$6&gt;INP_002))</f>
        <v>0.207623741022558</v>
      </c>
      <c r="G126" s="14" t="n">
        <f aca="false">G47/(G38+G16*(Inputs!$F$249-G17)*(G34-G33)*(G$6&gt;INP_002))+G48/(G45+G16*(Inputs!$F$249-G17)*(G41-G40)*(G$6&gt;INP_002))</f>
        <v>0.356525586244759</v>
      </c>
      <c r="H126" s="14" t="n">
        <f aca="false">H47/(H38+H16*(Inputs!$F$249-H17)*(H34-H33)*(H$6&gt;INP_002))+H48/(H45+H16*(Inputs!$F$249-H17)*(H41-H40)*(H$6&gt;INP_002))</f>
        <v>0.641223609494078</v>
      </c>
      <c r="I126" s="14" t="n">
        <f aca="false">I47/(I38+I16*(Inputs!$F$249-I17)*(I34-I33)*(I$6&gt;INP_002))+I48/(I45+I16*(Inputs!$F$249-I17)*(I41-I40)*(I$6&gt;INP_002))</f>
        <v>1.14011479295681</v>
      </c>
      <c r="Q126" s="2" t="s">
        <v>2631</v>
      </c>
    </row>
    <row r="127" customFormat="false" ht="15" hidden="false" customHeight="false" outlineLevel="0" collapsed="false">
      <c r="A127" s="9" t="s">
        <v>2632</v>
      </c>
      <c r="B127" s="9" t="s">
        <v>2633</v>
      </c>
      <c r="C127" s="9" t="s">
        <v>375</v>
      </c>
      <c r="D127" s="9" t="n">
        <f aca="false">D126/($D$126/$D$55)</f>
        <v>0.7</v>
      </c>
      <c r="E127" s="9" t="n">
        <f aca="false">E126/($D$126/$D$55)</f>
        <v>0.812243372429095</v>
      </c>
      <c r="F127" s="9" t="n">
        <f aca="false">F126/($D$126/$D$55)</f>
        <v>1.24473513506929</v>
      </c>
      <c r="G127" s="9" t="n">
        <f aca="false">G126/($D$126/$D$55)</f>
        <v>2.13742379153938</v>
      </c>
      <c r="H127" s="9" t="n">
        <f aca="false">H126/($D$126/$D$55)</f>
        <v>3.84423068499911</v>
      </c>
      <c r="I127" s="9" t="n">
        <f aca="false">I126/($D$126/$D$55)</f>
        <v>6.83515735636126</v>
      </c>
      <c r="Q127" s="12" t="s">
        <v>2634</v>
      </c>
    </row>
    <row r="128" customFormat="false" ht="15" hidden="false" customHeight="false" outlineLevel="0" collapsed="false">
      <c r="A128" s="9" t="s">
        <v>2635</v>
      </c>
      <c r="B128" s="9" t="s">
        <v>2636</v>
      </c>
      <c r="C128" s="10" t="s">
        <v>560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2637</v>
      </c>
      <c r="B129" s="9" t="s">
        <v>2638</v>
      </c>
      <c r="C129" s="10" t="s">
        <v>120</v>
      </c>
      <c r="D129" s="14" t="n">
        <f aca="false">Inputs!$E$249</f>
        <v>0.5</v>
      </c>
      <c r="Q129" s="12" t="s">
        <v>2639</v>
      </c>
    </row>
    <row r="130" customFormat="false" ht="15" hidden="false" customHeight="false" outlineLevel="0" collapsed="false">
      <c r="A130" s="9" t="s">
        <v>2640</v>
      </c>
      <c r="B130" s="9" t="s">
        <v>2641</v>
      </c>
      <c r="C130" s="9" t="s">
        <v>375</v>
      </c>
      <c r="D130" s="14" t="n">
        <f aca="false">D47/(D38+D16*(Inputs!$E$249-D17)*(D34-D33)*(D$6&gt;INP_002))+D48/(D45+D16*(Inputs!$E$249-D17)*(D41-D40)*(D$6&gt;INP_002))</f>
        <v>0.116761080025029</v>
      </c>
      <c r="E130" s="14" t="n">
        <f aca="false">E47/(E38+E16*(Inputs!$E$249-E17)*(E34-E33)*(E$6&gt;INP_002))+E48/(E45+E16*(Inputs!$E$249-E17)*(E41-E40)*(E$6&gt;INP_002))</f>
        <v>0.125350854815263</v>
      </c>
      <c r="F130" s="14" t="n">
        <f aca="false">F47/(F38+F16*(Inputs!$E$249-F17)*(F34-F33)*(F$6&gt;INP_002))+F48/(F45+F16*(Inputs!$E$249-F17)*(F41-F40)*(F$6&gt;INP_002))</f>
        <v>0.199157311329849</v>
      </c>
      <c r="G130" s="14" t="n">
        <f aca="false">G47/(G38+G16*(Inputs!$E$249-G17)*(G34-G33)*(G$6&gt;INP_002))+G48/(G45+G16*(Inputs!$E$249-G17)*(G41-G40)*(G$6&gt;INP_002))</f>
        <v>0.348843420988796</v>
      </c>
      <c r="H130" s="14" t="n">
        <f aca="false">H47/(H38+H16*(Inputs!$E$249-H17)*(H34-H33)*(H$6&gt;INP_002))+H48/(H45+H16*(Inputs!$E$249-H17)*(H41-H40)*(H$6&gt;INP_002))</f>
        <v>0.633015988918262</v>
      </c>
      <c r="I130" s="14" t="n">
        <f aca="false">I47/(I38+I16*(Inputs!$E$249-I17)*(I34-I33)*(I$6&gt;INP_002))+I48/(I45+I16*(Inputs!$E$249-I17)*(I41-I40)*(I$6&gt;INP_002))</f>
        <v>1.13335151374061</v>
      </c>
      <c r="Q130" s="2" t="s">
        <v>2631</v>
      </c>
    </row>
    <row r="131" customFormat="false" ht="15" hidden="false" customHeight="false" outlineLevel="0" collapsed="false">
      <c r="A131" s="9" t="s">
        <v>2642</v>
      </c>
      <c r="B131" s="9" t="s">
        <v>2643</v>
      </c>
      <c r="C131" s="9" t="s">
        <v>375</v>
      </c>
      <c r="D131" s="9" t="n">
        <f aca="false">D130/($D$130/$D$55)</f>
        <v>0.7</v>
      </c>
      <c r="E131" s="9" t="n">
        <f aca="false">E130/($D$130/$D$55)</f>
        <v>0.751496974435954</v>
      </c>
      <c r="F131" s="9" t="n">
        <f aca="false">F130/($D$130/$D$55)</f>
        <v>1.19397763279519</v>
      </c>
      <c r="G131" s="9" t="n">
        <f aca="false">G130/($D$130/$D$55)</f>
        <v>2.09136807093435</v>
      </c>
      <c r="H131" s="9" t="n">
        <f aca="false">H130/($D$130/$D$55)</f>
        <v>3.79502478178342</v>
      </c>
      <c r="I131" s="9" t="n">
        <f aca="false">I130/($D$130/$D$55)</f>
        <v>6.79461049391086</v>
      </c>
      <c r="Q131" s="12" t="s">
        <v>2634</v>
      </c>
    </row>
    <row r="132" customFormat="false" ht="15" hidden="false" customHeight="false" outlineLevel="0" collapsed="false">
      <c r="A132" s="9" t="s">
        <v>2644</v>
      </c>
      <c r="B132" s="9" t="s">
        <v>2645</v>
      </c>
      <c r="C132" s="10" t="s">
        <v>560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2646</v>
      </c>
      <c r="B133" s="9" t="s">
        <v>2647</v>
      </c>
      <c r="C133" s="10" t="s">
        <v>120</v>
      </c>
      <c r="D133" s="14" t="n">
        <f aca="false">Inputs!$G$249</f>
        <v>0.8</v>
      </c>
      <c r="Q133" s="12" t="s">
        <v>2648</v>
      </c>
    </row>
    <row r="134" customFormat="false" ht="15" hidden="false" customHeight="false" outlineLevel="0" collapsed="false">
      <c r="A134" s="9" t="s">
        <v>2649</v>
      </c>
      <c r="B134" s="9" t="s">
        <v>2650</v>
      </c>
      <c r="C134" s="9" t="s">
        <v>375</v>
      </c>
      <c r="D134" s="14" t="n">
        <f aca="false">D47/(D38+D16*(Inputs!$G$249-D17)*(D34-D33)*(D$6&gt;INP_002))+D48/(D45+D16*(Inputs!$G$249-D17)*(D41-D40)*(D$6&gt;INP_002))</f>
        <v>0.116761080025029</v>
      </c>
      <c r="E134" s="14" t="n">
        <f aca="false">E47/(E38+E16*(Inputs!$G$249-E17)*(E34-E33)*(E$6&gt;INP_002))+E48/(E45+E16*(Inputs!$G$249-E17)*(E41-E40)*(E$6&gt;INP_002))</f>
        <v>0.119970357293945</v>
      </c>
      <c r="F134" s="14" t="n">
        <f aca="false">F47/(F38+F16*(Inputs!$G$249-F17)*(F34-F33)*(F$6&gt;INP_002))+F48/(F45+F16*(Inputs!$G$249-F17)*(F41-F40)*(F$6&gt;INP_002))</f>
        <v>0.194402358158424</v>
      </c>
      <c r="G134" s="14" t="n">
        <f aca="false">G47/(G38+G16*(Inputs!$G$249-G17)*(G34-G33)*(G$6&gt;INP_002))+G48/(G45+G16*(Inputs!$G$249-G17)*(G41-G40)*(G$6&gt;INP_002))</f>
        <v>0.344391604650657</v>
      </c>
      <c r="H134" s="14" t="n">
        <f aca="false">H47/(H38+H16*(Inputs!$G$249-H17)*(H34-H33)*(H$6&gt;INP_002))+H48/(H45+H16*(Inputs!$G$249-H17)*(H41-H40)*(H$6&gt;INP_002))</f>
        <v>0.628191815559848</v>
      </c>
      <c r="I134" s="14" t="n">
        <f aca="false">I47/(I38+I16*(Inputs!$G$249-I17)*(I34-I33)*(I$6&gt;INP_002))+I48/(I45+I16*(Inputs!$G$249-I17)*(I41-I40)*(I$6&gt;INP_002))</f>
        <v>1.12933202216726</v>
      </c>
      <c r="Q134" s="2" t="s">
        <v>2631</v>
      </c>
    </row>
    <row r="135" customFormat="false" ht="15" hidden="false" customHeight="false" outlineLevel="0" collapsed="false">
      <c r="A135" s="9" t="s">
        <v>2651</v>
      </c>
      <c r="B135" s="9" t="s">
        <v>2652</v>
      </c>
      <c r="C135" s="9" t="s">
        <v>375</v>
      </c>
      <c r="D135" s="9" t="n">
        <f aca="false">D134/($D$134/$D$55)</f>
        <v>0.7</v>
      </c>
      <c r="E135" s="9" t="n">
        <f aca="false">E134/($D$134/$D$55)</f>
        <v>0.719240093426331</v>
      </c>
      <c r="F135" s="9" t="n">
        <f aca="false">F134/($D$134/$D$55)</f>
        <v>1.16547098298274</v>
      </c>
      <c r="G135" s="9" t="n">
        <f aca="false">G134/($D$134/$D$55)</f>
        <v>2.06467877141752</v>
      </c>
      <c r="H135" s="9" t="n">
        <f aca="false">H134/($D$134/$D$55)</f>
        <v>3.76610314667893</v>
      </c>
      <c r="I135" s="9" t="n">
        <f aca="false">I134/($D$134/$D$55)</f>
        <v>6.77051304550816</v>
      </c>
      <c r="Q135" s="12" t="s">
        <v>2634</v>
      </c>
    </row>
    <row r="136" customFormat="false" ht="15" hidden="false" customHeight="false" outlineLevel="0" collapsed="false">
      <c r="A136" s="9" t="s">
        <v>2653</v>
      </c>
      <c r="B136" s="9" t="s">
        <v>2654</v>
      </c>
      <c r="C136" s="10" t="s">
        <v>560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2655</v>
      </c>
      <c r="B137" s="9" t="s">
        <v>2656</v>
      </c>
      <c r="C137" s="10" t="s">
        <v>560</v>
      </c>
      <c r="D137" s="14" t="n">
        <f aca="false">Inputs!$F$197</f>
        <v>0.4</v>
      </c>
      <c r="Q137" s="12" t="s">
        <v>2628</v>
      </c>
    </row>
    <row r="138" customFormat="false" ht="15" hidden="false" customHeight="false" outlineLevel="0" collapsed="false">
      <c r="A138" s="9" t="s">
        <v>2657</v>
      </c>
      <c r="B138" s="9" t="s">
        <v>2658</v>
      </c>
      <c r="C138" s="9" t="s">
        <v>375</v>
      </c>
      <c r="D138" s="14" t="n">
        <f aca="false">D47/(D38+D22*(Inputs!$F$197-INP_204)*D35)+D48/(D45+D22*(Inputs!$F$197-INP_204)*D42)</f>
        <v>0.116761080025029</v>
      </c>
      <c r="E138" s="14" t="n">
        <f aca="false">E47/(E38+E22*(Inputs!$F$197-INP_204)*E35)+E48/(E45+E22*(Inputs!$F$197-INP_204)*E42)</f>
        <v>0.128386536709732</v>
      </c>
      <c r="F138" s="14" t="n">
        <f aca="false">F47/(F38+F22*(Inputs!$F$197-INP_204)*F35)+F48/(F45+F22*(Inputs!$F$197-INP_204)*F42)</f>
        <v>0.205730622746303</v>
      </c>
      <c r="G138" s="14" t="n">
        <f aca="false">G47/(G38+G22*(Inputs!$F$197-INP_204)*G35)+G48/(G45+G22*(Inputs!$F$197-INP_204)*G42)</f>
        <v>0.36277522323368</v>
      </c>
      <c r="H138" s="14" t="n">
        <f aca="false">H47/(H38+H22*(Inputs!$F$197-INP_204)*H35)+H48/(H45+H22*(Inputs!$F$197-INP_204)*H42)</f>
        <v>0.663532265212208</v>
      </c>
      <c r="I138" s="14" t="n">
        <f aca="false">I47/(I38+I22*(Inputs!$F$197-INP_204)*I35)+I48/(I45+I22*(Inputs!$F$197-INP_204)*I42)</f>
        <v>1.1975255660812</v>
      </c>
      <c r="Q138" s="2" t="s">
        <v>2631</v>
      </c>
    </row>
    <row r="139" customFormat="false" ht="15" hidden="false" customHeight="false" outlineLevel="0" collapsed="false">
      <c r="A139" s="9" t="s">
        <v>2659</v>
      </c>
      <c r="B139" s="9" t="s">
        <v>2660</v>
      </c>
      <c r="C139" s="9" t="s">
        <v>375</v>
      </c>
      <c r="D139" s="9" t="n">
        <f aca="false">D138/($D$138/$D$55)</f>
        <v>0.7</v>
      </c>
      <c r="E139" s="9" t="n">
        <f aca="false">E138/($D$138/$D$55)</f>
        <v>0.76969633783404</v>
      </c>
      <c r="F139" s="9" t="n">
        <f aca="false">F138/($D$138/$D$55)</f>
        <v>1.23338561009834</v>
      </c>
      <c r="G139" s="9" t="n">
        <f aca="false">G138/($D$138/$D$55)</f>
        <v>2.174891292622</v>
      </c>
      <c r="H139" s="9" t="n">
        <f aca="false">H138/($D$138/$D$55)</f>
        <v>3.97797438623366</v>
      </c>
      <c r="I139" s="9" t="n">
        <f aca="false">I138/($D$138/$D$55)</f>
        <v>7.17934345997098</v>
      </c>
      <c r="Q139" s="12" t="s">
        <v>2634</v>
      </c>
    </row>
    <row r="140" customFormat="false" ht="15" hidden="false" customHeight="false" outlineLevel="0" collapsed="false">
      <c r="A140" s="9" t="s">
        <v>2661</v>
      </c>
      <c r="B140" s="9" t="s">
        <v>2662</v>
      </c>
      <c r="C140" s="10" t="s">
        <v>560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2663</v>
      </c>
      <c r="B141" s="9" t="s">
        <v>2664</v>
      </c>
      <c r="C141" s="10" t="s">
        <v>560</v>
      </c>
      <c r="D141" s="14" t="n">
        <f aca="false">D98+D22*(Inputs!$F$197-INP_204)</f>
        <v>0.268562212729104</v>
      </c>
      <c r="E141" s="14" t="n">
        <f aca="false">E98+E22*(Inputs!$F$197-INP_204)</f>
        <v>0.431101791254825</v>
      </c>
      <c r="F141" s="14" t="n">
        <f aca="false">F98+F22*(Inputs!$F$197-INP_204)</f>
        <v>0.621068247239217</v>
      </c>
      <c r="G141" s="14" t="n">
        <f aca="false">G98+G22*(Inputs!$F$197-INP_204)</f>
        <v>0.760194585738508</v>
      </c>
      <c r="H141" s="14" t="n">
        <f aca="false">H98+H22*(Inputs!$F$197-INP_204)</f>
        <v>0.834065516190203</v>
      </c>
      <c r="I141" s="14" t="n">
        <f aca="false">I98+I22*(Inputs!$F$197-INP_204)</f>
        <v>0.881296560998397</v>
      </c>
      <c r="Q141" s="2"/>
    </row>
    <row r="142" customFormat="false" ht="15" hidden="false" customHeight="false" outlineLevel="0" collapsed="false">
      <c r="A142" s="9" t="s">
        <v>2665</v>
      </c>
      <c r="B142" s="9" t="s">
        <v>2666</v>
      </c>
      <c r="C142" s="10" t="s">
        <v>560</v>
      </c>
      <c r="D142" s="14" t="n">
        <f aca="false">Inputs!$E$197</f>
        <v>0.6</v>
      </c>
      <c r="Q142" s="12" t="s">
        <v>2639</v>
      </c>
    </row>
    <row r="143" customFormat="false" ht="15" hidden="false" customHeight="false" outlineLevel="0" collapsed="false">
      <c r="A143" s="9" t="s">
        <v>2667</v>
      </c>
      <c r="B143" s="9" t="s">
        <v>2668</v>
      </c>
      <c r="C143" s="9" t="s">
        <v>375</v>
      </c>
      <c r="D143" s="14" t="n">
        <f aca="false">D47/(D38+D22*(Inputs!$E$197-INP_204)*D35)+D48/(D45+D22*(Inputs!$E$197-INP_204)*D42)</f>
        <v>0.116761080025029</v>
      </c>
      <c r="E143" s="14" t="n">
        <f aca="false">E47/(E38+E22*(Inputs!$E$197-INP_204)*E35)+E48/(E45+E22*(Inputs!$E$197-INP_204)*E42)</f>
        <v>0.125350854815263</v>
      </c>
      <c r="F143" s="14" t="n">
        <f aca="false">F47/(F38+F22*(Inputs!$E$197-INP_204)*F35)+F48/(F45+F22*(Inputs!$E$197-INP_204)*F42)</f>
        <v>0.199157311329849</v>
      </c>
      <c r="G143" s="14" t="n">
        <f aca="false">G47/(G38+G22*(Inputs!$E$197-INP_204)*G35)+G48/(G45+G22*(Inputs!$E$197-INP_204)*G42)</f>
        <v>0.348843420988796</v>
      </c>
      <c r="H143" s="14" t="n">
        <f aca="false">H47/(H38+H22*(Inputs!$E$197-INP_204)*H35)+H48/(H45+H22*(Inputs!$E$197-INP_204)*H42)</f>
        <v>0.633015988918262</v>
      </c>
      <c r="I143" s="14" t="n">
        <f aca="false">I47/(I38+I22*(Inputs!$E$197-INP_204)*I35)+I48/(I45+I22*(Inputs!$E$197-INP_204)*I42)</f>
        <v>1.13335151374061</v>
      </c>
      <c r="Q143" s="2" t="s">
        <v>2631</v>
      </c>
    </row>
    <row r="144" customFormat="false" ht="15" hidden="false" customHeight="false" outlineLevel="0" collapsed="false">
      <c r="A144" s="9" t="s">
        <v>2669</v>
      </c>
      <c r="B144" s="9" t="s">
        <v>2670</v>
      </c>
      <c r="C144" s="9" t="s">
        <v>375</v>
      </c>
      <c r="D144" s="9" t="n">
        <f aca="false">D143/($D$143/$D$55)</f>
        <v>0.7</v>
      </c>
      <c r="E144" s="9" t="n">
        <f aca="false">E143/($D$143/$D$55)</f>
        <v>0.751496974435954</v>
      </c>
      <c r="F144" s="9" t="n">
        <f aca="false">F143/($D$143/$D$55)</f>
        <v>1.19397763279519</v>
      </c>
      <c r="G144" s="9" t="n">
        <f aca="false">G143/($D$143/$D$55)</f>
        <v>2.09136807093435</v>
      </c>
      <c r="H144" s="9" t="n">
        <f aca="false">H143/($D$143/$D$55)</f>
        <v>3.79502478178342</v>
      </c>
      <c r="I144" s="9" t="n">
        <f aca="false">I143/($D$143/$D$55)</f>
        <v>6.79461049391086</v>
      </c>
      <c r="Q144" s="12" t="s">
        <v>2634</v>
      </c>
    </row>
    <row r="145" customFormat="false" ht="15" hidden="false" customHeight="false" outlineLevel="0" collapsed="false">
      <c r="A145" s="9" t="s">
        <v>2671</v>
      </c>
      <c r="B145" s="9" t="s">
        <v>2672</v>
      </c>
      <c r="C145" s="10" t="s">
        <v>560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2673</v>
      </c>
      <c r="B146" s="9" t="s">
        <v>2674</v>
      </c>
      <c r="C146" s="10" t="s">
        <v>560</v>
      </c>
      <c r="D146" s="14" t="n">
        <f aca="false">D98+D22*(Inputs!$E$197-INP_204)</f>
        <v>0.268562212729104</v>
      </c>
      <c r="E146" s="14" t="n">
        <f aca="false">E98+E22*(Inputs!$E$197-INP_204)</f>
        <v>0.441101791254825</v>
      </c>
      <c r="F146" s="14" t="n">
        <f aca="false">F98+F22*(Inputs!$E$197-INP_204)</f>
        <v>0.641068247239217</v>
      </c>
      <c r="G146" s="14" t="n">
        <f aca="false">G98+G22*(Inputs!$E$197-INP_204)</f>
        <v>0.790194585738508</v>
      </c>
      <c r="H146" s="14" t="n">
        <f aca="false">H98+H22*(Inputs!$E$197-INP_204)</f>
        <v>0.874065516190203</v>
      </c>
      <c r="I146" s="14" t="n">
        <f aca="false">I98+I22*(Inputs!$E$197-INP_204)</f>
        <v>0.931296560998397</v>
      </c>
      <c r="Q146" s="2"/>
    </row>
    <row r="147" customFormat="false" ht="15" hidden="false" customHeight="false" outlineLevel="0" collapsed="false">
      <c r="A147" s="9" t="s">
        <v>2675</v>
      </c>
      <c r="B147" s="9" t="s">
        <v>2676</v>
      </c>
      <c r="C147" s="10" t="s">
        <v>560</v>
      </c>
      <c r="D147" s="14" t="n">
        <f aca="false">Inputs!$G$197</f>
        <v>1</v>
      </c>
      <c r="Q147" s="12" t="s">
        <v>2648</v>
      </c>
    </row>
    <row r="148" customFormat="false" ht="15" hidden="false" customHeight="false" outlineLevel="0" collapsed="false">
      <c r="A148" s="9" t="s">
        <v>2677</v>
      </c>
      <c r="B148" s="9" t="s">
        <v>2678</v>
      </c>
      <c r="C148" s="9" t="s">
        <v>375</v>
      </c>
      <c r="D148" s="14" t="n">
        <f aca="false">D47/(D38+D22*(Inputs!$G$197-INP_204)*D35)+D48/(D45+D22*(Inputs!$G$197-INP_204)*D42)</f>
        <v>0.116761080025029</v>
      </c>
      <c r="E148" s="14" t="n">
        <f aca="false">E47/(E38+E22*(Inputs!$G$197-INP_204)*E35)+E48/(E45+E22*(Inputs!$G$197-INP_204)*E42)</f>
        <v>0.119690795678683</v>
      </c>
      <c r="F148" s="14" t="n">
        <f aca="false">F47/(F38+F22*(Inputs!$G$197-INP_204)*F35)+F48/(F45+F22*(Inputs!$G$197-INP_204)*F42)</f>
        <v>0.187195197803932</v>
      </c>
      <c r="G148" s="14" t="n">
        <f aca="false">G47/(G38+G22*(Inputs!$G$197-INP_204)*G35)+G48/(G45+G22*(Inputs!$G$197-INP_204)*G42)</f>
        <v>0.323961033296042</v>
      </c>
      <c r="H148" s="14" t="n">
        <f aca="false">H47/(H38+H22*(Inputs!$G$197-INP_204)*H35)+H48/(H45+H22*(Inputs!$G$197-INP_204)*H42)</f>
        <v>0.579694912188513</v>
      </c>
      <c r="I148" s="14" t="n">
        <f aca="false">I47/(I38+I22*(Inputs!$G$197-INP_204)*I35)+I48/(I45+I22*(Inputs!$G$197-INP_204)*I42)</f>
        <v>1.02364006815678</v>
      </c>
      <c r="Q148" s="2" t="s">
        <v>2631</v>
      </c>
    </row>
    <row r="149" customFormat="false" ht="15" hidden="false" customHeight="false" outlineLevel="0" collapsed="false">
      <c r="A149" s="9" t="s">
        <v>2679</v>
      </c>
      <c r="B149" s="9" t="s">
        <v>2680</v>
      </c>
      <c r="C149" s="9" t="s">
        <v>375</v>
      </c>
      <c r="D149" s="9" t="n">
        <f aca="false">D148/($D$148/$D$55)</f>
        <v>0.7</v>
      </c>
      <c r="E149" s="9" t="n">
        <f aca="false">E148/($D$148/$D$55)</f>
        <v>0.717564080060907</v>
      </c>
      <c r="F149" s="9" t="n">
        <f aca="false">F148/($D$148/$D$55)</f>
        <v>1.12226298724424</v>
      </c>
      <c r="G149" s="9" t="n">
        <f aca="false">G148/($D$148/$D$55)</f>
        <v>1.94219446461627</v>
      </c>
      <c r="H149" s="9" t="n">
        <f aca="false">H148/($D$148/$D$55)</f>
        <v>3.4753570148972</v>
      </c>
      <c r="I149" s="9" t="n">
        <f aca="false">I148/($D$148/$D$55)</f>
        <v>6.13687409842512</v>
      </c>
      <c r="Q149" s="12" t="s">
        <v>2634</v>
      </c>
    </row>
    <row r="150" customFormat="false" ht="15" hidden="false" customHeight="false" outlineLevel="0" collapsed="false">
      <c r="A150" s="9" t="s">
        <v>2681</v>
      </c>
      <c r="B150" s="9" t="s">
        <v>2682</v>
      </c>
      <c r="C150" s="10" t="s">
        <v>560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2683</v>
      </c>
      <c r="B151" s="9" t="s">
        <v>2684</v>
      </c>
      <c r="C151" s="10" t="s">
        <v>560</v>
      </c>
      <c r="D151" s="14" t="n">
        <f aca="false">D98+D22*(Inputs!$G$197-INP_204)</f>
        <v>0.268562212729104</v>
      </c>
      <c r="E151" s="14" t="n">
        <f aca="false">E98+E22*(Inputs!$G$197-INP_204)</f>
        <v>0.461101791254825</v>
      </c>
      <c r="F151" s="14" t="n">
        <f aca="false">F98+F22*(Inputs!$G$197-INP_204)</f>
        <v>0.681068247239217</v>
      </c>
      <c r="G151" s="14" t="n">
        <f aca="false">G98+G22*(Inputs!$G$197-INP_204)</f>
        <v>0.850194585738508</v>
      </c>
      <c r="H151" s="14" t="n">
        <f aca="false">H98+H22*(Inputs!$G$197-INP_204)</f>
        <v>0.954065516190203</v>
      </c>
      <c r="I151" s="14" t="n">
        <f aca="false">I98+I22*(Inputs!$G$197-INP_204)</f>
        <v>1.0312965609984</v>
      </c>
      <c r="Q151" s="2"/>
    </row>
    <row r="152" customFormat="false" ht="15" hidden="false" customHeight="false" outlineLevel="0" collapsed="false">
      <c r="A152" s="15" t="s">
        <v>2685</v>
      </c>
    </row>
    <row r="153" customFormat="false" ht="15" hidden="false" customHeight="false" outlineLevel="0" collapsed="false">
      <c r="A153" s="9" t="s">
        <v>2686</v>
      </c>
      <c r="B153" s="10" t="s">
        <v>2687</v>
      </c>
      <c r="C153" s="9" t="s">
        <v>68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2688</v>
      </c>
    </row>
    <row r="154" customFormat="false" ht="15" hidden="false" customHeight="false" outlineLevel="0" collapsed="false">
      <c r="A154" s="9" t="s">
        <v>2689</v>
      </c>
      <c r="B154" s="10" t="s">
        <v>2690</v>
      </c>
      <c r="C154" s="9" t="s">
        <v>68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2691</v>
      </c>
    </row>
    <row r="155" customFormat="false" ht="15" hidden="false" customHeight="false" outlineLevel="0" collapsed="false">
      <c r="A155" s="9" t="s">
        <v>2692</v>
      </c>
      <c r="B155" s="10" t="s">
        <v>2693</v>
      </c>
      <c r="C155" s="9" t="s">
        <v>2694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2695</v>
      </c>
    </row>
    <row r="156" customFormat="false" ht="15" hidden="false" customHeight="false" outlineLevel="0" collapsed="false">
      <c r="A156" s="9" t="s">
        <v>2696</v>
      </c>
      <c r="B156" s="10" t="s">
        <v>2697</v>
      </c>
      <c r="C156" s="9" t="s">
        <v>375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2698</v>
      </c>
    </row>
    <row r="157" customFormat="false" ht="15" hidden="false" customHeight="false" outlineLevel="0" collapsed="false">
      <c r="A157" s="9" t="s">
        <v>2699</v>
      </c>
      <c r="B157" s="10" t="s">
        <v>2700</v>
      </c>
      <c r="C157" s="9" t="s">
        <v>375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2702</v>
      </c>
    </row>
    <row r="2" customFormat="false" ht="15" hidden="false" customHeight="false" outlineLevel="0" collapsed="false">
      <c r="A2" s="12" t="s">
        <v>2703</v>
      </c>
    </row>
    <row r="3" customFormat="false" ht="15" hidden="false" customHeight="false" outlineLevel="0" collapsed="false">
      <c r="A3" s="2" t="s">
        <v>2704</v>
      </c>
    </row>
    <row r="5" customFormat="false" ht="15" hidden="false" customHeight="false" outlineLevel="0" collapsed="false">
      <c r="A5" s="8" t="s">
        <v>1955</v>
      </c>
      <c r="B5" s="8" t="s">
        <v>1956</v>
      </c>
      <c r="C5" s="8" t="s">
        <v>46</v>
      </c>
      <c r="D5" s="7" t="s">
        <v>411</v>
      </c>
      <c r="E5" s="7" t="s">
        <v>423</v>
      </c>
      <c r="F5" s="7" t="s">
        <v>1207</v>
      </c>
      <c r="G5" s="7" t="s">
        <v>1209</v>
      </c>
      <c r="H5" s="7" t="s">
        <v>1211</v>
      </c>
      <c r="I5" s="7" t="s">
        <v>1213</v>
      </c>
      <c r="J5" s="8"/>
      <c r="K5" s="7" t="s">
        <v>2032</v>
      </c>
      <c r="L5" s="7" t="s">
        <v>2033</v>
      </c>
      <c r="M5" s="7" t="s">
        <v>2034</v>
      </c>
      <c r="N5" s="7" t="s">
        <v>2035</v>
      </c>
      <c r="O5" s="7" t="s">
        <v>2036</v>
      </c>
      <c r="P5" s="7" t="s">
        <v>2037</v>
      </c>
      <c r="Q5" s="8" t="s">
        <v>815</v>
      </c>
    </row>
    <row r="6" customFormat="false" ht="15" hidden="false" customHeight="false" outlineLevel="0" collapsed="false">
      <c r="B6" s="3" t="s">
        <v>2038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2705</v>
      </c>
    </row>
    <row r="8" customFormat="false" ht="15" hidden="false" customHeight="false" outlineLevel="0" collapsed="false">
      <c r="A8" s="9" t="s">
        <v>2706</v>
      </c>
      <c r="B8" s="9" t="s">
        <v>2707</v>
      </c>
      <c r="C8" s="10" t="s">
        <v>193</v>
      </c>
      <c r="D8" s="14" t="str">
        <f aca="false">Compute!D8</f>
        <v>Hopper H100</v>
      </c>
      <c r="E8" s="14" t="str">
        <f aca="false">Compute!E8</f>
        <v>GB200 NVL72</v>
      </c>
      <c r="F8" s="14" t="str">
        <f aca="false">Compute!F8</f>
        <v>GB300 NVL72</v>
      </c>
      <c r="G8" s="14" t="str">
        <f aca="false">Compute!G8</f>
        <v>VR200 NVL72</v>
      </c>
      <c r="H8" s="14" t="str">
        <f aca="false">Compute!H8</f>
        <v>Rubin Ultra（MGX NVL 單架，72 GPU）</v>
      </c>
      <c r="Q8" s="12" t="s">
        <v>2708</v>
      </c>
    </row>
    <row r="9" customFormat="false" ht="15" hidden="false" customHeight="false" outlineLevel="0" collapsed="false">
      <c r="A9" s="9" t="s">
        <v>2709</v>
      </c>
      <c r="B9" s="10" t="s">
        <v>2710</v>
      </c>
      <c r="C9" s="10" t="s">
        <v>193</v>
      </c>
      <c r="D9" s="10" t="s">
        <v>810</v>
      </c>
      <c r="E9" s="10" t="s">
        <v>810</v>
      </c>
      <c r="F9" s="10" t="s">
        <v>810</v>
      </c>
      <c r="G9" s="10" t="s">
        <v>810</v>
      </c>
      <c r="H9" s="10" t="s">
        <v>810</v>
      </c>
      <c r="Q9" s="12" t="s">
        <v>2711</v>
      </c>
    </row>
    <row r="10" customFormat="false" ht="15" hidden="false" customHeight="false" outlineLevel="0" collapsed="false">
      <c r="A10" s="9" t="s">
        <v>2712</v>
      </c>
      <c r="B10" s="10" t="s">
        <v>2713</v>
      </c>
      <c r="C10" s="10" t="s">
        <v>193</v>
      </c>
      <c r="D10" s="14" t="str">
        <f aca="false">Compute!D9</f>
        <v>基準</v>
      </c>
      <c r="E10" s="14" t="str">
        <f aca="false">Compute!E9</f>
        <v>基準</v>
      </c>
      <c r="F10" s="14" t="str">
        <f aca="false">Compute!F9</f>
        <v>基準</v>
      </c>
      <c r="G10" s="14" t="str">
        <f aca="false">Compute!G9</f>
        <v>基準</v>
      </c>
      <c r="H10" s="14" t="str">
        <f aca="false">Compute!H9</f>
        <v>基準</v>
      </c>
      <c r="Q10" s="2"/>
    </row>
    <row r="11" customFormat="false" ht="15" hidden="false" customHeight="false" outlineLevel="0" collapsed="false">
      <c r="A11" s="9" t="s">
        <v>2714</v>
      </c>
      <c r="B11" s="10" t="s">
        <v>2715</v>
      </c>
      <c r="C11" s="10" t="s">
        <v>193</v>
      </c>
      <c r="D11" s="10" t="s">
        <v>812</v>
      </c>
      <c r="E11" s="10" t="s">
        <v>812</v>
      </c>
      <c r="F11" s="10" t="s">
        <v>812</v>
      </c>
      <c r="G11" s="10" t="s">
        <v>812</v>
      </c>
      <c r="H11" s="10" t="s">
        <v>812</v>
      </c>
      <c r="Q11" s="2"/>
    </row>
    <row r="12" customFormat="false" ht="15" hidden="false" customHeight="false" outlineLevel="0" collapsed="false">
      <c r="A12" s="9" t="s">
        <v>2716</v>
      </c>
      <c r="B12" s="10" t="s">
        <v>2717</v>
      </c>
      <c r="C12" s="9" t="s">
        <v>1603</v>
      </c>
      <c r="D12" s="9" t="n">
        <f aca="false">SUMIFS(TK_IF_HoldEcon,TK_HdrGen,D$8,TK_HdrCost,D$10)</f>
        <v>9.70308728611469</v>
      </c>
      <c r="E12" s="9" t="n">
        <f aca="false">SUMIFS(TK_IF_HoldEcon,TK_HdrGen,E$8,TK_HdrCost,E$10)</f>
        <v>8.82816556596761</v>
      </c>
      <c r="F12" s="9" t="n">
        <f aca="false">SUMIFS(TK_IF_HoldEcon,TK_HdrGen,F$8,TK_HdrCost,F$10)</f>
        <v>10.8864110021101</v>
      </c>
      <c r="G12" s="9" t="n">
        <f aca="false">SUMIFS(TK_IF_HoldEcon,TK_HdrGen,G$8,TK_HdrCost,G$10)</f>
        <v>12.2254710045841</v>
      </c>
      <c r="H12" s="9" t="n">
        <f aca="false">SUMIFS(TK_IF_HoldEcon,TK_HdrGen,H$8,TK_HdrCost,H$10)</f>
        <v>15.3544827030524</v>
      </c>
      <c r="I12" s="9" t="n">
        <f aca="false">$G$12*INP_204</f>
        <v>7.33528260275046</v>
      </c>
      <c r="Q12" s="12" t="s">
        <v>2718</v>
      </c>
    </row>
    <row r="13" customFormat="false" ht="15" hidden="false" customHeight="false" outlineLevel="0" collapsed="false">
      <c r="A13" s="9" t="s">
        <v>2719</v>
      </c>
      <c r="B13" s="10" t="s">
        <v>2720</v>
      </c>
      <c r="C13" s="9" t="s">
        <v>1603</v>
      </c>
      <c r="D13" s="9" t="n">
        <f aca="false">SUMIFS(TK_IF_HoldEcon,TK_HdrGen,D$8,TK_HdrCost,D$9)</f>
        <v>6.79107465326444</v>
      </c>
      <c r="E13" s="9" t="n">
        <f aca="false">SUMIFS(TK_IF_HoldEcon,TK_HdrGen,E$8,TK_HdrCost,E$9)</f>
        <v>6.6118162762144</v>
      </c>
      <c r="F13" s="9" t="n">
        <f aca="false">SUMIFS(TK_IF_HoldEcon,TK_HdrGen,F$8,TK_HdrCost,F$9)</f>
        <v>8.42889912085495</v>
      </c>
      <c r="G13" s="9" t="n">
        <f aca="false">SUMIFS(TK_IF_HoldEcon,TK_HdrGen,G$8,TK_HdrCost,G$9)</f>
        <v>9.21907146281596</v>
      </c>
      <c r="H13" s="9" t="n">
        <f aca="false">SUMIFS(TK_IF_HoldEcon,TK_HdrGen,H$8,TK_HdrCost,H$9)</f>
        <v>10.1025446864987</v>
      </c>
      <c r="I13" s="9" t="n">
        <f aca="false">$G$13*INP_204</f>
        <v>5.53144287768958</v>
      </c>
      <c r="Q13" s="12" t="s">
        <v>2718</v>
      </c>
    </row>
    <row r="14" customFormat="false" ht="15" hidden="false" customHeight="false" outlineLevel="0" collapsed="false">
      <c r="A14" s="9" t="s">
        <v>2721</v>
      </c>
      <c r="B14" s="10" t="s">
        <v>2722</v>
      </c>
      <c r="C14" s="9" t="s">
        <v>1603</v>
      </c>
      <c r="D14" s="9" t="n">
        <f aca="false">SUMIFS(TK_IF_HoldEcon,TK_HdrGen,D$8,TK_HdrCost,D$11)</f>
        <v>16.6637697337026</v>
      </c>
      <c r="E14" s="9" t="n">
        <f aca="false">SUMIFS(TK_IF_HoldEcon,TK_HdrGen,E$8,TK_HdrCost,E$11)</f>
        <v>14.3185748619737</v>
      </c>
      <c r="F14" s="9" t="n">
        <f aca="false">SUMIFS(TK_IF_HoldEcon,TK_HdrGen,F$8,TK_HdrCost,F$11)</f>
        <v>18.5346455040469</v>
      </c>
      <c r="G14" s="9" t="n">
        <f aca="false">SUMIFS(TK_IF_HoldEcon,TK_HdrGen,G$8,TK_HdrCost,G$11)</f>
        <v>19.7506269894487</v>
      </c>
      <c r="H14" s="9" t="n">
        <f aca="false">SUMIFS(TK_IF_HoldEcon,TK_HdrGen,H$8,TK_HdrCost,H$11)</f>
        <v>28.0302450108258</v>
      </c>
      <c r="I14" s="9" t="n">
        <f aca="false">$G$14*INP_204</f>
        <v>11.8503761936692</v>
      </c>
      <c r="Q14" s="12" t="s">
        <v>2718</v>
      </c>
    </row>
    <row r="15" customFormat="false" ht="15" hidden="false" customHeight="false" outlineLevel="0" collapsed="false">
      <c r="A15" s="9" t="s">
        <v>2723</v>
      </c>
      <c r="B15" s="10" t="s">
        <v>2724</v>
      </c>
      <c r="C15" s="9" t="s">
        <v>2694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44.907224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2725</v>
      </c>
    </row>
    <row r="16" customFormat="false" ht="15" hidden="false" customHeight="false" outlineLevel="0" collapsed="false">
      <c r="A16" s="15" t="s">
        <v>2726</v>
      </c>
    </row>
    <row r="17" customFormat="false" ht="15" hidden="false" customHeight="false" outlineLevel="0" collapsed="false">
      <c r="A17" s="9" t="s">
        <v>2727</v>
      </c>
      <c r="B17" s="10" t="s">
        <v>2728</v>
      </c>
      <c r="C17" s="9" t="s">
        <v>68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2729</v>
      </c>
    </row>
    <row r="18" customFormat="false" ht="15" hidden="false" customHeight="false" outlineLevel="0" collapsed="false">
      <c r="A18" s="9" t="s">
        <v>2730</v>
      </c>
      <c r="B18" s="10" t="s">
        <v>2731</v>
      </c>
      <c r="C18" s="9" t="s">
        <v>68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2732</v>
      </c>
    </row>
    <row r="19" customFormat="false" ht="15" hidden="false" customHeight="false" outlineLevel="0" collapsed="false">
      <c r="A19" s="9" t="s">
        <v>2733</v>
      </c>
      <c r="B19" s="10" t="s">
        <v>2734</v>
      </c>
      <c r="C19" s="9" t="s">
        <v>68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2729</v>
      </c>
    </row>
    <row r="20" customFormat="false" ht="15" hidden="false" customHeight="false" outlineLevel="0" collapsed="false">
      <c r="A20" s="9" t="s">
        <v>2735</v>
      </c>
      <c r="B20" s="10" t="s">
        <v>2736</v>
      </c>
      <c r="C20" s="9" t="s">
        <v>68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2729</v>
      </c>
    </row>
    <row r="21" customFormat="false" ht="15" hidden="false" customHeight="false" outlineLevel="0" collapsed="false">
      <c r="A21" s="9" t="s">
        <v>2737</v>
      </c>
      <c r="B21" s="10" t="s">
        <v>2738</v>
      </c>
      <c r="C21" s="9" t="s">
        <v>68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2729</v>
      </c>
    </row>
    <row r="22" customFormat="false" ht="15" hidden="false" customHeight="false" outlineLevel="0" collapsed="false">
      <c r="A22" s="9" t="s">
        <v>2739</v>
      </c>
      <c r="B22" s="10" t="s">
        <v>2740</v>
      </c>
      <c r="C22" s="9" t="s">
        <v>68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2729</v>
      </c>
    </row>
    <row r="23" customFormat="false" ht="15" hidden="false" customHeight="false" outlineLevel="0" collapsed="false">
      <c r="A23" s="9" t="s">
        <v>2741</v>
      </c>
      <c r="B23" s="10" t="s">
        <v>2742</v>
      </c>
      <c r="C23" s="9" t="s">
        <v>68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2743</v>
      </c>
      <c r="B24" s="10" t="s">
        <v>2687</v>
      </c>
      <c r="C24" s="9" t="s">
        <v>68</v>
      </c>
      <c r="D24" s="14" t="n">
        <f aca="false">Compute!D153</f>
        <v>0</v>
      </c>
      <c r="E24" s="14" t="n">
        <f aca="false">Compute!E153</f>
        <v>20</v>
      </c>
      <c r="F24" s="14" t="n">
        <f aca="false">Compute!F153</f>
        <v>30</v>
      </c>
      <c r="G24" s="14" t="n">
        <f aca="false">Compute!G153</f>
        <v>45</v>
      </c>
      <c r="H24" s="14" t="n">
        <f aca="false">Compute!H153</f>
        <v>60</v>
      </c>
      <c r="I24" s="14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2744</v>
      </c>
    </row>
    <row r="25" customFormat="false" ht="15" hidden="false" customHeight="false" outlineLevel="0" collapsed="false">
      <c r="A25" s="9" t="s">
        <v>2745</v>
      </c>
      <c r="B25" s="10" t="s">
        <v>2746</v>
      </c>
      <c r="C25" s="10" t="s">
        <v>120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2747</v>
      </c>
    </row>
    <row r="26" customFormat="false" ht="15" hidden="false" customHeight="false" outlineLevel="0" collapsed="false">
      <c r="A26" s="9" t="s">
        <v>2748</v>
      </c>
      <c r="B26" s="10" t="s">
        <v>2749</v>
      </c>
      <c r="C26" s="9" t="s">
        <v>68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2750</v>
      </c>
    </row>
    <row r="27" customFormat="false" ht="15" hidden="false" customHeight="false" outlineLevel="0" collapsed="false">
      <c r="A27" s="9" t="s">
        <v>2751</v>
      </c>
      <c r="B27" s="10" t="s">
        <v>2752</v>
      </c>
      <c r="C27" s="9" t="s">
        <v>68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2753</v>
      </c>
    </row>
    <row r="28" customFormat="false" ht="15" hidden="false" customHeight="false" outlineLevel="0" collapsed="false">
      <c r="A28" s="9" t="s">
        <v>2754</v>
      </c>
      <c r="B28" s="10" t="s">
        <v>2755</v>
      </c>
      <c r="C28" s="9" t="s">
        <v>68</v>
      </c>
      <c r="D28" s="9" t="n">
        <f aca="false">SRC_OAI_047+SRC_OAI_098+INP_230</f>
        <v>20.4</v>
      </c>
      <c r="Q28" s="12" t="s">
        <v>2756</v>
      </c>
    </row>
    <row r="29" customFormat="false" ht="15" hidden="false" customHeight="false" outlineLevel="0" collapsed="false">
      <c r="A29" s="9" t="s">
        <v>2757</v>
      </c>
      <c r="B29" s="10" t="s">
        <v>2758</v>
      </c>
      <c r="C29" s="9" t="s">
        <v>68</v>
      </c>
      <c r="D29" s="9" t="n">
        <f aca="false">D27-D28</f>
        <v>-5.64476190476191</v>
      </c>
      <c r="Q29" s="2" t="s">
        <v>2759</v>
      </c>
    </row>
    <row r="30" customFormat="false" ht="15" hidden="false" customHeight="false" outlineLevel="0" collapsed="false">
      <c r="A30" s="9" t="s">
        <v>2760</v>
      </c>
      <c r="B30" s="10" t="s">
        <v>2761</v>
      </c>
      <c r="C30" s="9" t="s">
        <v>1603</v>
      </c>
      <c r="D30" s="14" t="n">
        <f aca="false">D23/Compute!D157</f>
        <v>12</v>
      </c>
      <c r="E30" s="14" t="n">
        <f aca="false">E23/Compute!E157</f>
        <v>11.728375010501</v>
      </c>
      <c r="F30" s="14" t="n">
        <f aca="false">F23/Compute!F157</f>
        <v>12.4989833879374</v>
      </c>
      <c r="G30" s="14" t="n">
        <f aca="false">G23/Compute!G157</f>
        <v>12.3500267224702</v>
      </c>
      <c r="H30" s="14" t="n">
        <f aca="false">H23/Compute!H157</f>
        <v>12.2404207362885</v>
      </c>
      <c r="I30" s="14" t="n">
        <f aca="false">I23/Compute!I157</f>
        <v>12.1653699466056</v>
      </c>
      <c r="Q30" s="2" t="s">
        <v>2762</v>
      </c>
    </row>
    <row r="31" customFormat="false" ht="15" hidden="false" customHeight="false" outlineLevel="0" collapsed="false">
      <c r="A31" s="15" t="s">
        <v>2763</v>
      </c>
    </row>
    <row r="32" customFormat="false" ht="15" hidden="false" customHeight="false" outlineLevel="0" collapsed="false">
      <c r="A32" s="9" t="s">
        <v>2764</v>
      </c>
      <c r="B32" s="10" t="s">
        <v>2765</v>
      </c>
      <c r="C32" s="9" t="s">
        <v>1603</v>
      </c>
      <c r="D32" s="14" t="n">
        <f aca="false">Compute!D15*$D$12+Compute!D18*$E$12+Compute!D19*$F$12+Compute!D20*$G$12+Compute!D21*$H$12+Compute!D22*$I$12</f>
        <v>9.35311859805586</v>
      </c>
      <c r="E32" s="14" t="n">
        <f aca="false">Compute!E15*$D$12+Compute!E18*$E$12+Compute!E19*$F$12+Compute!E20*$G$12+Compute!E21*$H$12+Compute!E22*$I$12</f>
        <v>9.79562678672824</v>
      </c>
      <c r="F32" s="14" t="n">
        <f aca="false">Compute!F15*$D$12+Compute!F18*$E$12+Compute!F19*$F$12+Compute!F20*$G$12+Compute!F21*$H$12+Compute!F22*$I$12</f>
        <v>10.292412382385</v>
      </c>
      <c r="G32" s="14" t="n">
        <f aca="false">Compute!G15*$D$12+Compute!G18*$E$12+Compute!G19*$F$12+Compute!G20*$G$12+Compute!G21*$H$12+Compute!G22*$I$12</f>
        <v>10.8118193271454</v>
      </c>
      <c r="H32" s="14" t="n">
        <f aca="false">Compute!H15*$D$12+Compute!H18*$E$12+Compute!H19*$F$12+Compute!H20*$G$12+Compute!H21*$H$12+Compute!H22*$I$12</f>
        <v>11.0866979499552</v>
      </c>
      <c r="I32" s="14" t="n">
        <f aca="false">Compute!I15*$D$12+Compute!I18*$E$12+Compute!I19*$F$12+Compute!I20*$G$12+Compute!I21*$H$12+Compute!I22*$I$12</f>
        <v>11.3919079717648</v>
      </c>
      <c r="Q32" s="12" t="s">
        <v>2766</v>
      </c>
    </row>
    <row r="33" customFormat="false" ht="15" hidden="false" customHeight="false" outlineLevel="0" collapsed="false">
      <c r="A33" s="9" t="s">
        <v>2767</v>
      </c>
      <c r="B33" s="10" t="s">
        <v>2768</v>
      </c>
      <c r="C33" s="9" t="s">
        <v>1603</v>
      </c>
      <c r="D33" s="14" t="n">
        <f aca="false">Compute!D15*$D$13+Compute!D18*$E$13+Compute!D19*$F$13+Compute!D20*$G$13+Compute!D21*$H$13+Compute!D22*$I$13</f>
        <v>6.71937130244442</v>
      </c>
      <c r="E33" s="14" t="n">
        <f aca="false">Compute!E15*$D$13+Compute!E18*$E$13+Compute!E19*$F$13+Compute!E20*$G$13+Compute!E21*$H$13+Compute!E22*$I$13</f>
        <v>7.2505985798619</v>
      </c>
      <c r="F33" s="14" t="n">
        <f aca="false">Compute!F15*$D$13+Compute!F18*$E$13+Compute!F19*$F$13+Compute!F20*$G$13+Compute!F21*$H$13+Compute!F22*$I$13</f>
        <v>7.72168788894402</v>
      </c>
      <c r="G33" s="14" t="n">
        <f aca="false">Compute!G15*$D$13+Compute!G18*$E$13+Compute!G19*$F$13+Compute!G20*$G$13+Compute!G21*$H$13+Compute!G22*$I$13</f>
        <v>8.07908686646918</v>
      </c>
      <c r="H33" s="14" t="n">
        <f aca="false">Compute!H15*$D$13+Compute!H18*$E$13+Compute!H19*$F$13+Compute!H20*$G$13+Compute!H21*$H$13+Compute!H22*$I$13</f>
        <v>8.2301503153027</v>
      </c>
      <c r="I33" s="14" t="n">
        <f aca="false">Compute!I15*$D$13+Compute!I18*$E$13+Compute!I19*$F$13+Compute!I20*$G$13+Compute!I21*$H$13+Compute!I22*$I$13</f>
        <v>8.30398758484278</v>
      </c>
      <c r="Q33" s="12" t="s">
        <v>2766</v>
      </c>
    </row>
    <row r="34" customFormat="false" ht="15" hidden="false" customHeight="false" outlineLevel="0" collapsed="false">
      <c r="A34" s="9" t="s">
        <v>2769</v>
      </c>
      <c r="B34" s="10" t="s">
        <v>2770</v>
      </c>
      <c r="C34" s="9" t="s">
        <v>1603</v>
      </c>
      <c r="D34" s="14" t="n">
        <f aca="false">Compute!D15*$D$14+Compute!D18*$E$14+Compute!D19*$F$14+Compute!D20*$G$14+Compute!D21*$H$14+Compute!D22*$I$14</f>
        <v>15.725691785011</v>
      </c>
      <c r="E34" s="14" t="n">
        <f aca="false">Compute!E15*$D$14+Compute!E18*$E$14+Compute!E19*$F$14+Compute!E20*$G$14+Compute!E21*$H$14+Compute!E22*$I$14</f>
        <v>16.4470051666075</v>
      </c>
      <c r="F34" s="14" t="n">
        <f aca="false">Compute!F15*$D$14+Compute!F18*$E$14+Compute!F19*$F$14+Compute!F20*$G$14+Compute!F21*$H$14+Compute!F22*$I$14</f>
        <v>17.0017657586116</v>
      </c>
      <c r="G34" s="14" t="n">
        <f aca="false">Compute!G15*$D$14+Compute!G18*$E$14+Compute!G19*$F$14+Compute!G20*$G$14+Compute!G21*$H$14+Compute!G22*$I$14</f>
        <v>17.8280223664318</v>
      </c>
      <c r="H34" s="14" t="n">
        <f aca="false">Compute!H15*$D$14+Compute!H18*$E$14+Compute!H19*$F$14+Compute!H20*$G$14+Compute!H21*$H$14+Compute!H22*$I$14</f>
        <v>18.3337352711428</v>
      </c>
      <c r="I34" s="14" t="n">
        <f aca="false">Compute!I15*$D$14+Compute!I18*$E$14+Compute!I19*$F$14+Compute!I20*$G$14+Compute!I21*$H$14+Compute!I22*$I$14</f>
        <v>19.0990862141354</v>
      </c>
      <c r="Q34" s="12" t="s">
        <v>2766</v>
      </c>
    </row>
    <row r="35" customFormat="false" ht="15" hidden="false" customHeight="false" outlineLevel="0" collapsed="false">
      <c r="A35" s="9" t="s">
        <v>2771</v>
      </c>
      <c r="B35" s="10" t="s">
        <v>2700</v>
      </c>
      <c r="C35" s="9" t="s">
        <v>375</v>
      </c>
      <c r="D35" s="14" t="n">
        <f aca="false">Compute!D157</f>
        <v>1.22960317460317</v>
      </c>
      <c r="E35" s="14" t="n">
        <f aca="false">Compute!E157</f>
        <v>2.83420634920635</v>
      </c>
      <c r="F35" s="14" t="n">
        <f aca="false">Compute!F157</f>
        <v>8.93880952380953</v>
      </c>
      <c r="G35" s="14" t="n">
        <f aca="false">Compute!G157</f>
        <v>10.5434126984127</v>
      </c>
      <c r="H35" s="14" t="n">
        <f aca="false">Compute!H157</f>
        <v>12.1480158730159</v>
      </c>
      <c r="I35" s="14" t="n">
        <f aca="false">Compute!I157</f>
        <v>13.0059523809524</v>
      </c>
      <c r="Q35" s="12" t="s">
        <v>2772</v>
      </c>
    </row>
    <row r="36" customFormat="false" ht="15" hidden="false" customHeight="false" outlineLevel="0" collapsed="false">
      <c r="A36" s="9" t="s">
        <v>2773</v>
      </c>
      <c r="B36" s="10" t="s">
        <v>2774</v>
      </c>
      <c r="C36" s="9" t="s">
        <v>68</v>
      </c>
      <c r="D36" s="9" t="n">
        <f aca="false">D35*D32</f>
        <v>11.5006243206095</v>
      </c>
      <c r="E36" s="9" t="n">
        <f aca="false">E35*E32</f>
        <v>27.762827633401</v>
      </c>
      <c r="F36" s="9" t="n">
        <f aca="false">F35*F32</f>
        <v>92.0019138266378</v>
      </c>
      <c r="G36" s="9" t="n">
        <f aca="false">G35*G32</f>
        <v>113.993473186769</v>
      </c>
      <c r="H36" s="9" t="n">
        <f aca="false">H35*H32</f>
        <v>134.681382675388</v>
      </c>
      <c r="I36" s="9" t="n">
        <f aca="false">I35*I32</f>
        <v>148.162612608965</v>
      </c>
      <c r="Q36" s="2"/>
    </row>
    <row r="37" customFormat="false" ht="15" hidden="false" customHeight="false" outlineLevel="0" collapsed="false">
      <c r="A37" s="9" t="s">
        <v>2775</v>
      </c>
      <c r="B37" s="10" t="s">
        <v>2776</v>
      </c>
      <c r="C37" s="9" t="s">
        <v>68</v>
      </c>
      <c r="D37" s="9" t="n">
        <f aca="false">D23-D36</f>
        <v>3.25461377462862</v>
      </c>
      <c r="E37" s="9" t="n">
        <f aca="false">E23-E36</f>
        <v>5.47780728723395</v>
      </c>
      <c r="F37" s="9" t="n">
        <f aca="false">F23-F36</f>
        <v>19.7241179193939</v>
      </c>
      <c r="G37" s="9" t="n">
        <f aca="false">G23-G36</f>
        <v>16.2179553846597</v>
      </c>
      <c r="H37" s="9" t="n">
        <f aca="false">H23-H36</f>
        <v>14.0154427214376</v>
      </c>
      <c r="I37" s="9" t="n">
        <f aca="false">I23-I36</f>
        <v>10.0596096132571</v>
      </c>
      <c r="Q37" s="2" t="s">
        <v>2777</v>
      </c>
    </row>
    <row r="38" customFormat="false" ht="15" hidden="false" customHeight="false" outlineLevel="0" collapsed="false">
      <c r="A38" s="9" t="s">
        <v>2778</v>
      </c>
      <c r="B38" s="10" t="s">
        <v>2779</v>
      </c>
      <c r="C38" s="10" t="s">
        <v>120</v>
      </c>
      <c r="D38" s="9" t="n">
        <f aca="false">D37/D23</f>
        <v>0.220573450162012</v>
      </c>
      <c r="E38" s="9" t="n">
        <f aca="false">E37/E23</f>
        <v>0.164792498708666</v>
      </c>
      <c r="F38" s="9" t="n">
        <f aca="false">F37/F23</f>
        <v>0.176540038262788</v>
      </c>
      <c r="G38" s="9" t="n">
        <f aca="false">G37/G23</f>
        <v>0.124550936600493</v>
      </c>
      <c r="H38" s="9" t="n">
        <f aca="false">H37/H23</f>
        <v>0.0942551576607959</v>
      </c>
      <c r="I38" s="9" t="n">
        <f aca="false">I37/I23</f>
        <v>0.0635789933422146</v>
      </c>
      <c r="Q38" s="2"/>
    </row>
    <row r="39" customFormat="false" ht="15" hidden="false" customHeight="false" outlineLevel="0" collapsed="false">
      <c r="A39" s="9" t="s">
        <v>2780</v>
      </c>
      <c r="B39" s="10" t="s">
        <v>2781</v>
      </c>
      <c r="C39" s="10" t="s">
        <v>120</v>
      </c>
      <c r="D39" s="9" t="n">
        <f aca="false">(D23-D35*D33)/D23</f>
        <v>0.440052391462965</v>
      </c>
      <c r="E39" s="9" t="n">
        <f aca="false">(E23-E35*E33)/E23</f>
        <v>0.381790011542938</v>
      </c>
      <c r="F39" s="9" t="n">
        <f aca="false">(F23-F35*F33)/F23</f>
        <v>0.382214725047469</v>
      </c>
      <c r="G39" s="9" t="n">
        <f aca="false">(G23-G35*G33)/G23</f>
        <v>0.345824341272905</v>
      </c>
      <c r="H39" s="9" t="n">
        <f aca="false">(H23-H35*H33)/H23</f>
        <v>0.327625210553161</v>
      </c>
      <c r="I39" s="9" t="n">
        <f aca="false">(I23-I35*I33)/I23</f>
        <v>0.317407721977272</v>
      </c>
      <c r="Q39" s="12" t="s">
        <v>2782</v>
      </c>
    </row>
    <row r="40" customFormat="false" ht="15" hidden="false" customHeight="false" outlineLevel="0" collapsed="false">
      <c r="A40" s="9" t="s">
        <v>2783</v>
      </c>
      <c r="B40" s="10" t="s">
        <v>2784</v>
      </c>
      <c r="C40" s="10" t="s">
        <v>120</v>
      </c>
      <c r="D40" s="9" t="n">
        <f aca="false">(D23-D35*D34)/D23</f>
        <v>-0.310474315417587</v>
      </c>
      <c r="E40" s="9" t="n">
        <f aca="false">(E23-E35*E34)/E23</f>
        <v>-0.402325995875959</v>
      </c>
      <c r="F40" s="9" t="n">
        <f aca="false">(F23-F35*F34)/F23</f>
        <v>-0.360251888567173</v>
      </c>
      <c r="G40" s="9" t="n">
        <f aca="false">(G23-G35*G34)/G23</f>
        <v>-0.443561440559046</v>
      </c>
      <c r="H40" s="9" t="n">
        <f aca="false">(H23-H35*H34)/H23</f>
        <v>-0.497802703528794</v>
      </c>
      <c r="I40" s="9" t="n">
        <f aca="false">(I23-I35*I34)/I23</f>
        <v>-0.569955233417657</v>
      </c>
      <c r="Q40" s="12" t="s">
        <v>2782</v>
      </c>
    </row>
    <row r="41" customFormat="false" ht="15" hidden="false" customHeight="false" outlineLevel="0" collapsed="false">
      <c r="A41" s="15" t="s">
        <v>2785</v>
      </c>
    </row>
    <row r="42" customFormat="false" ht="15" hidden="false" customHeight="false" outlineLevel="0" collapsed="false">
      <c r="A42" s="9" t="s">
        <v>2786</v>
      </c>
      <c r="B42" s="10" t="s">
        <v>2697</v>
      </c>
      <c r="C42" s="9" t="s">
        <v>375</v>
      </c>
      <c r="D42" s="14" t="n">
        <f aca="false">Compute!D156</f>
        <v>0</v>
      </c>
      <c r="E42" s="14" t="n">
        <f aca="false">Compute!E156</f>
        <v>0</v>
      </c>
      <c r="F42" s="14" t="n">
        <f aca="false">Compute!F156</f>
        <v>0.397959644981793</v>
      </c>
      <c r="G42" s="14" t="n">
        <f aca="false">Compute!G156</f>
        <v>0.994899112454481</v>
      </c>
      <c r="H42" s="14" t="n">
        <f aca="false">Compute!H156</f>
        <v>1.89030831366351</v>
      </c>
      <c r="I42" s="14" t="n">
        <f aca="false">Compute!I156</f>
        <v>3.08418724860889</v>
      </c>
      <c r="Q42" s="12" t="s">
        <v>2787</v>
      </c>
    </row>
    <row r="43" customFormat="false" ht="15" hidden="false" customHeight="false" outlineLevel="0" collapsed="false">
      <c r="A43" s="9" t="s">
        <v>2788</v>
      </c>
      <c r="B43" s="10" t="s">
        <v>2789</v>
      </c>
      <c r="C43" s="9" t="s">
        <v>68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4.09596477770013</v>
      </c>
      <c r="G43" s="9" t="n">
        <f aca="false">G42*G32</f>
        <v>10.7566694525952</v>
      </c>
      <c r="H43" s="9" t="n">
        <f aca="false">H42*H32</f>
        <v>20.9572773058765</v>
      </c>
      <c r="I43" s="9" t="n">
        <f aca="false">I42*I32</f>
        <v>35.1347773038431</v>
      </c>
      <c r="Q43" s="2"/>
    </row>
    <row r="44" customFormat="false" ht="15" hidden="false" customHeight="false" outlineLevel="0" collapsed="false">
      <c r="A44" s="9" t="s">
        <v>2790</v>
      </c>
      <c r="B44" s="10" t="s">
        <v>2791</v>
      </c>
      <c r="C44" s="9" t="s">
        <v>68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115.821996523732</v>
      </c>
      <c r="G44" s="9" t="n">
        <f aca="false">G23+G43</f>
        <v>140.968098024024</v>
      </c>
      <c r="H44" s="9" t="n">
        <f aca="false">H23+H43</f>
        <v>169.654102702702</v>
      </c>
      <c r="I44" s="9" t="n">
        <f aca="false">I23+I43</f>
        <v>193.356999526065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2792</v>
      </c>
    </row>
    <row r="45" customFormat="false" ht="15" hidden="false" customHeight="false" outlineLevel="0" collapsed="false">
      <c r="A45" s="9" t="s">
        <v>2793</v>
      </c>
      <c r="B45" s="10" t="s">
        <v>2794</v>
      </c>
      <c r="C45" s="9" t="s">
        <v>68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25.9040352222999</v>
      </c>
      <c r="G45" s="9" t="n">
        <f aca="false">G27-G44</f>
        <v>34.2433305474048</v>
      </c>
      <c r="H45" s="9" t="n">
        <f aca="false">H27-H44</f>
        <v>39.0427226941235</v>
      </c>
      <c r="I45" s="9" t="n">
        <f aca="false">I27-I44</f>
        <v>34.8652226961569</v>
      </c>
      <c r="Q45" s="2"/>
    </row>
    <row r="46" customFormat="false" ht="15" hidden="false" customHeight="false" outlineLevel="0" collapsed="false">
      <c r="A46" s="15" t="s">
        <v>2795</v>
      </c>
    </row>
    <row r="47" customFormat="false" ht="15" hidden="false" customHeight="false" outlineLevel="0" collapsed="false">
      <c r="A47" s="9" t="s">
        <v>2796</v>
      </c>
      <c r="B47" s="10" t="s">
        <v>2797</v>
      </c>
      <c r="C47" s="9" t="s">
        <v>68</v>
      </c>
      <c r="D47" s="9" t="n">
        <f aca="false">SRC_OAI_087</f>
        <v>19.18</v>
      </c>
      <c r="Q47" s="2" t="s">
        <v>2798</v>
      </c>
    </row>
    <row r="48" customFormat="false" ht="15" hidden="false" customHeight="false" outlineLevel="0" collapsed="false">
      <c r="A48" s="9" t="s">
        <v>2799</v>
      </c>
      <c r="B48" s="10" t="s">
        <v>2800</v>
      </c>
      <c r="C48" s="9" t="s">
        <v>68</v>
      </c>
      <c r="D48" s="9" t="n">
        <f aca="false">SRC_OAI_098+INP_230</f>
        <v>12</v>
      </c>
      <c r="Q48" s="12" t="s">
        <v>2801</v>
      </c>
    </row>
    <row r="49" customFormat="false" ht="15" hidden="false" customHeight="false" outlineLevel="0" collapsed="false">
      <c r="A49" s="9" t="s">
        <v>2802</v>
      </c>
      <c r="B49" s="10" t="s">
        <v>2803</v>
      </c>
      <c r="C49" s="9" t="s">
        <v>68</v>
      </c>
      <c r="D49" s="9" t="n">
        <f aca="false">D47-D48</f>
        <v>7.18</v>
      </c>
      <c r="Q49" s="12" t="s">
        <v>2804</v>
      </c>
    </row>
    <row r="50" customFormat="false" ht="15" hidden="false" customHeight="false" outlineLevel="0" collapsed="false">
      <c r="A50" s="9" t="s">
        <v>2805</v>
      </c>
      <c r="B50" s="10" t="s">
        <v>2806</v>
      </c>
      <c r="C50" s="9" t="s">
        <v>68</v>
      </c>
      <c r="D50" s="9" t="n">
        <f aca="false">SRC_OAI_129</f>
        <v>5.73</v>
      </c>
      <c r="Q50" s="2" t="s">
        <v>2807</v>
      </c>
    </row>
    <row r="51" customFormat="false" ht="15" hidden="false" customHeight="false" outlineLevel="0" collapsed="false">
      <c r="A51" s="9" t="s">
        <v>2808</v>
      </c>
      <c r="B51" s="10" t="s">
        <v>2809</v>
      </c>
      <c r="C51" s="9" t="s">
        <v>68</v>
      </c>
      <c r="D51" s="9" t="n">
        <f aca="false">SRC_OAI_130</f>
        <v>1.57</v>
      </c>
      <c r="Q51" s="2" t="s">
        <v>388</v>
      </c>
    </row>
    <row r="52" customFormat="false" ht="15" hidden="false" customHeight="false" outlineLevel="0" collapsed="false">
      <c r="A52" s="9" t="s">
        <v>2810</v>
      </c>
      <c r="B52" s="10" t="s">
        <v>2811</v>
      </c>
      <c r="C52" s="9" t="s">
        <v>68</v>
      </c>
      <c r="D52" s="9" t="n">
        <f aca="false">D49+D50+D51</f>
        <v>14.48</v>
      </c>
      <c r="Q52" s="12" t="s">
        <v>2812</v>
      </c>
    </row>
    <row r="53" customFormat="false" ht="15" hidden="false" customHeight="false" outlineLevel="0" collapsed="false">
      <c r="A53" s="9" t="s">
        <v>2813</v>
      </c>
      <c r="B53" s="10" t="s">
        <v>2814</v>
      </c>
      <c r="C53" s="10" t="s">
        <v>120</v>
      </c>
      <c r="D53" s="9" t="n">
        <f aca="false">D49/D52</f>
        <v>0.49585635359116</v>
      </c>
      <c r="Q53" s="12" t="s">
        <v>2815</v>
      </c>
    </row>
    <row r="54" customFormat="false" ht="15" hidden="false" customHeight="false" outlineLevel="0" collapsed="false">
      <c r="A54" s="9" t="s">
        <v>2816</v>
      </c>
      <c r="B54" s="10" t="s">
        <v>2817</v>
      </c>
      <c r="C54" s="10" t="s">
        <v>120</v>
      </c>
      <c r="D54" s="9" t="n">
        <f aca="false">D50/D52</f>
        <v>0.395718232044199</v>
      </c>
      <c r="Q54" s="12" t="s">
        <v>2815</v>
      </c>
    </row>
    <row r="55" customFormat="false" ht="15" hidden="false" customHeight="false" outlineLevel="0" collapsed="false">
      <c r="A55" s="9" t="s">
        <v>2818</v>
      </c>
      <c r="B55" s="10" t="s">
        <v>2819</v>
      </c>
      <c r="C55" s="10" t="s">
        <v>120</v>
      </c>
      <c r="D55" s="9" t="n">
        <f aca="false">D51/D52</f>
        <v>0.108425414364641</v>
      </c>
      <c r="Q55" s="12" t="s">
        <v>2815</v>
      </c>
    </row>
    <row r="56" customFormat="false" ht="15" hidden="false" customHeight="false" outlineLevel="0" collapsed="false">
      <c r="A56" s="9" t="s">
        <v>2820</v>
      </c>
      <c r="B56" s="10" t="s">
        <v>2821</v>
      </c>
      <c r="C56" s="10" t="s">
        <v>695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2822</v>
      </c>
    </row>
    <row r="57" customFormat="false" ht="15" hidden="false" customHeight="false" outlineLevel="0" collapsed="false">
      <c r="A57" s="9" t="s">
        <v>2823</v>
      </c>
      <c r="B57" s="10" t="s">
        <v>2824</v>
      </c>
      <c r="C57" s="9" t="s">
        <v>704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2825</v>
      </c>
    </row>
    <row r="58" customFormat="false" ht="15" hidden="false" customHeight="false" outlineLevel="0" collapsed="false">
      <c r="A58" s="9" t="s">
        <v>2826</v>
      </c>
      <c r="B58" s="10" t="s">
        <v>2827</v>
      </c>
      <c r="C58" s="9" t="s">
        <v>68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2828</v>
      </c>
    </row>
    <row r="59" customFormat="false" ht="15" hidden="false" customHeight="false" outlineLevel="0" collapsed="false">
      <c r="A59" s="9" t="s">
        <v>2829</v>
      </c>
      <c r="B59" s="10" t="s">
        <v>2830</v>
      </c>
      <c r="C59" s="9" t="s">
        <v>68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2831</v>
      </c>
    </row>
    <row r="60" customFormat="false" ht="15" hidden="false" customHeight="false" outlineLevel="0" collapsed="false">
      <c r="A60" s="9" t="s">
        <v>2832</v>
      </c>
      <c r="B60" s="10" t="s">
        <v>2833</v>
      </c>
      <c r="C60" s="9" t="s">
        <v>704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2834</v>
      </c>
    </row>
    <row r="61" customFormat="false" ht="15" hidden="false" customHeight="false" outlineLevel="0" collapsed="false">
      <c r="A61" s="9" t="s">
        <v>2835</v>
      </c>
      <c r="B61" s="10" t="s">
        <v>2836</v>
      </c>
      <c r="C61" s="9" t="s">
        <v>68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2837</v>
      </c>
    </row>
    <row r="62" customFormat="false" ht="15" hidden="false" customHeight="false" outlineLevel="0" collapsed="false">
      <c r="A62" s="9" t="s">
        <v>2838</v>
      </c>
      <c r="B62" s="10" t="s">
        <v>2839</v>
      </c>
      <c r="C62" s="9" t="s">
        <v>68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2837</v>
      </c>
    </row>
    <row r="63" customFormat="false" ht="15" hidden="false" customHeight="false" outlineLevel="0" collapsed="false">
      <c r="A63" s="9" t="s">
        <v>2840</v>
      </c>
      <c r="B63" s="10" t="s">
        <v>2841</v>
      </c>
      <c r="C63" s="9" t="s">
        <v>68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2837</v>
      </c>
    </row>
    <row r="64" customFormat="false" ht="15" hidden="false" customHeight="false" outlineLevel="0" collapsed="false">
      <c r="A64" s="9" t="s">
        <v>2842</v>
      </c>
      <c r="B64" s="10" t="s">
        <v>2843</v>
      </c>
      <c r="C64" s="9" t="s">
        <v>68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2844</v>
      </c>
      <c r="B65" s="10" t="s">
        <v>2845</v>
      </c>
      <c r="C65" s="9" t="s">
        <v>68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2846</v>
      </c>
      <c r="B66" s="10" t="s">
        <v>2847</v>
      </c>
      <c r="C66" s="10" t="s">
        <v>120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2848</v>
      </c>
    </row>
    <row r="67" customFormat="false" ht="15" hidden="false" customHeight="false" outlineLevel="0" collapsed="false">
      <c r="A67" s="9" t="s">
        <v>2849</v>
      </c>
      <c r="B67" s="10" t="s">
        <v>2850</v>
      </c>
      <c r="C67" s="9" t="s">
        <v>68</v>
      </c>
      <c r="D67" s="14" t="n">
        <f aca="false">D66*Revenue!D74</f>
        <v>15.89</v>
      </c>
      <c r="E67" s="14" t="n">
        <f aca="false">E66*Revenue!E74</f>
        <v>11.2872478718822</v>
      </c>
      <c r="F67" s="14" t="n">
        <f aca="false">F66*Revenue!F74</f>
        <v>14.5208481081567</v>
      </c>
      <c r="G67" s="14" t="n">
        <f aca="false">G66*Revenue!G74</f>
        <v>17.2532995805733</v>
      </c>
      <c r="H67" s="14" t="n">
        <f aca="false">H66*Revenue!H74</f>
        <v>18.3829273885236</v>
      </c>
      <c r="I67" s="14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2851</v>
      </c>
      <c r="B68" s="10" t="s">
        <v>2852</v>
      </c>
      <c r="C68" s="9" t="s">
        <v>68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2853</v>
      </c>
    </row>
    <row r="69" customFormat="false" ht="15" hidden="false" customHeight="false" outlineLevel="0" collapsed="false">
      <c r="A69" s="9" t="s">
        <v>2854</v>
      </c>
      <c r="B69" s="10" t="s">
        <v>2855</v>
      </c>
      <c r="C69" s="9" t="s">
        <v>68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2856</v>
      </c>
    </row>
    <row r="70" customFormat="false" ht="15" hidden="false" customHeight="false" outlineLevel="0" collapsed="false">
      <c r="A70" s="9" t="s">
        <v>2857</v>
      </c>
      <c r="B70" s="10" t="s">
        <v>2858</v>
      </c>
      <c r="C70" s="9" t="s">
        <v>68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2859</v>
      </c>
      <c r="B71" s="10" t="s">
        <v>2860</v>
      </c>
      <c r="C71" s="10" t="s">
        <v>120</v>
      </c>
      <c r="E71" s="9" t="n">
        <f aca="false">(AVERAGE(SRC_OAI_136,SRC_OAI_137)-SRC_OAI_132)/SRC_OAI_132</f>
        <v>0.5625</v>
      </c>
      <c r="Q71" s="2" t="s">
        <v>2861</v>
      </c>
    </row>
    <row r="72" customFormat="false" ht="15" hidden="false" customHeight="false" outlineLevel="0" collapsed="false">
      <c r="A72" s="15" t="s">
        <v>2862</v>
      </c>
    </row>
    <row r="73" customFormat="false" ht="15" hidden="false" customHeight="false" outlineLevel="0" collapsed="false">
      <c r="A73" s="9" t="s">
        <v>2863</v>
      </c>
      <c r="B73" s="10" t="s">
        <v>2864</v>
      </c>
      <c r="C73" s="9" t="s">
        <v>68</v>
      </c>
      <c r="D73" s="9" t="n">
        <f aca="false">D48</f>
        <v>12</v>
      </c>
      <c r="E73" s="14" t="n">
        <f aca="false">E27*Compute!E72/Compute!E87</f>
        <v>33.7996825608607</v>
      </c>
      <c r="F73" s="14" t="n">
        <f aca="false">F27*Compute!F72/Compute!F87</f>
        <v>109.42963126741</v>
      </c>
      <c r="G73" s="14" t="n">
        <f aca="false">G27*Compute!G72/Compute!G87</f>
        <v>125.93246937308</v>
      </c>
      <c r="H73" s="14" t="n">
        <f aca="false">H27*Compute!H72/Compute!H87</f>
        <v>131.409466948789</v>
      </c>
      <c r="I73" s="14" t="n">
        <f aca="false">I27*Compute!I72/Compute!I87</f>
        <v>109.025379160426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2865</v>
      </c>
    </row>
    <row r="74" customFormat="false" ht="15" hidden="false" customHeight="false" outlineLevel="0" collapsed="false">
      <c r="A74" s="9" t="s">
        <v>2866</v>
      </c>
      <c r="B74" s="10" t="s">
        <v>2867</v>
      </c>
      <c r="C74" s="9" t="s">
        <v>68</v>
      </c>
      <c r="D74" s="9" t="n">
        <f aca="false">SRC_OAI_047</f>
        <v>8.4</v>
      </c>
      <c r="E74" s="14" t="n">
        <f aca="false">E27*Compute!E92/Compute!E87</f>
        <v>14.1168888677108</v>
      </c>
      <c r="F74" s="14" t="n">
        <f aca="false">F27*Compute!F92/Compute!F87</f>
        <v>18.1237973040185</v>
      </c>
      <c r="G74" s="14" t="n">
        <f aca="false">G27*Compute!G92/Compute!G87</f>
        <v>31.7578163412054</v>
      </c>
      <c r="H74" s="14" t="n">
        <f aca="false">H27*Compute!H92/Compute!H87</f>
        <v>56.4176759083536</v>
      </c>
      <c r="I74" s="14" t="n">
        <f aca="false">I27*Compute!I92/Compute!I87</f>
        <v>96.3746208395737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2868</v>
      </c>
    </row>
    <row r="75" customFormat="false" ht="15" hidden="false" customHeight="false" outlineLevel="0" collapsed="false">
      <c r="A75" s="9" t="s">
        <v>2869</v>
      </c>
      <c r="B75" s="10" t="s">
        <v>2870</v>
      </c>
      <c r="C75" s="9" t="s">
        <v>68</v>
      </c>
      <c r="D75" s="9" t="n">
        <f aca="false">D76-D73-D74</f>
        <v>0</v>
      </c>
      <c r="E75" s="14" t="n">
        <f aca="false">E27*Compute!E90/Compute!E87</f>
        <v>5.32406349206349</v>
      </c>
      <c r="F75" s="14" t="n">
        <f aca="false">F27*Compute!F90/Compute!F87</f>
        <v>14.1726031746032</v>
      </c>
      <c r="G75" s="14" t="n">
        <f aca="false">G27*Compute!G90/Compute!G87</f>
        <v>17.5211428571429</v>
      </c>
      <c r="H75" s="14" t="n">
        <f aca="false">H27*Compute!H90/Compute!H87</f>
        <v>20.8696825396825</v>
      </c>
      <c r="I75" s="14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2871</v>
      </c>
    </row>
    <row r="76" customFormat="false" ht="15" hidden="false" customHeight="false" outlineLevel="0" collapsed="false">
      <c r="A76" s="9" t="s">
        <v>2872</v>
      </c>
      <c r="B76" s="10" t="s">
        <v>2873</v>
      </c>
      <c r="C76" s="9" t="s">
        <v>68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2874</v>
      </c>
    </row>
    <row r="77" customFormat="false" ht="15" hidden="false" customHeight="false" outlineLevel="0" collapsed="false">
      <c r="A77" s="9" t="s">
        <v>2875</v>
      </c>
      <c r="B77" s="10" t="s">
        <v>2876</v>
      </c>
      <c r="C77" s="9" t="s">
        <v>68</v>
      </c>
      <c r="D77" s="9" t="n">
        <f aca="false">D73+D61</f>
        <v>16.204861878453</v>
      </c>
      <c r="E77" s="9" t="n">
        <f aca="false">E73+E61</f>
        <v>40.5127445498109</v>
      </c>
      <c r="F77" s="9" t="n">
        <f aca="false">F73+F61</f>
        <v>118.418421270615</v>
      </c>
      <c r="G77" s="9" t="n">
        <f aca="false">G73+G61</f>
        <v>137.042613817041</v>
      </c>
      <c r="H77" s="9" t="n">
        <f aca="false">H73+H61</f>
        <v>144.569433042661</v>
      </c>
      <c r="I77" s="9" t="n">
        <f aca="false">I73+I61</f>
        <v>123.935620744783</v>
      </c>
      <c r="Q77" s="2"/>
    </row>
    <row r="78" customFormat="false" ht="15" hidden="false" customHeight="false" outlineLevel="0" collapsed="false">
      <c r="A78" s="9" t="s">
        <v>2877</v>
      </c>
      <c r="B78" s="10" t="s">
        <v>2878</v>
      </c>
      <c r="C78" s="9" t="s">
        <v>68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2879</v>
      </c>
      <c r="B79" s="9" t="s">
        <v>2880</v>
      </c>
      <c r="C79" s="10" t="s">
        <v>120</v>
      </c>
      <c r="D79" s="9" t="n">
        <f aca="false">D77/D78</f>
        <v>0.464588930001521</v>
      </c>
      <c r="E79" s="9" t="n">
        <f aca="false">E77/E78</f>
        <v>0.532509214829168</v>
      </c>
      <c r="F79" s="9" t="n">
        <f aca="false">F77/F78</f>
        <v>0.688704054402516</v>
      </c>
      <c r="G79" s="9" t="n">
        <f aca="false">G77/G78</f>
        <v>0.646045274706254</v>
      </c>
      <c r="H79" s="9" t="n">
        <f aca="false">H77/H78</f>
        <v>0.573868354282152</v>
      </c>
      <c r="I79" s="9" t="n">
        <f aca="false">I77/I78</f>
        <v>0.447995933608034</v>
      </c>
      <c r="Q79" s="12" t="s">
        <v>2881</v>
      </c>
    </row>
    <row r="80" customFormat="false" ht="15" hidden="false" customHeight="false" outlineLevel="0" collapsed="false">
      <c r="A80" s="9" t="s">
        <v>2882</v>
      </c>
      <c r="B80" s="10" t="s">
        <v>2883</v>
      </c>
      <c r="C80" s="10" t="s">
        <v>120</v>
      </c>
      <c r="D80" s="9" t="n">
        <f aca="false">D73/D77</f>
        <v>0.740518499324942</v>
      </c>
      <c r="E80" s="9" t="n">
        <f aca="false">E73/E77</f>
        <v>0.834297526283452</v>
      </c>
      <c r="F80" s="9" t="n">
        <f aca="false">F73/F77</f>
        <v>0.924092975512122</v>
      </c>
      <c r="G80" s="9" t="n">
        <f aca="false">G73/G77</f>
        <v>0.918929272183955</v>
      </c>
      <c r="H80" s="9" t="n">
        <f aca="false">H73/H77</f>
        <v>0.90897131006948</v>
      </c>
      <c r="I80" s="9" t="n">
        <f aca="false">I73/I77</f>
        <v>0.879693654699479</v>
      </c>
      <c r="Q80" s="2"/>
    </row>
    <row r="81" customFormat="false" ht="15" hidden="false" customHeight="false" outlineLevel="0" collapsed="false">
      <c r="A81" s="9" t="s">
        <v>2884</v>
      </c>
      <c r="B81" s="9" t="s">
        <v>2885</v>
      </c>
      <c r="C81" s="9" t="s">
        <v>713</v>
      </c>
      <c r="D81" s="9" t="n">
        <f aca="false">TK_L1_Ans3</f>
        <v>1.90338863194263</v>
      </c>
      <c r="E81" s="9" t="n">
        <f aca="false">TK_L1_Ans3</f>
        <v>1.90338863194263</v>
      </c>
      <c r="F81" s="9" t="n">
        <f aca="false">TK_L1_Ans3</f>
        <v>1.90338863194263</v>
      </c>
      <c r="G81" s="9" t="n">
        <f aca="false">TK_L1_Ans3</f>
        <v>1.90338863194263</v>
      </c>
      <c r="H81" s="9" t="n">
        <f aca="false">TK_L1_Ans3</f>
        <v>1.90338863194263</v>
      </c>
      <c r="I81" s="9" t="n">
        <f aca="false">TK_L1_Ans3</f>
        <v>1.90338863194263</v>
      </c>
      <c r="Q81" s="12" t="s">
        <v>2886</v>
      </c>
    </row>
    <row r="82" customFormat="false" ht="15" hidden="false" customHeight="false" outlineLevel="0" collapsed="false">
      <c r="A82" s="9" t="s">
        <v>2887</v>
      </c>
      <c r="B82" s="10" t="s">
        <v>2888</v>
      </c>
      <c r="C82" s="9" t="s">
        <v>713</v>
      </c>
      <c r="D82" s="9" t="n">
        <f aca="false">D73-D81</f>
        <v>10.0966113680574</v>
      </c>
      <c r="E82" s="9" t="n">
        <f aca="false">E73-E81</f>
        <v>31.896293928918</v>
      </c>
      <c r="F82" s="9" t="n">
        <f aca="false">F73-F81</f>
        <v>107.526242635468</v>
      </c>
      <c r="G82" s="9" t="n">
        <f aca="false">G73-G81</f>
        <v>124.029080741138</v>
      </c>
      <c r="H82" s="9" t="n">
        <f aca="false">H73-H81</f>
        <v>129.506078316847</v>
      </c>
      <c r="I82" s="9" t="n">
        <f aca="false">I73-I81</f>
        <v>107.121990528484</v>
      </c>
      <c r="Q82" s="12" t="s">
        <v>2889</v>
      </c>
    </row>
    <row r="83" customFormat="false" ht="15" hidden="false" customHeight="false" outlineLevel="0" collapsed="false">
      <c r="A83" s="9" t="s">
        <v>2890</v>
      </c>
      <c r="B83" s="10" t="s">
        <v>2891</v>
      </c>
      <c r="C83" s="10" t="s">
        <v>560</v>
      </c>
      <c r="D83" s="9" t="n">
        <f aca="false">D73/D81</f>
        <v>6.30454537692211</v>
      </c>
      <c r="E83" s="9" t="n">
        <f aca="false">E73/E81</f>
        <v>17.7576360358757</v>
      </c>
      <c r="F83" s="9" t="n">
        <f aca="false">F73/F81</f>
        <v>57.4920063254368</v>
      </c>
      <c r="G83" s="9" t="n">
        <f aca="false">G73/G81</f>
        <v>66.1622472992032</v>
      </c>
      <c r="H83" s="9" t="n">
        <f aca="false">H73/H81</f>
        <v>69.0397456113156</v>
      </c>
      <c r="I83" s="9" t="n">
        <f aca="false">I73/I81</f>
        <v>57.2796208460871</v>
      </c>
      <c r="Q83" s="2" t="s">
        <v>2892</v>
      </c>
    </row>
    <row r="84" customFormat="false" ht="15" hidden="false" customHeight="false" outlineLevel="0" collapsed="false">
      <c r="A84" s="15" t="s">
        <v>2893</v>
      </c>
    </row>
    <row r="85" customFormat="false" ht="15" hidden="false" customHeight="false" outlineLevel="0" collapsed="false">
      <c r="A85" s="9" t="s">
        <v>2894</v>
      </c>
      <c r="B85" s="10" t="s">
        <v>2895</v>
      </c>
      <c r="C85" s="9" t="s">
        <v>375</v>
      </c>
      <c r="D85" s="14" t="n">
        <f aca="false">Compute!D99</f>
        <v>0.33022494935016</v>
      </c>
      <c r="E85" s="14" t="n">
        <f aca="false">Compute!E99</f>
        <v>1.25017349742072</v>
      </c>
      <c r="F85" s="14" t="n">
        <f aca="false">Compute!F99</f>
        <v>5.98550624591421</v>
      </c>
      <c r="G85" s="14" t="n">
        <f aca="false">Compute!G99</f>
        <v>9.11751152150993</v>
      </c>
      <c r="H85" s="14" t="n">
        <f aca="false">Compute!H99</f>
        <v>12.2704150766753</v>
      </c>
      <c r="I85" s="14" t="n">
        <f aca="false">Compute!I99</f>
        <v>14.9846917029944</v>
      </c>
      <c r="Q85" s="12" t="s">
        <v>2896</v>
      </c>
    </row>
    <row r="86" customFormat="false" ht="15" hidden="false" customHeight="false" outlineLevel="0" collapsed="false">
      <c r="A86" s="9" t="s">
        <v>2897</v>
      </c>
      <c r="B86" s="10" t="s">
        <v>2898</v>
      </c>
      <c r="C86" s="9" t="s">
        <v>68</v>
      </c>
      <c r="D86" s="14" t="n">
        <f aca="false">Revenue!D77</f>
        <v>10.456</v>
      </c>
      <c r="E86" s="14" t="n">
        <f aca="false">Revenue!E77</f>
        <v>27.3630251439569</v>
      </c>
      <c r="F86" s="14" t="n">
        <f aca="false">Revenue!F77</f>
        <v>43.8365225906617</v>
      </c>
      <c r="G86" s="14" t="n">
        <f aca="false">Revenue!G77</f>
        <v>62.7392712020847</v>
      </c>
      <c r="H86" s="14" t="n">
        <f aca="false">Revenue!H77</f>
        <v>97.6120791148627</v>
      </c>
      <c r="I86" s="14" t="n">
        <f aca="false">Revenue!I77</f>
        <v>126.38309270298</v>
      </c>
      <c r="Q86" s="12" t="s">
        <v>2899</v>
      </c>
    </row>
    <row r="87" customFormat="false" ht="15" hidden="false" customHeight="false" outlineLevel="0" collapsed="false">
      <c r="A87" s="9" t="s">
        <v>2900</v>
      </c>
      <c r="B87" s="10" t="s">
        <v>2901</v>
      </c>
      <c r="C87" s="9" t="s">
        <v>68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2902</v>
      </c>
    </row>
    <row r="88" customFormat="false" ht="15" hidden="false" customHeight="false" outlineLevel="0" collapsed="false">
      <c r="A88" s="9" t="s">
        <v>2903</v>
      </c>
      <c r="B88" s="10" t="s">
        <v>2904</v>
      </c>
      <c r="C88" s="9" t="s">
        <v>68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2905</v>
      </c>
      <c r="B89" s="10" t="s">
        <v>2906</v>
      </c>
      <c r="C89" s="9" t="s">
        <v>68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2907</v>
      </c>
    </row>
    <row r="90" customFormat="false" ht="15" hidden="false" customHeight="false" outlineLevel="0" collapsed="false">
      <c r="A90" s="9" t="s">
        <v>2908</v>
      </c>
      <c r="B90" s="10" t="s">
        <v>2909</v>
      </c>
      <c r="C90" s="9" t="s">
        <v>1603</v>
      </c>
      <c r="D90" s="9" t="n">
        <f aca="false">D86/D85</f>
        <v>31.6632647550588</v>
      </c>
      <c r="E90" s="9" t="n">
        <f aca="false">E86/E85</f>
        <v>21.8873821916803</v>
      </c>
      <c r="F90" s="9" t="n">
        <f aca="false">F86/F85</f>
        <v>7.32377860612628</v>
      </c>
      <c r="G90" s="9" t="n">
        <f aca="false">G86/G85</f>
        <v>6.88118364907694</v>
      </c>
      <c r="H90" s="9" t="n">
        <f aca="false">H86/H85</f>
        <v>7.95507556222872</v>
      </c>
      <c r="I90" s="9" t="n">
        <f aca="false">I86/I85</f>
        <v>8.43414700869186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2910</v>
      </c>
    </row>
    <row r="91" customFormat="false" ht="15" hidden="false" customHeight="false" outlineLevel="0" collapsed="false">
      <c r="A91" s="9" t="s">
        <v>2911</v>
      </c>
      <c r="B91" s="10" t="s">
        <v>2912</v>
      </c>
      <c r="C91" s="9" t="s">
        <v>1603</v>
      </c>
      <c r="D91" s="9" t="n">
        <f aca="false">D27/D85</f>
        <v>44.6823843088613</v>
      </c>
      <c r="E91" s="9" t="n">
        <f aca="false">E27/E85</f>
        <v>42.5865970047179</v>
      </c>
      <c r="F91" s="9" t="n">
        <f aca="false">F27/F85</f>
        <v>23.6782029661695</v>
      </c>
      <c r="G91" s="9" t="n">
        <f aca="false">G27/G85</f>
        <v>19.2170229955917</v>
      </c>
      <c r="H91" s="9" t="n">
        <f aca="false">H27/H85</f>
        <v>17.0081308653963</v>
      </c>
      <c r="I91" s="9" t="n">
        <f aca="false">I27/I85</f>
        <v>15.230358204608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2913</v>
      </c>
    </row>
    <row r="92" customFormat="false" ht="15" hidden="false" customHeight="false" outlineLevel="0" collapsed="false">
      <c r="A92" s="9" t="s">
        <v>2914</v>
      </c>
      <c r="B92" s="10" t="s">
        <v>2915</v>
      </c>
      <c r="C92" s="9" t="s">
        <v>1603</v>
      </c>
      <c r="D92" s="9" t="n">
        <f aca="false">D59/D85</f>
        <v>25.6794649122895</v>
      </c>
      <c r="E92" s="9" t="n">
        <f aca="false">E59/E85</f>
        <v>10.8291529359176</v>
      </c>
      <c r="F92" s="9" t="n">
        <f aca="false">F59/F85</f>
        <v>3.02861775348982</v>
      </c>
      <c r="G92" s="9" t="n">
        <f aca="false">G59/G85</f>
        <v>2.45746591056344</v>
      </c>
      <c r="H92" s="9" t="n">
        <f aca="false">H59/H85</f>
        <v>2.16291590340815</v>
      </c>
      <c r="I92" s="9" t="n">
        <f aca="false">I59/I85</f>
        <v>2.00669323085789</v>
      </c>
      <c r="Q92" s="2"/>
    </row>
    <row r="93" customFormat="false" ht="15" hidden="false" customHeight="false" outlineLevel="0" collapsed="false">
      <c r="A93" s="9" t="s">
        <v>2916</v>
      </c>
      <c r="B93" s="10" t="s">
        <v>2917</v>
      </c>
      <c r="C93" s="9" t="s">
        <v>1603</v>
      </c>
      <c r="D93" s="9" t="n">
        <f aca="false">D58/D85</f>
        <v>18.1694327209595</v>
      </c>
      <c r="E93" s="9" t="n">
        <f aca="false">E58/E85</f>
        <v>7.4389674866626</v>
      </c>
      <c r="F93" s="9" t="n">
        <f aca="false">F58/F85</f>
        <v>2.01987927224248</v>
      </c>
      <c r="G93" s="9" t="n">
        <f aca="false">G58/G85</f>
        <v>1.59122365414871</v>
      </c>
      <c r="H93" s="9" t="n">
        <f aca="false">H58/H85</f>
        <v>1.3597095041809</v>
      </c>
      <c r="I93" s="9" t="n">
        <f aca="false">I58/I85</f>
        <v>1.22475793054405</v>
      </c>
      <c r="Q93" s="2"/>
    </row>
    <row r="94" customFormat="false" ht="15" hidden="false" customHeight="false" outlineLevel="0" collapsed="false">
      <c r="A94" s="9" t="s">
        <v>2918</v>
      </c>
      <c r="B94" s="10" t="s">
        <v>2919</v>
      </c>
      <c r="C94" s="9" t="s">
        <v>1603</v>
      </c>
      <c r="D94" s="9" t="n">
        <f aca="false">D91+D92+D93</f>
        <v>88.5312819421103</v>
      </c>
      <c r="E94" s="9" t="n">
        <f aca="false">E91+E92+E93</f>
        <v>60.8547174272981</v>
      </c>
      <c r="F94" s="9" t="n">
        <f aca="false">F91+F92+F93</f>
        <v>28.7266999919018</v>
      </c>
      <c r="G94" s="9" t="n">
        <f aca="false">G91+G92+G93</f>
        <v>23.2657125603039</v>
      </c>
      <c r="H94" s="9" t="n">
        <f aca="false">H91+H92+H93</f>
        <v>20.5307562729853</v>
      </c>
      <c r="I94" s="9" t="n">
        <f aca="false">I91+I92+I93</f>
        <v>18.4618093660099</v>
      </c>
      <c r="Q94" s="2"/>
    </row>
    <row r="95" customFormat="false" ht="15" hidden="false" customHeight="false" outlineLevel="0" collapsed="false">
      <c r="A95" s="9" t="s">
        <v>2920</v>
      </c>
      <c r="B95" s="10" t="s">
        <v>2921</v>
      </c>
      <c r="C95" s="9" t="s">
        <v>1603</v>
      </c>
      <c r="D95" s="9" t="n">
        <f aca="false">D91+D92</f>
        <v>70.3618492211508</v>
      </c>
      <c r="E95" s="9" t="n">
        <f aca="false">E91+E92</f>
        <v>53.4157499406355</v>
      </c>
      <c r="F95" s="9" t="n">
        <f aca="false">F91+F92</f>
        <v>26.7068207196593</v>
      </c>
      <c r="G95" s="9" t="n">
        <f aca="false">G91+G92</f>
        <v>21.6744889061551</v>
      </c>
      <c r="H95" s="9" t="n">
        <f aca="false">H91+H92</f>
        <v>19.1710467688044</v>
      </c>
      <c r="I95" s="9" t="n">
        <f aca="false">I91+I92</f>
        <v>17.2370514354659</v>
      </c>
      <c r="Q95" s="2"/>
    </row>
    <row r="96" customFormat="false" ht="15" hidden="false" customHeight="false" outlineLevel="0" collapsed="false">
      <c r="A96" s="9" t="s">
        <v>2922</v>
      </c>
      <c r="B96" s="10" t="s">
        <v>2923</v>
      </c>
      <c r="C96" s="9" t="s">
        <v>1603</v>
      </c>
      <c r="D96" s="9" t="n">
        <f aca="false">D90-D94</f>
        <v>-56.8680171870515</v>
      </c>
      <c r="E96" s="9" t="n">
        <f aca="false">E90-E94</f>
        <v>-38.9673352356179</v>
      </c>
      <c r="F96" s="9" t="n">
        <f aca="false">F90-F94</f>
        <v>-21.4029213857755</v>
      </c>
      <c r="G96" s="9" t="n">
        <f aca="false">G90-G94</f>
        <v>-16.3845289112269</v>
      </c>
      <c r="H96" s="9" t="n">
        <f aca="false">H90-H94</f>
        <v>-12.5756807107566</v>
      </c>
      <c r="I96" s="9" t="n">
        <f aca="false">I90-I94</f>
        <v>-10.027662357318</v>
      </c>
      <c r="Q96" s="2" t="s">
        <v>2924</v>
      </c>
    </row>
    <row r="97" customFormat="false" ht="15" hidden="false" customHeight="false" outlineLevel="0" collapsed="false">
      <c r="A97" s="9" t="s">
        <v>2925</v>
      </c>
      <c r="B97" s="10" t="s">
        <v>2926</v>
      </c>
      <c r="C97" s="9" t="s">
        <v>1603</v>
      </c>
      <c r="D97" s="9" t="n">
        <f aca="false">D90-D95</f>
        <v>-38.6985844660919</v>
      </c>
      <c r="E97" s="9" t="n">
        <f aca="false">E90-E95</f>
        <v>-31.5283677489553</v>
      </c>
      <c r="F97" s="9" t="n">
        <f aca="false">F90-F95</f>
        <v>-19.383042113533</v>
      </c>
      <c r="G97" s="9" t="n">
        <f aca="false">G90-G95</f>
        <v>-14.7933052570782</v>
      </c>
      <c r="H97" s="9" t="n">
        <f aca="false">H90-H95</f>
        <v>-11.2159712065757</v>
      </c>
      <c r="I97" s="9" t="n">
        <f aca="false">I90-I95</f>
        <v>-8.80290442677399</v>
      </c>
      <c r="Q97" s="2"/>
    </row>
    <row r="98" customFormat="false" ht="15" hidden="false" customHeight="false" outlineLevel="0" collapsed="false">
      <c r="A98" s="9" t="s">
        <v>2927</v>
      </c>
      <c r="B98" s="10" t="s">
        <v>2928</v>
      </c>
      <c r="C98" s="10" t="s">
        <v>560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2929</v>
      </c>
      <c r="B99" s="10" t="s">
        <v>2930</v>
      </c>
      <c r="C99" s="9" t="s">
        <v>1603</v>
      </c>
      <c r="D99" s="9" t="n">
        <f aca="false">D44/D85</f>
        <v>44.6823843088613</v>
      </c>
      <c r="E99" s="9" t="n">
        <f aca="false">E44/E85</f>
        <v>26.588817463508</v>
      </c>
      <c r="F99" s="9" t="n">
        <f aca="false">F44/F85</f>
        <v>19.3504094332528</v>
      </c>
      <c r="G99" s="9" t="n">
        <f aca="false">G44/G85</f>
        <v>15.4612470399904</v>
      </c>
      <c r="H99" s="9" t="n">
        <f aca="false">H44/H85</f>
        <v>13.8262725134046</v>
      </c>
      <c r="I99" s="9" t="n">
        <f aca="false">I44/I85</f>
        <v>12.903635480697</v>
      </c>
      <c r="Q99" s="2" t="s">
        <v>2931</v>
      </c>
    </row>
    <row r="100" customFormat="false" ht="15" hidden="false" customHeight="false" outlineLevel="0" collapsed="false">
      <c r="A100" s="9" t="s">
        <v>2932</v>
      </c>
      <c r="B100" s="10" t="s">
        <v>2933</v>
      </c>
      <c r="C100" s="9" t="s">
        <v>1603</v>
      </c>
      <c r="D100" s="9" t="n">
        <f aca="false">D99+D92+D93</f>
        <v>88.5312819421103</v>
      </c>
      <c r="E100" s="9" t="n">
        <f aca="false">E99+E92+E93</f>
        <v>44.8569378860882</v>
      </c>
      <c r="F100" s="9" t="n">
        <f aca="false">F99+F92+F93</f>
        <v>24.3989064589851</v>
      </c>
      <c r="G100" s="9" t="n">
        <f aca="false">G99+G92+G93</f>
        <v>19.5099366047026</v>
      </c>
      <c r="H100" s="9" t="n">
        <f aca="false">H99+H92+H93</f>
        <v>17.3488979209937</v>
      </c>
      <c r="I100" s="9" t="n">
        <f aca="false">I99+I92+I93</f>
        <v>16.135086642099</v>
      </c>
      <c r="Q100" s="2"/>
    </row>
    <row r="101" customFormat="false" ht="15" hidden="false" customHeight="false" outlineLevel="0" collapsed="false">
      <c r="A101" s="9" t="s">
        <v>2934</v>
      </c>
      <c r="B101" s="10" t="s">
        <v>2935</v>
      </c>
      <c r="C101" s="9" t="s">
        <v>1603</v>
      </c>
      <c r="D101" s="9" t="n">
        <f aca="false">D90-D100</f>
        <v>-56.8680171870515</v>
      </c>
      <c r="E101" s="9" t="n">
        <f aca="false">E90-E100</f>
        <v>-22.969555694408</v>
      </c>
      <c r="F101" s="9" t="n">
        <f aca="false">F90-F100</f>
        <v>-17.0751278528588</v>
      </c>
      <c r="G101" s="9" t="n">
        <f aca="false">G90-G100</f>
        <v>-12.6287529556256</v>
      </c>
      <c r="H101" s="9" t="n">
        <f aca="false">H90-H100</f>
        <v>-9.39382235876495</v>
      </c>
      <c r="I101" s="9" t="n">
        <f aca="false">I90-I100</f>
        <v>-7.70093963340709</v>
      </c>
      <c r="Q101" s="2"/>
    </row>
    <row r="102" customFormat="false" ht="15" hidden="false" customHeight="false" outlineLevel="0" collapsed="false">
      <c r="A102" s="9" t="s">
        <v>2936</v>
      </c>
      <c r="B102" s="10" t="s">
        <v>2937</v>
      </c>
      <c r="C102" s="9" t="s">
        <v>1603</v>
      </c>
      <c r="D102" s="9" t="n">
        <f aca="false">D90-D99-D92</f>
        <v>-38.6985844660919</v>
      </c>
      <c r="E102" s="9" t="n">
        <f aca="false">E90-E99-E92</f>
        <v>-15.5305882077454</v>
      </c>
      <c r="F102" s="9" t="n">
        <f aca="false">F90-F99-F92</f>
        <v>-15.0552485806163</v>
      </c>
      <c r="G102" s="9" t="n">
        <f aca="false">G90-G99-G92</f>
        <v>-11.0375293014769</v>
      </c>
      <c r="H102" s="9" t="n">
        <f aca="false">H90-H99-H92</f>
        <v>-8.03411285458406</v>
      </c>
      <c r="I102" s="9" t="n">
        <f aca="false">I90-I99-I92</f>
        <v>-6.47618170286304</v>
      </c>
      <c r="Q102" s="2"/>
    </row>
    <row r="103" customFormat="false" ht="15" hidden="false" customHeight="false" outlineLevel="0" collapsed="false">
      <c r="A103" s="9" t="s">
        <v>2938</v>
      </c>
      <c r="B103" s="10" t="s">
        <v>2939</v>
      </c>
      <c r="C103" s="9" t="s">
        <v>68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-102.20328441307</v>
      </c>
      <c r="G103" s="9" t="n">
        <f aca="false">G86-G44-G59-G58</f>
        <v>-115.142800575219</v>
      </c>
      <c r="H103" s="9" t="n">
        <f aca="false">H86-H44-H59-H58</f>
        <v>-115.266099498599</v>
      </c>
      <c r="I103" s="9" t="n">
        <f aca="false">I86-I44-I59-I58</f>
        <v>-115.396206229976</v>
      </c>
      <c r="Q103" s="2"/>
    </row>
    <row r="104" customFormat="false" ht="15" hidden="false" customHeight="false" outlineLevel="0" collapsed="false">
      <c r="A104" s="9" t="s">
        <v>2940</v>
      </c>
      <c r="B104" s="10" t="s">
        <v>2941</v>
      </c>
      <c r="C104" s="9" t="s">
        <v>1603</v>
      </c>
      <c r="D104" s="9" t="n">
        <f aca="false">(D86-D28-D59-D58)/D85</f>
        <v>-73.9617041294526</v>
      </c>
      <c r="Q104" s="2" t="s">
        <v>2942</v>
      </c>
    </row>
    <row r="105" customFormat="false" ht="15" hidden="false" customHeight="false" outlineLevel="0" collapsed="false">
      <c r="A105" s="9" t="s">
        <v>2943</v>
      </c>
      <c r="B105" s="9" t="s">
        <v>2944</v>
      </c>
      <c r="C105" s="9" t="s">
        <v>1603</v>
      </c>
      <c r="D105" s="14" t="n">
        <f aca="false">SUMIFS(TK_IF_FullCostDefault_Sol,TK_HdrGen,Compute!$G$8,TK_HdrCost,Compute!$G$9)*SUMIFS(TK_IF_TokGW_Sol,TK_HdrGen,Compute!$G$8,TK_HdrCost,Compute!$G$9)*TK_IF_Util/INP_270</f>
        <v>21.5728645575517</v>
      </c>
      <c r="E105" s="14" t="n">
        <f aca="false">SUMIFS(TK_IF_FullCostDefault_Sol,TK_HdrGen,Compute!$G$8,TK_HdrCost,Compute!$G$9)*SUMIFS(TK_IF_TokGW_Sol,TK_HdrGen,Compute!$G$8,TK_HdrCost,Compute!$G$9)*TK_IF_Util/INP_270</f>
        <v>21.5728645575517</v>
      </c>
      <c r="F105" s="14" t="n">
        <f aca="false">SUMIFS(TK_IF_FullCostDefault_Sol,TK_HdrGen,Compute!$G$8,TK_HdrCost,Compute!$G$9)*SUMIFS(TK_IF_TokGW_Sol,TK_HdrGen,Compute!$G$8,TK_HdrCost,Compute!$G$9)*TK_IF_Util/INP_270</f>
        <v>21.5728645575517</v>
      </c>
      <c r="G105" s="14" t="n">
        <f aca="false">SUMIFS(TK_IF_FullCostDefault_Sol,TK_HdrGen,Compute!$G$8,TK_HdrCost,Compute!$G$9)*SUMIFS(TK_IF_TokGW_Sol,TK_HdrGen,Compute!$G$8,TK_HdrCost,Compute!$G$9)*TK_IF_Util/INP_270</f>
        <v>21.5728645575517</v>
      </c>
      <c r="H105" s="14" t="n">
        <f aca="false">SUMIFS(TK_IF_FullCostDefault_Sol,TK_HdrGen,Compute!$G$8,TK_HdrCost,Compute!$G$9)*SUMIFS(TK_IF_TokGW_Sol,TK_HdrGen,Compute!$G$8,TK_HdrCost,Compute!$G$9)*TK_IF_Util/INP_270</f>
        <v>21.5728645575517</v>
      </c>
      <c r="I105" s="14" t="n">
        <f aca="false">SUMIFS(TK_IF_FullCostDefault_Sol,TK_HdrGen,Compute!$G$8,TK_HdrCost,Compute!$G$9)*SUMIFS(TK_IF_TokGW_Sol,TK_HdrGen,Compute!$G$8,TK_HdrCost,Compute!$G$9)*TK_IF_Util/INP_270</f>
        <v>21.5728645575517</v>
      </c>
      <c r="Q105" s="12" t="s">
        <v>2945</v>
      </c>
    </row>
    <row r="106" customFormat="false" ht="15" hidden="false" customHeight="false" outlineLevel="0" collapsed="false">
      <c r="A106" s="9" t="s">
        <v>2946</v>
      </c>
      <c r="B106" s="9" t="s">
        <v>2947</v>
      </c>
      <c r="C106" s="9" t="s">
        <v>1603</v>
      </c>
      <c r="D106" s="14" t="n">
        <f aca="false">SUMIFS(TK_IF_FullCost_Sol,TK_HdrGen,Compute!$G$8,TK_HdrCost,Compute!$G$9)*SUMIFS(TK_IF_TokGW_Sol,TK_HdrGen,Compute!$G$8,TK_HdrCost,Compute!$G$9)*TK_IF_Util/INP_270</f>
        <v>13.2144585699688</v>
      </c>
      <c r="E106" s="14" t="n">
        <f aca="false">SUMIFS(TK_IF_FullCost_Sol,TK_HdrGen,Compute!$G$8,TK_HdrCost,Compute!$G$9)*SUMIFS(TK_IF_TokGW_Sol,TK_HdrGen,Compute!$G$8,TK_HdrCost,Compute!$G$9)*TK_IF_Util/INP_270</f>
        <v>13.2144585699688</v>
      </c>
      <c r="F106" s="14" t="n">
        <f aca="false">SUMIFS(TK_IF_FullCost_Sol,TK_HdrGen,Compute!$G$8,TK_HdrCost,Compute!$G$9)*SUMIFS(TK_IF_TokGW_Sol,TK_HdrGen,Compute!$G$8,TK_HdrCost,Compute!$G$9)*TK_IF_Util/INP_270</f>
        <v>13.2144585699688</v>
      </c>
      <c r="G106" s="14" t="n">
        <f aca="false">SUMIFS(TK_IF_FullCost_Sol,TK_HdrGen,Compute!$G$8,TK_HdrCost,Compute!$G$9)*SUMIFS(TK_IF_TokGW_Sol,TK_HdrGen,Compute!$G$8,TK_HdrCost,Compute!$G$9)*TK_IF_Util/INP_270</f>
        <v>13.2144585699688</v>
      </c>
      <c r="H106" s="14" t="n">
        <f aca="false">SUMIFS(TK_IF_FullCost_Sol,TK_HdrGen,Compute!$G$8,TK_HdrCost,Compute!$G$9)*SUMIFS(TK_IF_TokGW_Sol,TK_HdrGen,Compute!$G$8,TK_HdrCost,Compute!$G$9)*TK_IF_Util/INP_270</f>
        <v>13.2144585699688</v>
      </c>
      <c r="I106" s="14" t="n">
        <f aca="false">SUMIFS(TK_IF_FullCost_Sol,TK_HdrGen,Compute!$G$8,TK_HdrCost,Compute!$G$9)*SUMIFS(TK_IF_TokGW_Sol,TK_HdrGen,Compute!$G$8,TK_HdrCost,Compute!$G$9)*TK_IF_Util/INP_270</f>
        <v>13.2144585699688</v>
      </c>
      <c r="Q106" s="12" t="s">
        <v>2945</v>
      </c>
    </row>
    <row r="107" customFormat="false" ht="15" hidden="false" customHeight="false" outlineLevel="0" collapsed="false">
      <c r="A107" s="9" t="s">
        <v>2948</v>
      </c>
      <c r="B107" s="10" t="s">
        <v>2949</v>
      </c>
      <c r="C107" s="9" t="s">
        <v>1603</v>
      </c>
      <c r="D107" s="9" t="n">
        <f aca="false">D91-D105</f>
        <v>23.1095197513096</v>
      </c>
      <c r="E107" s="9" t="n">
        <f aca="false">E91-E105</f>
        <v>21.0137324471662</v>
      </c>
      <c r="F107" s="9" t="n">
        <f aca="false">F91-F105</f>
        <v>2.10533840861781</v>
      </c>
      <c r="G107" s="9" t="n">
        <f aca="false">G91-G105</f>
        <v>-2.35584156195997</v>
      </c>
      <c r="H107" s="9" t="n">
        <f aca="false">H91-H105</f>
        <v>-4.5647336921554</v>
      </c>
      <c r="I107" s="9" t="n">
        <f aca="false">I91-I105</f>
        <v>-6.34250635294371</v>
      </c>
      <c r="Q107" s="2"/>
    </row>
    <row r="108" customFormat="false" ht="15" hidden="false" customHeight="false" outlineLevel="0" collapsed="false">
      <c r="A108" s="9" t="s">
        <v>2950</v>
      </c>
      <c r="B108" s="10" t="s">
        <v>2951</v>
      </c>
      <c r="C108" s="9" t="s">
        <v>1603</v>
      </c>
      <c r="D108" s="9" t="n">
        <f aca="false">D91-D106</f>
        <v>31.4679257388925</v>
      </c>
      <c r="E108" s="9" t="n">
        <f aca="false">E91-E106</f>
        <v>29.3721384347491</v>
      </c>
      <c r="F108" s="9" t="n">
        <f aca="false">F91-F106</f>
        <v>10.4637443962007</v>
      </c>
      <c r="G108" s="9" t="n">
        <f aca="false">G91-G106</f>
        <v>6.00256442562288</v>
      </c>
      <c r="H108" s="9" t="n">
        <f aca="false">H91-H106</f>
        <v>3.79367229542745</v>
      </c>
      <c r="I108" s="9" t="n">
        <f aca="false">I91-I106</f>
        <v>2.01589963463914</v>
      </c>
      <c r="Q108" s="2"/>
    </row>
    <row r="109" customFormat="false" ht="15" hidden="false" customHeight="false" outlineLevel="0" collapsed="false">
      <c r="A109" s="15" t="s">
        <v>2952</v>
      </c>
    </row>
    <row r="110" customFormat="false" ht="15" hidden="false" customHeight="false" outlineLevel="0" collapsed="false">
      <c r="A110" s="9" t="s">
        <v>2953</v>
      </c>
      <c r="B110" s="9" t="s">
        <v>2954</v>
      </c>
      <c r="C110" s="9" t="s">
        <v>68</v>
      </c>
      <c r="D110" s="9" t="n">
        <f aca="false">D17</f>
        <v>11.9047619047619</v>
      </c>
      <c r="Q110" s="2" t="s">
        <v>2955</v>
      </c>
    </row>
    <row r="111" customFormat="false" ht="15" hidden="false" customHeight="false" outlineLevel="0" collapsed="false">
      <c r="A111" s="9" t="s">
        <v>2956</v>
      </c>
      <c r="B111" s="9" t="s">
        <v>2957</v>
      </c>
      <c r="C111" s="9" t="s">
        <v>68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2958</v>
      </c>
      <c r="B112" s="10" t="s">
        <v>2959</v>
      </c>
      <c r="C112" s="9" t="s">
        <v>68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2960</v>
      </c>
      <c r="B113" s="10" t="s">
        <v>2961</v>
      </c>
      <c r="C113" s="10" t="s">
        <v>2334</v>
      </c>
      <c r="D113" s="9" t="n">
        <f aca="false">(D110&gt;D111)*(D$6&lt;=INP_002)</f>
        <v>0</v>
      </c>
      <c r="Q113" s="12" t="s">
        <v>2962</v>
      </c>
    </row>
    <row r="114" customFormat="false" ht="15" hidden="false" customHeight="false" outlineLevel="0" collapsed="false">
      <c r="A114" s="9" t="s">
        <v>2963</v>
      </c>
      <c r="B114" s="10" t="s">
        <v>2964</v>
      </c>
      <c r="C114" s="9" t="s">
        <v>68</v>
      </c>
      <c r="D114" s="14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4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4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4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4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4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2965</v>
      </c>
    </row>
    <row r="115" customFormat="false" ht="15" hidden="false" customHeight="false" outlineLevel="0" collapsed="false">
      <c r="A115" s="9" t="s">
        <v>2966</v>
      </c>
      <c r="B115" s="10" t="s">
        <v>2967</v>
      </c>
      <c r="C115" s="9" t="s">
        <v>68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5" t="s">
        <v>2968</v>
      </c>
    </row>
    <row r="117" customFormat="false" ht="15" hidden="false" customHeight="false" outlineLevel="0" collapsed="false">
      <c r="A117" s="9" t="s">
        <v>2969</v>
      </c>
      <c r="B117" s="10" t="s">
        <v>2970</v>
      </c>
      <c r="C117" s="9" t="s">
        <v>68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2971</v>
      </c>
      <c r="B118" s="10" t="s">
        <v>2972</v>
      </c>
      <c r="C118" s="9" t="s">
        <v>68</v>
      </c>
      <c r="D118" s="14" t="n">
        <f aca="false">ABS(D17-Compute!D79*INP_229)+ABS(D19-Compute!D81*INP_229)+ABS(D21-Compute!D83*INP_229)</f>
        <v>0</v>
      </c>
      <c r="E118" s="14" t="n">
        <f aca="false">ABS(E17-Compute!E79*INP_229)+ABS(E19-Compute!E81*INP_229)+ABS(E21-Compute!E83*INP_229)</f>
        <v>0</v>
      </c>
      <c r="F118" s="14" t="n">
        <f aca="false">ABS(F17-Compute!F79*INP_229)+ABS(F19-Compute!F81*INP_229)+ABS(F21-Compute!F83*INP_229)</f>
        <v>0</v>
      </c>
      <c r="G118" s="14" t="n">
        <f aca="false">ABS(G17-Compute!G79*INP_229)+ABS(G19-Compute!G81*INP_229)+ABS(G21-Compute!G83*INP_229)</f>
        <v>0</v>
      </c>
      <c r="H118" s="14" t="n">
        <f aca="false">ABS(H17-Compute!H79*INP_229)+ABS(H19-Compute!H81*INP_229)+ABS(H21-Compute!H83*INP_229)</f>
        <v>0</v>
      </c>
      <c r="I118" s="14" t="n">
        <f aca="false">ABS(I17-Compute!I79*INP_229)+ABS(I19-Compute!I81*INP_229)+ABS(I21-Compute!I83*INP_229)</f>
        <v>0</v>
      </c>
      <c r="Q118" s="12" t="s">
        <v>2973</v>
      </c>
    </row>
    <row r="119" customFormat="false" ht="15" hidden="false" customHeight="false" outlineLevel="0" collapsed="false">
      <c r="A119" s="9" t="s">
        <v>2974</v>
      </c>
      <c r="B119" s="10" t="s">
        <v>2975</v>
      </c>
      <c r="C119" s="9" t="s">
        <v>68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5" hidden="false" customHeight="false" outlineLevel="0" collapsed="false">
      <c r="A120" s="9" t="s">
        <v>2976</v>
      </c>
      <c r="B120" s="10" t="s">
        <v>2977</v>
      </c>
      <c r="C120" s="9" t="s">
        <v>68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2978</v>
      </c>
    </row>
    <row r="121" customFormat="false" ht="15" hidden="false" customHeight="false" outlineLevel="0" collapsed="false">
      <c r="A121" s="9" t="s">
        <v>2979</v>
      </c>
      <c r="B121" s="10" t="s">
        <v>2980</v>
      </c>
      <c r="C121" s="9" t="s">
        <v>68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2981</v>
      </c>
    </row>
    <row r="2" customFormat="false" ht="15" hidden="false" customHeight="false" outlineLevel="0" collapsed="false">
      <c r="A2" s="12" t="s">
        <v>2982</v>
      </c>
    </row>
    <row r="3" customFormat="false" ht="15" hidden="false" customHeight="false" outlineLevel="0" collapsed="false">
      <c r="A3" s="12" t="s">
        <v>2983</v>
      </c>
    </row>
    <row r="5" customFormat="false" ht="15" hidden="false" customHeight="false" outlineLevel="0" collapsed="false">
      <c r="A5" s="8" t="s">
        <v>1955</v>
      </c>
      <c r="B5" s="8" t="s">
        <v>1956</v>
      </c>
      <c r="C5" s="8" t="s">
        <v>46</v>
      </c>
      <c r="D5" s="7" t="s">
        <v>411</v>
      </c>
      <c r="E5" s="7" t="s">
        <v>423</v>
      </c>
      <c r="F5" s="7" t="s">
        <v>1207</v>
      </c>
      <c r="G5" s="7" t="s">
        <v>1209</v>
      </c>
      <c r="H5" s="7" t="s">
        <v>1211</v>
      </c>
      <c r="I5" s="7" t="s">
        <v>1213</v>
      </c>
      <c r="J5" s="8"/>
      <c r="K5" s="7" t="s">
        <v>2032</v>
      </c>
      <c r="L5" s="7" t="s">
        <v>2033</v>
      </c>
      <c r="M5" s="7" t="s">
        <v>2034</v>
      </c>
      <c r="N5" s="7" t="s">
        <v>2035</v>
      </c>
      <c r="O5" s="7" t="s">
        <v>2036</v>
      </c>
      <c r="P5" s="7" t="s">
        <v>2037</v>
      </c>
      <c r="Q5" s="8" t="s">
        <v>815</v>
      </c>
    </row>
    <row r="6" customFormat="false" ht="15" hidden="false" customHeight="false" outlineLevel="0" collapsed="false">
      <c r="B6" s="3" t="s">
        <v>2038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2984</v>
      </c>
    </row>
    <row r="8" customFormat="false" ht="15" hidden="false" customHeight="false" outlineLevel="0" collapsed="false">
      <c r="A8" s="9" t="s">
        <v>2985</v>
      </c>
      <c r="B8" s="10" t="s">
        <v>2986</v>
      </c>
      <c r="C8" s="9" t="s">
        <v>68</v>
      </c>
      <c r="D8" s="14" t="n">
        <f aca="false">Revenue!D77</f>
        <v>10.456</v>
      </c>
      <c r="E8" s="14" t="n">
        <f aca="false">Revenue!E77</f>
        <v>27.3630251439569</v>
      </c>
      <c r="F8" s="14" t="n">
        <f aca="false">Revenue!F77</f>
        <v>43.8365225906617</v>
      </c>
      <c r="G8" s="14" t="n">
        <f aca="false">Revenue!G77</f>
        <v>62.7392712020847</v>
      </c>
      <c r="H8" s="14" t="n">
        <f aca="false">Revenue!H77</f>
        <v>97.6120791148627</v>
      </c>
      <c r="I8" s="14" t="n">
        <f aca="false">Revenue!I77</f>
        <v>126.38309270298</v>
      </c>
      <c r="L8" s="2" t="n">
        <v>26.323224900152</v>
      </c>
      <c r="M8" s="2" t="n">
        <v>42.0556814905687</v>
      </c>
      <c r="N8" s="2" t="n">
        <v>59.9069130071312</v>
      </c>
      <c r="O8" s="2" t="n">
        <v>91.239987776122</v>
      </c>
      <c r="P8" s="2" t="n">
        <v>119.881298694689</v>
      </c>
      <c r="Q8" s="12" t="s">
        <v>2987</v>
      </c>
    </row>
    <row r="9" customFormat="false" ht="15" hidden="false" customHeight="false" outlineLevel="0" collapsed="false">
      <c r="A9" s="9" t="s">
        <v>2988</v>
      </c>
      <c r="B9" s="10" t="s">
        <v>2752</v>
      </c>
      <c r="C9" s="9" t="s">
        <v>68</v>
      </c>
      <c r="D9" s="14" t="n">
        <f aca="false">Cost!D27</f>
        <v>14.7552380952381</v>
      </c>
      <c r="E9" s="14" t="n">
        <f aca="false">Cost!E27</f>
        <v>53.2406349206349</v>
      </c>
      <c r="F9" s="14" t="n">
        <f aca="false">Cost!F27</f>
        <v>141.726031746032</v>
      </c>
      <c r="G9" s="14" t="n">
        <f aca="false">Cost!G27</f>
        <v>175.211428571429</v>
      </c>
      <c r="H9" s="14" t="n">
        <f aca="false">Cost!H27</f>
        <v>208.696825396825</v>
      </c>
      <c r="I9" s="14" t="n">
        <f aca="false">Cost!I27</f>
        <v>228.222222222222</v>
      </c>
      <c r="Q9" s="12" t="s">
        <v>2989</v>
      </c>
    </row>
    <row r="10" customFormat="false" ht="15" hidden="false" customHeight="false" outlineLevel="0" collapsed="false">
      <c r="A10" s="9" t="s">
        <v>2990</v>
      </c>
      <c r="B10" s="10" t="s">
        <v>2991</v>
      </c>
      <c r="C10" s="9" t="s">
        <v>68</v>
      </c>
      <c r="D10" s="14" t="n">
        <f aca="false">Cost!D59</f>
        <v>8.48</v>
      </c>
      <c r="E10" s="14" t="n">
        <f aca="false">Cost!E59</f>
        <v>13.53832</v>
      </c>
      <c r="F10" s="14" t="n">
        <f aca="false">Cost!F59</f>
        <v>18.12781048</v>
      </c>
      <c r="G10" s="14" t="n">
        <f aca="false">Cost!G59</f>
        <v>22.40597375328</v>
      </c>
      <c r="H10" s="14" t="n">
        <f aca="false">Cost!H59</f>
        <v>26.5398759107602</v>
      </c>
      <c r="I10" s="14" t="n">
        <f aca="false">Cost!I59</f>
        <v>30.0696794068913</v>
      </c>
      <c r="Q10" s="12" t="s">
        <v>2992</v>
      </c>
    </row>
    <row r="11" customFormat="false" ht="15" hidden="false" customHeight="false" outlineLevel="0" collapsed="false">
      <c r="A11" s="9" t="s">
        <v>2993</v>
      </c>
      <c r="B11" s="10" t="s">
        <v>2994</v>
      </c>
      <c r="C11" s="9" t="s">
        <v>68</v>
      </c>
      <c r="D11" s="14" t="n">
        <f aca="false">Cost!D58</f>
        <v>6</v>
      </c>
      <c r="E11" s="14" t="n">
        <f aca="false">Cost!E58</f>
        <v>9.3</v>
      </c>
      <c r="F11" s="14" t="n">
        <f aca="false">Cost!F58</f>
        <v>12.09</v>
      </c>
      <c r="G11" s="14" t="n">
        <f aca="false">Cost!G58</f>
        <v>14.508</v>
      </c>
      <c r="H11" s="14" t="n">
        <f aca="false">Cost!H58</f>
        <v>16.6842</v>
      </c>
      <c r="I11" s="14" t="n">
        <f aca="false">Cost!I58</f>
        <v>18.35262</v>
      </c>
      <c r="Q11" s="12" t="s">
        <v>2995</v>
      </c>
    </row>
    <row r="12" customFormat="false" ht="15" hidden="false" customHeight="false" outlineLevel="0" collapsed="false">
      <c r="A12" s="9" t="s">
        <v>2996</v>
      </c>
      <c r="B12" s="10" t="s">
        <v>2997</v>
      </c>
      <c r="C12" s="9" t="s">
        <v>68</v>
      </c>
      <c r="D12" s="14" t="n">
        <f aca="false">Cost!D89</f>
        <v>-18.7792380952381</v>
      </c>
      <c r="E12" s="14" t="n">
        <f aca="false">Cost!E89</f>
        <v>-48.715929776678</v>
      </c>
      <c r="F12" s="14" t="n">
        <f aca="false">Cost!F89</f>
        <v>-128.10731963537</v>
      </c>
      <c r="G12" s="14" t="n">
        <f aca="false">Cost!G89</f>
        <v>-149.386131122624</v>
      </c>
      <c r="H12" s="14" t="n">
        <f aca="false">Cost!H89</f>
        <v>-154.308822192723</v>
      </c>
      <c r="I12" s="14" t="n">
        <f aca="false">Cost!I89</f>
        <v>-150.261428926133</v>
      </c>
      <c r="Q12" s="12" t="s">
        <v>2998</v>
      </c>
    </row>
    <row r="13" customFormat="false" ht="15" hidden="false" customHeight="false" outlineLevel="0" collapsed="false">
      <c r="A13" s="9" t="s">
        <v>2999</v>
      </c>
      <c r="B13" s="10" t="s">
        <v>3000</v>
      </c>
      <c r="C13" s="9" t="s">
        <v>68</v>
      </c>
      <c r="D13" s="9" t="n">
        <f aca="false">D12+D11</f>
        <v>-12.7792380952381</v>
      </c>
      <c r="E13" s="9" t="n">
        <f aca="false">E12+E11</f>
        <v>-39.415929776678</v>
      </c>
      <c r="F13" s="9" t="n">
        <f aca="false">F12+F11</f>
        <v>-116.01731963537</v>
      </c>
      <c r="G13" s="9" t="n">
        <f aca="false">G12+G11</f>
        <v>-134.878131122624</v>
      </c>
      <c r="H13" s="9" t="n">
        <f aca="false">H12+H11</f>
        <v>-137.624622192723</v>
      </c>
      <c r="I13" s="9" t="n">
        <f aca="false">I12+I11</f>
        <v>-131.908808926133</v>
      </c>
      <c r="L13" s="2" t="n">
        <v>-37.7757402917956</v>
      </c>
      <c r="M13" s="2" t="n">
        <v>-113.601294749214</v>
      </c>
      <c r="N13" s="2" t="n">
        <v>-131.778916641258</v>
      </c>
      <c r="O13" s="2" t="n">
        <v>-134.947173547502</v>
      </c>
      <c r="P13" s="2" t="n">
        <v>-125.12430534479</v>
      </c>
      <c r="Q13" s="2" t="s">
        <v>3001</v>
      </c>
    </row>
    <row r="14" customFormat="false" ht="15" hidden="false" customHeight="false" outlineLevel="0" collapsed="false">
      <c r="A14" s="9" t="s">
        <v>3002</v>
      </c>
      <c r="B14" s="10" t="s">
        <v>3003</v>
      </c>
      <c r="C14" s="9" t="s">
        <v>68</v>
      </c>
      <c r="D14" s="9" t="n">
        <f aca="false">D8-COST_Actual2025-D10</f>
        <v>-18.424</v>
      </c>
      <c r="Q14" s="12" t="s">
        <v>3004</v>
      </c>
    </row>
    <row r="15" customFormat="false" ht="15" hidden="false" customHeight="false" outlineLevel="0" collapsed="false">
      <c r="A15" s="15" t="s">
        <v>3005</v>
      </c>
    </row>
    <row r="16" customFormat="false" ht="15" hidden="false" customHeight="false" outlineLevel="0" collapsed="false">
      <c r="A16" s="9" t="s">
        <v>3006</v>
      </c>
      <c r="B16" s="9" t="s">
        <v>3007</v>
      </c>
      <c r="C16" s="10" t="s">
        <v>2334</v>
      </c>
      <c r="D16" s="9" t="n">
        <f aca="false">N(D$6=INP_273)</f>
        <v>0</v>
      </c>
      <c r="E16" s="9" t="n">
        <f aca="false">N(E$6=INP_273)</f>
        <v>1</v>
      </c>
      <c r="F16" s="9" t="n">
        <f aca="false">N(F$6=INP_273)</f>
        <v>0</v>
      </c>
      <c r="G16" s="9" t="n">
        <f aca="false">N(G$6=INP_273)</f>
        <v>0</v>
      </c>
      <c r="H16" s="9" t="n">
        <f aca="false">N(H$6=INP_273)</f>
        <v>0</v>
      </c>
      <c r="I16" s="9" t="n">
        <f aca="false">N(I$6=INP_273)</f>
        <v>0</v>
      </c>
      <c r="Q16" s="12" t="s">
        <v>3008</v>
      </c>
    </row>
    <row r="17" customFormat="false" ht="15" hidden="false" customHeight="false" outlineLevel="0" collapsed="false">
      <c r="A17" s="9" t="s">
        <v>3009</v>
      </c>
      <c r="B17" s="10" t="s">
        <v>3010</v>
      </c>
      <c r="C17" s="9" t="s">
        <v>68</v>
      </c>
      <c r="D17" s="9" t="n">
        <f aca="false">SRC_OAI_109*D16</f>
        <v>0</v>
      </c>
      <c r="E17" s="9" t="n">
        <f aca="false">SRC_OAI_109*E16</f>
        <v>15</v>
      </c>
      <c r="F17" s="9" t="n">
        <f aca="false">SRC_OAI_109*F16</f>
        <v>0</v>
      </c>
      <c r="G17" s="9" t="n">
        <f aca="false">SRC_OAI_109*G16</f>
        <v>0</v>
      </c>
      <c r="H17" s="9" t="n">
        <f aca="false">SRC_OAI_109*H16</f>
        <v>0</v>
      </c>
      <c r="I17" s="9" t="n">
        <f aca="false">SRC_OAI_109*I16</f>
        <v>0</v>
      </c>
      <c r="Q17" s="12" t="s">
        <v>6</v>
      </c>
    </row>
    <row r="18" customFormat="false" ht="15" hidden="false" customHeight="false" outlineLevel="0" collapsed="false">
      <c r="A18" s="9" t="s">
        <v>3011</v>
      </c>
      <c r="B18" s="10" t="s">
        <v>3012</v>
      </c>
      <c r="C18" s="9" t="s">
        <v>68</v>
      </c>
      <c r="D18" s="9" t="n">
        <f aca="false">SRC_OAI_110*D16</f>
        <v>0</v>
      </c>
      <c r="E18" s="9" t="n">
        <f aca="false">SRC_OAI_110*E16</f>
        <v>30</v>
      </c>
      <c r="F18" s="9" t="n">
        <f aca="false">SRC_OAI_110*F16</f>
        <v>0</v>
      </c>
      <c r="G18" s="9" t="n">
        <f aca="false">SRC_OAI_110*G16</f>
        <v>0</v>
      </c>
      <c r="H18" s="9" t="n">
        <f aca="false">SRC_OAI_110*H16</f>
        <v>0</v>
      </c>
      <c r="I18" s="9" t="n">
        <f aca="false">SRC_OAI_110*I16</f>
        <v>0</v>
      </c>
      <c r="Q18" s="12" t="s">
        <v>3013</v>
      </c>
    </row>
    <row r="19" customFormat="false" ht="15" hidden="false" customHeight="false" outlineLevel="0" collapsed="false">
      <c r="A19" s="9" t="s">
        <v>3014</v>
      </c>
      <c r="B19" s="10" t="s">
        <v>3015</v>
      </c>
      <c r="C19" s="9" t="s">
        <v>68</v>
      </c>
      <c r="D19" s="9" t="n">
        <f aca="false">SRC_OAI_111*INP_245*D16</f>
        <v>0</v>
      </c>
      <c r="E19" s="9" t="n">
        <f aca="false">SRC_OAI_111*INP_245*E16</f>
        <v>30</v>
      </c>
      <c r="F19" s="9" t="n">
        <f aca="false">SRC_OAI_111*INP_245*F16</f>
        <v>0</v>
      </c>
      <c r="G19" s="9" t="n">
        <f aca="false">SRC_OAI_111*INP_245*G16</f>
        <v>0</v>
      </c>
      <c r="H19" s="9" t="n">
        <f aca="false">SRC_OAI_111*INP_245*H16</f>
        <v>0</v>
      </c>
      <c r="I19" s="9" t="n">
        <f aca="false">SRC_OAI_111*INP_245*I16</f>
        <v>0</v>
      </c>
      <c r="Q19" s="12" t="s">
        <v>3016</v>
      </c>
    </row>
    <row r="20" customFormat="false" ht="15" hidden="false" customHeight="false" outlineLevel="0" collapsed="false">
      <c r="A20" s="9" t="s">
        <v>3017</v>
      </c>
      <c r="B20" s="10" t="s">
        <v>3018</v>
      </c>
      <c r="C20" s="9" t="s">
        <v>68</v>
      </c>
      <c r="D20" s="9" t="n">
        <f aca="false">SRC_OAI_112*D16</f>
        <v>0</v>
      </c>
      <c r="E20" s="9" t="n">
        <f aca="false">SRC_OAI_112*E16</f>
        <v>12</v>
      </c>
      <c r="F20" s="9" t="n">
        <f aca="false">SRC_OAI_112*F16</f>
        <v>0</v>
      </c>
      <c r="G20" s="9" t="n">
        <f aca="false">SRC_OAI_112*G16</f>
        <v>0</v>
      </c>
      <c r="H20" s="9" t="n">
        <f aca="false">SRC_OAI_112*H16</f>
        <v>0</v>
      </c>
      <c r="I20" s="9" t="n">
        <f aca="false">SRC_OAI_112*I16</f>
        <v>0</v>
      </c>
      <c r="Q20" s="12" t="s">
        <v>3019</v>
      </c>
    </row>
    <row r="21" customFormat="false" ht="15" hidden="false" customHeight="false" outlineLevel="0" collapsed="false">
      <c r="A21" s="9" t="s">
        <v>3020</v>
      </c>
      <c r="B21" s="10" t="s">
        <v>3021</v>
      </c>
      <c r="C21" s="9" t="s">
        <v>68</v>
      </c>
      <c r="D21" s="9" t="n">
        <f aca="false">D17+D18+D19+D20</f>
        <v>0</v>
      </c>
      <c r="E21" s="9" t="n">
        <f aca="false">E17+E18+E19+E20</f>
        <v>87</v>
      </c>
      <c r="F21" s="9" t="n">
        <f aca="false">F17+F18+F19+F20</f>
        <v>0</v>
      </c>
      <c r="G21" s="9" t="n">
        <f aca="false">G17+G18+G19+G20</f>
        <v>0</v>
      </c>
      <c r="H21" s="9" t="n">
        <f aca="false">H17+H18+H19+H20</f>
        <v>0</v>
      </c>
      <c r="I21" s="9" t="n">
        <f aca="false">I17+I18+I19+I20</f>
        <v>0</v>
      </c>
      <c r="Q21" s="12" t="s">
        <v>3022</v>
      </c>
    </row>
    <row r="22" customFormat="false" ht="15" hidden="false" customHeight="false" outlineLevel="0" collapsed="false">
      <c r="A22" s="9" t="s">
        <v>3023</v>
      </c>
      <c r="B22" s="10" t="s">
        <v>3024</v>
      </c>
      <c r="C22" s="9" t="s">
        <v>68</v>
      </c>
      <c r="D22" s="9" t="n">
        <f aca="false">SRC_OAI_111*(1-INP_245)*D16</f>
        <v>0</v>
      </c>
      <c r="E22" s="9" t="n">
        <f aca="false">SRC_OAI_111*(1-INP_245)*E16</f>
        <v>0</v>
      </c>
      <c r="F22" s="9" t="n">
        <f aca="false">SRC_OAI_111*(1-INP_245)*F16</f>
        <v>0</v>
      </c>
      <c r="G22" s="9" t="n">
        <f aca="false">SRC_OAI_111*(1-INP_245)*G16</f>
        <v>0</v>
      </c>
      <c r="H22" s="9" t="n">
        <f aca="false">SRC_OAI_111*(1-INP_245)*H16</f>
        <v>0</v>
      </c>
      <c r="I22" s="9" t="n">
        <f aca="false">SRC_OAI_111*(1-INP_245)*I16</f>
        <v>0</v>
      </c>
      <c r="Q22" s="12" t="s">
        <v>3025</v>
      </c>
    </row>
    <row r="23" customFormat="false" ht="15" hidden="false" customHeight="false" outlineLevel="0" collapsed="false">
      <c r="A23" s="9" t="s">
        <v>3026</v>
      </c>
      <c r="B23" s="9" t="s">
        <v>3027</v>
      </c>
      <c r="C23" s="9" t="s">
        <v>68</v>
      </c>
      <c r="D23" s="9" t="n">
        <f aca="false">SRC_OAI_082*INP_274*N(D$6=INP_275)</f>
        <v>0</v>
      </c>
      <c r="E23" s="9" t="n">
        <f aca="false">SRC_OAI_082*INP_274*N(E$6=INP_275)</f>
        <v>0</v>
      </c>
      <c r="F23" s="9" t="n">
        <f aca="false">SRC_OAI_082*INP_274*N(F$6=INP_275)</f>
        <v>0</v>
      </c>
      <c r="G23" s="9" t="n">
        <f aca="false">SRC_OAI_082*INP_274*N(G$6=INP_275)</f>
        <v>0</v>
      </c>
      <c r="H23" s="9" t="n">
        <f aca="false">SRC_OAI_082*INP_274*N(H$6=INP_275)</f>
        <v>0</v>
      </c>
      <c r="I23" s="9" t="n">
        <f aca="false">SRC_OAI_082*INP_274*N(I$6=INP_275)</f>
        <v>0</v>
      </c>
      <c r="Q23" s="12" t="s">
        <v>3028</v>
      </c>
    </row>
    <row r="24" customFormat="false" ht="15" hidden="false" customHeight="false" outlineLevel="0" collapsed="false">
      <c r="A24" s="9" t="s">
        <v>3029</v>
      </c>
      <c r="B24" s="10" t="s">
        <v>3030</v>
      </c>
      <c r="C24" s="9" t="s">
        <v>68</v>
      </c>
      <c r="D24" s="9" t="n">
        <f aca="false">D21+D23</f>
        <v>0</v>
      </c>
      <c r="E24" s="9" t="n">
        <f aca="false">E21+E23</f>
        <v>87</v>
      </c>
      <c r="F24" s="9" t="n">
        <f aca="false">F21+F23</f>
        <v>0</v>
      </c>
      <c r="G24" s="9" t="n">
        <f aca="false">G21+G23</f>
        <v>0</v>
      </c>
      <c r="H24" s="9" t="n">
        <f aca="false">H21+H23</f>
        <v>0</v>
      </c>
      <c r="I24" s="9" t="n">
        <f aca="false">I21+I23</f>
        <v>0</v>
      </c>
      <c r="L24" s="2" t="n">
        <v>87</v>
      </c>
      <c r="M24" s="2" t="n">
        <v>0</v>
      </c>
      <c r="N24" s="2" t="n">
        <v>0</v>
      </c>
      <c r="O24" s="2" t="n">
        <v>0</v>
      </c>
      <c r="P24" s="2" t="n">
        <v>0</v>
      </c>
      <c r="Q24" s="2"/>
    </row>
    <row r="25" customFormat="false" ht="15" hidden="false" customHeight="false" outlineLevel="0" collapsed="false">
      <c r="A25" s="15" t="s">
        <v>3031</v>
      </c>
    </row>
    <row r="26" customFormat="false" ht="15" hidden="false" customHeight="false" outlineLevel="0" collapsed="false">
      <c r="A26" s="9" t="s">
        <v>3032</v>
      </c>
      <c r="B26" s="10" t="s">
        <v>1558</v>
      </c>
      <c r="C26" s="9" t="s">
        <v>68</v>
      </c>
      <c r="D26" s="9" t="n">
        <f aca="false">INP_203</f>
        <v>10</v>
      </c>
      <c r="E26" s="9" t="n">
        <f aca="false">INP_203</f>
        <v>10</v>
      </c>
      <c r="F26" s="9" t="n">
        <f aca="false">INP_203</f>
        <v>10</v>
      </c>
      <c r="G26" s="9" t="n">
        <f aca="false">INP_203</f>
        <v>10</v>
      </c>
      <c r="H26" s="9" t="n">
        <f aca="false">INP_203</f>
        <v>10</v>
      </c>
      <c r="I26" s="9" t="n">
        <f aca="false">INP_203</f>
        <v>10</v>
      </c>
      <c r="Q26" s="12" t="s">
        <v>3033</v>
      </c>
    </row>
    <row r="27" customFormat="false" ht="15" hidden="false" customHeight="false" outlineLevel="0" collapsed="false">
      <c r="A27" s="9" t="s">
        <v>3034</v>
      </c>
      <c r="B27" s="10" t="s">
        <v>3035</v>
      </c>
      <c r="C27" s="9" t="s">
        <v>68</v>
      </c>
      <c r="E27" s="9" t="n">
        <f aca="false">SRC_OAI_079</f>
        <v>40</v>
      </c>
      <c r="F27" s="9" t="n">
        <f aca="false">E30</f>
        <v>87.584070223322</v>
      </c>
      <c r="G27" s="9" t="n">
        <f aca="false">F30</f>
        <v>10</v>
      </c>
      <c r="H27" s="9" t="n">
        <f aca="false">G30</f>
        <v>10</v>
      </c>
      <c r="I27" s="9" t="n">
        <f aca="false">H30</f>
        <v>10</v>
      </c>
      <c r="L27" s="2" t="n">
        <v>40</v>
      </c>
      <c r="M27" s="2" t="n">
        <v>89.2242597082044</v>
      </c>
      <c r="N27" s="2" t="n">
        <v>10</v>
      </c>
      <c r="O27" s="2" t="n">
        <v>10</v>
      </c>
      <c r="P27" s="2" t="n">
        <v>10</v>
      </c>
      <c r="Q27" s="12" t="s">
        <v>3036</v>
      </c>
    </row>
    <row r="28" customFormat="false" ht="15" hidden="false" customHeight="false" outlineLevel="0" collapsed="false">
      <c r="A28" s="9" t="s">
        <v>3037</v>
      </c>
      <c r="B28" s="10" t="s">
        <v>3038</v>
      </c>
      <c r="C28" s="9" t="s">
        <v>68</v>
      </c>
      <c r="E28" s="9" t="n">
        <f aca="false">E27+E13+E24</f>
        <v>87.584070223322</v>
      </c>
      <c r="F28" s="9" t="n">
        <f aca="false">F27+F13+F24</f>
        <v>-28.4332494120481</v>
      </c>
      <c r="G28" s="9" t="n">
        <f aca="false">G27+G13+G24</f>
        <v>-124.878131122624</v>
      </c>
      <c r="H28" s="9" t="n">
        <f aca="false">H27+H13+H24</f>
        <v>-127.624622192723</v>
      </c>
      <c r="I28" s="9" t="n">
        <f aca="false">I27+I13+I24</f>
        <v>-121.908808926133</v>
      </c>
      <c r="L28" s="2" t="n">
        <v>89.2242597082044</v>
      </c>
      <c r="M28" s="2" t="n">
        <v>-24.3770350410095</v>
      </c>
      <c r="N28" s="2" t="n">
        <v>-121.778916641258</v>
      </c>
      <c r="O28" s="2" t="n">
        <v>-124.947173547502</v>
      </c>
      <c r="P28" s="2" t="n">
        <v>-115.12430534479</v>
      </c>
      <c r="Q28" s="2"/>
    </row>
    <row r="29" customFormat="false" ht="15" hidden="false" customHeight="false" outlineLevel="0" collapsed="false">
      <c r="A29" s="9" t="s">
        <v>3039</v>
      </c>
      <c r="B29" s="10" t="s">
        <v>3040</v>
      </c>
      <c r="C29" s="9" t="s">
        <v>68</v>
      </c>
      <c r="E29" s="9" t="n">
        <f aca="false">(E26-E28)*(E26&gt;E28)</f>
        <v>-0</v>
      </c>
      <c r="F29" s="9" t="n">
        <f aca="false">(F26-F28)*(F26&gt;F28)</f>
        <v>38.4332494120481</v>
      </c>
      <c r="G29" s="9" t="n">
        <f aca="false">(G26-G28)*(G26&gt;G28)</f>
        <v>134.878131122624</v>
      </c>
      <c r="H29" s="9" t="n">
        <f aca="false">(H26-H28)*(H26&gt;H28)</f>
        <v>137.624622192723</v>
      </c>
      <c r="I29" s="9" t="n">
        <f aca="false">(I26-I28)*(I26&gt;I28)</f>
        <v>131.908808926133</v>
      </c>
      <c r="L29" s="2" t="n">
        <v>0</v>
      </c>
      <c r="M29" s="2" t="n">
        <v>34.3770350410095</v>
      </c>
      <c r="N29" s="2" t="n">
        <v>131.778916641258</v>
      </c>
      <c r="O29" s="2" t="n">
        <v>134.947173547502</v>
      </c>
      <c r="P29" s="2" t="n">
        <v>125.12430534479</v>
      </c>
      <c r="Q29" s="2" t="s">
        <v>3041</v>
      </c>
    </row>
    <row r="30" customFormat="false" ht="15" hidden="false" customHeight="false" outlineLevel="0" collapsed="false">
      <c r="A30" s="9" t="s">
        <v>3042</v>
      </c>
      <c r="B30" s="10" t="s">
        <v>3043</v>
      </c>
      <c r="C30" s="9" t="s">
        <v>68</v>
      </c>
      <c r="D30" s="9" t="n">
        <f aca="false">SRC_OAI_079</f>
        <v>40</v>
      </c>
      <c r="E30" s="9" t="n">
        <f aca="false">E28+E29</f>
        <v>87.584070223322</v>
      </c>
      <c r="F30" s="9" t="n">
        <f aca="false">F28+F29</f>
        <v>10</v>
      </c>
      <c r="G30" s="9" t="n">
        <f aca="false">G28+G29</f>
        <v>10</v>
      </c>
      <c r="H30" s="9" t="n">
        <f aca="false">H28+H29</f>
        <v>10</v>
      </c>
      <c r="I30" s="9" t="n">
        <f aca="false">I28+I29</f>
        <v>10</v>
      </c>
      <c r="L30" s="2" t="n">
        <v>89.2242597082044</v>
      </c>
      <c r="M30" s="2" t="n">
        <v>10</v>
      </c>
      <c r="N30" s="2" t="n">
        <v>10</v>
      </c>
      <c r="O30" s="2" t="n">
        <v>10</v>
      </c>
      <c r="P30" s="2" t="n">
        <v>10</v>
      </c>
      <c r="Q30" s="12" t="s">
        <v>3044</v>
      </c>
    </row>
    <row r="31" customFormat="false" ht="15" hidden="false" customHeight="false" outlineLevel="0" collapsed="false">
      <c r="A31" s="9" t="s">
        <v>3045</v>
      </c>
      <c r="B31" s="10" t="s">
        <v>3046</v>
      </c>
      <c r="C31" s="9" t="s">
        <v>68</v>
      </c>
      <c r="E31" s="9" t="n">
        <f aca="false">E29</f>
        <v>-0</v>
      </c>
      <c r="F31" s="9" t="n">
        <f aca="false">E31+F29</f>
        <v>38.4332494120481</v>
      </c>
      <c r="G31" s="9" t="n">
        <f aca="false">F31+G29</f>
        <v>173.311380534672</v>
      </c>
      <c r="H31" s="9" t="n">
        <f aca="false">G31+H29</f>
        <v>310.936002727395</v>
      </c>
      <c r="I31" s="9" t="n">
        <f aca="false">H31+I29</f>
        <v>442.844811653528</v>
      </c>
      <c r="L31" s="2" t="n">
        <v>0</v>
      </c>
      <c r="M31" s="2" t="n">
        <v>34.3770350410095</v>
      </c>
      <c r="N31" s="2" t="n">
        <v>166.155951682268</v>
      </c>
      <c r="O31" s="2" t="n">
        <v>301.10312522977</v>
      </c>
      <c r="P31" s="2" t="n">
        <v>426.22743057456</v>
      </c>
      <c r="Q31" s="12" t="s">
        <v>3047</v>
      </c>
    </row>
    <row r="32" customFormat="false" ht="15" hidden="false" customHeight="false" outlineLevel="0" collapsed="false">
      <c r="A32" s="9" t="s">
        <v>3048</v>
      </c>
      <c r="B32" s="10" t="s">
        <v>3049</v>
      </c>
      <c r="C32" s="10" t="s">
        <v>2334</v>
      </c>
      <c r="E32" s="9" t="n">
        <f aca="false">SIGN(E29)</f>
        <v>0</v>
      </c>
      <c r="F32" s="9" t="n">
        <f aca="false">SIGN(F29)</f>
        <v>1</v>
      </c>
      <c r="G32" s="9" t="n">
        <f aca="false">SIGN(G29)</f>
        <v>1</v>
      </c>
      <c r="H32" s="9" t="n">
        <f aca="false">SIGN(H29)</f>
        <v>1</v>
      </c>
      <c r="I32" s="9" t="n">
        <f aca="false">SIGN(I29)</f>
        <v>1</v>
      </c>
      <c r="Q32" s="12" t="s">
        <v>3050</v>
      </c>
    </row>
    <row r="33" customFormat="false" ht="15" hidden="false" customHeight="false" outlineLevel="0" collapsed="false">
      <c r="A33" s="9" t="s">
        <v>3051</v>
      </c>
      <c r="B33" s="10" t="s">
        <v>3052</v>
      </c>
      <c r="C33" s="10" t="s">
        <v>152</v>
      </c>
      <c r="E33" s="9" t="str">
        <f aca="false">IF(E32,E$6,"")</f>
        <v/>
      </c>
      <c r="F33" s="9" t="n">
        <f aca="false">IF(F32,F$6,"")</f>
        <v>2027</v>
      </c>
      <c r="G33" s="9" t="n">
        <f aca="false">IF(G32,G$6,"")</f>
        <v>2028</v>
      </c>
      <c r="H33" s="9" t="n">
        <f aca="false">IF(H32,H$6,"")</f>
        <v>2029</v>
      </c>
      <c r="I33" s="9" t="n">
        <f aca="false">IF(I32,I$6,"")</f>
        <v>2030</v>
      </c>
      <c r="Q33" s="12" t="s">
        <v>3053</v>
      </c>
    </row>
    <row r="34" customFormat="false" ht="15" hidden="false" customHeight="false" outlineLevel="0" collapsed="false">
      <c r="A34" s="9" t="s">
        <v>3054</v>
      </c>
      <c r="B34" s="10" t="s">
        <v>3055</v>
      </c>
      <c r="C34" s="9" t="s">
        <v>68</v>
      </c>
      <c r="E34" s="9" t="n">
        <f aca="false">SRC_OAI_079+E13+E24</f>
        <v>87.584070223322</v>
      </c>
      <c r="F34" s="9" t="n">
        <f aca="false">E34+F13+F24</f>
        <v>-28.4332494120481</v>
      </c>
      <c r="G34" s="9" t="n">
        <f aca="false">F34+G13+G24</f>
        <v>-163.311380534672</v>
      </c>
      <c r="H34" s="9" t="n">
        <f aca="false">G34+H13+H24</f>
        <v>-300.936002727395</v>
      </c>
      <c r="I34" s="9" t="n">
        <f aca="false">H34+I13+I24</f>
        <v>-432.844811653528</v>
      </c>
      <c r="Q34" s="2" t="s">
        <v>3056</v>
      </c>
    </row>
    <row r="35" customFormat="false" ht="15" hidden="false" customHeight="false" outlineLevel="0" collapsed="false">
      <c r="A35" s="9" t="s">
        <v>3057</v>
      </c>
      <c r="B35" s="10" t="s">
        <v>3058</v>
      </c>
      <c r="C35" s="10" t="s">
        <v>152</v>
      </c>
      <c r="E35" s="9" t="str">
        <f aca="false">IF(E34&lt;E26,E$6,"")</f>
        <v/>
      </c>
      <c r="F35" s="9" t="n">
        <f aca="false">IF(F34&lt;F26,F$6,"")</f>
        <v>2027</v>
      </c>
      <c r="G35" s="9" t="n">
        <f aca="false">IF(G34&lt;G26,G$6,"")</f>
        <v>2028</v>
      </c>
      <c r="H35" s="9" t="n">
        <f aca="false">IF(H34&lt;H26,H$6,"")</f>
        <v>2029</v>
      </c>
      <c r="I35" s="9" t="n">
        <f aca="false">IF(I34&lt;I26,I$6,"")</f>
        <v>2030</v>
      </c>
      <c r="Q35" s="12" t="s">
        <v>3059</v>
      </c>
    </row>
    <row r="36" customFormat="false" ht="15" hidden="false" customHeight="false" outlineLevel="0" collapsed="false">
      <c r="A36" s="9" t="s">
        <v>3060</v>
      </c>
      <c r="B36" s="10" t="s">
        <v>3061</v>
      </c>
      <c r="C36" s="10" t="s">
        <v>152</v>
      </c>
      <c r="E36" s="9" t="str">
        <f aca="false">IF(AND(E32,E29=MAX($E$29:$I$29)),E$6,"")</f>
        <v/>
      </c>
      <c r="F36" s="9" t="str">
        <f aca="false">IF(AND(F32,F29=MAX($E$29:$I$29)),F$6,"")</f>
        <v/>
      </c>
      <c r="G36" s="9" t="str">
        <f aca="false">IF(AND(G32,G29=MAX($E$29:$I$29)),G$6,"")</f>
        <v/>
      </c>
      <c r="H36" s="9" t="n">
        <f aca="false">IF(AND(H32,H29=MAX($E$29:$I$29)),H$6,"")</f>
        <v>2029</v>
      </c>
      <c r="I36" s="9" t="str">
        <f aca="false">IF(AND(I32,I29=MAX($E$29:$I$29)),I$6,"")</f>
        <v/>
      </c>
      <c r="Q36" s="2"/>
    </row>
    <row r="37" customFormat="false" ht="15" hidden="false" customHeight="false" outlineLevel="0" collapsed="false">
      <c r="A37" s="15" t="s">
        <v>3062</v>
      </c>
    </row>
    <row r="38" customFormat="false" ht="15" hidden="false" customHeight="false" outlineLevel="0" collapsed="false">
      <c r="A38" s="9" t="s">
        <v>3063</v>
      </c>
      <c r="B38" s="9" t="s">
        <v>3064</v>
      </c>
      <c r="C38" s="9" t="s">
        <v>68</v>
      </c>
      <c r="D38" s="9" t="n">
        <f aca="false">SRC_OAI_082*N(D$6=INP_275)</f>
        <v>0</v>
      </c>
      <c r="E38" s="9" t="n">
        <f aca="false">SRC_OAI_082*N(E$6=INP_275)</f>
        <v>35</v>
      </c>
      <c r="F38" s="9" t="n">
        <f aca="false">SRC_OAI_082*N(F$6=INP_275)</f>
        <v>0</v>
      </c>
      <c r="G38" s="9" t="n">
        <f aca="false">SRC_OAI_082*N(G$6=INP_275)</f>
        <v>0</v>
      </c>
      <c r="H38" s="9" t="n">
        <f aca="false">SRC_OAI_082*N(H$6=INP_275)</f>
        <v>0</v>
      </c>
      <c r="I38" s="9" t="n">
        <f aca="false">SRC_OAI_082*N(I$6=INP_275)</f>
        <v>0</v>
      </c>
      <c r="Q38" s="12" t="s">
        <v>3065</v>
      </c>
    </row>
    <row r="39" customFormat="false" ht="15" hidden="false" customHeight="false" outlineLevel="0" collapsed="false">
      <c r="A39" s="9" t="s">
        <v>3066</v>
      </c>
      <c r="B39" s="10" t="s">
        <v>3067</v>
      </c>
      <c r="C39" s="9" t="s">
        <v>68</v>
      </c>
      <c r="D39" s="9" t="n">
        <f aca="false">D21+D38</f>
        <v>0</v>
      </c>
      <c r="E39" s="9" t="n">
        <f aca="false">E21+E38</f>
        <v>122</v>
      </c>
      <c r="F39" s="9" t="n">
        <f aca="false">F21+F38</f>
        <v>0</v>
      </c>
      <c r="G39" s="9" t="n">
        <f aca="false">G21+G38</f>
        <v>0</v>
      </c>
      <c r="H39" s="9" t="n">
        <f aca="false">H21+H38</f>
        <v>0</v>
      </c>
      <c r="I39" s="9" t="n">
        <f aca="false">I21+I38</f>
        <v>0</v>
      </c>
      <c r="Q39" s="2"/>
    </row>
    <row r="40" customFormat="false" ht="15" hidden="false" customHeight="false" outlineLevel="0" collapsed="false">
      <c r="A40" s="9" t="s">
        <v>3068</v>
      </c>
      <c r="B40" s="10" t="s">
        <v>3069</v>
      </c>
      <c r="C40" s="9" t="s">
        <v>68</v>
      </c>
      <c r="E40" s="9" t="n">
        <f aca="false">SRC_OAI_079+E13+E39</f>
        <v>122.584070223322</v>
      </c>
      <c r="F40" s="9" t="n">
        <f aca="false">E42+F13+F39</f>
        <v>6.56675058795192</v>
      </c>
      <c r="G40" s="9" t="n">
        <f aca="false">F42+G13+G39</f>
        <v>-124.878131122624</v>
      </c>
      <c r="H40" s="9" t="n">
        <f aca="false">G42+H13+H39</f>
        <v>-127.624622192723</v>
      </c>
      <c r="I40" s="9" t="n">
        <f aca="false">H42+I13+I39</f>
        <v>-121.908808926133</v>
      </c>
      <c r="Q40" s="2"/>
    </row>
    <row r="41" customFormat="false" ht="15" hidden="false" customHeight="false" outlineLevel="0" collapsed="false">
      <c r="A41" s="9" t="s">
        <v>3070</v>
      </c>
      <c r="B41" s="10" t="s">
        <v>3071</v>
      </c>
      <c r="C41" s="9" t="s">
        <v>68</v>
      </c>
      <c r="E41" s="9" t="n">
        <f aca="false">(E26-E40)*(E26&gt;E40)</f>
        <v>-0</v>
      </c>
      <c r="F41" s="9" t="n">
        <f aca="false">(F26-F40)*(F26&gt;F40)</f>
        <v>3.43324941204808</v>
      </c>
      <c r="G41" s="9" t="n">
        <f aca="false">(G26-G40)*(G26&gt;G40)</f>
        <v>134.878131122624</v>
      </c>
      <c r="H41" s="9" t="n">
        <f aca="false">(H26-H40)*(H26&gt;H40)</f>
        <v>137.624622192723</v>
      </c>
      <c r="I41" s="9" t="n">
        <f aca="false">(I26-I40)*(I26&gt;I40)</f>
        <v>131.908808926133</v>
      </c>
      <c r="Q41" s="2"/>
    </row>
    <row r="42" customFormat="false" ht="15" hidden="false" customHeight="false" outlineLevel="0" collapsed="false">
      <c r="A42" s="9" t="s">
        <v>3072</v>
      </c>
      <c r="B42" s="10" t="s">
        <v>3073</v>
      </c>
      <c r="C42" s="9" t="s">
        <v>68</v>
      </c>
      <c r="D42" s="9" t="n">
        <f aca="false">SRC_OAI_079</f>
        <v>40</v>
      </c>
      <c r="E42" s="9" t="n">
        <f aca="false">E40+E41</f>
        <v>122.584070223322</v>
      </c>
      <c r="F42" s="9" t="n">
        <f aca="false">F40+F41</f>
        <v>10</v>
      </c>
      <c r="G42" s="9" t="n">
        <f aca="false">G40+G41</f>
        <v>10</v>
      </c>
      <c r="H42" s="9" t="n">
        <f aca="false">H40+H41</f>
        <v>10</v>
      </c>
      <c r="I42" s="9" t="n">
        <f aca="false">I40+I41</f>
        <v>10</v>
      </c>
      <c r="Q42" s="2"/>
    </row>
    <row r="43" customFormat="false" ht="15" hidden="false" customHeight="false" outlineLevel="0" collapsed="false">
      <c r="A43" s="9" t="s">
        <v>3074</v>
      </c>
      <c r="B43" s="10" t="s">
        <v>3075</v>
      </c>
      <c r="C43" s="9" t="s">
        <v>68</v>
      </c>
      <c r="E43" s="9" t="n">
        <f aca="false">E41</f>
        <v>-0</v>
      </c>
      <c r="F43" s="9" t="n">
        <f aca="false">E43+F41</f>
        <v>3.43324941204808</v>
      </c>
      <c r="G43" s="9" t="n">
        <f aca="false">F43+G41</f>
        <v>138.311380534672</v>
      </c>
      <c r="H43" s="9" t="n">
        <f aca="false">G43+H41</f>
        <v>275.936002727395</v>
      </c>
      <c r="I43" s="9" t="n">
        <f aca="false">H43+I41</f>
        <v>407.844811653528</v>
      </c>
      <c r="Q43" s="2"/>
    </row>
    <row r="44" customFormat="false" ht="15" hidden="false" customHeight="false" outlineLevel="0" collapsed="false">
      <c r="A44" s="15" t="s">
        <v>3076</v>
      </c>
    </row>
    <row r="45" customFormat="false" ht="15" hidden="false" customHeight="false" outlineLevel="0" collapsed="false">
      <c r="A45" s="9" t="s">
        <v>3077</v>
      </c>
      <c r="B45" s="10" t="s">
        <v>466</v>
      </c>
      <c r="C45" s="9" t="s">
        <v>68</v>
      </c>
      <c r="D45" s="9" t="n">
        <f aca="false">SRC_OAI_083</f>
        <v>250</v>
      </c>
      <c r="K45" s="2" t="n">
        <v>250</v>
      </c>
      <c r="Q45" s="12" t="s">
        <v>3078</v>
      </c>
    </row>
    <row r="46" customFormat="false" ht="15" hidden="false" customHeight="false" outlineLevel="0" collapsed="false">
      <c r="A46" s="9" t="s">
        <v>3079</v>
      </c>
      <c r="B46" s="10" t="s">
        <v>3080</v>
      </c>
      <c r="C46" s="9" t="s">
        <v>68</v>
      </c>
      <c r="D46" s="9" t="n">
        <f aca="false">SRC_OAI_084</f>
        <v>350</v>
      </c>
      <c r="K46" s="2" t="n">
        <v>350</v>
      </c>
      <c r="Q46" s="12" t="s">
        <v>3081</v>
      </c>
    </row>
    <row r="47" customFormat="false" ht="15" hidden="false" customHeight="false" outlineLevel="0" collapsed="false">
      <c r="A47" s="9" t="s">
        <v>3082</v>
      </c>
      <c r="B47" s="10" t="s">
        <v>3083</v>
      </c>
      <c r="C47" s="9" t="s">
        <v>68</v>
      </c>
      <c r="D47" s="9" t="n">
        <f aca="false">D45+D46</f>
        <v>600</v>
      </c>
      <c r="Q47" s="2" t="s">
        <v>3084</v>
      </c>
    </row>
    <row r="48" customFormat="false" ht="15" hidden="false" customHeight="false" outlineLevel="0" collapsed="false">
      <c r="A48" s="9" t="s">
        <v>3085</v>
      </c>
      <c r="B48" s="10" t="s">
        <v>3086</v>
      </c>
      <c r="C48" s="9" t="s">
        <v>68</v>
      </c>
      <c r="D48" s="9" t="n">
        <f aca="false">SRC_OAI_077</f>
        <v>665</v>
      </c>
      <c r="Q48" s="12" t="s">
        <v>3087</v>
      </c>
    </row>
    <row r="49" customFormat="false" ht="15" hidden="false" customHeight="false" outlineLevel="0" collapsed="false">
      <c r="A49" s="9" t="s">
        <v>3088</v>
      </c>
      <c r="B49" s="10" t="s">
        <v>3089</v>
      </c>
      <c r="C49" s="9" t="s">
        <v>68</v>
      </c>
      <c r="D49" s="14" t="n">
        <f aca="false">(SRC_OAI_057+SRC_OAI_058+SRC_OAI_062+SRC_OAI_065+SRC_OAI_070+INP_184)-SUM(Cost!D23:I23)</f>
        <v>133.547619047619</v>
      </c>
      <c r="K49" s="2" t="n">
        <v>133.547619047619</v>
      </c>
      <c r="Q49" s="12" t="s">
        <v>3090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3091</v>
      </c>
    </row>
    <row r="2" customFormat="false" ht="15" hidden="false" customHeight="false" outlineLevel="0" collapsed="false">
      <c r="A2" s="12" t="s">
        <v>3092</v>
      </c>
    </row>
    <row r="3" customFormat="false" ht="15" hidden="false" customHeight="false" outlineLevel="0" collapsed="false">
      <c r="A3" s="2" t="s">
        <v>3093</v>
      </c>
    </row>
    <row r="5" customFormat="false" ht="15" hidden="false" customHeight="false" outlineLevel="0" collapsed="false">
      <c r="A5" s="8" t="s">
        <v>1955</v>
      </c>
      <c r="B5" s="8" t="s">
        <v>1956</v>
      </c>
      <c r="C5" s="8" t="s">
        <v>46</v>
      </c>
      <c r="D5" s="7" t="s">
        <v>411</v>
      </c>
      <c r="E5" s="7" t="s">
        <v>423</v>
      </c>
      <c r="F5" s="7" t="s">
        <v>1207</v>
      </c>
      <c r="G5" s="7" t="s">
        <v>1209</v>
      </c>
      <c r="H5" s="7" t="s">
        <v>1211</v>
      </c>
      <c r="I5" s="7" t="s">
        <v>1213</v>
      </c>
      <c r="J5" s="8"/>
      <c r="K5" s="7" t="s">
        <v>2032</v>
      </c>
      <c r="L5" s="7" t="s">
        <v>2033</v>
      </c>
      <c r="M5" s="7" t="s">
        <v>2034</v>
      </c>
      <c r="N5" s="7" t="s">
        <v>2035</v>
      </c>
      <c r="O5" s="7" t="s">
        <v>2036</v>
      </c>
      <c r="P5" s="7" t="s">
        <v>2037</v>
      </c>
      <c r="Q5" s="8" t="s">
        <v>815</v>
      </c>
    </row>
    <row r="6" customFormat="false" ht="15" hidden="false" customHeight="false" outlineLevel="0" collapsed="false">
      <c r="B6" s="3" t="s">
        <v>2038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3094</v>
      </c>
    </row>
    <row r="8" customFormat="false" ht="15" hidden="false" customHeight="false" outlineLevel="0" collapsed="false">
      <c r="A8" s="9" t="s">
        <v>3095</v>
      </c>
      <c r="B8" s="10" t="s">
        <v>3096</v>
      </c>
      <c r="C8" s="9" t="s">
        <v>68</v>
      </c>
      <c r="D8" s="9" t="n">
        <f aca="false">SRC_OAI_002</f>
        <v>13.07</v>
      </c>
      <c r="E8" s="9" t="n">
        <f aca="false">SRC_OAI_043</f>
        <v>36</v>
      </c>
      <c r="F8" s="9" t="n">
        <f aca="false">INP_271</f>
        <v>75.1</v>
      </c>
      <c r="G8" s="9" t="n">
        <f aca="false">INP_272</f>
        <v>141.5</v>
      </c>
      <c r="H8" s="9" t="n">
        <f aca="false">SRC_OAI_045-E8-F8-G8-I8</f>
        <v>237.4</v>
      </c>
      <c r="I8" s="9" t="n">
        <f aca="false">SRC_OAI_044</f>
        <v>350</v>
      </c>
      <c r="K8" s="2" t="n">
        <v>13.07</v>
      </c>
      <c r="L8" s="2" t="n">
        <v>36</v>
      </c>
      <c r="M8" s="2" t="n">
        <v>75.1</v>
      </c>
      <c r="N8" s="2" t="n">
        <v>141.5</v>
      </c>
      <c r="O8" s="2" t="n">
        <v>237.4</v>
      </c>
      <c r="P8" s="2" t="n">
        <v>350</v>
      </c>
      <c r="Q8" s="12" t="s">
        <v>3097</v>
      </c>
    </row>
    <row r="9" customFormat="false" ht="15" hidden="false" customHeight="false" outlineLevel="0" collapsed="false">
      <c r="A9" s="9" t="s">
        <v>3098</v>
      </c>
      <c r="B9" s="10" t="s">
        <v>3099</v>
      </c>
      <c r="C9" s="9" t="s">
        <v>68</v>
      </c>
      <c r="D9" s="9" t="n">
        <f aca="false">SUM(E8:I8)-SRC_OAI_045</f>
        <v>0</v>
      </c>
      <c r="Q9" s="2" t="s">
        <v>3100</v>
      </c>
    </row>
    <row r="10" customFormat="false" ht="15" hidden="false" customHeight="false" outlineLevel="0" collapsed="false">
      <c r="A10" s="9" t="s">
        <v>3101</v>
      </c>
      <c r="B10" s="10" t="s">
        <v>3102</v>
      </c>
      <c r="C10" s="10" t="s">
        <v>120</v>
      </c>
      <c r="E10" s="9" t="n">
        <f aca="false">(E8-D8)/D8</f>
        <v>1.75439938791125</v>
      </c>
      <c r="F10" s="9" t="n">
        <f aca="false">(F8-E8)/E8</f>
        <v>1.08611111111111</v>
      </c>
      <c r="G10" s="9" t="n">
        <f aca="false">(G8-F8)/F8</f>
        <v>0.884154460719042</v>
      </c>
      <c r="H10" s="9" t="n">
        <f aca="false">(H8-G8)/G8</f>
        <v>0.67773851590106</v>
      </c>
      <c r="I10" s="9" t="n">
        <f aca="false">(I8-H8)/H8</f>
        <v>0.474304970513901</v>
      </c>
      <c r="Q10" s="12" t="s">
        <v>3103</v>
      </c>
    </row>
    <row r="11" customFormat="false" ht="15" hidden="false" customHeight="false" outlineLevel="0" collapsed="false">
      <c r="A11" s="9" t="s">
        <v>3104</v>
      </c>
      <c r="B11" s="10" t="s">
        <v>3105</v>
      </c>
      <c r="C11" s="9" t="s">
        <v>68</v>
      </c>
      <c r="I11" s="9" t="n">
        <f aca="false">SRC_OAI_056</f>
        <v>280</v>
      </c>
      <c r="Q11" s="12" t="s">
        <v>3087</v>
      </c>
    </row>
    <row r="12" customFormat="false" ht="15" hidden="false" customHeight="false" outlineLevel="0" collapsed="false">
      <c r="A12" s="15" t="s">
        <v>3106</v>
      </c>
    </row>
    <row r="13" customFormat="false" ht="15" hidden="false" customHeight="false" outlineLevel="0" collapsed="false">
      <c r="A13" s="9" t="s">
        <v>3107</v>
      </c>
      <c r="B13" s="10" t="s">
        <v>3108</v>
      </c>
      <c r="C13" s="9" t="s">
        <v>68</v>
      </c>
      <c r="D13" s="14" t="n">
        <f aca="false">Revenue!D74</f>
        <v>13.07</v>
      </c>
      <c r="E13" s="14" t="n">
        <f aca="false">Revenue!E74</f>
        <v>34.2037814299461</v>
      </c>
      <c r="F13" s="14" t="n">
        <f aca="false">Revenue!F74</f>
        <v>54.7956532383272</v>
      </c>
      <c r="G13" s="14" t="n">
        <f aca="false">Revenue!G74</f>
        <v>78.4240890026059</v>
      </c>
      <c r="H13" s="14" t="n">
        <f aca="false">Revenue!H74</f>
        <v>102.127374380687</v>
      </c>
      <c r="I13" s="14" t="n">
        <f aca="false">Revenue!I74</f>
        <v>126.38309270298</v>
      </c>
      <c r="K13" s="2" t="n">
        <v>13.07</v>
      </c>
      <c r="L13" s="2" t="n">
        <v>32.9040311251901</v>
      </c>
      <c r="M13" s="2" t="n">
        <v>52.5696018632109</v>
      </c>
      <c r="N13" s="2" t="n">
        <v>74.8836412589141</v>
      </c>
      <c r="O13" s="2" t="n">
        <v>97.168532926659</v>
      </c>
      <c r="P13" s="2" t="n">
        <v>119.881298694689</v>
      </c>
      <c r="Q13" s="12" t="s">
        <v>3109</v>
      </c>
    </row>
    <row r="14" customFormat="false" ht="15" hidden="false" customHeight="false" outlineLevel="0" collapsed="false">
      <c r="A14" s="9" t="s">
        <v>3110</v>
      </c>
      <c r="B14" s="10" t="s">
        <v>3111</v>
      </c>
      <c r="C14" s="9" t="s">
        <v>68</v>
      </c>
      <c r="D14" s="14" t="n">
        <f aca="false">Revenue!D27*Revenue!D73</f>
        <v>8.92141935483871</v>
      </c>
      <c r="E14" s="14" t="n">
        <f aca="false">Revenue!E27*Revenue!E73</f>
        <v>16.9365290322581</v>
      </c>
      <c r="F14" s="14" t="n">
        <f aca="false">Revenue!F27*Revenue!F73</f>
        <v>25.3829520336606</v>
      </c>
      <c r="G14" s="14" t="n">
        <f aca="false">Revenue!G27*Revenue!G73</f>
        <v>33.851418513324</v>
      </c>
      <c r="H14" s="14" t="n">
        <f aca="false">Revenue!H27*Revenue!H73</f>
        <v>40.6852316970547</v>
      </c>
      <c r="I14" s="14" t="n">
        <f aca="false">Revenue!I27*Revenue!I73</f>
        <v>46.5651399719495</v>
      </c>
      <c r="Q14" s="2" t="s">
        <v>2321</v>
      </c>
    </row>
    <row r="15" customFormat="false" ht="15" hidden="false" customHeight="false" outlineLevel="0" collapsed="false">
      <c r="A15" s="9" t="s">
        <v>3112</v>
      </c>
      <c r="B15" s="10" t="s">
        <v>3113</v>
      </c>
      <c r="C15" s="9" t="s">
        <v>68</v>
      </c>
      <c r="D15" s="14" t="n">
        <f aca="false">Revenue!D34*Revenue!D73</f>
        <v>4.14858064516129</v>
      </c>
      <c r="E15" s="14" t="n">
        <f aca="false">Revenue!E34*Revenue!E73</f>
        <v>16.5243023976881</v>
      </c>
      <c r="F15" s="14" t="n">
        <f aca="false">Revenue!F34*Revenue!F73</f>
        <v>27.5542742481448</v>
      </c>
      <c r="G15" s="14" t="n">
        <f aca="false">Revenue!G34*Revenue!G73</f>
        <v>41.662062663195</v>
      </c>
      <c r="H15" s="14" t="n">
        <f aca="false">Revenue!H34*Revenue!H73</f>
        <v>57.2853361618931</v>
      </c>
      <c r="I15" s="14" t="n">
        <f aca="false">Revenue!I34*Revenue!I73</f>
        <v>74.2417956658134</v>
      </c>
      <c r="Q15" s="2" t="s">
        <v>2321</v>
      </c>
    </row>
    <row r="16" customFormat="false" ht="15" hidden="false" customHeight="false" outlineLevel="0" collapsed="false">
      <c r="A16" s="9" t="s">
        <v>3114</v>
      </c>
      <c r="B16" s="10" t="s">
        <v>3115</v>
      </c>
      <c r="C16" s="9" t="s">
        <v>68</v>
      </c>
      <c r="D16" s="14" t="n">
        <f aca="false">Revenue!D30*Revenue!D73</f>
        <v>0</v>
      </c>
      <c r="E16" s="14" t="n">
        <f aca="false">Revenue!E30*Revenue!E73</f>
        <v>0.74295</v>
      </c>
      <c r="F16" s="14" t="n">
        <f aca="false">Revenue!F30*Revenue!F73</f>
        <v>1.85842695652174</v>
      </c>
      <c r="G16" s="14" t="n">
        <f aca="false">Revenue!G30*Revenue!G73</f>
        <v>2.91060782608696</v>
      </c>
      <c r="H16" s="14" t="n">
        <f aca="false">Revenue!H30*Revenue!H73</f>
        <v>4.15680652173913</v>
      </c>
      <c r="I16" s="14" t="n">
        <f aca="false">Revenue!I30*Revenue!I73</f>
        <v>5.57615706521739</v>
      </c>
      <c r="Q16" s="2" t="s">
        <v>2321</v>
      </c>
    </row>
    <row r="17" customFormat="false" ht="15" hidden="false" customHeight="false" outlineLevel="0" collapsed="false">
      <c r="A17" s="9" t="s">
        <v>3116</v>
      </c>
      <c r="B17" s="10" t="s">
        <v>3117</v>
      </c>
      <c r="C17" s="9" t="s">
        <v>68</v>
      </c>
      <c r="D17" s="14" t="n">
        <f aca="false">Revenue!D31*Revenue!D73</f>
        <v>0</v>
      </c>
      <c r="E17" s="14" t="n">
        <f aca="false">Revenue!E31*Revenue!E73</f>
        <v>0</v>
      </c>
      <c r="F17" s="14" t="n">
        <f aca="false">Revenue!F31*Revenue!F73</f>
        <v>0</v>
      </c>
      <c r="G17" s="14" t="n">
        <f aca="false">Revenue!G31*Revenue!G73</f>
        <v>0</v>
      </c>
      <c r="H17" s="14" t="n">
        <f aca="false">Revenue!H31*Revenue!H73</f>
        <v>0</v>
      </c>
      <c r="I17" s="14" t="n">
        <f aca="false">Revenue!I31*Revenue!I73</f>
        <v>0</v>
      </c>
      <c r="Q17" s="2" t="s">
        <v>2321</v>
      </c>
    </row>
    <row r="18" customFormat="false" ht="15" hidden="false" customHeight="false" outlineLevel="0" collapsed="false">
      <c r="A18" s="9" t="s">
        <v>3118</v>
      </c>
      <c r="B18" s="10" t="s">
        <v>3119</v>
      </c>
      <c r="C18" s="9" t="s">
        <v>68</v>
      </c>
      <c r="D18" s="9" t="n">
        <f aca="false">D8-D13</f>
        <v>0</v>
      </c>
      <c r="E18" s="9" t="n">
        <f aca="false">E8-E13</f>
        <v>1.79621857005389</v>
      </c>
      <c r="F18" s="9" t="n">
        <f aca="false">F8-F13</f>
        <v>20.3043467616728</v>
      </c>
      <c r="G18" s="9" t="n">
        <f aca="false">G8-G13</f>
        <v>63.0759109973941</v>
      </c>
      <c r="H18" s="9" t="n">
        <f aca="false">H8-H13</f>
        <v>135.272625619313</v>
      </c>
      <c r="I18" s="9" t="n">
        <f aca="false">I8-I13</f>
        <v>223.61690729702</v>
      </c>
      <c r="K18" s="2" t="n">
        <v>0</v>
      </c>
      <c r="L18" s="2" t="n">
        <v>3.09596887480995</v>
      </c>
      <c r="M18" s="2" t="n">
        <v>22.5303981367891</v>
      </c>
      <c r="N18" s="2" t="n">
        <v>66.616358741086</v>
      </c>
      <c r="O18" s="2" t="n">
        <v>140.231467073341</v>
      </c>
      <c r="P18" s="2" t="n">
        <v>230.118701305311</v>
      </c>
      <c r="Q18" s="2"/>
    </row>
    <row r="19" customFormat="false" ht="15" hidden="false" customHeight="false" outlineLevel="0" collapsed="false">
      <c r="A19" s="9" t="s">
        <v>3120</v>
      </c>
      <c r="B19" s="10" t="s">
        <v>3121</v>
      </c>
      <c r="C19" s="9" t="s">
        <v>68</v>
      </c>
      <c r="D19" s="9" t="n">
        <f aca="false">D8-D16-D17</f>
        <v>13.07</v>
      </c>
      <c r="E19" s="9" t="n">
        <f aca="false">E8-E16-E17</f>
        <v>35.25705</v>
      </c>
      <c r="F19" s="9" t="n">
        <f aca="false">F8-F16-F17</f>
        <v>73.2415730434783</v>
      </c>
      <c r="G19" s="9" t="n">
        <f aca="false">G8-G16-G17</f>
        <v>138.589392173913</v>
      </c>
      <c r="H19" s="9" t="n">
        <f aca="false">H8-H16-H17</f>
        <v>233.243193478261</v>
      </c>
      <c r="I19" s="9" t="n">
        <f aca="false">I8-I16-I17</f>
        <v>344.423842934783</v>
      </c>
      <c r="K19" s="2" t="n">
        <v>13.07</v>
      </c>
      <c r="L19" s="2" t="n">
        <v>35.25705</v>
      </c>
      <c r="M19" s="2" t="n">
        <v>73.2415730434783</v>
      </c>
      <c r="N19" s="2" t="n">
        <v>138.589392173913</v>
      </c>
      <c r="O19" s="2" t="n">
        <v>233.243193478261</v>
      </c>
      <c r="P19" s="2" t="n">
        <v>344.423842934783</v>
      </c>
      <c r="Q19" s="12" t="s">
        <v>3122</v>
      </c>
    </row>
    <row r="20" customFormat="false" ht="15" hidden="false" customHeight="false" outlineLevel="0" collapsed="false">
      <c r="A20" s="15" t="s">
        <v>3123</v>
      </c>
    </row>
    <row r="21" customFormat="false" ht="15" hidden="false" customHeight="false" outlineLevel="0" collapsed="false">
      <c r="A21" s="9" t="s">
        <v>3124</v>
      </c>
      <c r="B21" s="10" t="s">
        <v>3125</v>
      </c>
      <c r="C21" s="10" t="s">
        <v>560</v>
      </c>
      <c r="D21" s="9" t="n">
        <f aca="false">(D19-D14)/D15</f>
        <v>1</v>
      </c>
      <c r="E21" s="9" t="n">
        <f aca="false">(E19-E14)/E15</f>
        <v>1.10870162787055</v>
      </c>
      <c r="F21" s="9" t="n">
        <f aca="false">(F19-F14)/F15</f>
        <v>1.73688555825563</v>
      </c>
      <c r="G21" s="9" t="n">
        <f aca="false">(G19-G14)/G15</f>
        <v>2.51398915380914</v>
      </c>
      <c r="H21" s="9" t="n">
        <f aca="false">(H19-H14)/H15</f>
        <v>3.36138311621357</v>
      </c>
      <c r="I21" s="9" t="n">
        <f aca="false">(I19-I14)/I15</f>
        <v>4.01200833427565</v>
      </c>
      <c r="K21" s="2" t="n">
        <v>1</v>
      </c>
      <c r="L21" s="2" t="n">
        <v>1.2143921639132</v>
      </c>
      <c r="M21" s="2" t="n">
        <v>1.9356541442449</v>
      </c>
      <c r="N21" s="2" t="n">
        <v>2.829681843772</v>
      </c>
      <c r="O21" s="2" t="n">
        <v>3.80115710673556</v>
      </c>
      <c r="P21" s="2" t="n">
        <v>4.54681799154662</v>
      </c>
      <c r="Q21" s="2"/>
    </row>
    <row r="22" customFormat="false" ht="15" hidden="false" customHeight="false" outlineLevel="0" collapsed="false">
      <c r="A22" s="9" t="s">
        <v>3126</v>
      </c>
      <c r="B22" s="10" t="s">
        <v>3127</v>
      </c>
      <c r="C22" s="10" t="s">
        <v>560</v>
      </c>
      <c r="D22" s="9" t="n">
        <f aca="false">(D19-D15)/D14</f>
        <v>1</v>
      </c>
      <c r="E22" s="9" t="n">
        <f aca="false">(E19-E15)/E14</f>
        <v>1.10605588468763</v>
      </c>
      <c r="F22" s="9" t="n">
        <f aca="false">(F19-F15)/F14</f>
        <v>1.79992062131887</v>
      </c>
      <c r="G22" s="9" t="n">
        <f aca="false">(G19-G15)/G14</f>
        <v>2.86331662800385</v>
      </c>
      <c r="H22" s="9" t="n">
        <f aca="false">(H19-H15)/H14</f>
        <v>4.32485818506733</v>
      </c>
      <c r="I22" s="9" t="n">
        <f aca="false">(I19-I15)/I14</f>
        <v>5.80223848638112</v>
      </c>
      <c r="K22" s="2" t="n">
        <v>1</v>
      </c>
      <c r="L22" s="2" t="n">
        <v>1.17471213261608</v>
      </c>
      <c r="M22" s="2" t="n">
        <v>1.84601071040551</v>
      </c>
      <c r="N22" s="2" t="n">
        <v>2.87312327308607</v>
      </c>
      <c r="O22" s="2" t="n">
        <v>4.26501258263889</v>
      </c>
      <c r="P22" s="2" t="n">
        <v>5.65593427454518</v>
      </c>
      <c r="Q22" s="2"/>
    </row>
    <row r="23" customFormat="false" ht="15" hidden="false" customHeight="false" outlineLevel="0" collapsed="false">
      <c r="A23" s="9" t="s">
        <v>3128</v>
      </c>
      <c r="B23" s="10" t="s">
        <v>3129</v>
      </c>
      <c r="C23" s="10" t="s">
        <v>560</v>
      </c>
      <c r="D23" s="9" t="n">
        <f aca="false">D19/(D14+D15)</f>
        <v>1</v>
      </c>
      <c r="E23" s="9" t="n">
        <f aca="false">E19/(E14+E15)</f>
        <v>1.0536812294642</v>
      </c>
      <c r="F23" s="9" t="n">
        <f aca="false">F19/(F14+F15)</f>
        <v>1.38355516878774</v>
      </c>
      <c r="G23" s="9" t="n">
        <f aca="false">G19/(G14+G15)</f>
        <v>1.83529338092557</v>
      </c>
      <c r="H23" s="9" t="n">
        <f aca="false">H19/(H14+H15)</f>
        <v>2.38074759160395</v>
      </c>
      <c r="I23" s="9" t="n">
        <f aca="false">I19/(I14+I15)</f>
        <v>2.85102706327665</v>
      </c>
      <c r="K23" s="2" t="n">
        <v>1</v>
      </c>
      <c r="L23" s="2" t="n">
        <v>1.09626445276384</v>
      </c>
      <c r="M23" s="2" t="n">
        <v>1.44428862431695</v>
      </c>
      <c r="N23" s="2" t="n">
        <v>1.92557386515131</v>
      </c>
      <c r="O23" s="2" t="n">
        <v>2.507675134024</v>
      </c>
      <c r="P23" s="2" t="n">
        <v>3.01319641465698</v>
      </c>
      <c r="Q23" s="2"/>
    </row>
    <row r="24" customFormat="false" ht="15" hidden="false" customHeight="false" outlineLevel="0" collapsed="false">
      <c r="A24" s="9" t="s">
        <v>3130</v>
      </c>
      <c r="B24" s="10" t="s">
        <v>3131</v>
      </c>
      <c r="C24" s="10" t="s">
        <v>560</v>
      </c>
      <c r="E24" s="9" t="n">
        <f aca="false">(E8-SRC_OAI_038-E17)/(E14+E15)</f>
        <v>1.0011705797011</v>
      </c>
      <c r="F24" s="9" t="n">
        <f aca="false">(F8-SRC_OAI_039-F17)/(F14+F15)</f>
        <v>1.21086812631192</v>
      </c>
      <c r="G24" s="9" t="n">
        <f aca="false">(G8-SRC_OAI_040-G17)/(G14+G15)</f>
        <v>1.54277088256164</v>
      </c>
      <c r="H24" s="9" t="n">
        <f aca="false">(H8-SRC_OAI_041-H17)/(H14+H15)</f>
        <v>1.88219792974445</v>
      </c>
      <c r="I24" s="9" t="n">
        <f aca="false">(I8-SRC_OAI_042-I17)/(I14+I15)</f>
        <v>2.06941760984336</v>
      </c>
      <c r="K24" s="2" t="n">
        <v>1</v>
      </c>
      <c r="L24" s="2" t="n">
        <v>1.04163165005548</v>
      </c>
      <c r="M24" s="2" t="n">
        <v>1.26402119686532</v>
      </c>
      <c r="N24" s="2" t="n">
        <v>1.61866180211412</v>
      </c>
      <c r="O24" s="2" t="n">
        <v>1.98254571899061</v>
      </c>
      <c r="P24" s="2" t="n">
        <v>2.18712821169841</v>
      </c>
      <c r="Q24" s="12" t="s">
        <v>3132</v>
      </c>
    </row>
    <row r="25" customFormat="false" ht="15" hidden="false" customHeight="false" outlineLevel="0" collapsed="false">
      <c r="A25" s="15" t="s">
        <v>3133</v>
      </c>
    </row>
    <row r="26" customFormat="false" ht="15" hidden="false" customHeight="false" outlineLevel="0" collapsed="false">
      <c r="A26" s="9" t="s">
        <v>3134</v>
      </c>
      <c r="B26" s="10" t="s">
        <v>3135</v>
      </c>
      <c r="C26" s="9" t="s">
        <v>258</v>
      </c>
      <c r="I26" s="14" t="n">
        <f aca="false">Demand!I15</f>
        <v>283.661290322581</v>
      </c>
      <c r="P26" s="2" t="n">
        <v>285.25</v>
      </c>
      <c r="Q26" s="12" t="s">
        <v>3136</v>
      </c>
    </row>
    <row r="27" customFormat="false" ht="15" hidden="false" customHeight="false" outlineLevel="0" collapsed="false">
      <c r="A27" s="9" t="s">
        <v>3137</v>
      </c>
      <c r="B27" s="10" t="s">
        <v>3138</v>
      </c>
      <c r="C27" s="9" t="s">
        <v>240</v>
      </c>
      <c r="I27" s="9" t="n">
        <f aca="false">I14*INP_253/INP_252/I26</f>
        <v>13.6797951055745</v>
      </c>
      <c r="P27" s="2" t="n">
        <v>14.4390351712838</v>
      </c>
      <c r="Q27" s="2"/>
    </row>
    <row r="28" customFormat="false" ht="15" hidden="false" customHeight="false" outlineLevel="0" collapsed="false">
      <c r="A28" s="9" t="s">
        <v>3139</v>
      </c>
      <c r="B28" s="10" t="s">
        <v>3140</v>
      </c>
      <c r="C28" s="9" t="s">
        <v>258</v>
      </c>
      <c r="I28" s="9" t="n">
        <f aca="false">(I19-I15)*INP_253/INP_252/I27</f>
        <v>1645.87045580621</v>
      </c>
      <c r="P28" s="2" t="n">
        <v>1613.35525181401</v>
      </c>
      <c r="Q28" s="2"/>
    </row>
    <row r="29" customFormat="false" ht="15" hidden="false" customHeight="false" outlineLevel="0" collapsed="false">
      <c r="A29" s="9" t="s">
        <v>3141</v>
      </c>
      <c r="B29" s="10" t="s">
        <v>3142</v>
      </c>
      <c r="C29" s="9" t="s">
        <v>258</v>
      </c>
      <c r="I29" s="9" t="n">
        <f aca="false">SRC_OAI_046</f>
        <v>2750</v>
      </c>
      <c r="Q29" s="12" t="s">
        <v>3143</v>
      </c>
    </row>
    <row r="30" customFormat="false" ht="15" hidden="false" customHeight="false" outlineLevel="0" collapsed="false">
      <c r="A30" s="9" t="s">
        <v>3144</v>
      </c>
      <c r="B30" s="10" t="s">
        <v>3145</v>
      </c>
      <c r="C30" s="9" t="s">
        <v>2012</v>
      </c>
      <c r="I30" s="14" t="n">
        <f aca="false">Demand!I38</f>
        <v>150376.040226363</v>
      </c>
      <c r="P30" s="2" t="n">
        <v>131760.387985667</v>
      </c>
      <c r="Q30" s="12" t="s">
        <v>3146</v>
      </c>
    </row>
    <row r="31" customFormat="false" ht="15" hidden="false" customHeight="false" outlineLevel="0" collapsed="false">
      <c r="A31" s="9" t="s">
        <v>3147</v>
      </c>
      <c r="B31" s="10" t="s">
        <v>3148</v>
      </c>
      <c r="C31" s="9" t="s">
        <v>2012</v>
      </c>
      <c r="I31" s="14" t="n">
        <f aca="false">(I19-I14)/Revenue!I21*INP_253</f>
        <v>603309.926663538</v>
      </c>
      <c r="P31" s="2" t="n">
        <v>599090.502666396</v>
      </c>
      <c r="Q31" s="12" t="s">
        <v>3149</v>
      </c>
    </row>
    <row r="32" customFormat="false" ht="15" hidden="false" customHeight="false" outlineLevel="0" collapsed="false">
      <c r="A32" s="15" t="s">
        <v>3150</v>
      </c>
    </row>
    <row r="33" customFormat="false" ht="15" hidden="false" customHeight="false" outlineLevel="0" collapsed="false">
      <c r="A33" s="9" t="s">
        <v>3151</v>
      </c>
      <c r="B33" s="10" t="s">
        <v>3152</v>
      </c>
      <c r="C33" s="9" t="s">
        <v>68</v>
      </c>
      <c r="I33" s="9" t="n">
        <f aca="false">I13</f>
        <v>126.38309270298</v>
      </c>
      <c r="P33" s="2" t="n">
        <v>119.881298694689</v>
      </c>
      <c r="Q33" s="2"/>
    </row>
    <row r="34" customFormat="false" ht="15" hidden="false" customHeight="false" outlineLevel="0" collapsed="false">
      <c r="A34" s="9" t="s">
        <v>3153</v>
      </c>
      <c r="B34" s="10" t="s">
        <v>3154</v>
      </c>
      <c r="C34" s="9" t="s">
        <v>68</v>
      </c>
      <c r="I34" s="9" t="n">
        <f aca="false">SRC_OAI_042-I16</f>
        <v>94.4238429347826</v>
      </c>
      <c r="P34" s="2" t="n">
        <v>94.4238429347826</v>
      </c>
      <c r="Q34" s="2"/>
    </row>
    <row r="35" customFormat="false" ht="15" hidden="false" customHeight="false" outlineLevel="0" collapsed="false">
      <c r="A35" s="9" t="s">
        <v>3155</v>
      </c>
      <c r="B35" s="10" t="s">
        <v>3156</v>
      </c>
      <c r="C35" s="9" t="s">
        <v>68</v>
      </c>
      <c r="I35" s="14" t="n">
        <f aca="false">I14*(SRC_OAI_046-(Demand!I10+I26))/(Demand!I10+I26)</f>
        <v>13.4510095001633</v>
      </c>
      <c r="P35" s="2" t="n">
        <v>14.2296716971335</v>
      </c>
      <c r="Q35" s="2" t="s">
        <v>3157</v>
      </c>
    </row>
    <row r="36" customFormat="false" ht="15" hidden="false" customHeight="false" outlineLevel="0" collapsed="false">
      <c r="A36" s="9" t="s">
        <v>3158</v>
      </c>
      <c r="B36" s="10" t="s">
        <v>3159</v>
      </c>
      <c r="C36" s="9" t="s">
        <v>68</v>
      </c>
      <c r="I36" s="9" t="n">
        <f aca="false">I8-I33-I34-I35</f>
        <v>115.742054862074</v>
      </c>
      <c r="P36" s="2" t="n">
        <v>121.465186673395</v>
      </c>
      <c r="Q36" s="2"/>
    </row>
    <row r="37" customFormat="false" ht="15" hidden="false" customHeight="false" outlineLevel="0" collapsed="false">
      <c r="A37" s="9" t="s">
        <v>3160</v>
      </c>
      <c r="B37" s="10" t="s">
        <v>3161</v>
      </c>
      <c r="C37" s="9" t="s">
        <v>68</v>
      </c>
      <c r="I37" s="9" t="n">
        <f aca="false">I33+I34+I35+I36</f>
        <v>350</v>
      </c>
      <c r="P37" s="2" t="n">
        <v>350</v>
      </c>
      <c r="Q37" s="2"/>
    </row>
    <row r="38" customFormat="false" ht="15" hidden="false" customHeight="false" outlineLevel="0" collapsed="false">
      <c r="A38" s="9" t="s">
        <v>3162</v>
      </c>
      <c r="B38" s="10" t="s">
        <v>3163</v>
      </c>
      <c r="C38" s="10" t="s">
        <v>560</v>
      </c>
      <c r="I38" s="9" t="n">
        <f aca="false">(I15+I36)/I15</f>
        <v>2.55898781574555</v>
      </c>
      <c r="P38" s="2" t="n">
        <v>2.87214210316692</v>
      </c>
      <c r="Q38" s="2"/>
    </row>
    <row r="39" customFormat="false" ht="15" hidden="false" customHeight="false" outlineLevel="0" collapsed="false">
      <c r="A39" s="9" t="s">
        <v>3164</v>
      </c>
      <c r="B39" s="10" t="s">
        <v>3165</v>
      </c>
      <c r="C39" s="10" t="s">
        <v>120</v>
      </c>
      <c r="I39" s="9" t="n">
        <f aca="false">I34/(I8-I33)</f>
        <v>0.422257172215355</v>
      </c>
      <c r="P39" s="2" t="n">
        <v>0.410326680965861</v>
      </c>
      <c r="Q39" s="2"/>
    </row>
    <row r="40" customFormat="false" ht="15" hidden="false" customHeight="false" outlineLevel="0" collapsed="false">
      <c r="A40" s="9" t="s">
        <v>3166</v>
      </c>
      <c r="B40" s="10" t="s">
        <v>3167</v>
      </c>
      <c r="C40" s="10" t="s">
        <v>120</v>
      </c>
      <c r="I40" s="9" t="n">
        <f aca="false">SRC_OAI_042/I8</f>
        <v>0.285714285714286</v>
      </c>
      <c r="P40" s="2" t="n">
        <v>0.285714285714286</v>
      </c>
      <c r="Q40" s="2"/>
    </row>
    <row r="41" customFormat="false" ht="15" hidden="false" customHeight="false" outlineLevel="0" collapsed="false">
      <c r="A41" s="15" t="s">
        <v>3168</v>
      </c>
    </row>
    <row r="42" customFormat="false" ht="15" hidden="false" customHeight="false" outlineLevel="0" collapsed="false">
      <c r="A42" s="9" t="s">
        <v>3169</v>
      </c>
      <c r="B42" s="9" t="s">
        <v>3170</v>
      </c>
      <c r="C42" s="9" t="s">
        <v>68</v>
      </c>
      <c r="D42" s="9" t="n">
        <f aca="false">SRC_OAI_009*D8*(D$6&lt;INP_011)+(D$6&gt;=INP_011)*(D$6&lt;=SRC_OAI_011)*MIN(SRC_OAI_009*D8,SRC_OAI_010)</f>
        <v>2.614</v>
      </c>
      <c r="E42" s="9" t="n">
        <f aca="false">SRC_OAI_009*E8*(E$6&lt;INP_011)+(E$6&gt;=INP_011)*(E$6&lt;=SRC_OAI_011)*MIN(SRC_OAI_009*E8,SRC_OAI_010-D43)</f>
        <v>7.2</v>
      </c>
      <c r="F42" s="9" t="n">
        <f aca="false">SRC_OAI_009*F8*(F$6&lt;INP_011)+(F$6&gt;=INP_011)*(F$6&lt;=SRC_OAI_011)*MIN(SRC_OAI_009*F8,SRC_OAI_010-E43)</f>
        <v>15.02</v>
      </c>
      <c r="G42" s="9" t="n">
        <f aca="false">SRC_OAI_009*G8*(G$6&lt;INP_011)+(G$6&gt;=INP_011)*(G$6&lt;=SRC_OAI_011)*MIN(SRC_OAI_009*G8,SRC_OAI_010-F43)</f>
        <v>15.78</v>
      </c>
      <c r="H42" s="9" t="n">
        <f aca="false">SRC_OAI_009*H8*(H$6&lt;INP_011)+(H$6&gt;=INP_011)*(H$6&lt;=SRC_OAI_011)*MIN(SRC_OAI_009*H8,SRC_OAI_010-G43)</f>
        <v>0</v>
      </c>
      <c r="I42" s="9" t="n">
        <f aca="false">SRC_OAI_009*I8*(I$6&lt;INP_011)+(I$6&gt;=INP_011)*(I$6&lt;=SRC_OAI_011)*MIN(SRC_OAI_009*I8,SRC_OAI_010-H43)</f>
        <v>0</v>
      </c>
      <c r="K42" s="2" t="n">
        <v>2.614</v>
      </c>
      <c r="L42" s="2" t="n">
        <v>7.2</v>
      </c>
      <c r="M42" s="2" t="n">
        <v>15.02</v>
      </c>
      <c r="N42" s="2" t="n">
        <v>15.78</v>
      </c>
      <c r="O42" s="2" t="n">
        <v>0</v>
      </c>
      <c r="P42" s="2" t="n">
        <v>0</v>
      </c>
      <c r="Q42" s="2" t="s">
        <v>3171</v>
      </c>
    </row>
    <row r="43" customFormat="false" ht="15" hidden="false" customHeight="false" outlineLevel="0" collapsed="false">
      <c r="A43" s="9" t="s">
        <v>3172</v>
      </c>
      <c r="B43" s="9" t="s">
        <v>2242</v>
      </c>
      <c r="C43" s="9" t="s">
        <v>68</v>
      </c>
      <c r="D43" s="9" t="n">
        <f aca="false">D42*(D$6&gt;=INP_011)</f>
        <v>0</v>
      </c>
      <c r="E43" s="9" t="n">
        <f aca="false">D43+E42*(E$6&gt;=INP_011)</f>
        <v>7.2</v>
      </c>
      <c r="F43" s="9" t="n">
        <f aca="false">E43+F42*(F$6&gt;=INP_011)</f>
        <v>22.22</v>
      </c>
      <c r="G43" s="9" t="n">
        <f aca="false">F43+G42*(G$6&gt;=INP_011)</f>
        <v>38</v>
      </c>
      <c r="H43" s="9" t="n">
        <f aca="false">G43+H42*(H$6&gt;=INP_011)</f>
        <v>38</v>
      </c>
      <c r="I43" s="9" t="n">
        <f aca="false">H43+I42*(I$6&gt;=INP_011)</f>
        <v>38</v>
      </c>
      <c r="K43" s="2" t="n">
        <v>0</v>
      </c>
      <c r="L43" s="2" t="n">
        <v>7.2</v>
      </c>
      <c r="M43" s="2" t="n">
        <v>22.22</v>
      </c>
      <c r="N43" s="2" t="n">
        <v>38</v>
      </c>
      <c r="O43" s="2" t="n">
        <v>38</v>
      </c>
      <c r="P43" s="2" t="n">
        <v>38</v>
      </c>
      <c r="Q43" s="2"/>
    </row>
    <row r="44" customFormat="false" ht="15" hidden="false" customHeight="false" outlineLevel="0" collapsed="false">
      <c r="A44" s="9" t="s">
        <v>3173</v>
      </c>
      <c r="B44" s="10" t="s">
        <v>3174</v>
      </c>
      <c r="C44" s="9" t="s">
        <v>68</v>
      </c>
      <c r="D44" s="9" t="n">
        <f aca="false">D8-D42</f>
        <v>10.456</v>
      </c>
      <c r="E44" s="9" t="n">
        <f aca="false">E8-E42</f>
        <v>28.8</v>
      </c>
      <c r="F44" s="9" t="n">
        <f aca="false">F8-F42</f>
        <v>60.08</v>
      </c>
      <c r="G44" s="9" t="n">
        <f aca="false">G8-G42</f>
        <v>125.72</v>
      </c>
      <c r="H44" s="9" t="n">
        <f aca="false">H8-H42</f>
        <v>237.4</v>
      </c>
      <c r="I44" s="9" t="n">
        <f aca="false">I8-I42</f>
        <v>350</v>
      </c>
      <c r="L44" s="2" t="n">
        <v>28.8</v>
      </c>
      <c r="M44" s="2" t="n">
        <v>60.08</v>
      </c>
      <c r="N44" s="2" t="n">
        <v>125.72</v>
      </c>
      <c r="O44" s="2" t="n">
        <v>237.4</v>
      </c>
      <c r="P44" s="2" t="n">
        <v>350</v>
      </c>
      <c r="Q44" s="2"/>
    </row>
    <row r="45" customFormat="false" ht="15" hidden="false" customHeight="false" outlineLevel="0" collapsed="false">
      <c r="A45" s="9" t="s">
        <v>3175</v>
      </c>
      <c r="B45" s="10" t="s">
        <v>3176</v>
      </c>
      <c r="C45" s="9" t="s">
        <v>68</v>
      </c>
      <c r="D45" s="14" t="n">
        <f aca="false">Cost!D27</f>
        <v>14.7552380952381</v>
      </c>
      <c r="E45" s="14" t="n">
        <f aca="false">Cost!E27</f>
        <v>53.2406349206349</v>
      </c>
      <c r="F45" s="14" t="n">
        <f aca="false">Cost!F27</f>
        <v>141.726031746032</v>
      </c>
      <c r="G45" s="14" t="n">
        <f aca="false">Cost!G27</f>
        <v>175.211428571429</v>
      </c>
      <c r="H45" s="14" t="n">
        <f aca="false">Cost!H27</f>
        <v>208.696825396825</v>
      </c>
      <c r="I45" s="14" t="n">
        <f aca="false">Cost!I27</f>
        <v>228.222222222222</v>
      </c>
      <c r="Q45" s="12" t="s">
        <v>3177</v>
      </c>
    </row>
    <row r="46" customFormat="false" ht="15" hidden="false" customHeight="false" outlineLevel="0" collapsed="false">
      <c r="A46" s="9" t="s">
        <v>3178</v>
      </c>
      <c r="B46" s="10" t="s">
        <v>3179</v>
      </c>
      <c r="C46" s="9" t="s">
        <v>68</v>
      </c>
      <c r="D46" s="14" t="n">
        <f aca="false">Cost!D59</f>
        <v>8.48</v>
      </c>
      <c r="E46" s="14" t="n">
        <f aca="false">Cost!E59</f>
        <v>13.53832</v>
      </c>
      <c r="F46" s="14" t="n">
        <f aca="false">Cost!F59</f>
        <v>18.12781048</v>
      </c>
      <c r="G46" s="14" t="n">
        <f aca="false">Cost!G59</f>
        <v>22.40597375328</v>
      </c>
      <c r="H46" s="14" t="n">
        <f aca="false">Cost!H59</f>
        <v>26.5398759107602</v>
      </c>
      <c r="I46" s="14" t="n">
        <f aca="false">Cost!I59</f>
        <v>30.0696794068913</v>
      </c>
      <c r="Q46" s="12" t="s">
        <v>3180</v>
      </c>
    </row>
    <row r="47" customFormat="false" ht="15" hidden="false" customHeight="false" outlineLevel="0" collapsed="false">
      <c r="A47" s="9" t="s">
        <v>3181</v>
      </c>
      <c r="B47" s="10" t="s">
        <v>3182</v>
      </c>
      <c r="C47" s="9" t="s">
        <v>68</v>
      </c>
      <c r="D47" s="9" t="n">
        <f aca="false">D44-D45-D46</f>
        <v>-12.7792380952381</v>
      </c>
      <c r="E47" s="9" t="n">
        <f aca="false">E44-E45-E46</f>
        <v>-37.9789549206349</v>
      </c>
      <c r="F47" s="9" t="n">
        <f aca="false">F44-F45-F46</f>
        <v>-99.7738422260318</v>
      </c>
      <c r="G47" s="9" t="n">
        <f aca="false">G44-G45-G46</f>
        <v>-71.8974023247086</v>
      </c>
      <c r="H47" s="9" t="n">
        <f aca="false">H44-H45-H46</f>
        <v>2.16329869241444</v>
      </c>
      <c r="I47" s="9" t="n">
        <f aca="false">I44-I45-I46</f>
        <v>91.7080983708865</v>
      </c>
      <c r="L47" s="2" t="n">
        <v>-36.3206349206349</v>
      </c>
      <c r="M47" s="2" t="n">
        <v>-101.547531746032</v>
      </c>
      <c r="N47" s="2" t="n">
        <v>-80.6214285714286</v>
      </c>
      <c r="O47" s="2" t="n">
        <v>-14.0288253968254</v>
      </c>
      <c r="P47" s="2" t="n">
        <v>72.7777777777778</v>
      </c>
      <c r="Q47" s="2"/>
    </row>
    <row r="48" customFormat="false" ht="15" hidden="false" customHeight="false" outlineLevel="0" collapsed="false">
      <c r="A48" s="9" t="s">
        <v>3183</v>
      </c>
      <c r="B48" s="10" t="s">
        <v>3184</v>
      </c>
      <c r="C48" s="9" t="s">
        <v>68</v>
      </c>
      <c r="D48" s="14" t="n">
        <f aca="false">Funding!D24</f>
        <v>0</v>
      </c>
      <c r="E48" s="14" t="n">
        <f aca="false">Funding!E24</f>
        <v>87</v>
      </c>
      <c r="F48" s="14" t="n">
        <f aca="false">Funding!F24</f>
        <v>0</v>
      </c>
      <c r="G48" s="14" t="n">
        <f aca="false">Funding!G24</f>
        <v>0</v>
      </c>
      <c r="H48" s="14" t="n">
        <f aca="false">Funding!H24</f>
        <v>0</v>
      </c>
      <c r="I48" s="14" t="n">
        <f aca="false">Funding!I24</f>
        <v>0</v>
      </c>
      <c r="L48" s="2" t="n">
        <v>87</v>
      </c>
      <c r="M48" s="2" t="n">
        <v>0</v>
      </c>
      <c r="N48" s="2" t="n">
        <v>0</v>
      </c>
      <c r="O48" s="2" t="n">
        <v>0</v>
      </c>
      <c r="P48" s="2" t="n">
        <v>0</v>
      </c>
      <c r="Q48" s="12" t="s">
        <v>3185</v>
      </c>
    </row>
    <row r="49" customFormat="false" ht="15" hidden="false" customHeight="false" outlineLevel="0" collapsed="false">
      <c r="A49" s="9" t="s">
        <v>3186</v>
      </c>
      <c r="B49" s="10" t="s">
        <v>3187</v>
      </c>
      <c r="C49" s="9" t="s">
        <v>68</v>
      </c>
      <c r="E49" s="9" t="n">
        <f aca="false">SRC_OAI_079</f>
        <v>40</v>
      </c>
      <c r="F49" s="9" t="n">
        <f aca="false">E52</f>
        <v>89.0210450793651</v>
      </c>
      <c r="G49" s="9" t="n">
        <f aca="false">F52</f>
        <v>10</v>
      </c>
      <c r="H49" s="9" t="n">
        <f aca="false">G52</f>
        <v>10</v>
      </c>
      <c r="I49" s="9" t="n">
        <f aca="false">H52</f>
        <v>12.1632986924144</v>
      </c>
      <c r="L49" s="2" t="n">
        <v>40</v>
      </c>
      <c r="M49" s="2" t="n">
        <v>90.6793650793651</v>
      </c>
      <c r="N49" s="2" t="n">
        <v>10</v>
      </c>
      <c r="O49" s="2" t="n">
        <v>10</v>
      </c>
      <c r="P49" s="2" t="n">
        <v>10</v>
      </c>
      <c r="Q49" s="2"/>
    </row>
    <row r="50" customFormat="false" ht="15" hidden="false" customHeight="false" outlineLevel="0" collapsed="false">
      <c r="A50" s="9" t="s">
        <v>3188</v>
      </c>
      <c r="B50" s="10" t="s">
        <v>3189</v>
      </c>
      <c r="C50" s="9" t="s">
        <v>68</v>
      </c>
      <c r="E50" s="9" t="n">
        <f aca="false">E49+E47+E48</f>
        <v>89.0210450793651</v>
      </c>
      <c r="F50" s="9" t="n">
        <f aca="false">F49+F47+F48</f>
        <v>-10.7527971466667</v>
      </c>
      <c r="G50" s="9" t="n">
        <f aca="false">G49+G47+G48</f>
        <v>-61.8974023247086</v>
      </c>
      <c r="H50" s="9" t="n">
        <f aca="false">H49+H47+H48</f>
        <v>12.1632986924144</v>
      </c>
      <c r="I50" s="9" t="n">
        <f aca="false">I49+I47+I48</f>
        <v>103.871397063301</v>
      </c>
      <c r="L50" s="2" t="n">
        <v>90.6793650793651</v>
      </c>
      <c r="M50" s="2" t="n">
        <v>-10.8681666666667</v>
      </c>
      <c r="N50" s="2" t="n">
        <v>-70.6214285714286</v>
      </c>
      <c r="O50" s="2" t="n">
        <v>-4.02882539682537</v>
      </c>
      <c r="P50" s="2" t="n">
        <v>82.7777777777778</v>
      </c>
      <c r="Q50" s="2"/>
    </row>
    <row r="51" customFormat="false" ht="15" hidden="false" customHeight="false" outlineLevel="0" collapsed="false">
      <c r="A51" s="9" t="s">
        <v>3190</v>
      </c>
      <c r="B51" s="10" t="s">
        <v>3191</v>
      </c>
      <c r="C51" s="9" t="s">
        <v>68</v>
      </c>
      <c r="E51" s="14" t="n">
        <f aca="false">(Funding!E26-E50)*(Funding!E26&gt;E50)</f>
        <v>-0</v>
      </c>
      <c r="F51" s="14" t="n">
        <f aca="false">(Funding!F26-F50)*(Funding!F26&gt;F50)</f>
        <v>20.7527971466667</v>
      </c>
      <c r="G51" s="14" t="n">
        <f aca="false">(Funding!G26-G50)*(Funding!G26&gt;G50)</f>
        <v>71.8974023247086</v>
      </c>
      <c r="H51" s="14" t="n">
        <f aca="false">(Funding!H26-H50)*(Funding!H26&gt;H50)</f>
        <v>-0</v>
      </c>
      <c r="I51" s="14" t="n">
        <f aca="false">(Funding!I26-I50)*(Funding!I26&gt;I50)</f>
        <v>-0</v>
      </c>
      <c r="L51" s="2" t="n">
        <v>0</v>
      </c>
      <c r="M51" s="2" t="n">
        <v>20.8681666666667</v>
      </c>
      <c r="N51" s="2" t="n">
        <v>80.6214285714286</v>
      </c>
      <c r="O51" s="2" t="n">
        <v>14.0288253968254</v>
      </c>
      <c r="P51" s="2" t="n">
        <v>0</v>
      </c>
      <c r="Q51" s="2"/>
    </row>
    <row r="52" customFormat="false" ht="15" hidden="false" customHeight="false" outlineLevel="0" collapsed="false">
      <c r="A52" s="9" t="s">
        <v>3192</v>
      </c>
      <c r="B52" s="10" t="s">
        <v>3043</v>
      </c>
      <c r="C52" s="9" t="s">
        <v>68</v>
      </c>
      <c r="D52" s="9" t="n">
        <f aca="false">SRC_OAI_079</f>
        <v>40</v>
      </c>
      <c r="E52" s="9" t="n">
        <f aca="false">E50+E51</f>
        <v>89.0210450793651</v>
      </c>
      <c r="F52" s="9" t="n">
        <f aca="false">F50+F51</f>
        <v>10</v>
      </c>
      <c r="G52" s="9" t="n">
        <f aca="false">G50+G51</f>
        <v>10</v>
      </c>
      <c r="H52" s="9" t="n">
        <f aca="false">H50+H51</f>
        <v>12.1632986924144</v>
      </c>
      <c r="I52" s="9" t="n">
        <f aca="false">I50+I51</f>
        <v>103.871397063301</v>
      </c>
      <c r="L52" s="2" t="n">
        <v>90.6793650793651</v>
      </c>
      <c r="M52" s="2" t="n">
        <v>10</v>
      </c>
      <c r="N52" s="2" t="n">
        <v>10</v>
      </c>
      <c r="O52" s="2" t="n">
        <v>10</v>
      </c>
      <c r="P52" s="2" t="n">
        <v>82.7777777777778</v>
      </c>
      <c r="Q52" s="2"/>
    </row>
    <row r="53" customFormat="false" ht="15" hidden="false" customHeight="false" outlineLevel="0" collapsed="false">
      <c r="A53" s="9" t="s">
        <v>3193</v>
      </c>
      <c r="B53" s="10" t="s">
        <v>3194</v>
      </c>
      <c r="C53" s="9" t="s">
        <v>68</v>
      </c>
      <c r="E53" s="9" t="n">
        <f aca="false">E51</f>
        <v>-0</v>
      </c>
      <c r="F53" s="9" t="n">
        <f aca="false">E53+F51</f>
        <v>20.7527971466667</v>
      </c>
      <c r="G53" s="9" t="n">
        <f aca="false">F53+G51</f>
        <v>92.6501994713753</v>
      </c>
      <c r="H53" s="9" t="n">
        <f aca="false">G53+H51</f>
        <v>92.6501994713753</v>
      </c>
      <c r="I53" s="9" t="n">
        <f aca="false">H53+I51</f>
        <v>92.6501994713753</v>
      </c>
      <c r="L53" s="2" t="n">
        <v>0</v>
      </c>
      <c r="M53" s="2" t="n">
        <v>20.8681666666667</v>
      </c>
      <c r="N53" s="2" t="n">
        <v>101.489595238095</v>
      </c>
      <c r="O53" s="2" t="n">
        <v>115.518420634921</v>
      </c>
      <c r="P53" s="2" t="n">
        <v>115.518420634921</v>
      </c>
      <c r="Q53" s="2"/>
    </row>
    <row r="54" customFormat="false" ht="15" hidden="false" customHeight="false" outlineLevel="0" collapsed="false">
      <c r="A54" s="9" t="s">
        <v>3195</v>
      </c>
      <c r="B54" s="10" t="s">
        <v>3196</v>
      </c>
      <c r="C54" s="9" t="s">
        <v>68</v>
      </c>
      <c r="D54" s="9" t="n">
        <f aca="false">D46*D8/D13</f>
        <v>8.48</v>
      </c>
      <c r="E54" s="9" t="n">
        <f aca="false">E46*E8/E13</f>
        <v>14.2492876408481</v>
      </c>
      <c r="F54" s="9" t="n">
        <f aca="false">F46*F8/F13</f>
        <v>24.845010262525</v>
      </c>
      <c r="G54" s="9" t="n">
        <f aca="false">G46*G8/G13</f>
        <v>40.4269316534078</v>
      </c>
      <c r="H54" s="9" t="n">
        <f aca="false">H46*H8/H13</f>
        <v>61.6932196624253</v>
      </c>
      <c r="I54" s="9" t="n">
        <f aca="false">I46*I8/I13</f>
        <v>83.2737003607426</v>
      </c>
      <c r="K54" s="2" t="n">
        <v>15.89312</v>
      </c>
      <c r="L54" s="2" t="n">
        <v>11.88</v>
      </c>
      <c r="M54" s="2" t="n">
        <v>19.9015</v>
      </c>
      <c r="N54" s="2" t="n">
        <v>31.13</v>
      </c>
      <c r="O54" s="2" t="n">
        <v>42.732</v>
      </c>
      <c r="P54" s="2" t="n">
        <v>49</v>
      </c>
      <c r="Q54" s="12" t="s">
        <v>3197</v>
      </c>
    </row>
    <row r="55" customFormat="false" ht="15" hidden="false" customHeight="false" outlineLevel="0" collapsed="false">
      <c r="A55" s="9" t="s">
        <v>3198</v>
      </c>
      <c r="B55" s="10" t="s">
        <v>3199</v>
      </c>
      <c r="C55" s="9" t="s">
        <v>68</v>
      </c>
      <c r="D55" s="9" t="n">
        <f aca="false">D46-D54</f>
        <v>0</v>
      </c>
      <c r="E55" s="9" t="n">
        <f aca="false">E46-E54</f>
        <v>-0.710967640848073</v>
      </c>
      <c r="F55" s="9" t="n">
        <f aca="false">F46-F54</f>
        <v>-6.71719978252501</v>
      </c>
      <c r="G55" s="9" t="n">
        <f aca="false">G46-G54</f>
        <v>-18.0209579001278</v>
      </c>
      <c r="H55" s="9" t="n">
        <f aca="false">H46-H54</f>
        <v>-35.1533437516651</v>
      </c>
      <c r="I55" s="9" t="n">
        <f aca="false">I46-I54</f>
        <v>-53.2040209538514</v>
      </c>
      <c r="Q55" s="2" t="s">
        <v>3200</v>
      </c>
    </row>
    <row r="56" customFormat="false" ht="15" hidden="false" customHeight="false" outlineLevel="0" collapsed="false">
      <c r="A56" s="15" t="s">
        <v>3201</v>
      </c>
    </row>
    <row r="57" customFormat="false" ht="15" hidden="false" customHeight="false" outlineLevel="0" collapsed="false">
      <c r="A57" s="9" t="s">
        <v>3202</v>
      </c>
      <c r="B57" s="10" t="s">
        <v>3203</v>
      </c>
      <c r="C57" s="9" t="s">
        <v>68</v>
      </c>
      <c r="D57" s="9" t="n">
        <f aca="false">SUM(E47:I47)</f>
        <v>-115.778802408074</v>
      </c>
      <c r="K57" s="2" t="n">
        <v>-159.740642857143</v>
      </c>
      <c r="Q57" s="12" t="s">
        <v>3204</v>
      </c>
    </row>
    <row r="58" customFormat="false" ht="15" hidden="false" customHeight="false" outlineLevel="0" collapsed="false">
      <c r="A58" s="9" t="s">
        <v>3205</v>
      </c>
      <c r="B58" s="10" t="s">
        <v>3206</v>
      </c>
      <c r="C58" s="9" t="s">
        <v>68</v>
      </c>
      <c r="D58" s="9" t="n">
        <f aca="false">SRC_OAI_054</f>
        <v>-278</v>
      </c>
      <c r="K58" s="2" t="n">
        <v>-278</v>
      </c>
      <c r="Q58" s="12" t="s">
        <v>3207</v>
      </c>
    </row>
    <row r="59" customFormat="false" ht="15" hidden="false" customHeight="false" outlineLevel="0" collapsed="false">
      <c r="A59" s="9" t="s">
        <v>3208</v>
      </c>
      <c r="B59" s="10" t="s">
        <v>3209</v>
      </c>
      <c r="C59" s="9" t="s">
        <v>68</v>
      </c>
      <c r="D59" s="9" t="n">
        <f aca="false">D57-D58</f>
        <v>162.221197591926</v>
      </c>
      <c r="K59" s="2" t="n">
        <v>118.259357142857</v>
      </c>
      <c r="Q59" s="2"/>
    </row>
    <row r="60" customFormat="false" ht="15" hidden="false" customHeight="false" outlineLevel="0" collapsed="false">
      <c r="A60" s="9" t="s">
        <v>3210</v>
      </c>
      <c r="B60" s="10" t="s">
        <v>3211</v>
      </c>
      <c r="C60" s="9" t="s">
        <v>68</v>
      </c>
      <c r="D60" s="14" t="n">
        <f aca="false">SRC_OAI_055-SUM(Cost!E27:I27)</f>
        <v>48.9028571428571</v>
      </c>
      <c r="K60" s="2" t="n">
        <v>48.9028571428571</v>
      </c>
      <c r="Q60" s="12" t="s">
        <v>3212</v>
      </c>
    </row>
    <row r="61" customFormat="false" ht="15" hidden="false" customHeight="false" outlineLevel="0" collapsed="false">
      <c r="A61" s="9" t="s">
        <v>3213</v>
      </c>
      <c r="B61" s="10" t="s">
        <v>3214</v>
      </c>
      <c r="C61" s="9" t="s">
        <v>68</v>
      </c>
      <c r="D61" s="9" t="n">
        <f aca="false">D59-D60</f>
        <v>113.318340449069</v>
      </c>
      <c r="K61" s="2" t="n">
        <v>69.3565000000001</v>
      </c>
      <c r="Q61" s="2"/>
    </row>
    <row r="62" customFormat="false" ht="15" hidden="false" customHeight="false" outlineLevel="0" collapsed="false">
      <c r="A62" s="9" t="s">
        <v>3215</v>
      </c>
      <c r="B62" s="10" t="s">
        <v>3216</v>
      </c>
      <c r="C62" s="9" t="s">
        <v>68</v>
      </c>
      <c r="D62" s="14" t="n">
        <f aca="false">SUM(Funding!E13:I13)</f>
        <v>-559.844811653528</v>
      </c>
      <c r="K62" s="2" t="n">
        <v>-543.227430574559</v>
      </c>
      <c r="Q62" s="12" t="s">
        <v>3217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14" min="4" style="0" width="15"/>
    <col collapsed="false" customWidth="true" hidden="false" outlineLevel="0" max="15" min="15" style="0" width="4"/>
    <col collapsed="false" customWidth="true" hidden="false" outlineLevel="0" max="16" min="16" style="0" width="90"/>
  </cols>
  <sheetData>
    <row r="1" customFormat="false" ht="20.1" hidden="false" customHeight="false" outlineLevel="0" collapsed="false">
      <c r="A1" s="1" t="s">
        <v>3218</v>
      </c>
    </row>
    <row r="2" customFormat="false" ht="15" hidden="false" customHeight="false" outlineLevel="0" collapsed="false">
      <c r="A2" s="2" t="s">
        <v>3219</v>
      </c>
    </row>
    <row r="3" customFormat="false" ht="15" hidden="false" customHeight="false" outlineLevel="0" collapsed="false">
      <c r="A3" s="12" t="s">
        <v>3220</v>
      </c>
    </row>
    <row r="5" customFormat="false" ht="15" hidden="false" customHeight="false" outlineLevel="0" collapsed="false">
      <c r="A5" s="8" t="s">
        <v>1955</v>
      </c>
      <c r="B5" s="8" t="s">
        <v>1956</v>
      </c>
      <c r="C5" s="8" t="s">
        <v>46</v>
      </c>
      <c r="D5" s="7" t="s">
        <v>3221</v>
      </c>
      <c r="E5" s="7" t="s">
        <v>3222</v>
      </c>
      <c r="F5" s="8" t="s">
        <v>3223</v>
      </c>
      <c r="G5" s="8" t="s">
        <v>3224</v>
      </c>
      <c r="H5" s="8" t="s">
        <v>3225</v>
      </c>
      <c r="I5" s="8" t="s">
        <v>3226</v>
      </c>
      <c r="J5" s="8" t="s">
        <v>3227</v>
      </c>
      <c r="K5" s="8" t="s">
        <v>3228</v>
      </c>
      <c r="L5" s="8" t="s">
        <v>3229</v>
      </c>
      <c r="M5" s="8" t="s">
        <v>3230</v>
      </c>
      <c r="N5" s="8" t="s">
        <v>3231</v>
      </c>
      <c r="O5" s="8"/>
      <c r="P5" s="8" t="s">
        <v>815</v>
      </c>
    </row>
    <row r="7" customFormat="false" ht="15" hidden="false" customHeight="false" outlineLevel="0" collapsed="false">
      <c r="A7" s="15" t="s">
        <v>3232</v>
      </c>
    </row>
    <row r="8" customFormat="false" ht="15" hidden="false" customHeight="false" outlineLevel="0" collapsed="false">
      <c r="B8" s="16" t="s">
        <v>47</v>
      </c>
      <c r="C8" s="16" t="s">
        <v>46</v>
      </c>
      <c r="D8" s="16" t="s">
        <v>44</v>
      </c>
      <c r="E8" s="16" t="s">
        <v>811</v>
      </c>
      <c r="F8" s="16" t="s">
        <v>45</v>
      </c>
      <c r="G8" s="17" t="s">
        <v>3233</v>
      </c>
      <c r="H8" s="17" t="s">
        <v>3234</v>
      </c>
      <c r="I8" s="17" t="s">
        <v>3235</v>
      </c>
      <c r="J8" s="16" t="s">
        <v>3236</v>
      </c>
    </row>
    <row r="9" customFormat="false" ht="15" hidden="false" customHeight="false" outlineLevel="0" collapsed="false">
      <c r="B9" s="3" t="s">
        <v>3237</v>
      </c>
      <c r="C9" s="10" t="s">
        <v>560</v>
      </c>
      <c r="D9" s="18" t="n">
        <f aca="false">F64</f>
        <v>1.23726801072326</v>
      </c>
      <c r="E9" s="18" t="n">
        <f aca="false">G64</f>
        <v>1.18799627578296</v>
      </c>
      <c r="F9" s="18" t="n">
        <f aca="false">H64</f>
        <v>1.14249854607212</v>
      </c>
      <c r="G9" s="19" t="n">
        <f aca="false">F46</f>
        <v>2.17</v>
      </c>
      <c r="H9" s="19" t="n">
        <f aca="false">G46</f>
        <v>2.26</v>
      </c>
      <c r="I9" s="19" t="n">
        <f aca="false">H46</f>
        <v>2.35</v>
      </c>
      <c r="J9" s="20" t="n">
        <f aca="false">G61</f>
        <v>26.3</v>
      </c>
    </row>
    <row r="10" customFormat="false" ht="15" hidden="false" customHeight="false" outlineLevel="0" collapsed="false">
      <c r="B10" s="3" t="s">
        <v>3238</v>
      </c>
      <c r="C10" s="10" t="s">
        <v>560</v>
      </c>
      <c r="D10" s="18" t="n">
        <f aca="false">I64</f>
        <v>1.42920920782406</v>
      </c>
      <c r="E10" s="18" t="n">
        <f aca="false">J64</f>
        <v>1.19100767318672</v>
      </c>
      <c r="F10" s="18" t="n">
        <f aca="false">K64</f>
        <v>0.940269215673723</v>
      </c>
      <c r="G10" s="19" t="n">
        <f aca="false">I46</f>
        <v>2.5</v>
      </c>
      <c r="H10" s="19" t="n">
        <f aca="false">J46</f>
        <v>3</v>
      </c>
      <c r="I10" s="19" t="n">
        <f aca="false">K46</f>
        <v>3.8</v>
      </c>
      <c r="J10" s="20" t="n">
        <f aca="false">J61</f>
        <v>35</v>
      </c>
    </row>
    <row r="11" customFormat="false" ht="15" hidden="false" customHeight="false" outlineLevel="0" collapsed="false">
      <c r="B11" s="3" t="s">
        <v>3239</v>
      </c>
      <c r="C11" s="10" t="s">
        <v>560</v>
      </c>
      <c r="D11" s="18" t="n">
        <f aca="false">L64</f>
        <v>1.45837674267761</v>
      </c>
      <c r="E11" s="18" t="n">
        <f aca="false">M64</f>
        <v>1.10963447812427</v>
      </c>
      <c r="F11" s="18" t="n">
        <f aca="false">N64</f>
        <v>0.895494491117832</v>
      </c>
      <c r="G11" s="19" t="n">
        <f aca="false">L46</f>
        <v>3.5</v>
      </c>
      <c r="H11" s="19" t="n">
        <f aca="false">M46</f>
        <v>4.6</v>
      </c>
      <c r="I11" s="19" t="n">
        <f aca="false">N46</f>
        <v>5.7</v>
      </c>
      <c r="J11" s="20" t="n">
        <f aca="false">M61</f>
        <v>50</v>
      </c>
      <c r="P11" s="2" t="s">
        <v>3240</v>
      </c>
    </row>
    <row r="12" customFormat="false" ht="15" hidden="false" customHeight="false" outlineLevel="0" collapsed="false">
      <c r="B12" s="9" t="s">
        <v>3241</v>
      </c>
      <c r="C12" s="10" t="s">
        <v>560</v>
      </c>
      <c r="D12" s="18" t="n">
        <f aca="false">D64</f>
        <v>1.2390372618626</v>
      </c>
      <c r="E12" s="18" t="n">
        <f aca="false">E64</f>
        <v>1.11791590049691</v>
      </c>
      <c r="F12" s="18" t="n">
        <f aca="false">(1-INP_276)*D12+INP_276*E12</f>
        <v>1.2390372618626</v>
      </c>
      <c r="G12" s="19" t="n">
        <f aca="false">D46</f>
        <v>1.12780698259266</v>
      </c>
      <c r="H12" s="19" t="n">
        <f aca="false">E46</f>
        <v>1.25</v>
      </c>
      <c r="J12" s="20" t="n">
        <f aca="false">D61</f>
        <v>13.07</v>
      </c>
    </row>
    <row r="14" customFormat="false" ht="15" hidden="false" customHeight="false" outlineLevel="0" collapsed="false">
      <c r="A14" s="15" t="s">
        <v>3242</v>
      </c>
    </row>
    <row r="15" customFormat="false" ht="15" hidden="false" customHeight="false" outlineLevel="0" collapsed="false">
      <c r="B15" s="10" t="s">
        <v>3243</v>
      </c>
      <c r="C15" s="10" t="s">
        <v>560</v>
      </c>
      <c r="D15" s="18" t="n">
        <f aca="false">D9/PXQ_Ratio2025Sel</f>
        <v>0.998572075922335</v>
      </c>
      <c r="E15" s="18" t="n">
        <f aca="false">E9/PXQ_Ratio2025Sel</f>
        <v>0.958805931305959</v>
      </c>
      <c r="F15" s="18" t="n">
        <f aca="false">F9/PXQ_Ratio2025Sel</f>
        <v>0.92208570414956</v>
      </c>
    </row>
    <row r="16" customFormat="false" ht="15" hidden="false" customHeight="false" outlineLevel="0" collapsed="false">
      <c r="B16" s="10" t="s">
        <v>3244</v>
      </c>
      <c r="C16" s="10" t="s">
        <v>560</v>
      </c>
      <c r="D16" s="18" t="n">
        <f aca="false">D10/PXQ_Ratio2025Sel</f>
        <v>1.15348363751029</v>
      </c>
      <c r="E16" s="18" t="n">
        <f aca="false">E10/PXQ_Ratio2025Sel</f>
        <v>0.961236364591905</v>
      </c>
      <c r="F16" s="18" t="n">
        <f aca="false">F10/PXQ_Ratio2025Sel</f>
        <v>0.758870814151504</v>
      </c>
    </row>
    <row r="17" customFormat="false" ht="15" hidden="false" customHeight="false" outlineLevel="0" collapsed="false">
      <c r="B17" s="10" t="s">
        <v>3245</v>
      </c>
      <c r="C17" s="10" t="s">
        <v>560</v>
      </c>
      <c r="D17" s="18" t="n">
        <f aca="false">D11/PXQ_Ratio2025Sel</f>
        <v>1.17702411990846</v>
      </c>
      <c r="E17" s="18" t="n">
        <f aca="false">E11/PXQ_Ratio2025Sel</f>
        <v>0.89556183036513</v>
      </c>
      <c r="F17" s="18" t="n">
        <f aca="false">F11/PXQ_Ratio2025Sel</f>
        <v>0.722734108715718</v>
      </c>
    </row>
    <row r="19" customFormat="false" ht="15" hidden="false" customHeight="false" outlineLevel="0" collapsed="false">
      <c r="A19" s="15" t="s">
        <v>3246</v>
      </c>
      <c r="B19" s="16" t="s">
        <v>47</v>
      </c>
      <c r="C19" s="16" t="s">
        <v>46</v>
      </c>
      <c r="D19" s="17" t="s">
        <v>3222</v>
      </c>
      <c r="E19" s="17" t="s">
        <v>3221</v>
      </c>
      <c r="F19" s="17" t="s">
        <v>3247</v>
      </c>
      <c r="G19" s="17" t="s">
        <v>3248</v>
      </c>
    </row>
    <row r="20" customFormat="false" ht="15" hidden="false" customHeight="false" outlineLevel="0" collapsed="false">
      <c r="B20" s="9" t="s">
        <v>3249</v>
      </c>
      <c r="C20" s="10" t="s">
        <v>560</v>
      </c>
      <c r="D20" s="19" t="n">
        <f aca="false">E64</f>
        <v>1.11791590049691</v>
      </c>
      <c r="E20" s="19" t="n">
        <f aca="false">D64</f>
        <v>1.2390372618626</v>
      </c>
      <c r="F20" s="19" t="n">
        <f aca="false">INP_303</f>
        <v>1.397</v>
      </c>
      <c r="G20" s="19" t="n">
        <f aca="false">PXQ_Ratio2025Sel</f>
        <v>1.2390372618626</v>
      </c>
    </row>
    <row r="21" customFormat="false" ht="15" hidden="false" customHeight="false" outlineLevel="0" collapsed="false">
      <c r="B21" s="10" t="s">
        <v>3243</v>
      </c>
      <c r="C21" s="9" t="s">
        <v>375</v>
      </c>
      <c r="D21" s="18" t="n">
        <f aca="false">$G$61/($G$54*D$20)</f>
        <v>2.40167581664781</v>
      </c>
      <c r="E21" s="18" t="n">
        <f aca="false">$G$61/($G$54*E$20)</f>
        <v>2.16690140475147</v>
      </c>
      <c r="F21" s="18" t="n">
        <f aca="false">$G$61/($G$54*F$20)</f>
        <v>1.92188373891874</v>
      </c>
      <c r="G21" s="18" t="n">
        <f aca="false">$G$61/($G$54*G$20)</f>
        <v>2.16690140475147</v>
      </c>
    </row>
    <row r="22" customFormat="false" ht="15" hidden="false" customHeight="false" outlineLevel="0" collapsed="false">
      <c r="B22" s="10" t="s">
        <v>3244</v>
      </c>
      <c r="C22" s="9" t="s">
        <v>375</v>
      </c>
      <c r="D22" s="18" t="n">
        <f aca="false">$J$61/($J$54*D$20)</f>
        <v>3.19614652405602</v>
      </c>
      <c r="E22" s="18" t="n">
        <f aca="false">$J$61/($J$54*E$20)</f>
        <v>2.88370909377572</v>
      </c>
      <c r="F22" s="18" t="n">
        <f aca="false">$J$61/($J$54*F$20)</f>
        <v>2.55763995673597</v>
      </c>
      <c r="G22" s="18" t="n">
        <f aca="false">$J$61/($J$54*G$20)</f>
        <v>2.88370909377572</v>
      </c>
    </row>
    <row r="23" customFormat="false" ht="15" hidden="false" customHeight="false" outlineLevel="0" collapsed="false">
      <c r="B23" s="10" t="s">
        <v>3245</v>
      </c>
      <c r="C23" s="9" t="s">
        <v>375</v>
      </c>
      <c r="D23" s="18" t="n">
        <f aca="false">$M$61/($M$54*D$20)</f>
        <v>4.56592360579431</v>
      </c>
      <c r="E23" s="18" t="n">
        <f aca="false">$M$61/($M$54*E$20)</f>
        <v>4.1195844196796</v>
      </c>
      <c r="F23" s="18" t="n">
        <f aca="false">$M$61/($M$54*F$20)</f>
        <v>3.65377136676567</v>
      </c>
      <c r="G23" s="18" t="n">
        <f aca="false">$M$61/($M$54*G$20)</f>
        <v>4.1195844196796</v>
      </c>
    </row>
    <row r="25" customFormat="false" ht="15" hidden="false" customHeight="false" outlineLevel="0" collapsed="false">
      <c r="A25" s="15" t="s">
        <v>3250</v>
      </c>
    </row>
    <row r="26" customFormat="false" ht="15" hidden="false" customHeight="false" outlineLevel="0" collapsed="false">
      <c r="B26" s="10" t="s">
        <v>3243</v>
      </c>
      <c r="D26" s="9" t="str">
        <f aca="false">"Q2 年化營收 "&amp;TEXT(J9,"0.0")&amp;" $B ÷ Q2 季平均 GW：基準 "&amp;TEXT(H9,"0.00")&amp;" GW 時比值 "&amp;TEXT(E9,"0.00")&amp;"，為 2025 主值（"&amp;TEXT(F12,"0.00")&amp;"）的 "&amp;TEXT(E15,"0.00")&amp;" 倍，"&amp;IF(E9&gt;=F12,"不低於 ","低於 ")&amp;"2025；Q2 季平均 GW高於 "&amp;TEXT(G21,"0.00")&amp;" GW 時才低於 2025（以 2025 主值）；低至高情境倍數 "&amp;TEXT(D15,"0.00")&amp;"–"&amp;TEXT(F15,"0.00")&amp;"。"</f>
        <v>Q2 年化營收 26.3 $B ÷ Q2 季平均 GW：基準 2.26 GW 時比值 1.19，為 2025 主值（1.24）的 0.96 倍，低於 2025；Q2 季平均 GW高於 2.17 GW 時才低於 2025（以 2025 主值）；低至高情境倍數 1.00–0.92。</v>
      </c>
      <c r="P26" s="2" t="s">
        <v>3251</v>
      </c>
    </row>
    <row r="27" customFormat="false" ht="15" hidden="false" customHeight="false" outlineLevel="0" collapsed="false">
      <c r="B27" s="10" t="s">
        <v>3244</v>
      </c>
      <c r="D27" s="9" t="str">
        <f aca="false">"FY2026 營收 "&amp;TEXT(J10,"0.0")&amp;" $B ÷ 全年平均 GW：基準 "&amp;TEXT(H10,"0.00")&amp;" GW 時比值 "&amp;TEXT(E10,"0.00")&amp;"，為 2025 主值（"&amp;TEXT(F12,"0.00")&amp;"）的 "&amp;TEXT(E16,"0.00")&amp;" 倍，"&amp;IF(E10&gt;=F12,"不低於 ","低於 ")&amp;"2025；全年平均 GW高於 "&amp;TEXT(G22,"0.00")&amp;" GW 時才低於 2025（以 2025 主值）；低至高情境倍數 "&amp;TEXT(D16,"0.00")&amp;"–"&amp;TEXT(F16,"0.00")&amp;"。"</f>
        <v>FY2026 營收 35.0 $B ÷ 全年平均 GW：基準 3.00 GW 時比值 1.19，為 2025 主值（1.24）的 0.96 倍，低於 2025；全年平均 GW高於 2.88 GW 時才低於 2025（以 2025 主值）；低至高情境倍數 1.15–0.76。</v>
      </c>
    </row>
    <row r="28" customFormat="false" ht="15" hidden="false" customHeight="false" outlineLevel="0" collapsed="false">
      <c r="B28" s="10" t="s">
        <v>3245</v>
      </c>
      <c r="D28" s="9" t="str">
        <f aca="false">"9 月底 run-rate "&amp;TEXT(J11,"0.0")&amp;" $B ÷ 年底 GW：基準 "&amp;TEXT(H11,"0.00")&amp;" GW 時比值 "&amp;TEXT(E11,"0.00")&amp;"，為 2025 主值（"&amp;TEXT(F12,"0.00")&amp;"）的 "&amp;TEXT(E17,"0.00")&amp;" 倍，"&amp;IF(E11&gt;=F12,"不低於 ","低於 ")&amp;"2025；年底 GW高於 "&amp;TEXT(G23,"0.00")&amp;" GW 時才低於 2025（以 2025 主值）；低至高情境倍數 "&amp;TEXT(D17,"0.00")&amp;"–"&amp;TEXT(F17,"0.00")&amp;"。"</f>
        <v>9 月底 run-rate 50.0 $B ÷ 年底 GW：基準 4.60 GW 時比值 1.11，為 2025 主值（1.24）的 0.90 倍，低於 2025；年底 GW高於 4.12 GW 時才低於 2025（以 2025 主值）；低至高情境倍數 1.18–0.72。</v>
      </c>
    </row>
    <row r="31" customFormat="false" ht="15" hidden="false" customHeight="false" outlineLevel="0" collapsed="false">
      <c r="A31" s="15" t="s">
        <v>3252</v>
      </c>
    </row>
    <row r="32" customFormat="false" ht="15" hidden="false" customHeight="false" outlineLevel="0" collapsed="false">
      <c r="A32" s="9" t="s">
        <v>3095</v>
      </c>
      <c r="B32" s="10" t="s">
        <v>2038</v>
      </c>
      <c r="C32" s="10" t="s">
        <v>152</v>
      </c>
      <c r="D32" s="9" t="n">
        <f aca="false">INP_005</f>
        <v>2025</v>
      </c>
      <c r="E32" s="9" t="n">
        <f aca="false">INP_005</f>
        <v>2025</v>
      </c>
      <c r="F32" s="9" t="n">
        <f aca="false">INP_006</f>
        <v>2026</v>
      </c>
      <c r="G32" s="9" t="n">
        <f aca="false">INP_006</f>
        <v>2026</v>
      </c>
      <c r="H32" s="9" t="n">
        <f aca="false">INP_006</f>
        <v>2026</v>
      </c>
      <c r="I32" s="9" t="n">
        <f aca="false">INP_006</f>
        <v>2026</v>
      </c>
      <c r="J32" s="9" t="n">
        <f aca="false">INP_006</f>
        <v>2026</v>
      </c>
      <c r="K32" s="9" t="n">
        <f aca="false">INP_006</f>
        <v>2026</v>
      </c>
      <c r="L32" s="9" t="n">
        <f aca="false">INP_006</f>
        <v>2026</v>
      </c>
      <c r="M32" s="9" t="n">
        <f aca="false">INP_006</f>
        <v>2026</v>
      </c>
      <c r="N32" s="9" t="n">
        <f aca="false">INP_006</f>
        <v>2026</v>
      </c>
      <c r="P32" s="12" t="s">
        <v>3253</v>
      </c>
    </row>
    <row r="33" customFormat="false" ht="15" hidden="false" customHeight="false" outlineLevel="0" collapsed="false">
      <c r="A33" s="9" t="s">
        <v>3098</v>
      </c>
      <c r="B33" s="10" t="s">
        <v>3254</v>
      </c>
      <c r="C33" s="10" t="s">
        <v>3255</v>
      </c>
      <c r="D33" s="9" t="n">
        <f aca="false">D32-INP_005+1</f>
        <v>1</v>
      </c>
      <c r="E33" s="9" t="n">
        <f aca="false">E32-INP_005+1</f>
        <v>1</v>
      </c>
      <c r="F33" s="9" t="n">
        <f aca="false">F32-INP_005+1</f>
        <v>2</v>
      </c>
      <c r="G33" s="9" t="n">
        <f aca="false">G32-INP_005+1</f>
        <v>2</v>
      </c>
      <c r="H33" s="9" t="n">
        <f aca="false">H32-INP_005+1</f>
        <v>2</v>
      </c>
      <c r="I33" s="9" t="n">
        <f aca="false">I32-INP_005+1</f>
        <v>2</v>
      </c>
      <c r="J33" s="9" t="n">
        <f aca="false">J32-INP_005+1</f>
        <v>2</v>
      </c>
      <c r="K33" s="9" t="n">
        <f aca="false">K32-INP_005+1</f>
        <v>2</v>
      </c>
      <c r="L33" s="9" t="n">
        <f aca="false">L32-INP_005+1</f>
        <v>2</v>
      </c>
      <c r="M33" s="9" t="n">
        <f aca="false">M32-INP_005+1</f>
        <v>2</v>
      </c>
      <c r="N33" s="9" t="n">
        <f aca="false">N32-INP_005+1</f>
        <v>2</v>
      </c>
      <c r="P33" s="2" t="s">
        <v>3256</v>
      </c>
    </row>
    <row r="34" customFormat="false" ht="15" hidden="false" customHeight="false" outlineLevel="0" collapsed="false">
      <c r="A34" s="9" t="s">
        <v>3101</v>
      </c>
      <c r="B34" s="10" t="s">
        <v>3257</v>
      </c>
      <c r="C34" s="9" t="s">
        <v>375</v>
      </c>
      <c r="D34" s="19" t="n">
        <f aca="false">(TK_SRC_DEM_009-TK_SRC_DEM_008)/LN(TK_SRC_DEM_009/TK_SRC_DEM_008)</f>
        <v>1.12780698259266</v>
      </c>
      <c r="E34" s="19" t="n">
        <f aca="false">AVERAGE(TK_SRC_DEM_008,TK_SRC_DEM_009)</f>
        <v>1.25</v>
      </c>
      <c r="F34" s="19" t="n">
        <f aca="false">INP_290</f>
        <v>2.17</v>
      </c>
      <c r="G34" s="19" t="n">
        <f aca="false">INP_289</f>
        <v>2.26</v>
      </c>
      <c r="H34" s="19" t="n">
        <f aca="false">INP_291</f>
        <v>2.35</v>
      </c>
      <c r="I34" s="19" t="n">
        <f aca="false">INP_278</f>
        <v>2.5</v>
      </c>
      <c r="J34" s="19" t="n">
        <f aca="false">INP_277</f>
        <v>3</v>
      </c>
      <c r="K34" s="19" t="n">
        <f aca="false">INP_279</f>
        <v>3.8</v>
      </c>
      <c r="L34" s="19" t="n">
        <f aca="false">INP_293</f>
        <v>3.5</v>
      </c>
      <c r="M34" s="19" t="n">
        <f aca="false">INP_292</f>
        <v>4.6</v>
      </c>
      <c r="N34" s="19" t="n">
        <f aca="false">INP_294</f>
        <v>5.7</v>
      </c>
      <c r="P34" s="12" t="s">
        <v>3258</v>
      </c>
    </row>
    <row r="35" customFormat="false" ht="15" hidden="false" customHeight="false" outlineLevel="0" collapsed="false">
      <c r="A35" s="9" t="s">
        <v>3104</v>
      </c>
      <c r="B35" s="10" t="s">
        <v>3259</v>
      </c>
      <c r="C35" s="9" t="s">
        <v>68</v>
      </c>
      <c r="D35" s="20" t="n">
        <f aca="false">SRC_OAI_002</f>
        <v>13.07</v>
      </c>
      <c r="E35" s="20" t="n">
        <f aca="false">SRC_OAI_002</f>
        <v>13.07</v>
      </c>
      <c r="F35" s="20" t="n">
        <f aca="false">INP_319</f>
        <v>26.3</v>
      </c>
      <c r="G35" s="20" t="n">
        <f aca="false">INP_319</f>
        <v>26.3</v>
      </c>
      <c r="H35" s="20" t="n">
        <f aca="false">INP_319</f>
        <v>26.3</v>
      </c>
      <c r="I35" s="20" t="n">
        <f aca="false">INP_320</f>
        <v>35</v>
      </c>
      <c r="J35" s="20" t="n">
        <f aca="false">INP_320</f>
        <v>35</v>
      </c>
      <c r="K35" s="20" t="n">
        <f aca="false">INP_320</f>
        <v>35</v>
      </c>
      <c r="L35" s="20" t="n">
        <f aca="false">SRC_OAI_144</f>
        <v>50</v>
      </c>
      <c r="M35" s="20" t="n">
        <f aca="false">SRC_OAI_144</f>
        <v>50</v>
      </c>
      <c r="N35" s="20" t="n">
        <f aca="false">SRC_OAI_144</f>
        <v>50</v>
      </c>
      <c r="P35" s="12" t="s">
        <v>3260</v>
      </c>
    </row>
    <row r="36" customFormat="false" ht="15" hidden="false" customHeight="false" outlineLevel="0" collapsed="false">
      <c r="A36" s="15" t="s">
        <v>3261</v>
      </c>
    </row>
    <row r="37" customFormat="false" ht="29.85" hidden="false" customHeight="false" outlineLevel="0" collapsed="false">
      <c r="B37" s="8" t="s">
        <v>803</v>
      </c>
      <c r="C37" s="7" t="s">
        <v>3262</v>
      </c>
      <c r="D37" s="8" t="s">
        <v>3263</v>
      </c>
      <c r="E37" s="8" t="s">
        <v>3264</v>
      </c>
      <c r="F37" s="8" t="s">
        <v>3265</v>
      </c>
      <c r="G37" s="8" t="s">
        <v>3266</v>
      </c>
      <c r="H37" s="8" t="s">
        <v>3267</v>
      </c>
    </row>
    <row r="38" customFormat="false" ht="15" hidden="false" customHeight="false" outlineLevel="0" collapsed="false">
      <c r="B38" s="10" t="s">
        <v>3268</v>
      </c>
      <c r="D38" s="10" t="s">
        <v>811</v>
      </c>
    </row>
    <row r="39" customFormat="false" ht="15" hidden="false" customHeight="false" outlineLevel="0" collapsed="false">
      <c r="A39" s="9" t="s">
        <v>3107</v>
      </c>
      <c r="B39" s="9" t="s">
        <v>2361</v>
      </c>
      <c r="C39" s="9" t="s">
        <v>804</v>
      </c>
      <c r="D39" s="19" t="n">
        <f aca="false">SUMIFS(TK_IF_HoldEcon,TK_HdrGen,$C39,TK_HdrCost,$D$38)</f>
        <v>9.70308728611469</v>
      </c>
      <c r="E39" s="21" t="n">
        <f aca="false">SUMIFS(TK_IF_TokGWPaidMix,TK_HdrGen,$C39,TK_HdrCost,$D$38)</f>
        <v>26017336543.4207</v>
      </c>
      <c r="F39" s="19" t="n">
        <f aca="false">TK_IF_ProdDerate</f>
        <v>0.85</v>
      </c>
      <c r="G39" s="19" t="n">
        <f aca="false">TK_IF_ProdDerate</f>
        <v>0.85</v>
      </c>
      <c r="H39" s="19" t="n">
        <f aca="false">(1-INP_287)*F39+INP_287*G39</f>
        <v>0.85</v>
      </c>
      <c r="P39" s="2"/>
    </row>
    <row r="40" customFormat="false" ht="15" hidden="false" customHeight="false" outlineLevel="0" collapsed="false">
      <c r="A40" s="9" t="s">
        <v>3110</v>
      </c>
      <c r="B40" s="9" t="s">
        <v>2368</v>
      </c>
      <c r="C40" s="9" t="s">
        <v>805</v>
      </c>
      <c r="D40" s="19" t="n">
        <f aca="false">SUMIFS(TK_IF_HoldEcon,TK_HdrGen,$C40,TK_HdrCost,$D$38)</f>
        <v>8.82816556596761</v>
      </c>
      <c r="E40" s="21" t="n">
        <f aca="false">SUMIFS(TK_IF_TokGWPaidMix,TK_HdrGen,$C40,TK_HdrCost,$D$38)</f>
        <v>128013563494.827</v>
      </c>
      <c r="F40" s="19" t="n">
        <f aca="false">TK_IF_ProdDerate</f>
        <v>0.85</v>
      </c>
      <c r="G40" s="19" t="n">
        <f aca="false">TK_IF_ProdDerate</f>
        <v>0.85</v>
      </c>
      <c r="H40" s="19" t="n">
        <f aca="false">(1-INP_287)*F40+INP_287*G40</f>
        <v>0.85</v>
      </c>
      <c r="P40" s="2"/>
    </row>
    <row r="41" customFormat="false" ht="15" hidden="false" customHeight="false" outlineLevel="0" collapsed="false">
      <c r="A41" s="9" t="s">
        <v>3112</v>
      </c>
      <c r="B41" s="9" t="s">
        <v>2371</v>
      </c>
      <c r="C41" s="9" t="s">
        <v>806</v>
      </c>
      <c r="D41" s="19" t="n">
        <f aca="false">SUMIFS(TK_IF_HoldEcon,TK_HdrGen,$C41,TK_HdrCost,$D$38)</f>
        <v>10.8864110021101</v>
      </c>
      <c r="E41" s="21" t="n">
        <f aca="false">SUMIFS(TK_IF_TokGWPaidMix,TK_HdrGen,$C41,TK_HdrCost,$D$38)</f>
        <v>156016123358.035</v>
      </c>
      <c r="F41" s="19" t="n">
        <f aca="false">TK_IF_ProdDerate</f>
        <v>0.85</v>
      </c>
      <c r="G41" s="19" t="n">
        <f aca="false">TK_IF_ProdDerate</f>
        <v>0.85</v>
      </c>
      <c r="H41" s="19" t="n">
        <f aca="false">(1-INP_287)*F41+INP_287*G41</f>
        <v>0.85</v>
      </c>
      <c r="P41" s="2"/>
    </row>
    <row r="42" customFormat="false" ht="15" hidden="false" customHeight="false" outlineLevel="0" collapsed="false">
      <c r="A42" s="9" t="s">
        <v>3114</v>
      </c>
      <c r="B42" s="9" t="s">
        <v>3269</v>
      </c>
      <c r="C42" s="9" t="s">
        <v>807</v>
      </c>
      <c r="D42" s="19" t="n">
        <f aca="false">SUMIFS(TK_IF_HoldEcon,TK_HdrGen,$C42,TK_HdrCost,$D$38)</f>
        <v>12.2254710045841</v>
      </c>
      <c r="E42" s="21" t="n">
        <f aca="false">SUMIFS(TK_IF_TokGWPaidMix,TK_HdrGen,$C42,TK_HdrCost,$D$38)</f>
        <v>257035462226.142</v>
      </c>
      <c r="F42" s="19" t="n">
        <f aca="false">TK_IF_FleetProdRatio_VR200</f>
        <v>0.805795445539647</v>
      </c>
      <c r="G42" s="19" t="n">
        <f aca="false">TK_IF_ProdDerate</f>
        <v>0.85</v>
      </c>
      <c r="H42" s="19" t="n">
        <f aca="false">(1-INP_287)*F42+INP_287*G42</f>
        <v>0.805795445539647</v>
      </c>
      <c r="P42" s="12" t="s">
        <v>3270</v>
      </c>
    </row>
    <row r="43" customFormat="false" ht="15" hidden="false" customHeight="false" outlineLevel="0" collapsed="false">
      <c r="A43" s="9" t="s">
        <v>3116</v>
      </c>
      <c r="B43" s="9" t="s">
        <v>3271</v>
      </c>
      <c r="C43" s="9" t="s">
        <v>808</v>
      </c>
      <c r="D43" s="19" t="n">
        <f aca="false">SUMIFS(TK_IF_HoldEcon,TK_HdrGen,$C43,TK_HdrCost,$D$38)</f>
        <v>15.3544827030524</v>
      </c>
      <c r="E43" s="21" t="n">
        <f aca="false">SUMIFS(TK_IF_TokGWPaidMix,TK_HdrGen,$C43,TK_HdrCost,$D$38)</f>
        <v>357122346760.936</v>
      </c>
      <c r="F43" s="19" t="n">
        <f aca="false">TK_IF_ProdDerate</f>
        <v>0.85</v>
      </c>
      <c r="G43" s="19" t="n">
        <f aca="false">TK_IF_ProdDerate</f>
        <v>0.85</v>
      </c>
      <c r="H43" s="19" t="n">
        <f aca="false">(1-INP_287)*F43+INP_287*G43</f>
        <v>0.85</v>
      </c>
      <c r="P43" s="2" t="s">
        <v>3272</v>
      </c>
    </row>
    <row r="44" customFormat="false" ht="15" hidden="false" customHeight="false" outlineLevel="0" collapsed="false">
      <c r="A44" s="9" t="s">
        <v>3118</v>
      </c>
      <c r="B44" s="10" t="s">
        <v>2379</v>
      </c>
      <c r="C44" s="10" t="s">
        <v>3273</v>
      </c>
      <c r="D44" s="19" t="n">
        <f aca="false">D42*INP_204</f>
        <v>7.33528260275046</v>
      </c>
      <c r="E44" s="21" t="n">
        <f aca="false">E42*INP_204</f>
        <v>154221277335.685</v>
      </c>
      <c r="F44" s="19" t="n">
        <f aca="false">TK_IF_ProdDerate</f>
        <v>0.85</v>
      </c>
      <c r="G44" s="19" t="n">
        <f aca="false">TK_IF_ProdDerate</f>
        <v>0.85</v>
      </c>
      <c r="H44" s="19" t="n">
        <f aca="false">(1-INP_287)*F44+INP_287*G44</f>
        <v>0.85</v>
      </c>
      <c r="P44" s="2" t="s">
        <v>3274</v>
      </c>
    </row>
    <row r="45" customFormat="false" ht="15" hidden="false" customHeight="false" outlineLevel="0" collapsed="false">
      <c r="A45" s="15" t="s">
        <v>3275</v>
      </c>
    </row>
    <row r="46" customFormat="false" ht="15" hidden="false" customHeight="false" outlineLevel="0" collapsed="false">
      <c r="A46" s="9" t="s">
        <v>3120</v>
      </c>
      <c r="B46" s="10" t="s">
        <v>3276</v>
      </c>
      <c r="C46" s="9" t="s">
        <v>375</v>
      </c>
      <c r="D46" s="19" t="n">
        <f aca="false">D34</f>
        <v>1.12780698259266</v>
      </c>
      <c r="E46" s="19" t="n">
        <f aca="false">E34</f>
        <v>1.25</v>
      </c>
      <c r="F46" s="19" t="n">
        <f aca="false">F34</f>
        <v>2.17</v>
      </c>
      <c r="G46" s="19" t="n">
        <f aca="false">G34</f>
        <v>2.26</v>
      </c>
      <c r="H46" s="19" t="n">
        <f aca="false">H34</f>
        <v>2.35</v>
      </c>
      <c r="I46" s="19" t="n">
        <f aca="false">I34</f>
        <v>2.5</v>
      </c>
      <c r="J46" s="19" t="n">
        <f aca="false">J34</f>
        <v>3</v>
      </c>
      <c r="K46" s="19" t="n">
        <f aca="false">K34</f>
        <v>3.8</v>
      </c>
      <c r="L46" s="19" t="n">
        <f aca="false">L34</f>
        <v>3.5</v>
      </c>
      <c r="M46" s="19" t="n">
        <f aca="false">M34</f>
        <v>4.6</v>
      </c>
      <c r="N46" s="19" t="n">
        <f aca="false">N34</f>
        <v>5.7</v>
      </c>
      <c r="P46" s="2"/>
    </row>
    <row r="47" customFormat="false" ht="15" hidden="false" customHeight="false" outlineLevel="0" collapsed="false">
      <c r="A47" s="9" t="s">
        <v>3124</v>
      </c>
      <c r="B47" s="10" t="s">
        <v>3277</v>
      </c>
      <c r="C47" s="10" t="s">
        <v>120</v>
      </c>
      <c r="D47" s="22" t="n">
        <f aca="false">INDEX(CMP_Share_Hopper,D$33)</f>
        <v>0.6</v>
      </c>
      <c r="E47" s="22" t="n">
        <f aca="false">INDEX(CMP_Share_Hopper,E$33)</f>
        <v>0.6</v>
      </c>
      <c r="F47" s="22" t="n">
        <f aca="false">(1-INP_280)*INDEX(CMP_Share_Hopper,F$33)+INP_280*INP_281</f>
        <v>0.35</v>
      </c>
      <c r="G47" s="22" t="n">
        <f aca="false">(1-INP_280)*INDEX(CMP_Share_Hopper,G$33)+INP_280*INP_281</f>
        <v>0.35</v>
      </c>
      <c r="H47" s="22" t="n">
        <f aca="false">(1-INP_280)*INDEX(CMP_Share_Hopper,H$33)+INP_280*INP_281</f>
        <v>0.35</v>
      </c>
      <c r="I47" s="22" t="n">
        <f aca="false">(1-INP_280)*INDEX(CMP_Share_Hopper,I$33)+INP_280*INP_281</f>
        <v>0.35</v>
      </c>
      <c r="J47" s="22" t="n">
        <f aca="false">(1-INP_280)*INDEX(CMP_Share_Hopper,J$33)+INP_280*INP_281</f>
        <v>0.35</v>
      </c>
      <c r="K47" s="22" t="n">
        <f aca="false">(1-INP_280)*INDEX(CMP_Share_Hopper,K$33)+INP_280*INP_281</f>
        <v>0.35</v>
      </c>
      <c r="L47" s="22" t="n">
        <f aca="false">(1-INP_280)*INDEX(CMP_Share_Hopper,L$33)+INP_280*INP_281</f>
        <v>0.35</v>
      </c>
      <c r="M47" s="22" t="n">
        <f aca="false">(1-INP_280)*INDEX(CMP_Share_Hopper,M$33)+INP_280*INP_281</f>
        <v>0.35</v>
      </c>
      <c r="N47" s="22" t="n">
        <f aca="false">(1-INP_280)*INDEX(CMP_Share_Hopper,N$33)+INP_280*INP_281</f>
        <v>0.35</v>
      </c>
      <c r="P47" s="2"/>
    </row>
    <row r="48" customFormat="false" ht="15" hidden="false" customHeight="false" outlineLevel="0" collapsed="false">
      <c r="A48" s="9" t="s">
        <v>3126</v>
      </c>
      <c r="B48" s="10" t="s">
        <v>3278</v>
      </c>
      <c r="C48" s="10" t="s">
        <v>120</v>
      </c>
      <c r="D48" s="22" t="n">
        <f aca="false">INDEX(CMP_Share_GB200,D$33)</f>
        <v>0.4</v>
      </c>
      <c r="E48" s="22" t="n">
        <f aca="false">INDEX(CMP_Share_GB200,E$33)</f>
        <v>0.4</v>
      </c>
      <c r="F48" s="22" t="n">
        <f aca="false">(1-INP_280)*INDEX(CMP_Share_GB200,F$33)+INP_280*INP_282</f>
        <v>0.275</v>
      </c>
      <c r="G48" s="22" t="n">
        <f aca="false">(1-INP_280)*INDEX(CMP_Share_GB200,G$33)+INP_280*INP_282</f>
        <v>0.275</v>
      </c>
      <c r="H48" s="22" t="n">
        <f aca="false">(1-INP_280)*INDEX(CMP_Share_GB200,H$33)+INP_280*INP_282</f>
        <v>0.275</v>
      </c>
      <c r="I48" s="22" t="n">
        <f aca="false">(1-INP_280)*INDEX(CMP_Share_GB200,I$33)+INP_280*INP_282</f>
        <v>0.275</v>
      </c>
      <c r="J48" s="22" t="n">
        <f aca="false">(1-INP_280)*INDEX(CMP_Share_GB200,J$33)+INP_280*INP_282</f>
        <v>0.275</v>
      </c>
      <c r="K48" s="22" t="n">
        <f aca="false">(1-INP_280)*INDEX(CMP_Share_GB200,K$33)+INP_280*INP_282</f>
        <v>0.275</v>
      </c>
      <c r="L48" s="22" t="n">
        <f aca="false">(1-INP_280)*INDEX(CMP_Share_GB200,L$33)+INP_280*INP_282</f>
        <v>0.275</v>
      </c>
      <c r="M48" s="22" t="n">
        <f aca="false">(1-INP_280)*INDEX(CMP_Share_GB200,M$33)+INP_280*INP_282</f>
        <v>0.275</v>
      </c>
      <c r="N48" s="22" t="n">
        <f aca="false">(1-INP_280)*INDEX(CMP_Share_GB200,N$33)+INP_280*INP_282</f>
        <v>0.275</v>
      </c>
      <c r="P48" s="2"/>
    </row>
    <row r="49" customFormat="false" ht="15" hidden="false" customHeight="false" outlineLevel="0" collapsed="false">
      <c r="A49" s="9" t="s">
        <v>3128</v>
      </c>
      <c r="B49" s="10" t="s">
        <v>3279</v>
      </c>
      <c r="C49" s="10" t="s">
        <v>120</v>
      </c>
      <c r="D49" s="22" t="n">
        <f aca="false">INDEX(CMP_Share_GB300,D$33)</f>
        <v>0</v>
      </c>
      <c r="E49" s="22" t="n">
        <f aca="false">INDEX(CMP_Share_GB300,E$33)</f>
        <v>0</v>
      </c>
      <c r="F49" s="22" t="n">
        <f aca="false">(1-INP_280)*INDEX(CMP_Share_GB300,F$33)+INP_280*INP_283</f>
        <v>0.275</v>
      </c>
      <c r="G49" s="22" t="n">
        <f aca="false">(1-INP_280)*INDEX(CMP_Share_GB300,G$33)+INP_280*INP_283</f>
        <v>0.275</v>
      </c>
      <c r="H49" s="22" t="n">
        <f aca="false">(1-INP_280)*INDEX(CMP_Share_GB300,H$33)+INP_280*INP_283</f>
        <v>0.275</v>
      </c>
      <c r="I49" s="22" t="n">
        <f aca="false">(1-INP_280)*INDEX(CMP_Share_GB300,I$33)+INP_280*INP_283</f>
        <v>0.275</v>
      </c>
      <c r="J49" s="22" t="n">
        <f aca="false">(1-INP_280)*INDEX(CMP_Share_GB300,J$33)+INP_280*INP_283</f>
        <v>0.275</v>
      </c>
      <c r="K49" s="22" t="n">
        <f aca="false">(1-INP_280)*INDEX(CMP_Share_GB300,K$33)+INP_280*INP_283</f>
        <v>0.275</v>
      </c>
      <c r="L49" s="22" t="n">
        <f aca="false">(1-INP_280)*INDEX(CMP_Share_GB300,L$33)+INP_280*INP_283</f>
        <v>0.275</v>
      </c>
      <c r="M49" s="22" t="n">
        <f aca="false">(1-INP_280)*INDEX(CMP_Share_GB300,M$33)+INP_280*INP_283</f>
        <v>0.275</v>
      </c>
      <c r="N49" s="22" t="n">
        <f aca="false">(1-INP_280)*INDEX(CMP_Share_GB300,N$33)+INP_280*INP_283</f>
        <v>0.275</v>
      </c>
      <c r="P49" s="2"/>
    </row>
    <row r="50" customFormat="false" ht="15" hidden="false" customHeight="false" outlineLevel="0" collapsed="false">
      <c r="A50" s="9" t="s">
        <v>3130</v>
      </c>
      <c r="B50" s="10" t="s">
        <v>3280</v>
      </c>
      <c r="C50" s="10" t="s">
        <v>120</v>
      </c>
      <c r="D50" s="22" t="n">
        <f aca="false">INDEX(CMP_Share_VR200,D$33)</f>
        <v>0</v>
      </c>
      <c r="E50" s="22" t="n">
        <f aca="false">INDEX(CMP_Share_VR200,E$33)</f>
        <v>0</v>
      </c>
      <c r="F50" s="22" t="n">
        <f aca="false">(1-INP_280)*INDEX(CMP_Share_VR200,F$33)+INP_280*INP_284</f>
        <v>0.05</v>
      </c>
      <c r="G50" s="22" t="n">
        <f aca="false">(1-INP_280)*INDEX(CMP_Share_VR200,G$33)+INP_280*INP_284</f>
        <v>0.05</v>
      </c>
      <c r="H50" s="22" t="n">
        <f aca="false">(1-INP_280)*INDEX(CMP_Share_VR200,H$33)+INP_280*INP_284</f>
        <v>0.05</v>
      </c>
      <c r="I50" s="22" t="n">
        <f aca="false">(1-INP_280)*INDEX(CMP_Share_VR200,I$33)+INP_280*INP_284</f>
        <v>0.05</v>
      </c>
      <c r="J50" s="22" t="n">
        <f aca="false">(1-INP_280)*INDEX(CMP_Share_VR200,J$33)+INP_280*INP_284</f>
        <v>0.05</v>
      </c>
      <c r="K50" s="22" t="n">
        <f aca="false">(1-INP_280)*INDEX(CMP_Share_VR200,K$33)+INP_280*INP_284</f>
        <v>0.05</v>
      </c>
      <c r="L50" s="22" t="n">
        <f aca="false">(1-INP_280)*INDEX(CMP_Share_VR200,L$33)+INP_280*INP_284</f>
        <v>0.05</v>
      </c>
      <c r="M50" s="22" t="n">
        <f aca="false">(1-INP_280)*INDEX(CMP_Share_VR200,M$33)+INP_280*INP_284</f>
        <v>0.05</v>
      </c>
      <c r="N50" s="22" t="n">
        <f aca="false">(1-INP_280)*INDEX(CMP_Share_VR200,N$33)+INP_280*INP_284</f>
        <v>0.05</v>
      </c>
      <c r="P50" s="2"/>
    </row>
    <row r="51" customFormat="false" ht="15" hidden="false" customHeight="false" outlineLevel="0" collapsed="false">
      <c r="A51" s="9" t="s">
        <v>3134</v>
      </c>
      <c r="B51" s="10" t="s">
        <v>3281</v>
      </c>
      <c r="C51" s="10" t="s">
        <v>120</v>
      </c>
      <c r="D51" s="22" t="n">
        <f aca="false">INDEX(CMP_Share_RubinUltra,D$33)</f>
        <v>0</v>
      </c>
      <c r="E51" s="22" t="n">
        <f aca="false">INDEX(CMP_Share_RubinUltra,E$33)</f>
        <v>0</v>
      </c>
      <c r="F51" s="22" t="n">
        <f aca="false">(1-INP_280)*INDEX(CMP_Share_RubinUltra,F$33)+INP_280*INP_285</f>
        <v>0</v>
      </c>
      <c r="G51" s="22" t="n">
        <f aca="false">(1-INP_280)*INDEX(CMP_Share_RubinUltra,G$33)+INP_280*INP_285</f>
        <v>0</v>
      </c>
      <c r="H51" s="22" t="n">
        <f aca="false">(1-INP_280)*INDEX(CMP_Share_RubinUltra,H$33)+INP_280*INP_285</f>
        <v>0</v>
      </c>
      <c r="I51" s="22" t="n">
        <f aca="false">(1-INP_280)*INDEX(CMP_Share_RubinUltra,I$33)+INP_280*INP_285</f>
        <v>0</v>
      </c>
      <c r="J51" s="22" t="n">
        <f aca="false">(1-INP_280)*INDEX(CMP_Share_RubinUltra,J$33)+INP_280*INP_285</f>
        <v>0</v>
      </c>
      <c r="K51" s="22" t="n">
        <f aca="false">(1-INP_280)*INDEX(CMP_Share_RubinUltra,K$33)+INP_280*INP_285</f>
        <v>0</v>
      </c>
      <c r="L51" s="22" t="n">
        <f aca="false">(1-INP_280)*INDEX(CMP_Share_RubinUltra,L$33)+INP_280*INP_285</f>
        <v>0</v>
      </c>
      <c r="M51" s="22" t="n">
        <f aca="false">(1-INP_280)*INDEX(CMP_Share_RubinUltra,M$33)+INP_280*INP_285</f>
        <v>0</v>
      </c>
      <c r="N51" s="22" t="n">
        <f aca="false">(1-INP_280)*INDEX(CMP_Share_RubinUltra,N$33)+INP_280*INP_285</f>
        <v>0</v>
      </c>
      <c r="P51" s="2"/>
    </row>
    <row r="52" customFormat="false" ht="15" hidden="false" customHeight="false" outlineLevel="0" collapsed="false">
      <c r="A52" s="9" t="s">
        <v>3137</v>
      </c>
      <c r="B52" s="10" t="s">
        <v>3282</v>
      </c>
      <c r="C52" s="10" t="s">
        <v>120</v>
      </c>
      <c r="D52" s="22" t="n">
        <f aca="false">INDEX(CMP_Share_Custom,D$33)</f>
        <v>0</v>
      </c>
      <c r="E52" s="22" t="n">
        <f aca="false">INDEX(CMP_Share_Custom,E$33)</f>
        <v>0</v>
      </c>
      <c r="F52" s="22" t="n">
        <f aca="false">(1-INP_280)*INDEX(CMP_Share_Custom,F$33)+INP_280*INP_286</f>
        <v>0.05</v>
      </c>
      <c r="G52" s="22" t="n">
        <f aca="false">(1-INP_280)*INDEX(CMP_Share_Custom,G$33)+INP_280*INP_286</f>
        <v>0.05</v>
      </c>
      <c r="H52" s="22" t="n">
        <f aca="false">(1-INP_280)*INDEX(CMP_Share_Custom,H$33)+INP_280*INP_286</f>
        <v>0.05</v>
      </c>
      <c r="I52" s="22" t="n">
        <f aca="false">(1-INP_280)*INDEX(CMP_Share_Custom,I$33)+INP_280*INP_286</f>
        <v>0.05</v>
      </c>
      <c r="J52" s="22" t="n">
        <f aca="false">(1-INP_280)*INDEX(CMP_Share_Custom,J$33)+INP_280*INP_286</f>
        <v>0.05</v>
      </c>
      <c r="K52" s="22" t="n">
        <f aca="false">(1-INP_280)*INDEX(CMP_Share_Custom,K$33)+INP_280*INP_286</f>
        <v>0.05</v>
      </c>
      <c r="L52" s="22" t="n">
        <f aca="false">(1-INP_280)*INDEX(CMP_Share_Custom,L$33)+INP_280*INP_286</f>
        <v>0.05</v>
      </c>
      <c r="M52" s="22" t="n">
        <f aca="false">(1-INP_280)*INDEX(CMP_Share_Custom,M$33)+INP_280*INP_286</f>
        <v>0.05</v>
      </c>
      <c r="N52" s="22" t="n">
        <f aca="false">(1-INP_280)*INDEX(CMP_Share_Custom,N$33)+INP_280*INP_286</f>
        <v>0.05</v>
      </c>
      <c r="P52" s="2"/>
    </row>
    <row r="53" customFormat="false" ht="15" hidden="false" customHeight="false" outlineLevel="0" collapsed="false">
      <c r="A53" s="9" t="s">
        <v>3139</v>
      </c>
      <c r="B53" s="10" t="s">
        <v>3283</v>
      </c>
      <c r="C53" s="10" t="s">
        <v>120</v>
      </c>
      <c r="D53" s="22" t="n">
        <f aca="false">SUM(D47:D52)</f>
        <v>1</v>
      </c>
      <c r="E53" s="22" t="n">
        <f aca="false">SUM(E47:E52)</f>
        <v>1</v>
      </c>
      <c r="F53" s="22" t="n">
        <f aca="false">SUM(F47:F52)</f>
        <v>1</v>
      </c>
      <c r="G53" s="22" t="n">
        <f aca="false">SUM(G47:G52)</f>
        <v>1</v>
      </c>
      <c r="H53" s="22" t="n">
        <f aca="false">SUM(H47:H52)</f>
        <v>1</v>
      </c>
      <c r="I53" s="22" t="n">
        <f aca="false">SUM(I47:I52)</f>
        <v>1</v>
      </c>
      <c r="J53" s="22" t="n">
        <f aca="false">SUM(J47:J52)</f>
        <v>1</v>
      </c>
      <c r="K53" s="22" t="n">
        <f aca="false">SUM(K47:K52)</f>
        <v>1</v>
      </c>
      <c r="L53" s="22" t="n">
        <f aca="false">SUM(L47:L52)</f>
        <v>1</v>
      </c>
      <c r="M53" s="22" t="n">
        <f aca="false">SUM(M47:M52)</f>
        <v>1</v>
      </c>
      <c r="N53" s="22" t="n">
        <f aca="false">SUM(N47:N52)</f>
        <v>1</v>
      </c>
      <c r="P53" s="12" t="s">
        <v>3284</v>
      </c>
    </row>
    <row r="54" customFormat="false" ht="15" hidden="false" customHeight="false" outlineLevel="0" collapsed="false">
      <c r="A54" s="9" t="s">
        <v>3141</v>
      </c>
      <c r="B54" s="10" t="s">
        <v>3285</v>
      </c>
      <c r="C54" s="9" t="s">
        <v>1603</v>
      </c>
      <c r="D54" s="19" t="n">
        <f aca="false">SUMPRODUCT(D47:D52,$D$39:$D$44)</f>
        <v>9.35311859805586</v>
      </c>
      <c r="E54" s="19" t="n">
        <f aca="false">SUMPRODUCT(E47:E52,$D$39:$D$44)</f>
        <v>9.35311859805586</v>
      </c>
      <c r="F54" s="19" t="n">
        <f aca="false">SUMPRODUCT(F47:F52,$D$39:$D$44)</f>
        <v>9.79562678672824</v>
      </c>
      <c r="G54" s="19" t="n">
        <f aca="false">SUMPRODUCT(G47:G52,$D$39:$D$44)</f>
        <v>9.79562678672824</v>
      </c>
      <c r="H54" s="19" t="n">
        <f aca="false">SUMPRODUCT(H47:H52,$D$39:$D$44)</f>
        <v>9.79562678672824</v>
      </c>
      <c r="I54" s="19" t="n">
        <f aca="false">SUMPRODUCT(I47:I52,$D$39:$D$44)</f>
        <v>9.79562678672824</v>
      </c>
      <c r="J54" s="19" t="n">
        <f aca="false">SUMPRODUCT(J47:J52,$D$39:$D$44)</f>
        <v>9.79562678672824</v>
      </c>
      <c r="K54" s="19" t="n">
        <f aca="false">SUMPRODUCT(K47:K52,$D$39:$D$44)</f>
        <v>9.79562678672824</v>
      </c>
      <c r="L54" s="19" t="n">
        <f aca="false">SUMPRODUCT(L47:L52,$D$39:$D$44)</f>
        <v>9.79562678672824</v>
      </c>
      <c r="M54" s="19" t="n">
        <f aca="false">SUMPRODUCT(M47:M52,$D$39:$D$44)</f>
        <v>9.79562678672824</v>
      </c>
      <c r="N54" s="19" t="n">
        <f aca="false">SUMPRODUCT(N47:N52,$D$39:$D$44)</f>
        <v>9.79562678672824</v>
      </c>
      <c r="P54" s="12" t="s">
        <v>3286</v>
      </c>
    </row>
    <row r="55" customFormat="false" ht="15" hidden="false" customHeight="false" outlineLevel="0" collapsed="false">
      <c r="A55" s="9" t="s">
        <v>3144</v>
      </c>
      <c r="B55" s="10" t="s">
        <v>3287</v>
      </c>
      <c r="C55" s="9" t="s">
        <v>68</v>
      </c>
      <c r="D55" s="20" t="n">
        <f aca="false">D46*D54</f>
        <v>10.5485124639047</v>
      </c>
      <c r="E55" s="20" t="n">
        <f aca="false">E46*E54</f>
        <v>11.6913982475698</v>
      </c>
      <c r="F55" s="20" t="n">
        <f aca="false">F46*F54</f>
        <v>21.2565101272003</v>
      </c>
      <c r="G55" s="20" t="n">
        <f aca="false">G46*G54</f>
        <v>22.1381165380058</v>
      </c>
      <c r="H55" s="20" t="n">
        <f aca="false">H46*H54</f>
        <v>23.0197229488114</v>
      </c>
      <c r="I55" s="20" t="n">
        <f aca="false">I46*I54</f>
        <v>24.4890669668206</v>
      </c>
      <c r="J55" s="20" t="n">
        <f aca="false">J46*J54</f>
        <v>29.3868803601847</v>
      </c>
      <c r="K55" s="20" t="n">
        <f aca="false">K46*K54</f>
        <v>37.2233817895673</v>
      </c>
      <c r="L55" s="20" t="n">
        <f aca="false">L46*L54</f>
        <v>34.2846937535488</v>
      </c>
      <c r="M55" s="20" t="n">
        <f aca="false">M46*M54</f>
        <v>45.0598832189499</v>
      </c>
      <c r="N55" s="20" t="n">
        <f aca="false">N46*N54</f>
        <v>55.835072684351</v>
      </c>
      <c r="P55" s="2" t="s">
        <v>3288</v>
      </c>
    </row>
    <row r="56" customFormat="false" ht="15" hidden="false" customHeight="false" outlineLevel="0" collapsed="false">
      <c r="A56" s="9" t="s">
        <v>3147</v>
      </c>
      <c r="B56" s="10" t="s">
        <v>3289</v>
      </c>
      <c r="C56" s="9" t="s">
        <v>1014</v>
      </c>
      <c r="D56" s="21" t="n">
        <f aca="false">SUMPRODUCT(D47:D52,$E$39:$E$44,$H$39:$H$44)</f>
        <v>56793453225.3857</v>
      </c>
      <c r="E56" s="21" t="n">
        <f aca="false">SUMPRODUCT(E47:E52,$E$39:$E$44,$H$39:$H$44)</f>
        <v>56793453225.3857</v>
      </c>
      <c r="F56" s="21" t="n">
        <f aca="false">SUMPRODUCT(F47:F52,$E$39:$E$44,$H$39:$H$44)</f>
        <v>91042401450.4909</v>
      </c>
      <c r="G56" s="21" t="n">
        <f aca="false">SUMPRODUCT(G47:G52,$E$39:$E$44,$H$39:$H$44)</f>
        <v>91042401450.4909</v>
      </c>
      <c r="H56" s="21" t="n">
        <f aca="false">SUMPRODUCT(H47:H52,$E$39:$E$44,$H$39:$H$44)</f>
        <v>91042401450.4909</v>
      </c>
      <c r="I56" s="21" t="n">
        <f aca="false">SUMPRODUCT(I47:I52,$E$39:$E$44,$H$39:$H$44)</f>
        <v>91042401450.4909</v>
      </c>
      <c r="J56" s="21" t="n">
        <f aca="false">SUMPRODUCT(J47:J52,$E$39:$E$44,$H$39:$H$44)</f>
        <v>91042401450.4909</v>
      </c>
      <c r="K56" s="21" t="n">
        <f aca="false">SUMPRODUCT(K47:K52,$E$39:$E$44,$H$39:$H$44)</f>
        <v>91042401450.4909</v>
      </c>
      <c r="L56" s="21" t="n">
        <f aca="false">SUMPRODUCT(L47:L52,$E$39:$E$44,$H$39:$H$44)</f>
        <v>91042401450.4909</v>
      </c>
      <c r="M56" s="21" t="n">
        <f aca="false">SUMPRODUCT(M47:M52,$E$39:$E$44,$H$39:$H$44)</f>
        <v>91042401450.4909</v>
      </c>
      <c r="N56" s="21" t="n">
        <f aca="false">SUMPRODUCT(N47:N52,$E$39:$E$44,$H$39:$H$44)</f>
        <v>91042401450.4909</v>
      </c>
      <c r="P56" s="12" t="s">
        <v>3290</v>
      </c>
    </row>
    <row r="57" customFormat="false" ht="15" hidden="false" customHeight="false" outlineLevel="0" collapsed="false">
      <c r="A57" s="9" t="s">
        <v>3151</v>
      </c>
      <c r="B57" s="9" t="s">
        <v>3291</v>
      </c>
      <c r="C57" s="9" t="s">
        <v>836</v>
      </c>
      <c r="D57" s="21" t="n">
        <f aca="false">D46*TK_IF_ServeShare*(1-TK_IF_FreeShare)*D56*TK_IF_UtilActual</f>
        <v>5814261069.29216</v>
      </c>
      <c r="E57" s="21" t="n">
        <f aca="false">E46*TK_IF_ServeShare*(1-TK_IF_FreeShare)*E56*TK_IF_UtilActual</f>
        <v>6444211153.85146</v>
      </c>
      <c r="F57" s="21" t="n">
        <f aca="false">F46*TK_IF_ServeShare*(1-TK_IF_FreeShare)*F56*TK_IF_UtilActual</f>
        <v>17933493999.9091</v>
      </c>
      <c r="G57" s="21" t="n">
        <f aca="false">G46*TK_IF_ServeShare*(1-TK_IF_FreeShare)*G56*TK_IF_UtilActual</f>
        <v>18677279465.3431</v>
      </c>
      <c r="H57" s="21" t="n">
        <f aca="false">H46*TK_IF_ServeShare*(1-TK_IF_FreeShare)*H56*TK_IF_UtilActual</f>
        <v>19421064930.7771</v>
      </c>
      <c r="I57" s="21" t="n">
        <f aca="false">I46*TK_IF_ServeShare*(1-TK_IF_FreeShare)*I56*TK_IF_UtilActual</f>
        <v>20660707373.1672</v>
      </c>
      <c r="J57" s="21" t="n">
        <f aca="false">J46*TK_IF_ServeShare*(1-TK_IF_FreeShare)*J56*TK_IF_UtilActual</f>
        <v>24792848847.8006</v>
      </c>
      <c r="K57" s="21" t="n">
        <f aca="false">K46*TK_IF_ServeShare*(1-TK_IF_FreeShare)*K56*TK_IF_UtilActual</f>
        <v>31404275207.2141</v>
      </c>
      <c r="L57" s="21" t="n">
        <f aca="false">L46*TK_IF_ServeShare*(1-TK_IF_FreeShare)*L56*TK_IF_UtilActual</f>
        <v>28924990322.434</v>
      </c>
      <c r="M57" s="21" t="n">
        <f aca="false">M46*TK_IF_ServeShare*(1-TK_IF_FreeShare)*M56*TK_IF_UtilActual</f>
        <v>38015701566.6276</v>
      </c>
      <c r="N57" s="21" t="n">
        <f aca="false">N46*TK_IF_ServeShare*(1-TK_IF_FreeShare)*N56*TK_IF_UtilActual</f>
        <v>47106412810.8211</v>
      </c>
      <c r="P57" s="12" t="s">
        <v>3292</v>
      </c>
    </row>
    <row r="58" customFormat="false" ht="15" hidden="false" customHeight="false" outlineLevel="0" collapsed="false">
      <c r="A58" s="9" t="s">
        <v>3153</v>
      </c>
      <c r="B58" s="9" t="s">
        <v>3293</v>
      </c>
      <c r="C58" s="9" t="s">
        <v>3294</v>
      </c>
      <c r="D58" s="23" t="n">
        <f aca="false">D57/INP_254</f>
        <v>5814.26106929216</v>
      </c>
      <c r="E58" s="23" t="n">
        <f aca="false">E57/INP_254</f>
        <v>6444.21115385146</v>
      </c>
      <c r="F58" s="23" t="n">
        <f aca="false">F57/INP_254</f>
        <v>17933.4939999091</v>
      </c>
      <c r="G58" s="23" t="n">
        <f aca="false">G57/INP_254</f>
        <v>18677.2794653431</v>
      </c>
      <c r="H58" s="23" t="n">
        <f aca="false">H57/INP_254</f>
        <v>19421.0649307771</v>
      </c>
      <c r="I58" s="23" t="n">
        <f aca="false">I57/INP_254</f>
        <v>20660.7073731672</v>
      </c>
      <c r="J58" s="23" t="n">
        <f aca="false">J57/INP_254</f>
        <v>24792.8488478006</v>
      </c>
      <c r="K58" s="23" t="n">
        <f aca="false">K57/INP_254</f>
        <v>31404.2752072141</v>
      </c>
      <c r="L58" s="23" t="n">
        <f aca="false">L57/INP_254</f>
        <v>28924.990322434</v>
      </c>
      <c r="M58" s="23" t="n">
        <f aca="false">M57/INP_254</f>
        <v>38015.7015666276</v>
      </c>
      <c r="N58" s="23" t="n">
        <f aca="false">N57/INP_254</f>
        <v>47106.4128108211</v>
      </c>
      <c r="P58" s="2" t="s">
        <v>3295</v>
      </c>
    </row>
    <row r="59" customFormat="false" ht="15" hidden="false" customHeight="false" outlineLevel="0" collapsed="false">
      <c r="A59" s="9" t="s">
        <v>3155</v>
      </c>
      <c r="B59" s="10" t="s">
        <v>3296</v>
      </c>
      <c r="C59" s="9" t="s">
        <v>3297</v>
      </c>
      <c r="D59" s="19" t="n">
        <f aca="false">TK_IF_PxEffMix25</f>
        <v>1.35936</v>
      </c>
      <c r="E59" s="19" t="n">
        <f aca="false">TK_IF_PxEffMix25</f>
        <v>1.35936</v>
      </c>
      <c r="F59" s="19" t="n">
        <f aca="false">TK_IF_PxEffMix</f>
        <v>1.94307555555556</v>
      </c>
      <c r="G59" s="19" t="n">
        <f aca="false">TK_IF_PxEffMix</f>
        <v>1.94307555555556</v>
      </c>
      <c r="H59" s="19" t="n">
        <f aca="false">TK_IF_PxEffMix</f>
        <v>1.94307555555556</v>
      </c>
      <c r="I59" s="19" t="n">
        <f aca="false">TK_IF_PxEffMix</f>
        <v>1.94307555555556</v>
      </c>
      <c r="J59" s="19" t="n">
        <f aca="false">TK_IF_PxEffMix</f>
        <v>1.94307555555556</v>
      </c>
      <c r="K59" s="19" t="n">
        <f aca="false">TK_IF_PxEffMix</f>
        <v>1.94307555555556</v>
      </c>
      <c r="L59" s="19" t="n">
        <f aca="false">TK_IF_PxEffMix</f>
        <v>1.94307555555556</v>
      </c>
      <c r="M59" s="19" t="n">
        <f aca="false">TK_IF_PxEffMix</f>
        <v>1.94307555555556</v>
      </c>
      <c r="N59" s="19" t="n">
        <f aca="false">TK_IF_PxEffMix</f>
        <v>1.94307555555556</v>
      </c>
      <c r="P59" s="12" t="s">
        <v>3298</v>
      </c>
    </row>
    <row r="60" customFormat="false" ht="15" hidden="false" customHeight="false" outlineLevel="0" collapsed="false">
      <c r="A60" s="9" t="s">
        <v>3158</v>
      </c>
      <c r="B60" s="10" t="s">
        <v>3299</v>
      </c>
      <c r="C60" s="9" t="s">
        <v>3297</v>
      </c>
      <c r="D60" s="19" t="n">
        <f aca="false">D59/(1-TK_IF_Disc)</f>
        <v>1.6992</v>
      </c>
      <c r="E60" s="19" t="n">
        <f aca="false">E59/(1-TK_IF_Disc)</f>
        <v>1.6992</v>
      </c>
      <c r="F60" s="19" t="n">
        <f aca="false">F59/(1-TK_IF_Disc)</f>
        <v>2.42884444444445</v>
      </c>
      <c r="G60" s="19" t="n">
        <f aca="false">G59/(1-TK_IF_Disc)</f>
        <v>2.42884444444445</v>
      </c>
      <c r="H60" s="19" t="n">
        <f aca="false">H59/(1-TK_IF_Disc)</f>
        <v>2.42884444444445</v>
      </c>
      <c r="I60" s="19" t="n">
        <f aca="false">I59/(1-TK_IF_Disc)</f>
        <v>2.42884444444445</v>
      </c>
      <c r="J60" s="19" t="n">
        <f aca="false">J59/(1-TK_IF_Disc)</f>
        <v>2.42884444444445</v>
      </c>
      <c r="K60" s="19" t="n">
        <f aca="false">K59/(1-TK_IF_Disc)</f>
        <v>2.42884444444445</v>
      </c>
      <c r="L60" s="19" t="n">
        <f aca="false">L59/(1-TK_IF_Disc)</f>
        <v>2.42884444444445</v>
      </c>
      <c r="M60" s="19" t="n">
        <f aca="false">M59/(1-TK_IF_Disc)</f>
        <v>2.42884444444445</v>
      </c>
      <c r="N60" s="19" t="n">
        <f aca="false">N59/(1-TK_IF_Disc)</f>
        <v>2.42884444444445</v>
      </c>
      <c r="P60" s="12" t="s">
        <v>3300</v>
      </c>
    </row>
    <row r="61" customFormat="false" ht="15" hidden="false" customHeight="false" outlineLevel="0" collapsed="false">
      <c r="A61" s="9" t="s">
        <v>3160</v>
      </c>
      <c r="B61" s="10" t="s">
        <v>3301</v>
      </c>
      <c r="C61" s="9" t="s">
        <v>68</v>
      </c>
      <c r="D61" s="20" t="n">
        <f aca="false">D35</f>
        <v>13.07</v>
      </c>
      <c r="E61" s="20" t="n">
        <f aca="false">E35</f>
        <v>13.07</v>
      </c>
      <c r="F61" s="20" t="n">
        <f aca="false">F35</f>
        <v>26.3</v>
      </c>
      <c r="G61" s="20" t="n">
        <f aca="false">G35</f>
        <v>26.3</v>
      </c>
      <c r="H61" s="20" t="n">
        <f aca="false">H35</f>
        <v>26.3</v>
      </c>
      <c r="I61" s="20" t="n">
        <f aca="false">I35</f>
        <v>35</v>
      </c>
      <c r="J61" s="20" t="n">
        <f aca="false">J35</f>
        <v>35</v>
      </c>
      <c r="K61" s="20" t="n">
        <f aca="false">K35</f>
        <v>35</v>
      </c>
      <c r="L61" s="20" t="n">
        <f aca="false">L35</f>
        <v>50</v>
      </c>
      <c r="M61" s="20" t="n">
        <f aca="false">M35</f>
        <v>50</v>
      </c>
      <c r="N61" s="20" t="n">
        <f aca="false">N35</f>
        <v>50</v>
      </c>
      <c r="P61" s="2"/>
    </row>
    <row r="62" customFormat="false" ht="15" hidden="false" customHeight="false" outlineLevel="0" collapsed="false">
      <c r="A62" s="9" t="s">
        <v>3162</v>
      </c>
      <c r="B62" s="10" t="s">
        <v>3302</v>
      </c>
      <c r="C62" s="10" t="s">
        <v>560</v>
      </c>
      <c r="D62" s="19" t="n">
        <f aca="false">D61*INP_270/(D57*D59)</f>
        <v>1.65366133781129</v>
      </c>
      <c r="E62" s="19" t="n">
        <f aca="false">E61*INP_270/(E57*E59)</f>
        <v>1.49200864290168</v>
      </c>
      <c r="F62" s="19" t="n">
        <f aca="false">F61*INP_270/(F57*F59)</f>
        <v>0.754746570686284</v>
      </c>
      <c r="G62" s="19" t="n">
        <f aca="false">G61*INP_270/(G57*G59)</f>
        <v>0.724690291322671</v>
      </c>
      <c r="H62" s="19" t="n">
        <f aca="false">H61*INP_270/(H57*H59)</f>
        <v>0.696936195059249</v>
      </c>
      <c r="I62" s="19" t="n">
        <f aca="false">I61*INP_270/(I57*I59)</f>
        <v>0.871832730701495</v>
      </c>
      <c r="J62" s="19" t="n">
        <f aca="false">J61*INP_270/(J57*J59)</f>
        <v>0.726527275584579</v>
      </c>
      <c r="K62" s="19" t="n">
        <f aca="false">K61*INP_270/(K57*K59)</f>
        <v>0.573574164935194</v>
      </c>
      <c r="L62" s="19" t="n">
        <f aca="false">L61*INP_270/(L57*L59)</f>
        <v>0.889625235409689</v>
      </c>
      <c r="M62" s="19" t="n">
        <f aca="false">M61*INP_270/(M57*M59)</f>
        <v>0.676888766072589</v>
      </c>
      <c r="N62" s="19" t="n">
        <f aca="false">N61*INP_270/(N57*N59)</f>
        <v>0.546261109462089</v>
      </c>
      <c r="P62" s="12" t="s">
        <v>3303</v>
      </c>
    </row>
    <row r="63" customFormat="false" ht="15" hidden="false" customHeight="false" outlineLevel="0" collapsed="false">
      <c r="A63" s="9" t="s">
        <v>3164</v>
      </c>
      <c r="B63" s="10" t="s">
        <v>3304</v>
      </c>
      <c r="C63" s="10" t="s">
        <v>560</v>
      </c>
      <c r="D63" s="19" t="n">
        <f aca="false">D55*INP_270/(D57*D59)</f>
        <v>1.33463406526241</v>
      </c>
      <c r="E63" s="19" t="n">
        <f aca="false">E55*INP_270/(E57*E59)</f>
        <v>1.33463406526241</v>
      </c>
      <c r="F63" s="19" t="n">
        <f aca="false">F55*INP_270/(F57*F59)</f>
        <v>0.610010575028999</v>
      </c>
      <c r="G63" s="19" t="n">
        <f aca="false">G55*INP_270/(G57*G59)</f>
        <v>0.610010575028999</v>
      </c>
      <c r="H63" s="19" t="n">
        <f aca="false">H55*INP_270/(H57*H59)</f>
        <v>0.610010575028999</v>
      </c>
      <c r="I63" s="19" t="n">
        <f aca="false">I55*INP_270/(I57*I59)</f>
        <v>0.610010575028999</v>
      </c>
      <c r="J63" s="19" t="n">
        <f aca="false">J55*INP_270/(J57*J59)</f>
        <v>0.610010575028999</v>
      </c>
      <c r="K63" s="19" t="n">
        <f aca="false">K55*INP_270/(K57*K59)</f>
        <v>0.610010575028999</v>
      </c>
      <c r="L63" s="19" t="n">
        <f aca="false">L55*INP_270/(L57*L59)</f>
        <v>0.610010575028999</v>
      </c>
      <c r="M63" s="19" t="n">
        <f aca="false">M55*INP_270/(M57*M59)</f>
        <v>0.610010575028999</v>
      </c>
      <c r="N63" s="19" t="n">
        <f aca="false">N55*INP_270/(N57*N59)</f>
        <v>0.610010575028999</v>
      </c>
      <c r="P63" s="2" t="s">
        <v>3305</v>
      </c>
    </row>
    <row r="64" customFormat="false" ht="15" hidden="false" customHeight="false" outlineLevel="0" collapsed="false">
      <c r="A64" s="9" t="s">
        <v>3166</v>
      </c>
      <c r="B64" s="10" t="s">
        <v>3306</v>
      </c>
      <c r="C64" s="10" t="s">
        <v>560</v>
      </c>
      <c r="D64" s="19" t="n">
        <f aca="false">D62/D63</f>
        <v>1.2390372618626</v>
      </c>
      <c r="E64" s="19" t="n">
        <f aca="false">E62/E63</f>
        <v>1.11791590049691</v>
      </c>
      <c r="F64" s="19" t="n">
        <f aca="false">F62/F63</f>
        <v>1.23726801072326</v>
      </c>
      <c r="G64" s="19" t="n">
        <f aca="false">G62/G63</f>
        <v>1.18799627578296</v>
      </c>
      <c r="H64" s="19" t="n">
        <f aca="false">H62/H63</f>
        <v>1.14249854607212</v>
      </c>
      <c r="I64" s="19" t="n">
        <f aca="false">I62/I63</f>
        <v>1.42920920782406</v>
      </c>
      <c r="J64" s="19" t="n">
        <f aca="false">J62/J63</f>
        <v>1.19100767318672</v>
      </c>
      <c r="K64" s="19" t="n">
        <f aca="false">K62/K63</f>
        <v>0.940269215673723</v>
      </c>
      <c r="L64" s="19" t="n">
        <f aca="false">L62/L63</f>
        <v>1.45837674267761</v>
      </c>
      <c r="M64" s="19" t="n">
        <f aca="false">M62/M63</f>
        <v>1.10963447812427</v>
      </c>
      <c r="N64" s="19" t="n">
        <f aca="false">N62/N63</f>
        <v>0.895494491117832</v>
      </c>
      <c r="P64" s="2" t="s">
        <v>3307</v>
      </c>
    </row>
    <row r="65" customFormat="false" ht="15" hidden="false" customHeight="false" outlineLevel="0" collapsed="false">
      <c r="A65" s="9" t="s">
        <v>3169</v>
      </c>
      <c r="B65" s="10" t="s">
        <v>3308</v>
      </c>
      <c r="C65" s="10" t="s">
        <v>560</v>
      </c>
      <c r="D65" s="24" t="n">
        <f aca="false">D64-D61/D55</f>
        <v>0</v>
      </c>
      <c r="E65" s="24" t="n">
        <f aca="false">E64-E61/E55</f>
        <v>0</v>
      </c>
      <c r="F65" s="24" t="n">
        <f aca="false">F64-F61/F55</f>
        <v>0</v>
      </c>
      <c r="G65" s="24" t="n">
        <f aca="false">G64-G61/G55</f>
        <v>0</v>
      </c>
      <c r="H65" s="24" t="n">
        <f aca="false">H64-H61/H55</f>
        <v>0</v>
      </c>
      <c r="I65" s="24" t="n">
        <f aca="false">I64-I61/I55</f>
        <v>0</v>
      </c>
      <c r="J65" s="24" t="n">
        <f aca="false">J64-J61/J55</f>
        <v>0</v>
      </c>
      <c r="K65" s="24" t="n">
        <f aca="false">K64-K61/K55</f>
        <v>0</v>
      </c>
      <c r="L65" s="24" t="n">
        <f aca="false">L64-L61/L55</f>
        <v>0</v>
      </c>
      <c r="M65" s="24" t="n">
        <f aca="false">M64-M61/M55</f>
        <v>0</v>
      </c>
      <c r="N65" s="24" t="n">
        <f aca="false">N64-N61/N55</f>
        <v>0</v>
      </c>
      <c r="P65" s="12" t="s">
        <v>3284</v>
      </c>
    </row>
    <row r="66" customFormat="false" ht="15" hidden="false" customHeight="false" outlineLevel="0" collapsed="false">
      <c r="A66" s="9" t="s">
        <v>3172</v>
      </c>
      <c r="B66" s="10" t="s">
        <v>3309</v>
      </c>
      <c r="C66" s="10" t="s">
        <v>560</v>
      </c>
      <c r="D66" s="19" t="n">
        <f aca="false">D62/TK_IF_LTotalFleetVDisc</f>
        <v>2.17989332569619</v>
      </c>
      <c r="E66" s="19" t="n">
        <f aca="false">E62/TK_IF_LTotalFleetVDisc</f>
        <v>1.96679913122185</v>
      </c>
      <c r="F66" s="19" t="n">
        <f aca="false">F62/TK_IF_LTotalFleetVDisc</f>
        <v>0.994923793894053</v>
      </c>
      <c r="G66" s="19" t="n">
        <f aca="false">G62/TK_IF_LTotalFleetVDisc</f>
        <v>0.955302934845175</v>
      </c>
      <c r="H66" s="19" t="n">
        <f aca="false">H62/TK_IF_LTotalFleetVDisc</f>
        <v>0.91871686500004</v>
      </c>
      <c r="I66" s="19" t="n">
        <f aca="false">I62/TK_IF_LTotalFleetVDisc</f>
        <v>1.1492693862548</v>
      </c>
      <c r="J66" s="19" t="n">
        <f aca="false">J62/TK_IF_LTotalFleetVDisc</f>
        <v>0.957724488545669</v>
      </c>
      <c r="K66" s="19" t="n">
        <f aca="false">K62/TK_IF_LTotalFleetVDisc</f>
        <v>0.756098280430791</v>
      </c>
      <c r="L66" s="19" t="n">
        <f aca="false">L62/TK_IF_LTotalFleetVDisc</f>
        <v>1.17272386352531</v>
      </c>
      <c r="M66" s="19" t="n">
        <f aca="false">M62/TK_IF_LTotalFleetVDisc</f>
        <v>0.892289896160561</v>
      </c>
      <c r="N66" s="19" t="n">
        <f aca="false">N62/TK_IF_LTotalFleetVDisc</f>
        <v>0.720093600410278</v>
      </c>
      <c r="P66" s="2" t="s">
        <v>3310</v>
      </c>
    </row>
    <row r="67" customFormat="false" ht="15" hidden="false" customHeight="false" outlineLevel="0" collapsed="false">
      <c r="A67" s="9" t="s">
        <v>3173</v>
      </c>
      <c r="B67" s="10" t="s">
        <v>3311</v>
      </c>
      <c r="C67" s="10" t="s">
        <v>560</v>
      </c>
      <c r="D67" s="19" t="n">
        <f aca="false">D62/TK_IF_LTotalDisc</f>
        <v>2.36627930082208</v>
      </c>
      <c r="E67" s="19" t="n">
        <f aca="false">E62/TK_IF_LTotalDisc</f>
        <v>2.1349650545853</v>
      </c>
      <c r="F67" s="19" t="n">
        <f aca="false">F62/TK_IF_LTotalDisc</f>
        <v>1.07999210403334</v>
      </c>
      <c r="G67" s="19" t="n">
        <f aca="false">G62/TK_IF_LTotalDisc</f>
        <v>1.03698356891697</v>
      </c>
      <c r="H67" s="19" t="n">
        <f aca="false">H62/TK_IF_LTotalDisc</f>
        <v>0.997269304575468</v>
      </c>
      <c r="I67" s="19" t="n">
        <f aca="false">I62/TK_IF_LTotalDisc</f>
        <v>1.24753460534346</v>
      </c>
      <c r="J67" s="19" t="n">
        <f aca="false">J62/TK_IF_LTotalDisc</f>
        <v>1.03961217111955</v>
      </c>
      <c r="K67" s="19" t="n">
        <f aca="false">K62/TK_IF_LTotalDisc</f>
        <v>0.820746450883853</v>
      </c>
      <c r="L67" s="19" t="n">
        <f aca="false">L62/TK_IF_LTotalDisc</f>
        <v>1.27299449524843</v>
      </c>
      <c r="M67" s="19" t="n">
        <f aca="false">M62/TK_IF_LTotalDisc</f>
        <v>0.968582768123802</v>
      </c>
      <c r="N67" s="19" t="n">
        <f aca="false">N62/TK_IF_LTotalDisc</f>
        <v>0.78166328655605</v>
      </c>
      <c r="P67" s="2" t="s">
        <v>3312</v>
      </c>
    </row>
    <row r="68" customFormat="false" ht="15" hidden="false" customHeight="false" outlineLevel="0" collapsed="false">
      <c r="A68" s="9" t="s">
        <v>3175</v>
      </c>
      <c r="B68" s="10" t="s">
        <v>3313</v>
      </c>
      <c r="C68" s="9" t="s">
        <v>375</v>
      </c>
      <c r="F68" s="19" t="n">
        <f aca="false">F61/(F54*$D64)</f>
        <v>2.16690140475147</v>
      </c>
      <c r="G68" s="19" t="n">
        <f aca="false">G61/(G54*$D64)</f>
        <v>2.16690140475147</v>
      </c>
      <c r="H68" s="19" t="n">
        <f aca="false">H61/(H54*$D64)</f>
        <v>2.16690140475147</v>
      </c>
      <c r="I68" s="19" t="n">
        <f aca="false">I61/(I54*$D64)</f>
        <v>2.88370909377572</v>
      </c>
      <c r="J68" s="19" t="n">
        <f aca="false">J61/(J54*$D64)</f>
        <v>2.88370909377572</v>
      </c>
      <c r="K68" s="19" t="n">
        <f aca="false">K61/(K54*$D64)</f>
        <v>2.88370909377572</v>
      </c>
      <c r="L68" s="19" t="n">
        <f aca="false">L61/(L54*$D64)</f>
        <v>4.1195844196796</v>
      </c>
      <c r="M68" s="19" t="n">
        <f aca="false">M61/(M54*$D64)</f>
        <v>4.1195844196796</v>
      </c>
      <c r="N68" s="19" t="n">
        <f aca="false">N61/(N54*$D64)</f>
        <v>4.1195844196796</v>
      </c>
      <c r="P68" s="2"/>
    </row>
    <row r="69" customFormat="false" ht="15" hidden="false" customHeight="false" outlineLevel="0" collapsed="false">
      <c r="A69" s="9" t="s">
        <v>3178</v>
      </c>
      <c r="B69" s="10" t="s">
        <v>3314</v>
      </c>
      <c r="C69" s="9" t="s">
        <v>375</v>
      </c>
      <c r="F69" s="19" t="n">
        <f aca="false">F61/(F54*$E64)</f>
        <v>2.40167581664781</v>
      </c>
      <c r="G69" s="19" t="n">
        <f aca="false">G61/(G54*$E64)</f>
        <v>2.40167581664781</v>
      </c>
      <c r="H69" s="19" t="n">
        <f aca="false">H61/(H54*$E64)</f>
        <v>2.40167581664781</v>
      </c>
      <c r="I69" s="19" t="n">
        <f aca="false">I61/(I54*$E64)</f>
        <v>3.19614652405602</v>
      </c>
      <c r="J69" s="19" t="n">
        <f aca="false">J61/(J54*$E64)</f>
        <v>3.19614652405602</v>
      </c>
      <c r="K69" s="19" t="n">
        <f aca="false">K61/(K54*$E64)</f>
        <v>3.19614652405602</v>
      </c>
      <c r="L69" s="19" t="n">
        <f aca="false">L61/(L54*$E64)</f>
        <v>4.56592360579431</v>
      </c>
      <c r="M69" s="19" t="n">
        <f aca="false">M61/(M54*$E64)</f>
        <v>4.56592360579431</v>
      </c>
      <c r="N69" s="19" t="n">
        <f aca="false">N61/(N54*$E64)</f>
        <v>4.56592360579431</v>
      </c>
      <c r="P69" s="2"/>
    </row>
    <row r="70" customFormat="false" ht="15" hidden="false" customHeight="false" outlineLevel="0" collapsed="false">
      <c r="A70" s="9" t="s">
        <v>3181</v>
      </c>
      <c r="B70" s="10" t="s">
        <v>3315</v>
      </c>
      <c r="C70" s="9" t="s">
        <v>375</v>
      </c>
      <c r="F70" s="19" t="n">
        <f aca="false">F61/(F54*((1-INP_276)*$D64+INP_276*$E64))</f>
        <v>2.16690140475147</v>
      </c>
      <c r="G70" s="19" t="n">
        <f aca="false">G61/(G54*((1-INP_276)*$D64+INP_276*$E64))</f>
        <v>2.16690140475147</v>
      </c>
      <c r="H70" s="19" t="n">
        <f aca="false">H61/(H54*((1-INP_276)*$D64+INP_276*$E64))</f>
        <v>2.16690140475147</v>
      </c>
      <c r="I70" s="19" t="n">
        <f aca="false">I61/(I54*((1-INP_276)*$D64+INP_276*$E64))</f>
        <v>2.88370909377572</v>
      </c>
      <c r="J70" s="19" t="n">
        <f aca="false">J61/(J54*((1-INP_276)*$D64+INP_276*$E64))</f>
        <v>2.88370909377572</v>
      </c>
      <c r="K70" s="19" t="n">
        <f aca="false">K61/(K54*((1-INP_276)*$D64+INP_276*$E64))</f>
        <v>2.88370909377572</v>
      </c>
      <c r="L70" s="19" t="n">
        <f aca="false">L61/(L54*((1-INP_276)*$D64+INP_276*$E64))</f>
        <v>4.1195844196796</v>
      </c>
      <c r="M70" s="19" t="n">
        <f aca="false">M61/(M54*((1-INP_276)*$D64+INP_276*$E64))</f>
        <v>4.1195844196796</v>
      </c>
      <c r="N70" s="19" t="n">
        <f aca="false">N61/(N54*((1-INP_276)*$D64+INP_276*$E64))</f>
        <v>4.1195844196796</v>
      </c>
      <c r="P70" s="2" t="s">
        <v>3316</v>
      </c>
    </row>
    <row r="71" customFormat="false" ht="15" hidden="false" customHeight="false" outlineLevel="0" collapsed="false">
      <c r="A71" s="15" t="s">
        <v>3317</v>
      </c>
    </row>
    <row r="72" customFormat="false" ht="15" hidden="false" customHeight="false" outlineLevel="0" collapsed="false">
      <c r="A72" s="25" t="s">
        <v>3318</v>
      </c>
    </row>
    <row r="73" customFormat="false" ht="15" hidden="false" customHeight="false" outlineLevel="0" collapsed="false">
      <c r="A73" s="9" t="s">
        <v>3183</v>
      </c>
      <c r="B73" s="10" t="s">
        <v>3276</v>
      </c>
      <c r="C73" s="9" t="s">
        <v>375</v>
      </c>
      <c r="D73" s="19" t="n">
        <f aca="false">D34</f>
        <v>1.12780698259266</v>
      </c>
      <c r="E73" s="19" t="n">
        <f aca="false">E34</f>
        <v>1.25</v>
      </c>
      <c r="F73" s="19" t="n">
        <f aca="false">F34</f>
        <v>2.17</v>
      </c>
      <c r="G73" s="19" t="n">
        <f aca="false">G34</f>
        <v>2.26</v>
      </c>
      <c r="H73" s="19" t="n">
        <f aca="false">H34</f>
        <v>2.35</v>
      </c>
      <c r="I73" s="19" t="n">
        <f aca="false">I34</f>
        <v>2.5</v>
      </c>
      <c r="J73" s="19" t="n">
        <f aca="false">J34</f>
        <v>3</v>
      </c>
      <c r="K73" s="19" t="n">
        <f aca="false">K34</f>
        <v>3.8</v>
      </c>
      <c r="L73" s="19" t="n">
        <f aca="false">L34</f>
        <v>3.5</v>
      </c>
      <c r="M73" s="19" t="n">
        <f aca="false">M34</f>
        <v>4.6</v>
      </c>
      <c r="N73" s="19" t="n">
        <f aca="false">N34</f>
        <v>5.7</v>
      </c>
      <c r="P73" s="2"/>
    </row>
    <row r="74" customFormat="false" ht="15" hidden="false" customHeight="false" outlineLevel="0" collapsed="false">
      <c r="A74" s="9" t="s">
        <v>3186</v>
      </c>
      <c r="B74" s="10" t="s">
        <v>3277</v>
      </c>
      <c r="C74" s="10" t="s">
        <v>120</v>
      </c>
      <c r="D74" s="22" t="n">
        <f aca="false">INDEX(CMP_Share_Hopper,D$33)</f>
        <v>0.6</v>
      </c>
      <c r="E74" s="22" t="n">
        <f aca="false">INDEX(CMP_Share_Hopper,E$33)</f>
        <v>0.6</v>
      </c>
      <c r="F74" s="22" t="n">
        <f aca="false">INP_281</f>
        <v>0.25</v>
      </c>
      <c r="G74" s="22" t="n">
        <f aca="false">INP_281</f>
        <v>0.25</v>
      </c>
      <c r="H74" s="22" t="n">
        <f aca="false">INP_281</f>
        <v>0.25</v>
      </c>
      <c r="I74" s="22" t="n">
        <f aca="false">INP_281</f>
        <v>0.25</v>
      </c>
      <c r="J74" s="22" t="n">
        <f aca="false">INP_281</f>
        <v>0.25</v>
      </c>
      <c r="K74" s="22" t="n">
        <f aca="false">INP_281</f>
        <v>0.25</v>
      </c>
      <c r="L74" s="22" t="n">
        <f aca="false">INP_281</f>
        <v>0.25</v>
      </c>
      <c r="M74" s="22" t="n">
        <f aca="false">INP_281</f>
        <v>0.25</v>
      </c>
      <c r="N74" s="22" t="n">
        <f aca="false">INP_281</f>
        <v>0.25</v>
      </c>
      <c r="P74" s="2"/>
    </row>
    <row r="75" customFormat="false" ht="15" hidden="false" customHeight="false" outlineLevel="0" collapsed="false">
      <c r="A75" s="9" t="s">
        <v>3188</v>
      </c>
      <c r="B75" s="10" t="s">
        <v>3278</v>
      </c>
      <c r="C75" s="10" t="s">
        <v>120</v>
      </c>
      <c r="D75" s="22" t="n">
        <f aca="false">INDEX(CMP_Share_GB200,D$33)</f>
        <v>0.4</v>
      </c>
      <c r="E75" s="22" t="n">
        <f aca="false">INDEX(CMP_Share_GB200,E$33)</f>
        <v>0.4</v>
      </c>
      <c r="F75" s="22" t="n">
        <f aca="false">INP_282</f>
        <v>0.45</v>
      </c>
      <c r="G75" s="22" t="n">
        <f aca="false">INP_282</f>
        <v>0.45</v>
      </c>
      <c r="H75" s="22" t="n">
        <f aca="false">INP_282</f>
        <v>0.45</v>
      </c>
      <c r="I75" s="22" t="n">
        <f aca="false">INP_282</f>
        <v>0.45</v>
      </c>
      <c r="J75" s="22" t="n">
        <f aca="false">INP_282</f>
        <v>0.45</v>
      </c>
      <c r="K75" s="22" t="n">
        <f aca="false">INP_282</f>
        <v>0.45</v>
      </c>
      <c r="L75" s="22" t="n">
        <f aca="false">INP_282</f>
        <v>0.45</v>
      </c>
      <c r="M75" s="22" t="n">
        <f aca="false">INP_282</f>
        <v>0.45</v>
      </c>
      <c r="N75" s="22" t="n">
        <f aca="false">INP_282</f>
        <v>0.45</v>
      </c>
      <c r="P75" s="2"/>
    </row>
    <row r="76" customFormat="false" ht="15" hidden="false" customHeight="false" outlineLevel="0" collapsed="false">
      <c r="A76" s="9" t="s">
        <v>3190</v>
      </c>
      <c r="B76" s="10" t="s">
        <v>3279</v>
      </c>
      <c r="C76" s="10" t="s">
        <v>120</v>
      </c>
      <c r="D76" s="22" t="n">
        <f aca="false">INDEX(CMP_Share_GB300,D$33)</f>
        <v>0</v>
      </c>
      <c r="E76" s="22" t="n">
        <f aca="false">INDEX(CMP_Share_GB300,E$33)</f>
        <v>0</v>
      </c>
      <c r="F76" s="22" t="n">
        <f aca="false">INP_283</f>
        <v>0.25</v>
      </c>
      <c r="G76" s="22" t="n">
        <f aca="false">INP_283</f>
        <v>0.25</v>
      </c>
      <c r="H76" s="22" t="n">
        <f aca="false">INP_283</f>
        <v>0.25</v>
      </c>
      <c r="I76" s="22" t="n">
        <f aca="false">INP_283</f>
        <v>0.25</v>
      </c>
      <c r="J76" s="22" t="n">
        <f aca="false">INP_283</f>
        <v>0.25</v>
      </c>
      <c r="K76" s="22" t="n">
        <f aca="false">INP_283</f>
        <v>0.25</v>
      </c>
      <c r="L76" s="22" t="n">
        <f aca="false">INP_283</f>
        <v>0.25</v>
      </c>
      <c r="M76" s="22" t="n">
        <f aca="false">INP_283</f>
        <v>0.25</v>
      </c>
      <c r="N76" s="22" t="n">
        <f aca="false">INP_283</f>
        <v>0.25</v>
      </c>
      <c r="P76" s="2"/>
    </row>
    <row r="77" customFormat="false" ht="15" hidden="false" customHeight="false" outlineLevel="0" collapsed="false">
      <c r="A77" s="9" t="s">
        <v>3192</v>
      </c>
      <c r="B77" s="10" t="s">
        <v>3280</v>
      </c>
      <c r="C77" s="10" t="s">
        <v>120</v>
      </c>
      <c r="D77" s="22" t="n">
        <f aca="false">INDEX(CMP_Share_VR200,D$33)</f>
        <v>0</v>
      </c>
      <c r="E77" s="22" t="n">
        <f aca="false">INDEX(CMP_Share_VR200,E$33)</f>
        <v>0</v>
      </c>
      <c r="F77" s="22" t="n">
        <f aca="false">INP_284</f>
        <v>0.05</v>
      </c>
      <c r="G77" s="22" t="n">
        <f aca="false">INP_284</f>
        <v>0.05</v>
      </c>
      <c r="H77" s="22" t="n">
        <f aca="false">INP_284</f>
        <v>0.05</v>
      </c>
      <c r="I77" s="22" t="n">
        <f aca="false">INP_284</f>
        <v>0.05</v>
      </c>
      <c r="J77" s="22" t="n">
        <f aca="false">INP_284</f>
        <v>0.05</v>
      </c>
      <c r="K77" s="22" t="n">
        <f aca="false">INP_284</f>
        <v>0.05</v>
      </c>
      <c r="L77" s="22" t="n">
        <f aca="false">INP_284</f>
        <v>0.05</v>
      </c>
      <c r="M77" s="22" t="n">
        <f aca="false">INP_284</f>
        <v>0.05</v>
      </c>
      <c r="N77" s="22" t="n">
        <f aca="false">INP_284</f>
        <v>0.05</v>
      </c>
      <c r="P77" s="2"/>
    </row>
    <row r="78" customFormat="false" ht="15" hidden="false" customHeight="false" outlineLevel="0" collapsed="false">
      <c r="A78" s="9" t="s">
        <v>3193</v>
      </c>
      <c r="B78" s="10" t="s">
        <v>3281</v>
      </c>
      <c r="C78" s="10" t="s">
        <v>120</v>
      </c>
      <c r="D78" s="22" t="n">
        <f aca="false">INDEX(CMP_Share_RubinUltra,D$33)</f>
        <v>0</v>
      </c>
      <c r="E78" s="22" t="n">
        <f aca="false">INDEX(CMP_Share_RubinUltra,E$33)</f>
        <v>0</v>
      </c>
      <c r="F78" s="22" t="n">
        <f aca="false">INP_285</f>
        <v>0</v>
      </c>
      <c r="G78" s="22" t="n">
        <f aca="false">INP_285</f>
        <v>0</v>
      </c>
      <c r="H78" s="22" t="n">
        <f aca="false">INP_285</f>
        <v>0</v>
      </c>
      <c r="I78" s="22" t="n">
        <f aca="false">INP_285</f>
        <v>0</v>
      </c>
      <c r="J78" s="22" t="n">
        <f aca="false">INP_285</f>
        <v>0</v>
      </c>
      <c r="K78" s="22" t="n">
        <f aca="false">INP_285</f>
        <v>0</v>
      </c>
      <c r="L78" s="22" t="n">
        <f aca="false">INP_285</f>
        <v>0</v>
      </c>
      <c r="M78" s="22" t="n">
        <f aca="false">INP_285</f>
        <v>0</v>
      </c>
      <c r="N78" s="22" t="n">
        <f aca="false">INP_285</f>
        <v>0</v>
      </c>
      <c r="P78" s="2"/>
    </row>
    <row r="79" customFormat="false" ht="15" hidden="false" customHeight="false" outlineLevel="0" collapsed="false">
      <c r="A79" s="9" t="s">
        <v>3195</v>
      </c>
      <c r="B79" s="10" t="s">
        <v>3282</v>
      </c>
      <c r="C79" s="10" t="s">
        <v>120</v>
      </c>
      <c r="D79" s="22" t="n">
        <f aca="false">INDEX(CMP_Share_Custom,D$33)</f>
        <v>0</v>
      </c>
      <c r="E79" s="22" t="n">
        <f aca="false">INDEX(CMP_Share_Custom,E$33)</f>
        <v>0</v>
      </c>
      <c r="F79" s="22" t="n">
        <f aca="false">INP_286</f>
        <v>0</v>
      </c>
      <c r="G79" s="22" t="n">
        <f aca="false">INP_286</f>
        <v>0</v>
      </c>
      <c r="H79" s="22" t="n">
        <f aca="false">INP_286</f>
        <v>0</v>
      </c>
      <c r="I79" s="22" t="n">
        <f aca="false">INP_286</f>
        <v>0</v>
      </c>
      <c r="J79" s="22" t="n">
        <f aca="false">INP_286</f>
        <v>0</v>
      </c>
      <c r="K79" s="22" t="n">
        <f aca="false">INP_286</f>
        <v>0</v>
      </c>
      <c r="L79" s="22" t="n">
        <f aca="false">INP_286</f>
        <v>0</v>
      </c>
      <c r="M79" s="22" t="n">
        <f aca="false">INP_286</f>
        <v>0</v>
      </c>
      <c r="N79" s="22" t="n">
        <f aca="false">INP_286</f>
        <v>0</v>
      </c>
      <c r="P79" s="2"/>
    </row>
    <row r="80" customFormat="false" ht="15" hidden="false" customHeight="false" outlineLevel="0" collapsed="false">
      <c r="A80" s="9" t="s">
        <v>3198</v>
      </c>
      <c r="B80" s="10" t="s">
        <v>3283</v>
      </c>
      <c r="C80" s="10" t="s">
        <v>120</v>
      </c>
      <c r="D80" s="22" t="n">
        <f aca="false">SUM(D74:D79)</f>
        <v>1</v>
      </c>
      <c r="E80" s="22" t="n">
        <f aca="false">SUM(E74:E79)</f>
        <v>1</v>
      </c>
      <c r="F80" s="22" t="n">
        <f aca="false">SUM(F74:F79)</f>
        <v>1</v>
      </c>
      <c r="G80" s="22" t="n">
        <f aca="false">SUM(G74:G79)</f>
        <v>1</v>
      </c>
      <c r="H80" s="22" t="n">
        <f aca="false">SUM(H74:H79)</f>
        <v>1</v>
      </c>
      <c r="I80" s="22" t="n">
        <f aca="false">SUM(I74:I79)</f>
        <v>1</v>
      </c>
      <c r="J80" s="22" t="n">
        <f aca="false">SUM(J74:J79)</f>
        <v>1</v>
      </c>
      <c r="K80" s="22" t="n">
        <f aca="false">SUM(K74:K79)</f>
        <v>1</v>
      </c>
      <c r="L80" s="22" t="n">
        <f aca="false">SUM(L74:L79)</f>
        <v>1</v>
      </c>
      <c r="M80" s="22" t="n">
        <f aca="false">SUM(M74:M79)</f>
        <v>1</v>
      </c>
      <c r="N80" s="22" t="n">
        <f aca="false">SUM(N74:N79)</f>
        <v>1</v>
      </c>
      <c r="P80" s="12" t="s">
        <v>3284</v>
      </c>
    </row>
    <row r="81" customFormat="false" ht="15" hidden="false" customHeight="false" outlineLevel="0" collapsed="false">
      <c r="A81" s="9" t="s">
        <v>3202</v>
      </c>
      <c r="B81" s="10" t="s">
        <v>3285</v>
      </c>
      <c r="C81" s="9" t="s">
        <v>1603</v>
      </c>
      <c r="D81" s="19" t="n">
        <f aca="false">SUMPRODUCT(D74:D79,$D$39:$D$44)</f>
        <v>9.35311859805586</v>
      </c>
      <c r="E81" s="19" t="n">
        <f aca="false">SUMPRODUCT(E74:E79,$D$39:$D$44)</f>
        <v>9.35311859805586</v>
      </c>
      <c r="F81" s="19" t="n">
        <f aca="false">SUMPRODUCT(F74:F79,$D$39:$D$44)</f>
        <v>9.73132262697083</v>
      </c>
      <c r="G81" s="19" t="n">
        <f aca="false">SUMPRODUCT(G74:G79,$D$39:$D$44)</f>
        <v>9.73132262697083</v>
      </c>
      <c r="H81" s="19" t="n">
        <f aca="false">SUMPRODUCT(H74:H79,$D$39:$D$44)</f>
        <v>9.73132262697083</v>
      </c>
      <c r="I81" s="19" t="n">
        <f aca="false">SUMPRODUCT(I74:I79,$D$39:$D$44)</f>
        <v>9.73132262697083</v>
      </c>
      <c r="J81" s="19" t="n">
        <f aca="false">SUMPRODUCT(J74:J79,$D$39:$D$44)</f>
        <v>9.73132262697083</v>
      </c>
      <c r="K81" s="19" t="n">
        <f aca="false">SUMPRODUCT(K74:K79,$D$39:$D$44)</f>
        <v>9.73132262697083</v>
      </c>
      <c r="L81" s="19" t="n">
        <f aca="false">SUMPRODUCT(L74:L79,$D$39:$D$44)</f>
        <v>9.73132262697083</v>
      </c>
      <c r="M81" s="19" t="n">
        <f aca="false">SUMPRODUCT(M74:M79,$D$39:$D$44)</f>
        <v>9.73132262697083</v>
      </c>
      <c r="N81" s="19" t="n">
        <f aca="false">SUMPRODUCT(N74:N79,$D$39:$D$44)</f>
        <v>9.73132262697083</v>
      </c>
      <c r="P81" s="12" t="s">
        <v>3286</v>
      </c>
    </row>
    <row r="82" customFormat="false" ht="15" hidden="false" customHeight="false" outlineLevel="0" collapsed="false">
      <c r="A82" s="9" t="s">
        <v>3205</v>
      </c>
      <c r="B82" s="10" t="s">
        <v>3287</v>
      </c>
      <c r="C82" s="9" t="s">
        <v>68</v>
      </c>
      <c r="D82" s="20" t="n">
        <f aca="false">D73*D81</f>
        <v>10.5485124639047</v>
      </c>
      <c r="E82" s="20" t="n">
        <f aca="false">E73*E81</f>
        <v>11.6913982475698</v>
      </c>
      <c r="F82" s="20" t="n">
        <f aca="false">F73*F81</f>
        <v>21.1169701005267</v>
      </c>
      <c r="G82" s="20" t="n">
        <f aca="false">G73*G81</f>
        <v>21.9927891369541</v>
      </c>
      <c r="H82" s="20" t="n">
        <f aca="false">H73*H81</f>
        <v>22.8686081733814</v>
      </c>
      <c r="I82" s="20" t="n">
        <f aca="false">I73*I81</f>
        <v>24.3283065674271</v>
      </c>
      <c r="J82" s="20" t="n">
        <f aca="false">J73*J81</f>
        <v>29.1939678809125</v>
      </c>
      <c r="K82" s="20" t="n">
        <f aca="false">K73*K81</f>
        <v>36.9790259824891</v>
      </c>
      <c r="L82" s="20" t="n">
        <f aca="false">L73*L81</f>
        <v>34.0596291943979</v>
      </c>
      <c r="M82" s="20" t="n">
        <f aca="false">M73*M81</f>
        <v>44.7640840840658</v>
      </c>
      <c r="N82" s="20" t="n">
        <f aca="false">N73*N81</f>
        <v>55.4685389737337</v>
      </c>
      <c r="P82" s="2" t="s">
        <v>3288</v>
      </c>
    </row>
    <row r="83" customFormat="false" ht="15" hidden="false" customHeight="false" outlineLevel="0" collapsed="false">
      <c r="A83" s="9" t="s">
        <v>3208</v>
      </c>
      <c r="B83" s="10" t="s">
        <v>3289</v>
      </c>
      <c r="C83" s="9" t="s">
        <v>1014</v>
      </c>
      <c r="D83" s="21" t="n">
        <f aca="false">SUMPRODUCT(D74:D79,$E$39:$E$44,$G$39:$G$44)</f>
        <v>56793453225.3857</v>
      </c>
      <c r="E83" s="21" t="n">
        <f aca="false">SUMPRODUCT(E74:E79,$E$39:$E$44,$G$39:$G$44)</f>
        <v>56793453225.3857</v>
      </c>
      <c r="F83" s="21" t="n">
        <f aca="false">SUMPRODUCT(F74:F79,$E$39:$E$44,$G$39:$G$44)</f>
        <v>98571305410.4417</v>
      </c>
      <c r="G83" s="21" t="n">
        <f aca="false">SUMPRODUCT(G74:G79,$E$39:$E$44,$G$39:$G$44)</f>
        <v>98571305410.4417</v>
      </c>
      <c r="H83" s="21" t="n">
        <f aca="false">SUMPRODUCT(H74:H79,$E$39:$E$44,$G$39:$G$44)</f>
        <v>98571305410.4417</v>
      </c>
      <c r="I83" s="21" t="n">
        <f aca="false">SUMPRODUCT(I74:I79,$E$39:$E$44,$G$39:$G$44)</f>
        <v>98571305410.4417</v>
      </c>
      <c r="J83" s="21" t="n">
        <f aca="false">SUMPRODUCT(J74:J79,$E$39:$E$44,$G$39:$G$44)</f>
        <v>98571305410.4417</v>
      </c>
      <c r="K83" s="21" t="n">
        <f aca="false">SUMPRODUCT(K74:K79,$E$39:$E$44,$G$39:$G$44)</f>
        <v>98571305410.4417</v>
      </c>
      <c r="L83" s="21" t="n">
        <f aca="false">SUMPRODUCT(L74:L79,$E$39:$E$44,$G$39:$G$44)</f>
        <v>98571305410.4417</v>
      </c>
      <c r="M83" s="21" t="n">
        <f aca="false">SUMPRODUCT(M74:M79,$E$39:$E$44,$G$39:$G$44)</f>
        <v>98571305410.4417</v>
      </c>
      <c r="N83" s="21" t="n">
        <f aca="false">SUMPRODUCT(N74:N79,$E$39:$E$44,$G$39:$G$44)</f>
        <v>98571305410.4417</v>
      </c>
      <c r="P83" s="12" t="s">
        <v>3290</v>
      </c>
    </row>
    <row r="84" customFormat="false" ht="15" hidden="false" customHeight="false" outlineLevel="0" collapsed="false">
      <c r="A84" s="9" t="s">
        <v>3210</v>
      </c>
      <c r="B84" s="9" t="s">
        <v>3291</v>
      </c>
      <c r="C84" s="9" t="s">
        <v>836</v>
      </c>
      <c r="D84" s="21" t="n">
        <f aca="false">D73*TK_IF_ServeShare*(1-TK_IF_FreeShare)*D83*TK_IF_UtilActual</f>
        <v>5814261069.29216</v>
      </c>
      <c r="E84" s="21" t="n">
        <f aca="false">E73*TK_IF_ServeShare*(1-TK_IF_FreeShare)*E83*TK_IF_UtilActual</f>
        <v>6444211153.85146</v>
      </c>
      <c r="F84" s="21" t="n">
        <f aca="false">F73*TK_IF_ServeShare*(1-TK_IF_FreeShare)*F83*TK_IF_UtilActual</f>
        <v>19416534339.8005</v>
      </c>
      <c r="G84" s="21" t="n">
        <f aca="false">G73*TK_IF_ServeShare*(1-TK_IF_FreeShare)*G83*TK_IF_UtilActual</f>
        <v>20221828390.76</v>
      </c>
      <c r="H84" s="21" t="n">
        <f aca="false">H73*TK_IF_ServeShare*(1-TK_IF_FreeShare)*H83*TK_IF_UtilActual</f>
        <v>21027122441.7195</v>
      </c>
      <c r="I84" s="21" t="n">
        <f aca="false">I73*TK_IF_ServeShare*(1-TK_IF_FreeShare)*I83*TK_IF_UtilActual</f>
        <v>22369279193.3186</v>
      </c>
      <c r="J84" s="21" t="n">
        <f aca="false">J73*TK_IF_ServeShare*(1-TK_IF_FreeShare)*J83*TK_IF_UtilActual</f>
        <v>26843135031.9823</v>
      </c>
      <c r="K84" s="21" t="n">
        <f aca="false">K73*TK_IF_ServeShare*(1-TK_IF_FreeShare)*K83*TK_IF_UtilActual</f>
        <v>34001304373.8442</v>
      </c>
      <c r="L84" s="21" t="n">
        <f aca="false">L73*TK_IF_ServeShare*(1-TK_IF_FreeShare)*L83*TK_IF_UtilActual</f>
        <v>31316990870.646</v>
      </c>
      <c r="M84" s="21" t="n">
        <f aca="false">M73*TK_IF_ServeShare*(1-TK_IF_FreeShare)*M83*TK_IF_UtilActual</f>
        <v>41159473715.7062</v>
      </c>
      <c r="N84" s="21" t="n">
        <f aca="false">N73*TK_IF_ServeShare*(1-TK_IF_FreeShare)*N83*TK_IF_UtilActual</f>
        <v>51001956560.7664</v>
      </c>
      <c r="P84" s="12" t="s">
        <v>3292</v>
      </c>
    </row>
    <row r="85" customFormat="false" ht="15" hidden="false" customHeight="false" outlineLevel="0" collapsed="false">
      <c r="A85" s="9" t="s">
        <v>3213</v>
      </c>
      <c r="B85" s="9" t="s">
        <v>3293</v>
      </c>
      <c r="C85" s="9" t="s">
        <v>3294</v>
      </c>
      <c r="D85" s="23" t="n">
        <f aca="false">D84/INP_254</f>
        <v>5814.26106929216</v>
      </c>
      <c r="E85" s="23" t="n">
        <f aca="false">E84/INP_254</f>
        <v>6444.21115385146</v>
      </c>
      <c r="F85" s="23" t="n">
        <f aca="false">F84/INP_254</f>
        <v>19416.5343398005</v>
      </c>
      <c r="G85" s="23" t="n">
        <f aca="false">G84/INP_254</f>
        <v>20221.82839076</v>
      </c>
      <c r="H85" s="23" t="n">
        <f aca="false">H84/INP_254</f>
        <v>21027.1224417195</v>
      </c>
      <c r="I85" s="23" t="n">
        <f aca="false">I84/INP_254</f>
        <v>22369.2791933186</v>
      </c>
      <c r="J85" s="23" t="n">
        <f aca="false">J84/INP_254</f>
        <v>26843.1350319823</v>
      </c>
      <c r="K85" s="23" t="n">
        <f aca="false">K84/INP_254</f>
        <v>34001.3043738442</v>
      </c>
      <c r="L85" s="23" t="n">
        <f aca="false">L84/INP_254</f>
        <v>31316.990870646</v>
      </c>
      <c r="M85" s="23" t="n">
        <f aca="false">M84/INP_254</f>
        <v>41159.4737157062</v>
      </c>
      <c r="N85" s="23" t="n">
        <f aca="false">N84/INP_254</f>
        <v>51001.9565607664</v>
      </c>
      <c r="P85" s="2" t="s">
        <v>3295</v>
      </c>
    </row>
    <row r="86" customFormat="false" ht="15" hidden="false" customHeight="false" outlineLevel="0" collapsed="false">
      <c r="A86" s="9" t="s">
        <v>3215</v>
      </c>
      <c r="B86" s="10" t="s">
        <v>3296</v>
      </c>
      <c r="C86" s="9" t="s">
        <v>3297</v>
      </c>
      <c r="D86" s="19" t="n">
        <f aca="false">TK_IF_PxEffMix25</f>
        <v>1.35936</v>
      </c>
      <c r="E86" s="19" t="n">
        <f aca="false">TK_IF_PxEffMix25</f>
        <v>1.35936</v>
      </c>
      <c r="F86" s="19" t="n">
        <f aca="false">TK_IF_PxEffMix</f>
        <v>1.94307555555556</v>
      </c>
      <c r="G86" s="19" t="n">
        <f aca="false">TK_IF_PxEffMix</f>
        <v>1.94307555555556</v>
      </c>
      <c r="H86" s="19" t="n">
        <f aca="false">TK_IF_PxEffMix</f>
        <v>1.94307555555556</v>
      </c>
      <c r="I86" s="19" t="n">
        <f aca="false">TK_IF_PxEffMix</f>
        <v>1.94307555555556</v>
      </c>
      <c r="J86" s="19" t="n">
        <f aca="false">TK_IF_PxEffMix</f>
        <v>1.94307555555556</v>
      </c>
      <c r="K86" s="19" t="n">
        <f aca="false">TK_IF_PxEffMix</f>
        <v>1.94307555555556</v>
      </c>
      <c r="L86" s="19" t="n">
        <f aca="false">TK_IF_PxEffMix</f>
        <v>1.94307555555556</v>
      </c>
      <c r="M86" s="19" t="n">
        <f aca="false">TK_IF_PxEffMix</f>
        <v>1.94307555555556</v>
      </c>
      <c r="N86" s="19" t="n">
        <f aca="false">TK_IF_PxEffMix</f>
        <v>1.94307555555556</v>
      </c>
      <c r="P86" s="12" t="s">
        <v>3298</v>
      </c>
    </row>
    <row r="87" customFormat="false" ht="15" hidden="false" customHeight="false" outlineLevel="0" collapsed="false">
      <c r="A87" s="9" t="s">
        <v>3319</v>
      </c>
      <c r="B87" s="10" t="s">
        <v>3299</v>
      </c>
      <c r="C87" s="9" t="s">
        <v>3297</v>
      </c>
      <c r="D87" s="19" t="n">
        <f aca="false">D86/(1-TK_IF_Disc)</f>
        <v>1.6992</v>
      </c>
      <c r="E87" s="19" t="n">
        <f aca="false">E86/(1-TK_IF_Disc)</f>
        <v>1.6992</v>
      </c>
      <c r="F87" s="19" t="n">
        <f aca="false">F86/(1-TK_IF_Disc)</f>
        <v>2.42884444444445</v>
      </c>
      <c r="G87" s="19" t="n">
        <f aca="false">G86/(1-TK_IF_Disc)</f>
        <v>2.42884444444445</v>
      </c>
      <c r="H87" s="19" t="n">
        <f aca="false">H86/(1-TK_IF_Disc)</f>
        <v>2.42884444444445</v>
      </c>
      <c r="I87" s="19" t="n">
        <f aca="false">I86/(1-TK_IF_Disc)</f>
        <v>2.42884444444445</v>
      </c>
      <c r="J87" s="19" t="n">
        <f aca="false">J86/(1-TK_IF_Disc)</f>
        <v>2.42884444444445</v>
      </c>
      <c r="K87" s="19" t="n">
        <f aca="false">K86/(1-TK_IF_Disc)</f>
        <v>2.42884444444445</v>
      </c>
      <c r="L87" s="19" t="n">
        <f aca="false">L86/(1-TK_IF_Disc)</f>
        <v>2.42884444444445</v>
      </c>
      <c r="M87" s="19" t="n">
        <f aca="false">M86/(1-TK_IF_Disc)</f>
        <v>2.42884444444445</v>
      </c>
      <c r="N87" s="19" t="n">
        <f aca="false">N86/(1-TK_IF_Disc)</f>
        <v>2.42884444444445</v>
      </c>
      <c r="P87" s="12" t="s">
        <v>3300</v>
      </c>
    </row>
    <row r="88" customFormat="false" ht="15" hidden="false" customHeight="false" outlineLevel="0" collapsed="false">
      <c r="A88" s="9" t="s">
        <v>3320</v>
      </c>
      <c r="B88" s="10" t="s">
        <v>3301</v>
      </c>
      <c r="C88" s="9" t="s">
        <v>68</v>
      </c>
      <c r="D88" s="20" t="n">
        <f aca="false">D35</f>
        <v>13.07</v>
      </c>
      <c r="E88" s="20" t="n">
        <f aca="false">E35</f>
        <v>13.07</v>
      </c>
      <c r="F88" s="20" t="n">
        <f aca="false">F35</f>
        <v>26.3</v>
      </c>
      <c r="G88" s="20" t="n">
        <f aca="false">G35</f>
        <v>26.3</v>
      </c>
      <c r="H88" s="20" t="n">
        <f aca="false">H35</f>
        <v>26.3</v>
      </c>
      <c r="I88" s="20" t="n">
        <f aca="false">I35</f>
        <v>35</v>
      </c>
      <c r="J88" s="20" t="n">
        <f aca="false">J35</f>
        <v>35</v>
      </c>
      <c r="K88" s="20" t="n">
        <f aca="false">K35</f>
        <v>35</v>
      </c>
      <c r="L88" s="20" t="n">
        <f aca="false">L35</f>
        <v>50</v>
      </c>
      <c r="M88" s="20" t="n">
        <f aca="false">M35</f>
        <v>50</v>
      </c>
      <c r="N88" s="20" t="n">
        <f aca="false">N35</f>
        <v>50</v>
      </c>
      <c r="P88" s="2"/>
    </row>
    <row r="89" customFormat="false" ht="15" hidden="false" customHeight="false" outlineLevel="0" collapsed="false">
      <c r="A89" s="9" t="s">
        <v>3321</v>
      </c>
      <c r="B89" s="10" t="s">
        <v>3302</v>
      </c>
      <c r="C89" s="10" t="s">
        <v>560</v>
      </c>
      <c r="D89" s="19" t="n">
        <f aca="false">D88*INP_270/(D84*D86)</f>
        <v>1.65366133781129</v>
      </c>
      <c r="E89" s="19" t="n">
        <f aca="false">E88*INP_270/(E84*E86)</f>
        <v>1.49200864290168</v>
      </c>
      <c r="F89" s="19" t="n">
        <f aca="false">F88*INP_270/(F84*F86)</f>
        <v>0.697098815884436</v>
      </c>
      <c r="G89" s="19" t="n">
        <f aca="false">G88*INP_270/(G84*G86)</f>
        <v>0.669338243570454</v>
      </c>
      <c r="H89" s="19" t="n">
        <f aca="false">H88*INP_270/(H84*H86)</f>
        <v>0.643704012965628</v>
      </c>
      <c r="I89" s="19" t="n">
        <f aca="false">I88*INP_270/(I84*I86)</f>
        <v>0.805241902150919</v>
      </c>
      <c r="J89" s="19" t="n">
        <f aca="false">J88*INP_270/(J84*J86)</f>
        <v>0.671034918459099</v>
      </c>
      <c r="K89" s="19" t="n">
        <f aca="false">K88*INP_270/(K84*K86)</f>
        <v>0.529764409309815</v>
      </c>
      <c r="L89" s="19" t="n">
        <f aca="false">L88*INP_270/(L84*L86)</f>
        <v>0.82167541035808</v>
      </c>
      <c r="M89" s="19" t="n">
        <f aca="false">M88*INP_270/(M84*M86)</f>
        <v>0.625187812228975</v>
      </c>
      <c r="N89" s="19" t="n">
        <f aca="false">N88*INP_270/(N84*N86)</f>
        <v>0.504537532676014</v>
      </c>
      <c r="P89" s="12" t="s">
        <v>3303</v>
      </c>
    </row>
    <row r="90" customFormat="false" ht="15" hidden="false" customHeight="false" outlineLevel="0" collapsed="false">
      <c r="A90" s="9" t="s">
        <v>3322</v>
      </c>
      <c r="B90" s="10" t="s">
        <v>3304</v>
      </c>
      <c r="C90" s="10" t="s">
        <v>560</v>
      </c>
      <c r="D90" s="19" t="n">
        <f aca="false">D82*INP_270/(D84*D86)</f>
        <v>1.33463406526241</v>
      </c>
      <c r="E90" s="19" t="n">
        <f aca="false">E82*INP_270/(E84*E86)</f>
        <v>1.33463406526241</v>
      </c>
      <c r="F90" s="19" t="n">
        <f aca="false">F82*INP_270/(F84*F86)</f>
        <v>0.559719195899019</v>
      </c>
      <c r="G90" s="19" t="n">
        <f aca="false">G82*INP_270/(G84*G86)</f>
        <v>0.559719195899019</v>
      </c>
      <c r="H90" s="19" t="n">
        <f aca="false">H82*INP_270/(H84*H86)</f>
        <v>0.559719195899019</v>
      </c>
      <c r="I90" s="19" t="n">
        <f aca="false">I82*INP_270/(I84*I86)</f>
        <v>0.559719195899019</v>
      </c>
      <c r="J90" s="19" t="n">
        <f aca="false">J82*INP_270/(J84*J86)</f>
        <v>0.559719195899019</v>
      </c>
      <c r="K90" s="19" t="n">
        <f aca="false">K82*INP_270/(K84*K86)</f>
        <v>0.559719195899019</v>
      </c>
      <c r="L90" s="19" t="n">
        <f aca="false">L82*INP_270/(L84*L86)</f>
        <v>0.559719195899019</v>
      </c>
      <c r="M90" s="19" t="n">
        <f aca="false">M82*INP_270/(M84*M86)</f>
        <v>0.559719195899019</v>
      </c>
      <c r="N90" s="19" t="n">
        <f aca="false">N82*INP_270/(N84*N86)</f>
        <v>0.559719195899019</v>
      </c>
      <c r="P90" s="2" t="s">
        <v>3305</v>
      </c>
    </row>
    <row r="91" customFormat="false" ht="15" hidden="false" customHeight="false" outlineLevel="0" collapsed="false">
      <c r="A91" s="9" t="s">
        <v>3323</v>
      </c>
      <c r="B91" s="10" t="s">
        <v>3306</v>
      </c>
      <c r="C91" s="10" t="s">
        <v>560</v>
      </c>
      <c r="D91" s="19" t="n">
        <f aca="false">D89/D90</f>
        <v>1.2390372618626</v>
      </c>
      <c r="E91" s="19" t="n">
        <f aca="false">E89/E90</f>
        <v>1.11791590049691</v>
      </c>
      <c r="F91" s="19" t="n">
        <f aca="false">F89/F90</f>
        <v>1.24544382431758</v>
      </c>
      <c r="G91" s="19" t="n">
        <f aca="false">G89/G90</f>
        <v>1.19584650388016</v>
      </c>
      <c r="H91" s="19" t="n">
        <f aca="false">H89/H90</f>
        <v>1.15004812713581</v>
      </c>
      <c r="I91" s="19" t="n">
        <f aca="false">I89/I90</f>
        <v>1.43865336056153</v>
      </c>
      <c r="J91" s="19" t="n">
        <f aca="false">J89/J90</f>
        <v>1.19887780046794</v>
      </c>
      <c r="K91" s="19" t="n">
        <f aca="false">K89/K90</f>
        <v>0.946482474053636</v>
      </c>
      <c r="L91" s="19" t="n">
        <f aca="false">L89/L90</f>
        <v>1.46801363322605</v>
      </c>
      <c r="M91" s="19" t="n">
        <f aca="false">M89/M90</f>
        <v>1.11696689484591</v>
      </c>
      <c r="N91" s="19" t="n">
        <f aca="false">N89/N90</f>
        <v>0.901411880051082</v>
      </c>
      <c r="P91" s="2" t="s">
        <v>3307</v>
      </c>
    </row>
    <row r="92" customFormat="false" ht="15" hidden="false" customHeight="false" outlineLevel="0" collapsed="false">
      <c r="A92" s="9" t="s">
        <v>3324</v>
      </c>
      <c r="B92" s="10" t="s">
        <v>3308</v>
      </c>
      <c r="C92" s="10" t="s">
        <v>560</v>
      </c>
      <c r="D92" s="24" t="n">
        <f aca="false">D91-D88/D82</f>
        <v>0</v>
      </c>
      <c r="E92" s="24" t="n">
        <f aca="false">E91-E88/E82</f>
        <v>0</v>
      </c>
      <c r="F92" s="24" t="n">
        <f aca="false">F91-F88/F82</f>
        <v>0</v>
      </c>
      <c r="G92" s="24" t="n">
        <f aca="false">G91-G88/G82</f>
        <v>0</v>
      </c>
      <c r="H92" s="24" t="n">
        <f aca="false">H91-H88/H82</f>
        <v>0</v>
      </c>
      <c r="I92" s="24" t="n">
        <f aca="false">I91-I88/I82</f>
        <v>0</v>
      </c>
      <c r="J92" s="24" t="n">
        <f aca="false">J91-J88/J82</f>
        <v>0</v>
      </c>
      <c r="K92" s="24" t="n">
        <f aca="false">K91-K88/K82</f>
        <v>0</v>
      </c>
      <c r="L92" s="24" t="n">
        <f aca="false">L91-L88/L82</f>
        <v>0</v>
      </c>
      <c r="M92" s="24" t="n">
        <f aca="false">M91-M88/M82</f>
        <v>0</v>
      </c>
      <c r="N92" s="24" t="n">
        <f aca="false">N91-N88/N82</f>
        <v>0</v>
      </c>
      <c r="P92" s="12" t="s">
        <v>3284</v>
      </c>
    </row>
    <row r="93" customFormat="false" ht="15" hidden="false" customHeight="false" outlineLevel="0" collapsed="false">
      <c r="A93" s="9" t="s">
        <v>3325</v>
      </c>
      <c r="B93" s="10" t="s">
        <v>3309</v>
      </c>
      <c r="C93" s="10" t="s">
        <v>560</v>
      </c>
      <c r="D93" s="19" t="n">
        <f aca="false">D89/TK_IF_LTotalFleetVDisc</f>
        <v>2.17989332569619</v>
      </c>
      <c r="E93" s="19" t="n">
        <f aca="false">E89/TK_IF_LTotalFleetVDisc</f>
        <v>1.96679913122185</v>
      </c>
      <c r="F93" s="19" t="n">
        <f aca="false">F89/TK_IF_LTotalFleetVDisc</f>
        <v>0.918931235405478</v>
      </c>
      <c r="G93" s="19" t="n">
        <f aca="false">G89/TK_IF_LTotalFleetVDisc</f>
        <v>0.882336628685791</v>
      </c>
      <c r="H93" s="19" t="n">
        <f aca="false">H89/TK_IF_LTotalFleetVDisc</f>
        <v>0.848545013119101</v>
      </c>
      <c r="I93" s="19" t="n">
        <f aca="false">I89/TK_IF_LTotalFleetVDisc</f>
        <v>1.06148786812237</v>
      </c>
      <c r="J93" s="19" t="n">
        <f aca="false">J89/TK_IF_LTotalFleetVDisc</f>
        <v>0.884573223435311</v>
      </c>
      <c r="K93" s="19" t="n">
        <f aca="false">K89/TK_IF_LTotalFleetVDisc</f>
        <v>0.698347281659456</v>
      </c>
      <c r="L93" s="19" t="n">
        <f aca="false">L89/TK_IF_LTotalFleetVDisc</f>
        <v>1.08315088583916</v>
      </c>
      <c r="M93" s="19" t="n">
        <f aca="false">M89/TK_IF_LTotalFleetVDisc</f>
        <v>0.824136543573271</v>
      </c>
      <c r="N93" s="19" t="n">
        <f aca="false">N89/TK_IF_LTotalFleetVDisc</f>
        <v>0.665092649199482</v>
      </c>
      <c r="P93" s="2" t="s">
        <v>3310</v>
      </c>
    </row>
    <row r="94" customFormat="false" ht="15" hidden="false" customHeight="false" outlineLevel="0" collapsed="false">
      <c r="A94" s="9" t="s">
        <v>3326</v>
      </c>
      <c r="B94" s="10" t="s">
        <v>3311</v>
      </c>
      <c r="C94" s="10" t="s">
        <v>560</v>
      </c>
      <c r="D94" s="19" t="n">
        <f aca="false">D89/TK_IF_LTotalDisc</f>
        <v>2.36627930082208</v>
      </c>
      <c r="E94" s="19" t="n">
        <f aca="false">E89/TK_IF_LTotalDisc</f>
        <v>2.1349650545853</v>
      </c>
      <c r="F94" s="19" t="n">
        <f aca="false">F89/TK_IF_LTotalDisc</f>
        <v>0.997502004151689</v>
      </c>
      <c r="G94" s="19" t="n">
        <f aca="false">G89/TK_IF_LTotalDisc</f>
        <v>0.957778473012905</v>
      </c>
      <c r="H94" s="19" t="n">
        <f aca="false">H89/TK_IF_LTotalDisc</f>
        <v>0.921097595323049</v>
      </c>
      <c r="I94" s="19" t="n">
        <f aca="false">I89/TK_IF_LTotalDisc</f>
        <v>1.1522475622102</v>
      </c>
      <c r="J94" s="19" t="n">
        <f aca="false">J89/TK_IF_LTotalDisc</f>
        <v>0.960206301841835</v>
      </c>
      <c r="K94" s="19" t="n">
        <f aca="false">K89/TK_IF_LTotalDisc</f>
        <v>0.758057606717238</v>
      </c>
      <c r="L94" s="19" t="n">
        <f aca="false">L89/TK_IF_LTotalDisc</f>
        <v>1.17576281858184</v>
      </c>
      <c r="M94" s="19" t="n">
        <f aca="false">M89/TK_IF_LTotalDisc</f>
        <v>0.894602144573139</v>
      </c>
      <c r="N94" s="19" t="n">
        <f aca="false">N89/TK_IF_LTotalDisc</f>
        <v>0.721959625444989</v>
      </c>
      <c r="P94" s="2" t="s">
        <v>3312</v>
      </c>
    </row>
    <row r="95" customFormat="false" ht="15" hidden="false" customHeight="false" outlineLevel="0" collapsed="false">
      <c r="A95" s="9" t="s">
        <v>3327</v>
      </c>
      <c r="B95" s="10" t="s">
        <v>3313</v>
      </c>
      <c r="C95" s="9" t="s">
        <v>375</v>
      </c>
      <c r="F95" s="19" t="n">
        <f aca="false">F88/(F81*$D91)</f>
        <v>2.18122019567548</v>
      </c>
      <c r="G95" s="19" t="n">
        <f aca="false">G88/(G81*$D91)</f>
        <v>2.18122019567548</v>
      </c>
      <c r="H95" s="19" t="n">
        <f aca="false">H88/(H81*$D91)</f>
        <v>2.18122019567548</v>
      </c>
      <c r="I95" s="19" t="n">
        <f aca="false">I88/(I81*$D91)</f>
        <v>2.90276451895976</v>
      </c>
      <c r="J95" s="19" t="n">
        <f aca="false">J88/(J81*$D91)</f>
        <v>2.90276451895976</v>
      </c>
      <c r="K95" s="19" t="n">
        <f aca="false">K88/(K81*$D91)</f>
        <v>2.90276451895976</v>
      </c>
      <c r="L95" s="19" t="n">
        <f aca="false">L88/(L81*$D91)</f>
        <v>4.1468064556568</v>
      </c>
      <c r="M95" s="19" t="n">
        <f aca="false">M88/(M81*$D91)</f>
        <v>4.1468064556568</v>
      </c>
      <c r="N95" s="19" t="n">
        <f aca="false">N88/(N81*$D91)</f>
        <v>4.1468064556568</v>
      </c>
      <c r="P95" s="2"/>
    </row>
    <row r="96" customFormat="false" ht="15" hidden="false" customHeight="false" outlineLevel="0" collapsed="false">
      <c r="A96" s="9" t="s">
        <v>3328</v>
      </c>
      <c r="B96" s="10" t="s">
        <v>3314</v>
      </c>
      <c r="C96" s="9" t="s">
        <v>375</v>
      </c>
      <c r="F96" s="19" t="n">
        <f aca="false">F88/(F81*$E91)</f>
        <v>2.41754598674896</v>
      </c>
      <c r="G96" s="19" t="n">
        <f aca="false">G88/(G81*$E91)</f>
        <v>2.41754598674896</v>
      </c>
      <c r="H96" s="19" t="n">
        <f aca="false">H88/(H81*$E91)</f>
        <v>2.41754598674896</v>
      </c>
      <c r="I96" s="19" t="n">
        <f aca="false">I88/(I81*$E91)</f>
        <v>3.21726652228949</v>
      </c>
      <c r="J96" s="19" t="n">
        <f aca="false">J88/(J81*$E91)</f>
        <v>3.21726652228949</v>
      </c>
      <c r="K96" s="19" t="n">
        <f aca="false">K88/(K81*$E91)</f>
        <v>3.21726652228949</v>
      </c>
      <c r="L96" s="19" t="n">
        <f aca="false">L88/(L81*$E91)</f>
        <v>4.59609503184213</v>
      </c>
      <c r="M96" s="19" t="n">
        <f aca="false">M88/(M81*$E91)</f>
        <v>4.59609503184213</v>
      </c>
      <c r="N96" s="19" t="n">
        <f aca="false">N88/(N81*$E91)</f>
        <v>4.59609503184213</v>
      </c>
      <c r="P96" s="2"/>
    </row>
    <row r="97" customFormat="false" ht="15" hidden="false" customHeight="false" outlineLevel="0" collapsed="false">
      <c r="A97" s="9" t="s">
        <v>3329</v>
      </c>
      <c r="B97" s="10" t="s">
        <v>3315</v>
      </c>
      <c r="C97" s="9" t="s">
        <v>375</v>
      </c>
      <c r="F97" s="19" t="n">
        <f aca="false">F88/(F81*((1-INP_276)*$D91+INP_276*$E91))</f>
        <v>2.18122019567548</v>
      </c>
      <c r="G97" s="19" t="n">
        <f aca="false">G88/(G81*((1-INP_276)*$D91+INP_276*$E91))</f>
        <v>2.18122019567548</v>
      </c>
      <c r="H97" s="19" t="n">
        <f aca="false">H88/(H81*((1-INP_276)*$D91+INP_276*$E91))</f>
        <v>2.18122019567548</v>
      </c>
      <c r="I97" s="19" t="n">
        <f aca="false">I88/(I81*((1-INP_276)*$D91+INP_276*$E91))</f>
        <v>2.90276451895976</v>
      </c>
      <c r="J97" s="19" t="n">
        <f aca="false">J88/(J81*((1-INP_276)*$D91+INP_276*$E91))</f>
        <v>2.90276451895976</v>
      </c>
      <c r="K97" s="19" t="n">
        <f aca="false">K88/(K81*((1-INP_276)*$D91+INP_276*$E91))</f>
        <v>2.90276451895976</v>
      </c>
      <c r="L97" s="19" t="n">
        <f aca="false">L88/(L81*((1-INP_276)*$D91+INP_276*$E91))</f>
        <v>4.1468064556568</v>
      </c>
      <c r="M97" s="19" t="n">
        <f aca="false">M88/(M81*((1-INP_276)*$D91+INP_276*$E91))</f>
        <v>4.1468064556568</v>
      </c>
      <c r="N97" s="19" t="n">
        <f aca="false">N88/(N81*((1-INP_276)*$D91+INP_276*$E91))</f>
        <v>4.1468064556568</v>
      </c>
      <c r="P97" s="2" t="s">
        <v>3316</v>
      </c>
    </row>
    <row r="98" customFormat="false" ht="15" hidden="false" customHeight="false" outlineLevel="0" collapsed="false">
      <c r="A98" s="25" t="s">
        <v>3330</v>
      </c>
    </row>
    <row r="99" customFormat="false" ht="15" hidden="false" customHeight="false" outlineLevel="0" collapsed="false">
      <c r="A99" s="9" t="s">
        <v>3331</v>
      </c>
      <c r="B99" s="10" t="s">
        <v>3276</v>
      </c>
      <c r="C99" s="9" t="s">
        <v>375</v>
      </c>
      <c r="D99" s="19" t="n">
        <f aca="false">D34</f>
        <v>1.12780698259266</v>
      </c>
      <c r="E99" s="19" t="n">
        <f aca="false">E34</f>
        <v>1.25</v>
      </c>
      <c r="F99" s="19" t="n">
        <f aca="false">F34</f>
        <v>2.17</v>
      </c>
      <c r="G99" s="19" t="n">
        <f aca="false">G34</f>
        <v>2.26</v>
      </c>
      <c r="H99" s="19" t="n">
        <f aca="false">H34</f>
        <v>2.35</v>
      </c>
      <c r="I99" s="19" t="n">
        <f aca="false">I34</f>
        <v>2.5</v>
      </c>
      <c r="J99" s="19" t="n">
        <f aca="false">J34</f>
        <v>3</v>
      </c>
      <c r="K99" s="19" t="n">
        <f aca="false">K34</f>
        <v>3.8</v>
      </c>
      <c r="L99" s="19" t="n">
        <f aca="false">L34</f>
        <v>3.5</v>
      </c>
      <c r="M99" s="19" t="n">
        <f aca="false">M34</f>
        <v>4.6</v>
      </c>
      <c r="N99" s="19" t="n">
        <f aca="false">N34</f>
        <v>5.7</v>
      </c>
      <c r="P99" s="2"/>
    </row>
    <row r="100" customFormat="false" ht="15" hidden="false" customHeight="false" outlineLevel="0" collapsed="false">
      <c r="A100" s="9" t="s">
        <v>3332</v>
      </c>
      <c r="B100" s="10" t="s">
        <v>3277</v>
      </c>
      <c r="C100" s="10" t="s">
        <v>120</v>
      </c>
      <c r="D100" s="22" t="n">
        <f aca="false">INDEX(CMP_Share_Hopper,D$33)</f>
        <v>0.6</v>
      </c>
      <c r="E100" s="22" t="n">
        <f aca="false">INDEX(CMP_Share_Hopper,E$33)</f>
        <v>0.6</v>
      </c>
      <c r="F100" s="22" t="n">
        <f aca="false">(1-INP_280)*INDEX(CMP_Share_Hopper,F$33)+INP_280*INP_281</f>
        <v>0.35</v>
      </c>
      <c r="G100" s="22" t="n">
        <f aca="false">(1-INP_280)*INDEX(CMP_Share_Hopper,G$33)+INP_280*INP_281</f>
        <v>0.35</v>
      </c>
      <c r="H100" s="22" t="n">
        <f aca="false">(1-INP_280)*INDEX(CMP_Share_Hopper,H$33)+INP_280*INP_281</f>
        <v>0.35</v>
      </c>
      <c r="I100" s="22" t="n">
        <f aca="false">(1-INP_280)*INDEX(CMP_Share_Hopper,I$33)+INP_280*INP_281</f>
        <v>0.35</v>
      </c>
      <c r="J100" s="22" t="n">
        <f aca="false">(1-INP_280)*INDEX(CMP_Share_Hopper,J$33)+INP_280*INP_281</f>
        <v>0.35</v>
      </c>
      <c r="K100" s="22" t="n">
        <f aca="false">(1-INP_280)*INDEX(CMP_Share_Hopper,K$33)+INP_280*INP_281</f>
        <v>0.35</v>
      </c>
      <c r="L100" s="22" t="n">
        <f aca="false">(1-INP_280)*INDEX(CMP_Share_Hopper,L$33)+INP_280*INP_281</f>
        <v>0.35</v>
      </c>
      <c r="M100" s="22" t="n">
        <f aca="false">(1-INP_280)*INDEX(CMP_Share_Hopper,M$33)+INP_280*INP_281</f>
        <v>0.35</v>
      </c>
      <c r="N100" s="22" t="n">
        <f aca="false">(1-INP_280)*INDEX(CMP_Share_Hopper,N$33)+INP_280*INP_281</f>
        <v>0.35</v>
      </c>
      <c r="P100" s="2"/>
    </row>
    <row r="101" customFormat="false" ht="15" hidden="false" customHeight="false" outlineLevel="0" collapsed="false">
      <c r="A101" s="9" t="s">
        <v>3333</v>
      </c>
      <c r="B101" s="10" t="s">
        <v>3278</v>
      </c>
      <c r="C101" s="10" t="s">
        <v>120</v>
      </c>
      <c r="D101" s="22" t="n">
        <f aca="false">INDEX(CMP_Share_GB200,D$33)</f>
        <v>0.4</v>
      </c>
      <c r="E101" s="22" t="n">
        <f aca="false">INDEX(CMP_Share_GB200,E$33)</f>
        <v>0.4</v>
      </c>
      <c r="F101" s="22" t="n">
        <f aca="false">(1-INP_280)*INDEX(CMP_Share_GB200,F$33)+INP_280*INP_282</f>
        <v>0.275</v>
      </c>
      <c r="G101" s="22" t="n">
        <f aca="false">(1-INP_280)*INDEX(CMP_Share_GB200,G$33)+INP_280*INP_282</f>
        <v>0.275</v>
      </c>
      <c r="H101" s="22" t="n">
        <f aca="false">(1-INP_280)*INDEX(CMP_Share_GB200,H$33)+INP_280*INP_282</f>
        <v>0.275</v>
      </c>
      <c r="I101" s="22" t="n">
        <f aca="false">(1-INP_280)*INDEX(CMP_Share_GB200,I$33)+INP_280*INP_282</f>
        <v>0.275</v>
      </c>
      <c r="J101" s="22" t="n">
        <f aca="false">(1-INP_280)*INDEX(CMP_Share_GB200,J$33)+INP_280*INP_282</f>
        <v>0.275</v>
      </c>
      <c r="K101" s="22" t="n">
        <f aca="false">(1-INP_280)*INDEX(CMP_Share_GB200,K$33)+INP_280*INP_282</f>
        <v>0.275</v>
      </c>
      <c r="L101" s="22" t="n">
        <f aca="false">(1-INP_280)*INDEX(CMP_Share_GB200,L$33)+INP_280*INP_282</f>
        <v>0.275</v>
      </c>
      <c r="M101" s="22" t="n">
        <f aca="false">(1-INP_280)*INDEX(CMP_Share_GB200,M$33)+INP_280*INP_282</f>
        <v>0.275</v>
      </c>
      <c r="N101" s="22" t="n">
        <f aca="false">(1-INP_280)*INDEX(CMP_Share_GB200,N$33)+INP_280*INP_282</f>
        <v>0.275</v>
      </c>
      <c r="P101" s="2"/>
    </row>
    <row r="102" customFormat="false" ht="15" hidden="false" customHeight="false" outlineLevel="0" collapsed="false">
      <c r="A102" s="9" t="s">
        <v>3334</v>
      </c>
      <c r="B102" s="10" t="s">
        <v>3279</v>
      </c>
      <c r="C102" s="10" t="s">
        <v>120</v>
      </c>
      <c r="D102" s="22" t="n">
        <f aca="false">INDEX(CMP_Share_GB300,D$33)</f>
        <v>0</v>
      </c>
      <c r="E102" s="22" t="n">
        <f aca="false">INDEX(CMP_Share_GB300,E$33)</f>
        <v>0</v>
      </c>
      <c r="F102" s="22" t="n">
        <f aca="false">(1-INP_280)*INDEX(CMP_Share_GB300,F$33)+INP_280*INP_283</f>
        <v>0.275</v>
      </c>
      <c r="G102" s="22" t="n">
        <f aca="false">(1-INP_280)*INDEX(CMP_Share_GB300,G$33)+INP_280*INP_283</f>
        <v>0.275</v>
      </c>
      <c r="H102" s="22" t="n">
        <f aca="false">(1-INP_280)*INDEX(CMP_Share_GB300,H$33)+INP_280*INP_283</f>
        <v>0.275</v>
      </c>
      <c r="I102" s="22" t="n">
        <f aca="false">(1-INP_280)*INDEX(CMP_Share_GB300,I$33)+INP_280*INP_283</f>
        <v>0.275</v>
      </c>
      <c r="J102" s="22" t="n">
        <f aca="false">(1-INP_280)*INDEX(CMP_Share_GB300,J$33)+INP_280*INP_283</f>
        <v>0.275</v>
      </c>
      <c r="K102" s="22" t="n">
        <f aca="false">(1-INP_280)*INDEX(CMP_Share_GB300,K$33)+INP_280*INP_283</f>
        <v>0.275</v>
      </c>
      <c r="L102" s="22" t="n">
        <f aca="false">(1-INP_280)*INDEX(CMP_Share_GB300,L$33)+INP_280*INP_283</f>
        <v>0.275</v>
      </c>
      <c r="M102" s="22" t="n">
        <f aca="false">(1-INP_280)*INDEX(CMP_Share_GB300,M$33)+INP_280*INP_283</f>
        <v>0.275</v>
      </c>
      <c r="N102" s="22" t="n">
        <f aca="false">(1-INP_280)*INDEX(CMP_Share_GB300,N$33)+INP_280*INP_283</f>
        <v>0.275</v>
      </c>
      <c r="P102" s="2"/>
    </row>
    <row r="103" customFormat="false" ht="15" hidden="false" customHeight="false" outlineLevel="0" collapsed="false">
      <c r="A103" s="9" t="s">
        <v>3335</v>
      </c>
      <c r="B103" s="10" t="s">
        <v>3280</v>
      </c>
      <c r="C103" s="10" t="s">
        <v>120</v>
      </c>
      <c r="D103" s="22" t="n">
        <f aca="false">INDEX(CMP_Share_VR200,D$33)</f>
        <v>0</v>
      </c>
      <c r="E103" s="22" t="n">
        <f aca="false">INDEX(CMP_Share_VR200,E$33)</f>
        <v>0</v>
      </c>
      <c r="F103" s="22" t="n">
        <f aca="false">(1-INP_280)*INDEX(CMP_Share_VR200,F$33)+INP_280*INP_284</f>
        <v>0.05</v>
      </c>
      <c r="G103" s="22" t="n">
        <f aca="false">(1-INP_280)*INDEX(CMP_Share_VR200,G$33)+INP_280*INP_284</f>
        <v>0.05</v>
      </c>
      <c r="H103" s="22" t="n">
        <f aca="false">(1-INP_280)*INDEX(CMP_Share_VR200,H$33)+INP_280*INP_284</f>
        <v>0.05</v>
      </c>
      <c r="I103" s="22" t="n">
        <f aca="false">(1-INP_280)*INDEX(CMP_Share_VR200,I$33)+INP_280*INP_284</f>
        <v>0.05</v>
      </c>
      <c r="J103" s="22" t="n">
        <f aca="false">(1-INP_280)*INDEX(CMP_Share_VR200,J$33)+INP_280*INP_284</f>
        <v>0.05</v>
      </c>
      <c r="K103" s="22" t="n">
        <f aca="false">(1-INP_280)*INDEX(CMP_Share_VR200,K$33)+INP_280*INP_284</f>
        <v>0.05</v>
      </c>
      <c r="L103" s="22" t="n">
        <f aca="false">(1-INP_280)*INDEX(CMP_Share_VR200,L$33)+INP_280*INP_284</f>
        <v>0.05</v>
      </c>
      <c r="M103" s="22" t="n">
        <f aca="false">(1-INP_280)*INDEX(CMP_Share_VR200,M$33)+INP_280*INP_284</f>
        <v>0.05</v>
      </c>
      <c r="N103" s="22" t="n">
        <f aca="false">(1-INP_280)*INDEX(CMP_Share_VR200,N$33)+INP_280*INP_284</f>
        <v>0.05</v>
      </c>
      <c r="P103" s="2"/>
    </row>
    <row r="104" customFormat="false" ht="15" hidden="false" customHeight="false" outlineLevel="0" collapsed="false">
      <c r="A104" s="9" t="s">
        <v>3336</v>
      </c>
      <c r="B104" s="10" t="s">
        <v>3281</v>
      </c>
      <c r="C104" s="10" t="s">
        <v>120</v>
      </c>
      <c r="D104" s="22" t="n">
        <f aca="false">INDEX(CMP_Share_RubinUltra,D$33)</f>
        <v>0</v>
      </c>
      <c r="E104" s="22" t="n">
        <f aca="false">INDEX(CMP_Share_RubinUltra,E$33)</f>
        <v>0</v>
      </c>
      <c r="F104" s="22" t="n">
        <f aca="false">(1-INP_280)*INDEX(CMP_Share_RubinUltra,F$33)+INP_280*INP_285</f>
        <v>0</v>
      </c>
      <c r="G104" s="22" t="n">
        <f aca="false">(1-INP_280)*INDEX(CMP_Share_RubinUltra,G$33)+INP_280*INP_285</f>
        <v>0</v>
      </c>
      <c r="H104" s="22" t="n">
        <f aca="false">(1-INP_280)*INDEX(CMP_Share_RubinUltra,H$33)+INP_280*INP_285</f>
        <v>0</v>
      </c>
      <c r="I104" s="22" t="n">
        <f aca="false">(1-INP_280)*INDEX(CMP_Share_RubinUltra,I$33)+INP_280*INP_285</f>
        <v>0</v>
      </c>
      <c r="J104" s="22" t="n">
        <f aca="false">(1-INP_280)*INDEX(CMP_Share_RubinUltra,J$33)+INP_280*INP_285</f>
        <v>0</v>
      </c>
      <c r="K104" s="22" t="n">
        <f aca="false">(1-INP_280)*INDEX(CMP_Share_RubinUltra,K$33)+INP_280*INP_285</f>
        <v>0</v>
      </c>
      <c r="L104" s="22" t="n">
        <f aca="false">(1-INP_280)*INDEX(CMP_Share_RubinUltra,L$33)+INP_280*INP_285</f>
        <v>0</v>
      </c>
      <c r="M104" s="22" t="n">
        <f aca="false">(1-INP_280)*INDEX(CMP_Share_RubinUltra,M$33)+INP_280*INP_285</f>
        <v>0</v>
      </c>
      <c r="N104" s="22" t="n">
        <f aca="false">(1-INP_280)*INDEX(CMP_Share_RubinUltra,N$33)+INP_280*INP_285</f>
        <v>0</v>
      </c>
      <c r="P104" s="2"/>
    </row>
    <row r="105" customFormat="false" ht="15" hidden="false" customHeight="false" outlineLevel="0" collapsed="false">
      <c r="A105" s="9" t="s">
        <v>3337</v>
      </c>
      <c r="B105" s="10" t="s">
        <v>3282</v>
      </c>
      <c r="C105" s="10" t="s">
        <v>120</v>
      </c>
      <c r="D105" s="22" t="n">
        <f aca="false">INDEX(CMP_Share_Custom,D$33)</f>
        <v>0</v>
      </c>
      <c r="E105" s="22" t="n">
        <f aca="false">INDEX(CMP_Share_Custom,E$33)</f>
        <v>0</v>
      </c>
      <c r="F105" s="22" t="n">
        <f aca="false">(1-INP_280)*INDEX(CMP_Share_Custom,F$33)+INP_280*INP_286</f>
        <v>0.05</v>
      </c>
      <c r="G105" s="22" t="n">
        <f aca="false">(1-INP_280)*INDEX(CMP_Share_Custom,G$33)+INP_280*INP_286</f>
        <v>0.05</v>
      </c>
      <c r="H105" s="22" t="n">
        <f aca="false">(1-INP_280)*INDEX(CMP_Share_Custom,H$33)+INP_280*INP_286</f>
        <v>0.05</v>
      </c>
      <c r="I105" s="22" t="n">
        <f aca="false">(1-INP_280)*INDEX(CMP_Share_Custom,I$33)+INP_280*INP_286</f>
        <v>0.05</v>
      </c>
      <c r="J105" s="22" t="n">
        <f aca="false">(1-INP_280)*INDEX(CMP_Share_Custom,J$33)+INP_280*INP_286</f>
        <v>0.05</v>
      </c>
      <c r="K105" s="22" t="n">
        <f aca="false">(1-INP_280)*INDEX(CMP_Share_Custom,K$33)+INP_280*INP_286</f>
        <v>0.05</v>
      </c>
      <c r="L105" s="22" t="n">
        <f aca="false">(1-INP_280)*INDEX(CMP_Share_Custom,L$33)+INP_280*INP_286</f>
        <v>0.05</v>
      </c>
      <c r="M105" s="22" t="n">
        <f aca="false">(1-INP_280)*INDEX(CMP_Share_Custom,M$33)+INP_280*INP_286</f>
        <v>0.05</v>
      </c>
      <c r="N105" s="22" t="n">
        <f aca="false">(1-INP_280)*INDEX(CMP_Share_Custom,N$33)+INP_280*INP_286</f>
        <v>0.05</v>
      </c>
      <c r="P105" s="2"/>
    </row>
    <row r="106" customFormat="false" ht="15" hidden="false" customHeight="false" outlineLevel="0" collapsed="false">
      <c r="A106" s="9" t="s">
        <v>3338</v>
      </c>
      <c r="B106" s="10" t="s">
        <v>3283</v>
      </c>
      <c r="C106" s="10" t="s">
        <v>120</v>
      </c>
      <c r="D106" s="22" t="n">
        <f aca="false">SUM(D100:D105)</f>
        <v>1</v>
      </c>
      <c r="E106" s="22" t="n">
        <f aca="false">SUM(E100:E105)</f>
        <v>1</v>
      </c>
      <c r="F106" s="22" t="n">
        <f aca="false">SUM(F100:F105)</f>
        <v>1</v>
      </c>
      <c r="G106" s="22" t="n">
        <f aca="false">SUM(G100:G105)</f>
        <v>1</v>
      </c>
      <c r="H106" s="22" t="n">
        <f aca="false">SUM(H100:H105)</f>
        <v>1</v>
      </c>
      <c r="I106" s="22" t="n">
        <f aca="false">SUM(I100:I105)</f>
        <v>1</v>
      </c>
      <c r="J106" s="22" t="n">
        <f aca="false">SUM(J100:J105)</f>
        <v>1</v>
      </c>
      <c r="K106" s="22" t="n">
        <f aca="false">SUM(K100:K105)</f>
        <v>1</v>
      </c>
      <c r="L106" s="22" t="n">
        <f aca="false">SUM(L100:L105)</f>
        <v>1</v>
      </c>
      <c r="M106" s="22" t="n">
        <f aca="false">SUM(M100:M105)</f>
        <v>1</v>
      </c>
      <c r="N106" s="22" t="n">
        <f aca="false">SUM(N100:N105)</f>
        <v>1</v>
      </c>
      <c r="P106" s="12" t="s">
        <v>3284</v>
      </c>
    </row>
    <row r="107" customFormat="false" ht="15" hidden="false" customHeight="false" outlineLevel="0" collapsed="false">
      <c r="A107" s="9" t="s">
        <v>3339</v>
      </c>
      <c r="B107" s="10" t="s">
        <v>3285</v>
      </c>
      <c r="C107" s="9" t="s">
        <v>1603</v>
      </c>
      <c r="D107" s="19" t="n">
        <f aca="false">SUMPRODUCT(D100:D105,$D$39:$D$44)</f>
        <v>9.35311859805586</v>
      </c>
      <c r="E107" s="19" t="n">
        <f aca="false">SUMPRODUCT(E100:E105,$D$39:$D$44)</f>
        <v>9.35311859805586</v>
      </c>
      <c r="F107" s="19" t="n">
        <f aca="false">SUMPRODUCT(F100:F105,$D$39:$D$44)</f>
        <v>9.79562678672824</v>
      </c>
      <c r="G107" s="19" t="n">
        <f aca="false">SUMPRODUCT(G100:G105,$D$39:$D$44)</f>
        <v>9.79562678672824</v>
      </c>
      <c r="H107" s="19" t="n">
        <f aca="false">SUMPRODUCT(H100:H105,$D$39:$D$44)</f>
        <v>9.79562678672824</v>
      </c>
      <c r="I107" s="19" t="n">
        <f aca="false">SUMPRODUCT(I100:I105,$D$39:$D$44)</f>
        <v>9.79562678672824</v>
      </c>
      <c r="J107" s="19" t="n">
        <f aca="false">SUMPRODUCT(J100:J105,$D$39:$D$44)</f>
        <v>9.79562678672824</v>
      </c>
      <c r="K107" s="19" t="n">
        <f aca="false">SUMPRODUCT(K100:K105,$D$39:$D$44)</f>
        <v>9.79562678672824</v>
      </c>
      <c r="L107" s="19" t="n">
        <f aca="false">SUMPRODUCT(L100:L105,$D$39:$D$44)</f>
        <v>9.79562678672824</v>
      </c>
      <c r="M107" s="19" t="n">
        <f aca="false">SUMPRODUCT(M100:M105,$D$39:$D$44)</f>
        <v>9.79562678672824</v>
      </c>
      <c r="N107" s="19" t="n">
        <f aca="false">SUMPRODUCT(N100:N105,$D$39:$D$44)</f>
        <v>9.79562678672824</v>
      </c>
      <c r="P107" s="12" t="s">
        <v>3286</v>
      </c>
    </row>
    <row r="108" customFormat="false" ht="15" hidden="false" customHeight="false" outlineLevel="0" collapsed="false">
      <c r="A108" s="9" t="s">
        <v>3340</v>
      </c>
      <c r="B108" s="10" t="s">
        <v>3287</v>
      </c>
      <c r="C108" s="9" t="s">
        <v>68</v>
      </c>
      <c r="D108" s="20" t="n">
        <f aca="false">D99*D107</f>
        <v>10.5485124639047</v>
      </c>
      <c r="E108" s="20" t="n">
        <f aca="false">E99*E107</f>
        <v>11.6913982475698</v>
      </c>
      <c r="F108" s="20" t="n">
        <f aca="false">F99*F107</f>
        <v>21.2565101272003</v>
      </c>
      <c r="G108" s="20" t="n">
        <f aca="false">G99*G107</f>
        <v>22.1381165380058</v>
      </c>
      <c r="H108" s="20" t="n">
        <f aca="false">H99*H107</f>
        <v>23.0197229488114</v>
      </c>
      <c r="I108" s="20" t="n">
        <f aca="false">I99*I107</f>
        <v>24.4890669668206</v>
      </c>
      <c r="J108" s="20" t="n">
        <f aca="false">J99*J107</f>
        <v>29.3868803601847</v>
      </c>
      <c r="K108" s="20" t="n">
        <f aca="false">K99*K107</f>
        <v>37.2233817895673</v>
      </c>
      <c r="L108" s="20" t="n">
        <f aca="false">L99*L107</f>
        <v>34.2846937535488</v>
      </c>
      <c r="M108" s="20" t="n">
        <f aca="false">M99*M107</f>
        <v>45.0598832189499</v>
      </c>
      <c r="N108" s="20" t="n">
        <f aca="false">N99*N107</f>
        <v>55.835072684351</v>
      </c>
      <c r="P108" s="2" t="s">
        <v>3288</v>
      </c>
    </row>
    <row r="109" customFormat="false" ht="15" hidden="false" customHeight="false" outlineLevel="0" collapsed="false">
      <c r="A109" s="9" t="s">
        <v>3341</v>
      </c>
      <c r="B109" s="10" t="s">
        <v>3289</v>
      </c>
      <c r="C109" s="9" t="s">
        <v>1014</v>
      </c>
      <c r="D109" s="21" t="n">
        <f aca="false">SUMPRODUCT(D100:D105,$E$39:$E$44,$H$39:$H$44)</f>
        <v>56793453225.3857</v>
      </c>
      <c r="E109" s="21" t="n">
        <f aca="false">SUMPRODUCT(E100:E105,$E$39:$E$44,$H$39:$H$44)</f>
        <v>56793453225.3857</v>
      </c>
      <c r="F109" s="21" t="n">
        <f aca="false">SUMPRODUCT(F100:F105,$E$39:$E$44,$H$39:$H$44)</f>
        <v>91042401450.4909</v>
      </c>
      <c r="G109" s="21" t="n">
        <f aca="false">SUMPRODUCT(G100:G105,$E$39:$E$44,$H$39:$H$44)</f>
        <v>91042401450.4909</v>
      </c>
      <c r="H109" s="21" t="n">
        <f aca="false">SUMPRODUCT(H100:H105,$E$39:$E$44,$H$39:$H$44)</f>
        <v>91042401450.4909</v>
      </c>
      <c r="I109" s="21" t="n">
        <f aca="false">SUMPRODUCT(I100:I105,$E$39:$E$44,$H$39:$H$44)</f>
        <v>91042401450.4909</v>
      </c>
      <c r="J109" s="21" t="n">
        <f aca="false">SUMPRODUCT(J100:J105,$E$39:$E$44,$H$39:$H$44)</f>
        <v>91042401450.4909</v>
      </c>
      <c r="K109" s="21" t="n">
        <f aca="false">SUMPRODUCT(K100:K105,$E$39:$E$44,$H$39:$H$44)</f>
        <v>91042401450.4909</v>
      </c>
      <c r="L109" s="21" t="n">
        <f aca="false">SUMPRODUCT(L100:L105,$E$39:$E$44,$H$39:$H$44)</f>
        <v>91042401450.4909</v>
      </c>
      <c r="M109" s="21" t="n">
        <f aca="false">SUMPRODUCT(M100:M105,$E$39:$E$44,$H$39:$H$44)</f>
        <v>91042401450.4909</v>
      </c>
      <c r="N109" s="21" t="n">
        <f aca="false">SUMPRODUCT(N100:N105,$E$39:$E$44,$H$39:$H$44)</f>
        <v>91042401450.4909</v>
      </c>
      <c r="P109" s="12" t="s">
        <v>3290</v>
      </c>
    </row>
    <row r="110" customFormat="false" ht="15" hidden="false" customHeight="false" outlineLevel="0" collapsed="false">
      <c r="A110" s="9" t="s">
        <v>3342</v>
      </c>
      <c r="B110" s="9" t="s">
        <v>3291</v>
      </c>
      <c r="C110" s="9" t="s">
        <v>836</v>
      </c>
      <c r="D110" s="21" t="n">
        <f aca="false">D99*SRC_OAI_140*(1-TK_IF_FreeShare)*D109*TK_IF_UtilActual</f>
        <v>7090562279.62458</v>
      </c>
      <c r="E110" s="21" t="n">
        <f aca="false">E99*SRC_OAI_140*(1-TK_IF_FreeShare)*E109*TK_IF_UtilActual</f>
        <v>7858794090.06275</v>
      </c>
      <c r="F110" s="21" t="n">
        <f aca="false">F99*SRC_OAI_140*(1-TK_IF_FreeShare)*F109*TK_IF_UtilActual</f>
        <v>21870114634.0355</v>
      </c>
      <c r="G110" s="21" t="n">
        <f aca="false">G99*SRC_OAI_140*(1-TK_IF_FreeShare)*G109*TK_IF_UtilActual</f>
        <v>22777170079.6867</v>
      </c>
      <c r="H110" s="21" t="n">
        <f aca="false">H99*SRC_OAI_140*(1-TK_IF_FreeShare)*H109*TK_IF_UtilActual</f>
        <v>23684225525.338</v>
      </c>
      <c r="I110" s="21" t="n">
        <f aca="false">I99*SRC_OAI_140*(1-TK_IF_FreeShare)*I109*TK_IF_UtilActual</f>
        <v>25195984601.4234</v>
      </c>
      <c r="J110" s="21" t="n">
        <f aca="false">J99*SRC_OAI_140*(1-TK_IF_FreeShare)*J109*TK_IF_UtilActual</f>
        <v>30235181521.708</v>
      </c>
      <c r="K110" s="21" t="n">
        <f aca="false">K99*SRC_OAI_140*(1-TK_IF_FreeShare)*K109*TK_IF_UtilActual</f>
        <v>38297896594.1635</v>
      </c>
      <c r="L110" s="21" t="n">
        <f aca="false">L99*SRC_OAI_140*(1-TK_IF_FreeShare)*L109*TK_IF_UtilActual</f>
        <v>35274378441.9927</v>
      </c>
      <c r="M110" s="21" t="n">
        <f aca="false">M99*SRC_OAI_140*(1-TK_IF_FreeShare)*M109*TK_IF_UtilActual</f>
        <v>46360611666.619</v>
      </c>
      <c r="N110" s="21" t="n">
        <f aca="false">N99*SRC_OAI_140*(1-TK_IF_FreeShare)*N109*TK_IF_UtilActual</f>
        <v>57446844891.2453</v>
      </c>
      <c r="P110" s="12" t="s">
        <v>3292</v>
      </c>
    </row>
    <row r="111" customFormat="false" ht="15" hidden="false" customHeight="false" outlineLevel="0" collapsed="false">
      <c r="A111" s="9" t="s">
        <v>3343</v>
      </c>
      <c r="B111" s="9" t="s">
        <v>3293</v>
      </c>
      <c r="C111" s="9" t="s">
        <v>3294</v>
      </c>
      <c r="D111" s="23" t="n">
        <f aca="false">D110/INP_254</f>
        <v>7090.56227962458</v>
      </c>
      <c r="E111" s="23" t="n">
        <f aca="false">E110/INP_254</f>
        <v>7858.79409006275</v>
      </c>
      <c r="F111" s="23" t="n">
        <f aca="false">F110/INP_254</f>
        <v>21870.1146340355</v>
      </c>
      <c r="G111" s="23" t="n">
        <f aca="false">G110/INP_254</f>
        <v>22777.1700796867</v>
      </c>
      <c r="H111" s="23" t="n">
        <f aca="false">H110/INP_254</f>
        <v>23684.225525338</v>
      </c>
      <c r="I111" s="23" t="n">
        <f aca="false">I110/INP_254</f>
        <v>25195.9846014234</v>
      </c>
      <c r="J111" s="23" t="n">
        <f aca="false">J110/INP_254</f>
        <v>30235.181521708</v>
      </c>
      <c r="K111" s="23" t="n">
        <f aca="false">K110/INP_254</f>
        <v>38297.8965941635</v>
      </c>
      <c r="L111" s="23" t="n">
        <f aca="false">L110/INP_254</f>
        <v>35274.3784419927</v>
      </c>
      <c r="M111" s="23" t="n">
        <f aca="false">M110/INP_254</f>
        <v>46360.611666619</v>
      </c>
      <c r="N111" s="23" t="n">
        <f aca="false">N110/INP_254</f>
        <v>57446.8448912453</v>
      </c>
      <c r="P111" s="2" t="s">
        <v>3295</v>
      </c>
    </row>
    <row r="112" customFormat="false" ht="15" hidden="false" customHeight="false" outlineLevel="0" collapsed="false">
      <c r="A112" s="9" t="s">
        <v>3344</v>
      </c>
      <c r="B112" s="10" t="s">
        <v>3296</v>
      </c>
      <c r="C112" s="9" t="s">
        <v>3297</v>
      </c>
      <c r="D112" s="19" t="n">
        <f aca="false">TK_IF_PxEffMix25</f>
        <v>1.35936</v>
      </c>
      <c r="E112" s="19" t="n">
        <f aca="false">TK_IF_PxEffMix25</f>
        <v>1.35936</v>
      </c>
      <c r="F112" s="19" t="n">
        <f aca="false">TK_IF_PxEffMix</f>
        <v>1.94307555555556</v>
      </c>
      <c r="G112" s="19" t="n">
        <f aca="false">TK_IF_PxEffMix</f>
        <v>1.94307555555556</v>
      </c>
      <c r="H112" s="19" t="n">
        <f aca="false">TK_IF_PxEffMix</f>
        <v>1.94307555555556</v>
      </c>
      <c r="I112" s="19" t="n">
        <f aca="false">TK_IF_PxEffMix</f>
        <v>1.94307555555556</v>
      </c>
      <c r="J112" s="19" t="n">
        <f aca="false">TK_IF_PxEffMix</f>
        <v>1.94307555555556</v>
      </c>
      <c r="K112" s="19" t="n">
        <f aca="false">TK_IF_PxEffMix</f>
        <v>1.94307555555556</v>
      </c>
      <c r="L112" s="19" t="n">
        <f aca="false">TK_IF_PxEffMix</f>
        <v>1.94307555555556</v>
      </c>
      <c r="M112" s="19" t="n">
        <f aca="false">TK_IF_PxEffMix</f>
        <v>1.94307555555556</v>
      </c>
      <c r="N112" s="19" t="n">
        <f aca="false">TK_IF_PxEffMix</f>
        <v>1.94307555555556</v>
      </c>
      <c r="P112" s="12" t="s">
        <v>3298</v>
      </c>
    </row>
    <row r="113" customFormat="false" ht="15" hidden="false" customHeight="false" outlineLevel="0" collapsed="false">
      <c r="A113" s="9" t="s">
        <v>3345</v>
      </c>
      <c r="B113" s="10" t="s">
        <v>3301</v>
      </c>
      <c r="C113" s="9" t="s">
        <v>68</v>
      </c>
      <c r="D113" s="20" t="n">
        <f aca="false">D35</f>
        <v>13.07</v>
      </c>
      <c r="E113" s="20" t="n">
        <f aca="false">E35</f>
        <v>13.07</v>
      </c>
      <c r="F113" s="20" t="n">
        <f aca="false">F35</f>
        <v>26.3</v>
      </c>
      <c r="G113" s="20" t="n">
        <f aca="false">G35</f>
        <v>26.3</v>
      </c>
      <c r="H113" s="20" t="n">
        <f aca="false">H35</f>
        <v>26.3</v>
      </c>
      <c r="I113" s="20" t="n">
        <f aca="false">I35</f>
        <v>35</v>
      </c>
      <c r="J113" s="20" t="n">
        <f aca="false">J35</f>
        <v>35</v>
      </c>
      <c r="K113" s="20" t="n">
        <f aca="false">K35</f>
        <v>35</v>
      </c>
      <c r="L113" s="20" t="n">
        <f aca="false">L35</f>
        <v>50</v>
      </c>
      <c r="M113" s="20" t="n">
        <f aca="false">M35</f>
        <v>50</v>
      </c>
      <c r="N113" s="20" t="n">
        <f aca="false">N35</f>
        <v>50</v>
      </c>
      <c r="P113" s="2"/>
    </row>
    <row r="114" customFormat="false" ht="15" hidden="false" customHeight="false" outlineLevel="0" collapsed="false">
      <c r="A114" s="9" t="s">
        <v>3346</v>
      </c>
      <c r="B114" s="10" t="s">
        <v>3302</v>
      </c>
      <c r="C114" s="10" t="s">
        <v>560</v>
      </c>
      <c r="D114" s="19" t="n">
        <f aca="false">D113*INP_270/(D110*D112)</f>
        <v>1.35600229700526</v>
      </c>
      <c r="E114" s="19" t="n">
        <f aca="false">E113*INP_270/(E110*E112)</f>
        <v>1.22344708717937</v>
      </c>
      <c r="F114" s="19" t="n">
        <f aca="false">F113*INP_270/(F110*F112)</f>
        <v>0.618892187962753</v>
      </c>
      <c r="G114" s="19" t="n">
        <f aca="false">G113*INP_270/(G110*G112)</f>
        <v>0.59424603888459</v>
      </c>
      <c r="H114" s="19" t="n">
        <f aca="false">H113*INP_270/(H110*H112)</f>
        <v>0.571487679948585</v>
      </c>
      <c r="I114" s="19" t="n">
        <f aca="false">I113*INP_270/(I110*I112)</f>
        <v>0.714902839175226</v>
      </c>
      <c r="J114" s="19" t="n">
        <f aca="false">J113*INP_270/(J110*J112)</f>
        <v>0.595752365979355</v>
      </c>
      <c r="K114" s="19" t="n">
        <f aca="false">K113*INP_270/(K110*K112)</f>
        <v>0.470330815246859</v>
      </c>
      <c r="L114" s="19" t="n">
        <f aca="false">L113*INP_270/(L110*L112)</f>
        <v>0.729492693035944</v>
      </c>
      <c r="M114" s="19" t="n">
        <f aca="false">M113*INP_270/(M110*M112)</f>
        <v>0.555048788179523</v>
      </c>
      <c r="N114" s="19" t="n">
        <f aca="false">N113*INP_270/(N110*N112)</f>
        <v>0.447934109758913</v>
      </c>
      <c r="P114" s="12" t="s">
        <v>3303</v>
      </c>
    </row>
    <row r="115" customFormat="false" ht="15" hidden="false" customHeight="false" outlineLevel="0" collapsed="false">
      <c r="A115" s="9" t="s">
        <v>3347</v>
      </c>
      <c r="B115" s="10" t="s">
        <v>3304</v>
      </c>
      <c r="C115" s="10" t="s">
        <v>560</v>
      </c>
      <c r="D115" s="19" t="n">
        <f aca="false">D108*INP_270/(D110*D112)</f>
        <v>1.09439993351518</v>
      </c>
      <c r="E115" s="19" t="n">
        <f aca="false">E108*INP_270/(E110*E112)</f>
        <v>1.09439993351518</v>
      </c>
      <c r="F115" s="19" t="n">
        <f aca="false">F108*INP_270/(F110*F112)</f>
        <v>0.500208671523779</v>
      </c>
      <c r="G115" s="19" t="n">
        <f aca="false">G108*INP_270/(G110*G112)</f>
        <v>0.500208671523779</v>
      </c>
      <c r="H115" s="19" t="n">
        <f aca="false">H108*INP_270/(H110*H112)</f>
        <v>0.500208671523779</v>
      </c>
      <c r="I115" s="19" t="n">
        <f aca="false">I108*INP_270/(I110*I112)</f>
        <v>0.500208671523779</v>
      </c>
      <c r="J115" s="19" t="n">
        <f aca="false">J108*INP_270/(J110*J112)</f>
        <v>0.500208671523779</v>
      </c>
      <c r="K115" s="19" t="n">
        <f aca="false">K108*INP_270/(K110*K112)</f>
        <v>0.500208671523779</v>
      </c>
      <c r="L115" s="19" t="n">
        <f aca="false">L108*INP_270/(L110*L112)</f>
        <v>0.500208671523779</v>
      </c>
      <c r="M115" s="19" t="n">
        <f aca="false">M108*INP_270/(M110*M112)</f>
        <v>0.500208671523779</v>
      </c>
      <c r="N115" s="19" t="n">
        <f aca="false">N108*INP_270/(N110*N112)</f>
        <v>0.500208671523779</v>
      </c>
      <c r="P115" s="2" t="s">
        <v>3305</v>
      </c>
    </row>
    <row r="116" customFormat="false" ht="15" hidden="false" customHeight="false" outlineLevel="0" collapsed="false">
      <c r="A116" s="9" t="s">
        <v>3348</v>
      </c>
      <c r="B116" s="10" t="s">
        <v>3306</v>
      </c>
      <c r="C116" s="10" t="s">
        <v>560</v>
      </c>
      <c r="D116" s="19" t="n">
        <f aca="false">D114/D115</f>
        <v>1.2390372618626</v>
      </c>
      <c r="E116" s="19" t="n">
        <f aca="false">E114/E115</f>
        <v>1.11791590049691</v>
      </c>
      <c r="F116" s="19" t="n">
        <f aca="false">F114/F115</f>
        <v>1.23726801072326</v>
      </c>
      <c r="G116" s="19" t="n">
        <f aca="false">G114/G115</f>
        <v>1.18799627578296</v>
      </c>
      <c r="H116" s="19" t="n">
        <f aca="false">H114/H115</f>
        <v>1.14249854607212</v>
      </c>
      <c r="I116" s="19" t="n">
        <f aca="false">I114/I115</f>
        <v>1.42920920782406</v>
      </c>
      <c r="J116" s="19" t="n">
        <f aca="false">J114/J115</f>
        <v>1.19100767318672</v>
      </c>
      <c r="K116" s="19" t="n">
        <f aca="false">K114/K115</f>
        <v>0.940269215673723</v>
      </c>
      <c r="L116" s="19" t="n">
        <f aca="false">L114/L115</f>
        <v>1.45837674267761</v>
      </c>
      <c r="M116" s="19" t="n">
        <f aca="false">M114/M115</f>
        <v>1.10963447812427</v>
      </c>
      <c r="N116" s="19" t="n">
        <f aca="false">N114/N115</f>
        <v>0.895494491117832</v>
      </c>
      <c r="P116" s="2" t="s">
        <v>3307</v>
      </c>
    </row>
    <row r="117" customFormat="false" ht="15" hidden="false" customHeight="false" outlineLevel="0" collapsed="false">
      <c r="A117" s="9" t="s">
        <v>3349</v>
      </c>
      <c r="B117" s="10" t="s">
        <v>3315</v>
      </c>
      <c r="C117" s="9" t="s">
        <v>375</v>
      </c>
      <c r="F117" s="19" t="n">
        <f aca="false">F113/(F107*((1-INP_276)*$D116+INP_276*$E116))</f>
        <v>2.16690140475147</v>
      </c>
      <c r="G117" s="19" t="n">
        <f aca="false">G113/(G107*((1-INP_276)*$D116+INP_276*$E116))</f>
        <v>2.16690140475147</v>
      </c>
      <c r="H117" s="19" t="n">
        <f aca="false">H113/(H107*((1-INP_276)*$D116+INP_276*$E116))</f>
        <v>2.16690140475147</v>
      </c>
      <c r="I117" s="19" t="n">
        <f aca="false">I113/(I107*((1-INP_276)*$D116+INP_276*$E116))</f>
        <v>2.88370909377572</v>
      </c>
      <c r="J117" s="19" t="n">
        <f aca="false">J113/(J107*((1-INP_276)*$D116+INP_276*$E116))</f>
        <v>2.88370909377572</v>
      </c>
      <c r="K117" s="19" t="n">
        <f aca="false">K113/(K107*((1-INP_276)*$D116+INP_276*$E116))</f>
        <v>2.88370909377572</v>
      </c>
      <c r="L117" s="19" t="n">
        <f aca="false">L113/(L107*((1-INP_276)*$D116+INP_276*$E116))</f>
        <v>4.1195844196796</v>
      </c>
      <c r="M117" s="19" t="n">
        <f aca="false">M113/(M107*((1-INP_276)*$D116+INP_276*$E116))</f>
        <v>4.1195844196796</v>
      </c>
      <c r="N117" s="19" t="n">
        <f aca="false">N113/(N107*((1-INP_276)*$D116+INP_276*$E116))</f>
        <v>4.1195844196796</v>
      </c>
      <c r="P117" s="2" t="s">
        <v>3316</v>
      </c>
    </row>
    <row r="118" customFormat="false" ht="15" hidden="false" customHeight="false" outlineLevel="0" collapsed="false">
      <c r="A118" s="25" t="s">
        <v>3350</v>
      </c>
    </row>
    <row r="119" customFormat="false" ht="15" hidden="false" customHeight="false" outlineLevel="0" collapsed="false">
      <c r="A119" s="9" t="s">
        <v>3351</v>
      </c>
      <c r="B119" s="10" t="s">
        <v>3276</v>
      </c>
      <c r="C119" s="9" t="s">
        <v>375</v>
      </c>
      <c r="D119" s="19" t="n">
        <f aca="false">D34</f>
        <v>1.12780698259266</v>
      </c>
      <c r="E119" s="19" t="n">
        <f aca="false">E34</f>
        <v>1.25</v>
      </c>
      <c r="I119" s="19" t="n">
        <f aca="false">I34</f>
        <v>2.5</v>
      </c>
      <c r="J119" s="19" t="n">
        <f aca="false">J34</f>
        <v>3</v>
      </c>
      <c r="K119" s="19" t="n">
        <f aca="false">K34</f>
        <v>3.8</v>
      </c>
      <c r="P119" s="2"/>
    </row>
    <row r="120" customFormat="false" ht="15" hidden="false" customHeight="false" outlineLevel="0" collapsed="false">
      <c r="A120" s="9" t="s">
        <v>3352</v>
      </c>
      <c r="B120" s="10" t="s">
        <v>3277</v>
      </c>
      <c r="C120" s="10" t="s">
        <v>120</v>
      </c>
      <c r="D120" s="22" t="n">
        <f aca="false">INDEX(CMP_Share_Hopper,D$33)</f>
        <v>0.6</v>
      </c>
      <c r="E120" s="22" t="n">
        <f aca="false">INDEX(CMP_Share_Hopper,E$33)</f>
        <v>0.6</v>
      </c>
      <c r="I120" s="22" t="n">
        <f aca="false">(1-INP_280)*INDEX(CMP_Share_Hopper,I$33)+INP_280*INP_281</f>
        <v>0.35</v>
      </c>
      <c r="J120" s="22" t="n">
        <f aca="false">(1-INP_280)*INDEX(CMP_Share_Hopper,J$33)+INP_280*INP_281</f>
        <v>0.35</v>
      </c>
      <c r="K120" s="22" t="n">
        <f aca="false">(1-INP_280)*INDEX(CMP_Share_Hopper,K$33)+INP_280*INP_281</f>
        <v>0.35</v>
      </c>
      <c r="P120" s="2"/>
    </row>
    <row r="121" customFormat="false" ht="15" hidden="false" customHeight="false" outlineLevel="0" collapsed="false">
      <c r="A121" s="9" t="s">
        <v>3353</v>
      </c>
      <c r="B121" s="10" t="s">
        <v>3278</v>
      </c>
      <c r="C121" s="10" t="s">
        <v>120</v>
      </c>
      <c r="D121" s="22" t="n">
        <f aca="false">INDEX(CMP_Share_GB200,D$33)</f>
        <v>0.4</v>
      </c>
      <c r="E121" s="22" t="n">
        <f aca="false">INDEX(CMP_Share_GB200,E$33)</f>
        <v>0.4</v>
      </c>
      <c r="I121" s="22" t="n">
        <f aca="false">(1-INP_280)*INDEX(CMP_Share_GB200,I$33)+INP_280*INP_282</f>
        <v>0.275</v>
      </c>
      <c r="J121" s="22" t="n">
        <f aca="false">(1-INP_280)*INDEX(CMP_Share_GB200,J$33)+INP_280*INP_282</f>
        <v>0.275</v>
      </c>
      <c r="K121" s="22" t="n">
        <f aca="false">(1-INP_280)*INDEX(CMP_Share_GB200,K$33)+INP_280*INP_282</f>
        <v>0.275</v>
      </c>
      <c r="P121" s="2"/>
    </row>
    <row r="122" customFormat="false" ht="15" hidden="false" customHeight="false" outlineLevel="0" collapsed="false">
      <c r="A122" s="9" t="s">
        <v>3354</v>
      </c>
      <c r="B122" s="10" t="s">
        <v>3279</v>
      </c>
      <c r="C122" s="10" t="s">
        <v>120</v>
      </c>
      <c r="D122" s="22" t="n">
        <f aca="false">INDEX(CMP_Share_GB300,D$33)</f>
        <v>0</v>
      </c>
      <c r="E122" s="22" t="n">
        <f aca="false">INDEX(CMP_Share_GB300,E$33)</f>
        <v>0</v>
      </c>
      <c r="I122" s="22" t="n">
        <f aca="false">(1-INP_280)*INDEX(CMP_Share_GB300,I$33)+INP_280*INP_283</f>
        <v>0.275</v>
      </c>
      <c r="J122" s="22" t="n">
        <f aca="false">(1-INP_280)*INDEX(CMP_Share_GB300,J$33)+INP_280*INP_283</f>
        <v>0.275</v>
      </c>
      <c r="K122" s="22" t="n">
        <f aca="false">(1-INP_280)*INDEX(CMP_Share_GB300,K$33)+INP_280*INP_283</f>
        <v>0.275</v>
      </c>
      <c r="P122" s="2"/>
    </row>
    <row r="123" customFormat="false" ht="15" hidden="false" customHeight="false" outlineLevel="0" collapsed="false">
      <c r="A123" s="9" t="s">
        <v>3355</v>
      </c>
      <c r="B123" s="10" t="s">
        <v>3280</v>
      </c>
      <c r="C123" s="10" t="s">
        <v>120</v>
      </c>
      <c r="D123" s="22" t="n">
        <f aca="false">INDEX(CMP_Share_VR200,D$33)</f>
        <v>0</v>
      </c>
      <c r="E123" s="22" t="n">
        <f aca="false">INDEX(CMP_Share_VR200,E$33)</f>
        <v>0</v>
      </c>
      <c r="I123" s="22" t="n">
        <f aca="false">(1-INP_280)*INDEX(CMP_Share_VR200,I$33)+INP_280*INP_284</f>
        <v>0.05</v>
      </c>
      <c r="J123" s="22" t="n">
        <f aca="false">(1-INP_280)*INDEX(CMP_Share_VR200,J$33)+INP_280*INP_284</f>
        <v>0.05</v>
      </c>
      <c r="K123" s="22" t="n">
        <f aca="false">(1-INP_280)*INDEX(CMP_Share_VR200,K$33)+INP_280*INP_284</f>
        <v>0.05</v>
      </c>
      <c r="P123" s="2"/>
    </row>
    <row r="124" customFormat="false" ht="15" hidden="false" customHeight="false" outlineLevel="0" collapsed="false">
      <c r="A124" s="9" t="s">
        <v>3356</v>
      </c>
      <c r="B124" s="10" t="s">
        <v>3281</v>
      </c>
      <c r="C124" s="10" t="s">
        <v>120</v>
      </c>
      <c r="D124" s="22" t="n">
        <f aca="false">INDEX(CMP_Share_RubinUltra,D$33)</f>
        <v>0</v>
      </c>
      <c r="E124" s="22" t="n">
        <f aca="false">INDEX(CMP_Share_RubinUltra,E$33)</f>
        <v>0</v>
      </c>
      <c r="I124" s="22" t="n">
        <f aca="false">(1-INP_280)*INDEX(CMP_Share_RubinUltra,I$33)+INP_280*INP_285</f>
        <v>0</v>
      </c>
      <c r="J124" s="22" t="n">
        <f aca="false">(1-INP_280)*INDEX(CMP_Share_RubinUltra,J$33)+INP_280*INP_285</f>
        <v>0</v>
      </c>
      <c r="K124" s="22" t="n">
        <f aca="false">(1-INP_280)*INDEX(CMP_Share_RubinUltra,K$33)+INP_280*INP_285</f>
        <v>0</v>
      </c>
      <c r="P124" s="2"/>
    </row>
    <row r="125" customFormat="false" ht="15" hidden="false" customHeight="false" outlineLevel="0" collapsed="false">
      <c r="A125" s="9" t="s">
        <v>3357</v>
      </c>
      <c r="B125" s="10" t="s">
        <v>3282</v>
      </c>
      <c r="C125" s="10" t="s">
        <v>120</v>
      </c>
      <c r="D125" s="22" t="n">
        <f aca="false">INDEX(CMP_Share_Custom,D$33)</f>
        <v>0</v>
      </c>
      <c r="E125" s="22" t="n">
        <f aca="false">INDEX(CMP_Share_Custom,E$33)</f>
        <v>0</v>
      </c>
      <c r="I125" s="22" t="n">
        <f aca="false">(1-INP_280)*INDEX(CMP_Share_Custom,I$33)+INP_280*INP_286</f>
        <v>0.05</v>
      </c>
      <c r="J125" s="22" t="n">
        <f aca="false">(1-INP_280)*INDEX(CMP_Share_Custom,J$33)+INP_280*INP_286</f>
        <v>0.05</v>
      </c>
      <c r="K125" s="22" t="n">
        <f aca="false">(1-INP_280)*INDEX(CMP_Share_Custom,K$33)+INP_280*INP_286</f>
        <v>0.05</v>
      </c>
      <c r="P125" s="2"/>
    </row>
    <row r="126" customFormat="false" ht="15" hidden="false" customHeight="false" outlineLevel="0" collapsed="false">
      <c r="A126" s="9" t="s">
        <v>3358</v>
      </c>
      <c r="B126" s="10" t="s">
        <v>3283</v>
      </c>
      <c r="C126" s="10" t="s">
        <v>120</v>
      </c>
      <c r="D126" s="22" t="n">
        <f aca="false">SUM(D120:D125)</f>
        <v>1</v>
      </c>
      <c r="E126" s="22" t="n">
        <f aca="false">SUM(E120:E125)</f>
        <v>1</v>
      </c>
      <c r="I126" s="22" t="n">
        <f aca="false">SUM(I120:I125)</f>
        <v>1</v>
      </c>
      <c r="J126" s="22" t="n">
        <f aca="false">SUM(J120:J125)</f>
        <v>1</v>
      </c>
      <c r="K126" s="22" t="n">
        <f aca="false">SUM(K120:K125)</f>
        <v>1</v>
      </c>
      <c r="P126" s="12" t="s">
        <v>3284</v>
      </c>
    </row>
    <row r="127" customFormat="false" ht="15" hidden="false" customHeight="false" outlineLevel="0" collapsed="false">
      <c r="A127" s="9" t="s">
        <v>3359</v>
      </c>
      <c r="B127" s="10" t="s">
        <v>3285</v>
      </c>
      <c r="C127" s="9" t="s">
        <v>1603</v>
      </c>
      <c r="D127" s="19" t="n">
        <f aca="false">SUMPRODUCT(D120:D125,$D$39:$D$44)</f>
        <v>9.35311859805586</v>
      </c>
      <c r="E127" s="19" t="n">
        <f aca="false">SUMPRODUCT(E120:E125,$D$39:$D$44)</f>
        <v>9.35311859805586</v>
      </c>
      <c r="I127" s="19" t="n">
        <f aca="false">SUMPRODUCT(I120:I125,$D$39:$D$44)</f>
        <v>9.79562678672824</v>
      </c>
      <c r="J127" s="19" t="n">
        <f aca="false">SUMPRODUCT(J120:J125,$D$39:$D$44)</f>
        <v>9.79562678672824</v>
      </c>
      <c r="K127" s="19" t="n">
        <f aca="false">SUMPRODUCT(K120:K125,$D$39:$D$44)</f>
        <v>9.79562678672824</v>
      </c>
      <c r="P127" s="12" t="s">
        <v>3286</v>
      </c>
    </row>
    <row r="128" customFormat="false" ht="15" hidden="false" customHeight="false" outlineLevel="0" collapsed="false">
      <c r="A128" s="9" t="s">
        <v>3360</v>
      </c>
      <c r="B128" s="10" t="s">
        <v>3287</v>
      </c>
      <c r="C128" s="9" t="s">
        <v>68</v>
      </c>
      <c r="D128" s="20" t="n">
        <f aca="false">D119*D127</f>
        <v>10.5485124639047</v>
      </c>
      <c r="E128" s="20" t="n">
        <f aca="false">E119*E127</f>
        <v>11.6913982475698</v>
      </c>
      <c r="I128" s="20" t="n">
        <f aca="false">I119*I127</f>
        <v>24.4890669668206</v>
      </c>
      <c r="J128" s="20" t="n">
        <f aca="false">J119*J127</f>
        <v>29.3868803601847</v>
      </c>
      <c r="K128" s="20" t="n">
        <f aca="false">K119*K127</f>
        <v>37.2233817895673</v>
      </c>
      <c r="P128" s="2" t="s">
        <v>3288</v>
      </c>
    </row>
    <row r="129" customFormat="false" ht="15" hidden="false" customHeight="false" outlineLevel="0" collapsed="false">
      <c r="A129" s="9" t="s">
        <v>3361</v>
      </c>
      <c r="B129" s="10" t="s">
        <v>3289</v>
      </c>
      <c r="C129" s="9" t="s">
        <v>1014</v>
      </c>
      <c r="D129" s="21" t="n">
        <f aca="false">SUMPRODUCT(D120:D125,$E$39:$E$44,$H$39:$H$44)</f>
        <v>56793453225.3857</v>
      </c>
      <c r="E129" s="21" t="n">
        <f aca="false">SUMPRODUCT(E120:E125,$E$39:$E$44,$H$39:$H$44)</f>
        <v>56793453225.3857</v>
      </c>
      <c r="I129" s="21" t="n">
        <f aca="false">SUMPRODUCT(I120:I125,$E$39:$E$44,$H$39:$H$44)</f>
        <v>91042401450.4909</v>
      </c>
      <c r="J129" s="21" t="n">
        <f aca="false">SUMPRODUCT(J120:J125,$E$39:$E$44,$H$39:$H$44)</f>
        <v>91042401450.4909</v>
      </c>
      <c r="K129" s="21" t="n">
        <f aca="false">SUMPRODUCT(K120:K125,$E$39:$E$44,$H$39:$H$44)</f>
        <v>91042401450.4909</v>
      </c>
      <c r="P129" s="12" t="s">
        <v>3290</v>
      </c>
    </row>
    <row r="130" customFormat="false" ht="15" hidden="false" customHeight="false" outlineLevel="0" collapsed="false">
      <c r="A130" s="9" t="s">
        <v>3362</v>
      </c>
      <c r="B130" s="9" t="s">
        <v>3291</v>
      </c>
      <c r="C130" s="9" t="s">
        <v>836</v>
      </c>
      <c r="D130" s="21" t="n">
        <f aca="false">D119*TK_IF_ServeShare*(1-TK_IF_FreeShare)*D129*TK_IF_UtilActual</f>
        <v>5814261069.29216</v>
      </c>
      <c r="E130" s="21" t="n">
        <f aca="false">E119*TK_IF_ServeShare*(1-TK_IF_FreeShare)*E129*TK_IF_UtilActual</f>
        <v>6444211153.85146</v>
      </c>
      <c r="I130" s="21" t="n">
        <f aca="false">I119*TK_IF_ServeShare*(1-TK_IF_FreeShare)*I129*TK_IF_UtilActual</f>
        <v>20660707373.1672</v>
      </c>
      <c r="J130" s="21" t="n">
        <f aca="false">J119*TK_IF_ServeShare*(1-TK_IF_FreeShare)*J129*TK_IF_UtilActual</f>
        <v>24792848847.8006</v>
      </c>
      <c r="K130" s="21" t="n">
        <f aca="false">K119*TK_IF_ServeShare*(1-TK_IF_FreeShare)*K129*TK_IF_UtilActual</f>
        <v>31404275207.2141</v>
      </c>
      <c r="P130" s="12" t="s">
        <v>3292</v>
      </c>
    </row>
    <row r="131" customFormat="false" ht="15" hidden="false" customHeight="false" outlineLevel="0" collapsed="false">
      <c r="A131" s="9" t="s">
        <v>3363</v>
      </c>
      <c r="B131" s="9" t="s">
        <v>3293</v>
      </c>
      <c r="C131" s="9" t="s">
        <v>3294</v>
      </c>
      <c r="D131" s="23" t="n">
        <f aca="false">D130/INP_254</f>
        <v>5814.26106929216</v>
      </c>
      <c r="E131" s="23" t="n">
        <f aca="false">E130/INP_254</f>
        <v>6444.21115385146</v>
      </c>
      <c r="I131" s="23" t="n">
        <f aca="false">I130/INP_254</f>
        <v>20660.7073731672</v>
      </c>
      <c r="J131" s="23" t="n">
        <f aca="false">J130/INP_254</f>
        <v>24792.8488478006</v>
      </c>
      <c r="K131" s="23" t="n">
        <f aca="false">K130/INP_254</f>
        <v>31404.2752072141</v>
      </c>
      <c r="P131" s="2" t="s">
        <v>3295</v>
      </c>
    </row>
    <row r="132" customFormat="false" ht="15" hidden="false" customHeight="false" outlineLevel="0" collapsed="false">
      <c r="A132" s="9" t="s">
        <v>3364</v>
      </c>
      <c r="B132" s="10" t="s">
        <v>3296</v>
      </c>
      <c r="C132" s="9" t="s">
        <v>3297</v>
      </c>
      <c r="D132" s="19" t="n">
        <f aca="false">TK_IF_PxEffMix25</f>
        <v>1.35936</v>
      </c>
      <c r="E132" s="19" t="n">
        <f aca="false">TK_IF_PxEffMix25</f>
        <v>1.35936</v>
      </c>
      <c r="I132" s="19" t="n">
        <f aca="false">TK_IF_PxEffMix</f>
        <v>1.94307555555556</v>
      </c>
      <c r="J132" s="19" t="n">
        <f aca="false">TK_IF_PxEffMix</f>
        <v>1.94307555555556</v>
      </c>
      <c r="K132" s="19" t="n">
        <f aca="false">TK_IF_PxEffMix</f>
        <v>1.94307555555556</v>
      </c>
      <c r="P132" s="12" t="s">
        <v>3298</v>
      </c>
    </row>
    <row r="133" customFormat="false" ht="15" hidden="false" customHeight="false" outlineLevel="0" collapsed="false">
      <c r="A133" s="9" t="s">
        <v>3365</v>
      </c>
      <c r="B133" s="10" t="s">
        <v>3301</v>
      </c>
      <c r="C133" s="9" t="s">
        <v>68</v>
      </c>
      <c r="D133" s="20" t="n">
        <f aca="false">SRC_OAI_002</f>
        <v>13.07</v>
      </c>
      <c r="E133" s="20" t="n">
        <f aca="false">SRC_OAI_002</f>
        <v>13.07</v>
      </c>
      <c r="I133" s="20" t="n">
        <f aca="false">INDEX(REV_GrossCapped,I$33)</f>
        <v>34.2037814299461</v>
      </c>
      <c r="J133" s="20" t="n">
        <f aca="false">INDEX(REV_GrossCapped,J$33)</f>
        <v>34.2037814299461</v>
      </c>
      <c r="K133" s="20" t="n">
        <f aca="false">INDEX(REV_GrossCapped,K$33)</f>
        <v>34.2037814299461</v>
      </c>
      <c r="P133" s="2"/>
    </row>
    <row r="134" customFormat="false" ht="15" hidden="false" customHeight="false" outlineLevel="0" collapsed="false">
      <c r="A134" s="9" t="s">
        <v>3366</v>
      </c>
      <c r="B134" s="10" t="s">
        <v>3302</v>
      </c>
      <c r="C134" s="10" t="s">
        <v>560</v>
      </c>
      <c r="D134" s="19" t="n">
        <f aca="false">D133*INP_270/(D130*D132)</f>
        <v>1.65366133781129</v>
      </c>
      <c r="E134" s="19" t="n">
        <f aca="false">E133*INP_270/(E130*E132)</f>
        <v>1.49200864290168</v>
      </c>
      <c r="I134" s="19" t="n">
        <f aca="false">I133*INP_270/(I130*I132)</f>
        <v>0.851999318982486</v>
      </c>
      <c r="J134" s="19" t="n">
        <f aca="false">J133*INP_270/(J130*J132)</f>
        <v>0.709999432485404</v>
      </c>
      <c r="K134" s="19" t="n">
        <f aca="false">K133*INP_270/(K130*K132)</f>
        <v>0.560525867751635</v>
      </c>
      <c r="P134" s="12" t="s">
        <v>3303</v>
      </c>
    </row>
    <row r="135" customFormat="false" ht="15" hidden="false" customHeight="false" outlineLevel="0" collapsed="false">
      <c r="A135" s="9" t="s">
        <v>3367</v>
      </c>
      <c r="B135" s="10" t="s">
        <v>3304</v>
      </c>
      <c r="C135" s="10" t="s">
        <v>560</v>
      </c>
      <c r="D135" s="19" t="n">
        <f aca="false">D128*INP_270/(D130*D132)</f>
        <v>1.33463406526241</v>
      </c>
      <c r="E135" s="19" t="n">
        <f aca="false">E128*INP_270/(E130*E132)</f>
        <v>1.33463406526241</v>
      </c>
      <c r="I135" s="19" t="n">
        <f aca="false">I128*INP_270/(I130*I132)</f>
        <v>0.610010575028999</v>
      </c>
      <c r="J135" s="19" t="n">
        <f aca="false">J128*INP_270/(J130*J132)</f>
        <v>0.610010575028999</v>
      </c>
      <c r="K135" s="19" t="n">
        <f aca="false">K128*INP_270/(K130*K132)</f>
        <v>0.610010575028999</v>
      </c>
      <c r="P135" s="2" t="s">
        <v>3305</v>
      </c>
    </row>
    <row r="136" customFormat="false" ht="15" hidden="false" customHeight="false" outlineLevel="0" collapsed="false">
      <c r="A136" s="9" t="s">
        <v>3368</v>
      </c>
      <c r="B136" s="10" t="s">
        <v>3306</v>
      </c>
      <c r="C136" s="10" t="s">
        <v>560</v>
      </c>
      <c r="D136" s="19" t="n">
        <f aca="false">D134/D135</f>
        <v>1.2390372618626</v>
      </c>
      <c r="E136" s="19" t="n">
        <f aca="false">E134/E135</f>
        <v>1.11791590049691</v>
      </c>
      <c r="I136" s="19" t="n">
        <f aca="false">I134/I135</f>
        <v>1.39669598177373</v>
      </c>
      <c r="J136" s="19" t="n">
        <f aca="false">J134/J135</f>
        <v>1.16391331814478</v>
      </c>
      <c r="K136" s="19" t="n">
        <f aca="false">K134/K135</f>
        <v>0.918878935377454</v>
      </c>
      <c r="P136" s="2" t="s">
        <v>3307</v>
      </c>
    </row>
    <row r="137" customFormat="false" ht="15" hidden="false" customHeight="false" outlineLevel="0" collapsed="false">
      <c r="A137" s="9" t="s">
        <v>3369</v>
      </c>
      <c r="B137" s="10" t="s">
        <v>3315</v>
      </c>
      <c r="C137" s="9" t="s">
        <v>375</v>
      </c>
      <c r="I137" s="19" t="n">
        <f aca="false">I133/(I127*((1-INP_276)*$D136+INP_276*$E136))</f>
        <v>2.81810730145865</v>
      </c>
      <c r="J137" s="19" t="n">
        <f aca="false">J133/(J127*((1-INP_276)*$D136+INP_276*$E136))</f>
        <v>2.81810730145865</v>
      </c>
      <c r="K137" s="19" t="n">
        <f aca="false">K133/(K127*((1-INP_276)*$D136+INP_276*$E136))</f>
        <v>2.81810730145865</v>
      </c>
      <c r="P137" s="2" t="s">
        <v>3316</v>
      </c>
    </row>
    <row r="138" customFormat="false" ht="15" hidden="false" customHeight="false" outlineLevel="0" collapsed="false">
      <c r="A138" s="25" t="s">
        <v>3370</v>
      </c>
    </row>
    <row r="139" customFormat="false" ht="15" hidden="false" customHeight="false" outlineLevel="0" collapsed="false">
      <c r="A139" s="9" t="s">
        <v>3371</v>
      </c>
      <c r="B139" s="10" t="s">
        <v>3276</v>
      </c>
      <c r="C139" s="9" t="s">
        <v>375</v>
      </c>
      <c r="D139" s="19" t="n">
        <f aca="false">D34</f>
        <v>1.12780698259266</v>
      </c>
      <c r="E139" s="19" t="n">
        <f aca="false">E34</f>
        <v>1.25</v>
      </c>
      <c r="F139" s="19" t="n">
        <f aca="false">F34</f>
        <v>2.17</v>
      </c>
      <c r="G139" s="19" t="n">
        <f aca="false">G34</f>
        <v>2.26</v>
      </c>
      <c r="H139" s="19" t="n">
        <f aca="false">H34</f>
        <v>2.35</v>
      </c>
      <c r="I139" s="19" t="n">
        <f aca="false">I34</f>
        <v>2.5</v>
      </c>
      <c r="J139" s="19" t="n">
        <f aca="false">J34</f>
        <v>3</v>
      </c>
      <c r="K139" s="19" t="n">
        <f aca="false">K34</f>
        <v>3.8</v>
      </c>
      <c r="L139" s="19" t="n">
        <f aca="false">L34</f>
        <v>3.5</v>
      </c>
      <c r="M139" s="19" t="n">
        <f aca="false">M34</f>
        <v>4.6</v>
      </c>
      <c r="N139" s="19" t="n">
        <f aca="false">N34</f>
        <v>5.7</v>
      </c>
      <c r="P139" s="2"/>
    </row>
    <row r="140" customFormat="false" ht="15" hidden="false" customHeight="false" outlineLevel="0" collapsed="false">
      <c r="A140" s="9" t="s">
        <v>3372</v>
      </c>
      <c r="B140" s="10" t="s">
        <v>3277</v>
      </c>
      <c r="C140" s="10" t="s">
        <v>120</v>
      </c>
      <c r="D140" s="22" t="n">
        <f aca="false">INDEX(CMP_Share_Hopper,D$33)</f>
        <v>0.6</v>
      </c>
      <c r="E140" s="22" t="n">
        <f aca="false">INDEX(CMP_Share_Hopper,E$33)</f>
        <v>0.6</v>
      </c>
      <c r="F140" s="22" t="n">
        <f aca="false">INP_281</f>
        <v>0.25</v>
      </c>
      <c r="G140" s="22" t="n">
        <f aca="false">INP_281</f>
        <v>0.25</v>
      </c>
      <c r="H140" s="22" t="n">
        <f aca="false">INP_281</f>
        <v>0.25</v>
      </c>
      <c r="I140" s="22" t="n">
        <f aca="false">INP_281</f>
        <v>0.25</v>
      </c>
      <c r="J140" s="22" t="n">
        <f aca="false">INP_281</f>
        <v>0.25</v>
      </c>
      <c r="K140" s="22" t="n">
        <f aca="false">INP_281</f>
        <v>0.25</v>
      </c>
      <c r="L140" s="22" t="n">
        <f aca="false">INP_281</f>
        <v>0.25</v>
      </c>
      <c r="M140" s="22" t="n">
        <f aca="false">INP_281</f>
        <v>0.25</v>
      </c>
      <c r="N140" s="22" t="n">
        <f aca="false">INP_281</f>
        <v>0.25</v>
      </c>
      <c r="P140" s="2"/>
    </row>
    <row r="141" customFormat="false" ht="15" hidden="false" customHeight="false" outlineLevel="0" collapsed="false">
      <c r="A141" s="9" t="s">
        <v>3373</v>
      </c>
      <c r="B141" s="10" t="s">
        <v>3278</v>
      </c>
      <c r="C141" s="10" t="s">
        <v>120</v>
      </c>
      <c r="D141" s="22" t="n">
        <f aca="false">INDEX(CMP_Share_GB200,D$33)</f>
        <v>0.4</v>
      </c>
      <c r="E141" s="22" t="n">
        <f aca="false">INDEX(CMP_Share_GB200,E$33)</f>
        <v>0.4</v>
      </c>
      <c r="F141" s="22" t="n">
        <f aca="false">INP_282</f>
        <v>0.45</v>
      </c>
      <c r="G141" s="22" t="n">
        <f aca="false">INP_282</f>
        <v>0.45</v>
      </c>
      <c r="H141" s="22" t="n">
        <f aca="false">INP_282</f>
        <v>0.45</v>
      </c>
      <c r="I141" s="22" t="n">
        <f aca="false">INP_282</f>
        <v>0.45</v>
      </c>
      <c r="J141" s="22" t="n">
        <f aca="false">INP_282</f>
        <v>0.45</v>
      </c>
      <c r="K141" s="22" t="n">
        <f aca="false">INP_282</f>
        <v>0.45</v>
      </c>
      <c r="L141" s="22" t="n">
        <f aca="false">INP_282</f>
        <v>0.45</v>
      </c>
      <c r="M141" s="22" t="n">
        <f aca="false">INP_282</f>
        <v>0.45</v>
      </c>
      <c r="N141" s="22" t="n">
        <f aca="false">INP_282</f>
        <v>0.45</v>
      </c>
      <c r="P141" s="2"/>
    </row>
    <row r="142" customFormat="false" ht="15" hidden="false" customHeight="false" outlineLevel="0" collapsed="false">
      <c r="A142" s="9" t="s">
        <v>3374</v>
      </c>
      <c r="B142" s="10" t="s">
        <v>3279</v>
      </c>
      <c r="C142" s="10" t="s">
        <v>120</v>
      </c>
      <c r="D142" s="22" t="n">
        <f aca="false">INDEX(CMP_Share_GB300,D$33)</f>
        <v>0</v>
      </c>
      <c r="E142" s="22" t="n">
        <f aca="false">INDEX(CMP_Share_GB300,E$33)</f>
        <v>0</v>
      </c>
      <c r="F142" s="22" t="n">
        <f aca="false">INP_283</f>
        <v>0.25</v>
      </c>
      <c r="G142" s="22" t="n">
        <f aca="false">INP_283</f>
        <v>0.25</v>
      </c>
      <c r="H142" s="22" t="n">
        <f aca="false">INP_283</f>
        <v>0.25</v>
      </c>
      <c r="I142" s="22" t="n">
        <f aca="false">INP_283</f>
        <v>0.25</v>
      </c>
      <c r="J142" s="22" t="n">
        <f aca="false">INP_283</f>
        <v>0.25</v>
      </c>
      <c r="K142" s="22" t="n">
        <f aca="false">INP_283</f>
        <v>0.25</v>
      </c>
      <c r="L142" s="22" t="n">
        <f aca="false">INP_283</f>
        <v>0.25</v>
      </c>
      <c r="M142" s="22" t="n">
        <f aca="false">INP_283</f>
        <v>0.25</v>
      </c>
      <c r="N142" s="22" t="n">
        <f aca="false">INP_283</f>
        <v>0.25</v>
      </c>
      <c r="P142" s="2"/>
    </row>
    <row r="143" customFormat="false" ht="15" hidden="false" customHeight="false" outlineLevel="0" collapsed="false">
      <c r="A143" s="9" t="s">
        <v>3375</v>
      </c>
      <c r="B143" s="10" t="s">
        <v>3280</v>
      </c>
      <c r="C143" s="10" t="s">
        <v>120</v>
      </c>
      <c r="D143" s="22" t="n">
        <f aca="false">INDEX(CMP_Share_VR200,D$33)</f>
        <v>0</v>
      </c>
      <c r="E143" s="22" t="n">
        <f aca="false">INDEX(CMP_Share_VR200,E$33)</f>
        <v>0</v>
      </c>
      <c r="F143" s="22" t="n">
        <f aca="false">INP_284</f>
        <v>0.05</v>
      </c>
      <c r="G143" s="22" t="n">
        <f aca="false">INP_284</f>
        <v>0.05</v>
      </c>
      <c r="H143" s="22" t="n">
        <f aca="false">INP_284</f>
        <v>0.05</v>
      </c>
      <c r="I143" s="22" t="n">
        <f aca="false">INP_284</f>
        <v>0.05</v>
      </c>
      <c r="J143" s="22" t="n">
        <f aca="false">INP_284</f>
        <v>0.05</v>
      </c>
      <c r="K143" s="22" t="n">
        <f aca="false">INP_284</f>
        <v>0.05</v>
      </c>
      <c r="L143" s="22" t="n">
        <f aca="false">INP_284</f>
        <v>0.05</v>
      </c>
      <c r="M143" s="22" t="n">
        <f aca="false">INP_284</f>
        <v>0.05</v>
      </c>
      <c r="N143" s="22" t="n">
        <f aca="false">INP_284</f>
        <v>0.05</v>
      </c>
      <c r="P143" s="2"/>
    </row>
    <row r="144" customFormat="false" ht="15" hidden="false" customHeight="false" outlineLevel="0" collapsed="false">
      <c r="A144" s="9" t="s">
        <v>3376</v>
      </c>
      <c r="B144" s="10" t="s">
        <v>3281</v>
      </c>
      <c r="C144" s="10" t="s">
        <v>120</v>
      </c>
      <c r="D144" s="22" t="n">
        <f aca="false">INDEX(CMP_Share_RubinUltra,D$33)</f>
        <v>0</v>
      </c>
      <c r="E144" s="22" t="n">
        <f aca="false">INDEX(CMP_Share_RubinUltra,E$33)</f>
        <v>0</v>
      </c>
      <c r="F144" s="22" t="n">
        <f aca="false">INP_285</f>
        <v>0</v>
      </c>
      <c r="G144" s="22" t="n">
        <f aca="false">INP_285</f>
        <v>0</v>
      </c>
      <c r="H144" s="22" t="n">
        <f aca="false">INP_285</f>
        <v>0</v>
      </c>
      <c r="I144" s="22" t="n">
        <f aca="false">INP_285</f>
        <v>0</v>
      </c>
      <c r="J144" s="22" t="n">
        <f aca="false">INP_285</f>
        <v>0</v>
      </c>
      <c r="K144" s="22" t="n">
        <f aca="false">INP_285</f>
        <v>0</v>
      </c>
      <c r="L144" s="22" t="n">
        <f aca="false">INP_285</f>
        <v>0</v>
      </c>
      <c r="M144" s="22" t="n">
        <f aca="false">INP_285</f>
        <v>0</v>
      </c>
      <c r="N144" s="22" t="n">
        <f aca="false">INP_285</f>
        <v>0</v>
      </c>
      <c r="P144" s="2"/>
    </row>
    <row r="145" customFormat="false" ht="15" hidden="false" customHeight="false" outlineLevel="0" collapsed="false">
      <c r="A145" s="9" t="s">
        <v>3377</v>
      </c>
      <c r="B145" s="10" t="s">
        <v>3282</v>
      </c>
      <c r="C145" s="10" t="s">
        <v>120</v>
      </c>
      <c r="D145" s="22" t="n">
        <f aca="false">INDEX(CMP_Share_Custom,D$33)</f>
        <v>0</v>
      </c>
      <c r="E145" s="22" t="n">
        <f aca="false">INDEX(CMP_Share_Custom,E$33)</f>
        <v>0</v>
      </c>
      <c r="F145" s="22" t="n">
        <f aca="false">INP_286</f>
        <v>0</v>
      </c>
      <c r="G145" s="22" t="n">
        <f aca="false">INP_286</f>
        <v>0</v>
      </c>
      <c r="H145" s="22" t="n">
        <f aca="false">INP_286</f>
        <v>0</v>
      </c>
      <c r="I145" s="22" t="n">
        <f aca="false">INP_286</f>
        <v>0</v>
      </c>
      <c r="J145" s="22" t="n">
        <f aca="false">INP_286</f>
        <v>0</v>
      </c>
      <c r="K145" s="22" t="n">
        <f aca="false">INP_286</f>
        <v>0</v>
      </c>
      <c r="L145" s="22" t="n">
        <f aca="false">INP_286</f>
        <v>0</v>
      </c>
      <c r="M145" s="22" t="n">
        <f aca="false">INP_286</f>
        <v>0</v>
      </c>
      <c r="N145" s="22" t="n">
        <f aca="false">INP_286</f>
        <v>0</v>
      </c>
      <c r="P145" s="2"/>
    </row>
    <row r="146" customFormat="false" ht="15" hidden="false" customHeight="false" outlineLevel="0" collapsed="false">
      <c r="A146" s="9" t="s">
        <v>3378</v>
      </c>
      <c r="B146" s="10" t="s">
        <v>3283</v>
      </c>
      <c r="C146" s="10" t="s">
        <v>120</v>
      </c>
      <c r="D146" s="22" t="n">
        <f aca="false">SUM(D140:D145)</f>
        <v>1</v>
      </c>
      <c r="E146" s="22" t="n">
        <f aca="false">SUM(E140:E145)</f>
        <v>1</v>
      </c>
      <c r="F146" s="22" t="n">
        <f aca="false">SUM(F140:F145)</f>
        <v>1</v>
      </c>
      <c r="G146" s="22" t="n">
        <f aca="false">SUM(G140:G145)</f>
        <v>1</v>
      </c>
      <c r="H146" s="22" t="n">
        <f aca="false">SUM(H140:H145)</f>
        <v>1</v>
      </c>
      <c r="I146" s="22" t="n">
        <f aca="false">SUM(I140:I145)</f>
        <v>1</v>
      </c>
      <c r="J146" s="22" t="n">
        <f aca="false">SUM(J140:J145)</f>
        <v>1</v>
      </c>
      <c r="K146" s="22" t="n">
        <f aca="false">SUM(K140:K145)</f>
        <v>1</v>
      </c>
      <c r="L146" s="22" t="n">
        <f aca="false">SUM(L140:L145)</f>
        <v>1</v>
      </c>
      <c r="M146" s="22" t="n">
        <f aca="false">SUM(M140:M145)</f>
        <v>1</v>
      </c>
      <c r="N146" s="22" t="n">
        <f aca="false">SUM(N140:N145)</f>
        <v>1</v>
      </c>
      <c r="P146" s="12" t="s">
        <v>3284</v>
      </c>
    </row>
    <row r="147" customFormat="false" ht="15" hidden="false" customHeight="false" outlineLevel="0" collapsed="false">
      <c r="A147" s="9" t="s">
        <v>3379</v>
      </c>
      <c r="B147" s="10" t="s">
        <v>3285</v>
      </c>
      <c r="C147" s="9" t="s">
        <v>1603</v>
      </c>
      <c r="D147" s="19" t="n">
        <f aca="false">SUMPRODUCT(D140:D145,$D$39:$D$44)</f>
        <v>9.35311859805586</v>
      </c>
      <c r="E147" s="19" t="n">
        <f aca="false">SUMPRODUCT(E140:E145,$D$39:$D$44)</f>
        <v>9.35311859805586</v>
      </c>
      <c r="F147" s="19" t="n">
        <f aca="false">SUMPRODUCT(F140:F145,$D$39:$D$44)</f>
        <v>9.73132262697083</v>
      </c>
      <c r="G147" s="19" t="n">
        <f aca="false">SUMPRODUCT(G140:G145,$D$39:$D$44)</f>
        <v>9.73132262697083</v>
      </c>
      <c r="H147" s="19" t="n">
        <f aca="false">SUMPRODUCT(H140:H145,$D$39:$D$44)</f>
        <v>9.73132262697083</v>
      </c>
      <c r="I147" s="19" t="n">
        <f aca="false">SUMPRODUCT(I140:I145,$D$39:$D$44)</f>
        <v>9.73132262697083</v>
      </c>
      <c r="J147" s="19" t="n">
        <f aca="false">SUMPRODUCT(J140:J145,$D$39:$D$44)</f>
        <v>9.73132262697083</v>
      </c>
      <c r="K147" s="19" t="n">
        <f aca="false">SUMPRODUCT(K140:K145,$D$39:$D$44)</f>
        <v>9.73132262697083</v>
      </c>
      <c r="L147" s="19" t="n">
        <f aca="false">SUMPRODUCT(L140:L145,$D$39:$D$44)</f>
        <v>9.73132262697083</v>
      </c>
      <c r="M147" s="19" t="n">
        <f aca="false">SUMPRODUCT(M140:M145,$D$39:$D$44)</f>
        <v>9.73132262697083</v>
      </c>
      <c r="N147" s="19" t="n">
        <f aca="false">SUMPRODUCT(N140:N145,$D$39:$D$44)</f>
        <v>9.73132262697083</v>
      </c>
      <c r="P147" s="12" t="s">
        <v>3286</v>
      </c>
    </row>
    <row r="148" customFormat="false" ht="15" hidden="false" customHeight="false" outlineLevel="0" collapsed="false">
      <c r="A148" s="9" t="s">
        <v>3380</v>
      </c>
      <c r="B148" s="10" t="s">
        <v>3287</v>
      </c>
      <c r="C148" s="9" t="s">
        <v>68</v>
      </c>
      <c r="D148" s="20" t="n">
        <f aca="false">D139*D147</f>
        <v>10.5485124639047</v>
      </c>
      <c r="E148" s="20" t="n">
        <f aca="false">E139*E147</f>
        <v>11.6913982475698</v>
      </c>
      <c r="F148" s="20" t="n">
        <f aca="false">F139*F147</f>
        <v>21.1169701005267</v>
      </c>
      <c r="G148" s="20" t="n">
        <f aca="false">G139*G147</f>
        <v>21.9927891369541</v>
      </c>
      <c r="H148" s="20" t="n">
        <f aca="false">H139*H147</f>
        <v>22.8686081733814</v>
      </c>
      <c r="I148" s="20" t="n">
        <f aca="false">I139*I147</f>
        <v>24.3283065674271</v>
      </c>
      <c r="J148" s="20" t="n">
        <f aca="false">J139*J147</f>
        <v>29.1939678809125</v>
      </c>
      <c r="K148" s="20" t="n">
        <f aca="false">K139*K147</f>
        <v>36.9790259824891</v>
      </c>
      <c r="L148" s="20" t="n">
        <f aca="false">L139*L147</f>
        <v>34.0596291943979</v>
      </c>
      <c r="M148" s="20" t="n">
        <f aca="false">M139*M147</f>
        <v>44.7640840840658</v>
      </c>
      <c r="N148" s="20" t="n">
        <f aca="false">N139*N147</f>
        <v>55.4685389737337</v>
      </c>
      <c r="P148" s="2" t="s">
        <v>3288</v>
      </c>
    </row>
    <row r="149" customFormat="false" ht="15" hidden="false" customHeight="false" outlineLevel="0" collapsed="false">
      <c r="A149" s="9" t="s">
        <v>3381</v>
      </c>
      <c r="B149" s="10" t="s">
        <v>3289</v>
      </c>
      <c r="C149" s="9" t="s">
        <v>1014</v>
      </c>
      <c r="D149" s="21" t="n">
        <f aca="false">SUMPRODUCT(D140:D145,$E$39:$E$44,$H$39:$H$44)</f>
        <v>56793453225.3857</v>
      </c>
      <c r="E149" s="21" t="n">
        <f aca="false">SUMPRODUCT(E140:E145,$E$39:$E$44,$H$39:$H$44)</f>
        <v>56793453225.3857</v>
      </c>
      <c r="F149" s="21" t="n">
        <f aca="false">SUMPRODUCT(F140:F145,$E$39:$E$44,$H$39:$H$44)</f>
        <v>98003198506.0308</v>
      </c>
      <c r="G149" s="21" t="n">
        <f aca="false">SUMPRODUCT(G140:G145,$E$39:$E$44,$H$39:$H$44)</f>
        <v>98003198506.0308</v>
      </c>
      <c r="H149" s="21" t="n">
        <f aca="false">SUMPRODUCT(H140:H145,$E$39:$E$44,$H$39:$H$44)</f>
        <v>98003198506.0308</v>
      </c>
      <c r="I149" s="21" t="n">
        <f aca="false">SUMPRODUCT(I140:I145,$E$39:$E$44,$H$39:$H$44)</f>
        <v>98003198506.0308</v>
      </c>
      <c r="J149" s="21" t="n">
        <f aca="false">SUMPRODUCT(J140:J145,$E$39:$E$44,$H$39:$H$44)</f>
        <v>98003198506.0308</v>
      </c>
      <c r="K149" s="21" t="n">
        <f aca="false">SUMPRODUCT(K140:K145,$E$39:$E$44,$H$39:$H$44)</f>
        <v>98003198506.0308</v>
      </c>
      <c r="L149" s="21" t="n">
        <f aca="false">SUMPRODUCT(L140:L145,$E$39:$E$44,$H$39:$H$44)</f>
        <v>98003198506.0308</v>
      </c>
      <c r="M149" s="21" t="n">
        <f aca="false">SUMPRODUCT(M140:M145,$E$39:$E$44,$H$39:$H$44)</f>
        <v>98003198506.0308</v>
      </c>
      <c r="N149" s="21" t="n">
        <f aca="false">SUMPRODUCT(N140:N145,$E$39:$E$44,$H$39:$H$44)</f>
        <v>98003198506.0308</v>
      </c>
      <c r="P149" s="12" t="s">
        <v>3290</v>
      </c>
    </row>
    <row r="150" customFormat="false" ht="15" hidden="false" customHeight="false" outlineLevel="0" collapsed="false">
      <c r="A150" s="9" t="s">
        <v>3382</v>
      </c>
      <c r="B150" s="9" t="s">
        <v>3291</v>
      </c>
      <c r="C150" s="9" t="s">
        <v>836</v>
      </c>
      <c r="D150" s="21" t="n">
        <f aca="false">D139*TK_IF_ServeShare*(1-TK_IF_FreeShare)*D149*TK_IF_UtilActual</f>
        <v>5814261069.29216</v>
      </c>
      <c r="E150" s="21" t="n">
        <f aca="false">E139*TK_IF_ServeShare*(1-TK_IF_FreeShare)*E149*TK_IF_UtilActual</f>
        <v>6444211153.85146</v>
      </c>
      <c r="F150" s="21" t="n">
        <f aca="false">F139*TK_IF_ServeShare*(1-TK_IF_FreeShare)*F149*TK_IF_UtilActual</f>
        <v>19304628880.3746</v>
      </c>
      <c r="G150" s="21" t="n">
        <f aca="false">G139*TK_IF_ServeShare*(1-TK_IF_FreeShare)*G149*TK_IF_UtilActual</f>
        <v>20105281691.0814</v>
      </c>
      <c r="H150" s="21" t="n">
        <f aca="false">H139*TK_IF_ServeShare*(1-TK_IF_FreeShare)*H149*TK_IF_UtilActual</f>
        <v>20905934501.7881</v>
      </c>
      <c r="I150" s="21" t="n">
        <f aca="false">I139*TK_IF_ServeShare*(1-TK_IF_FreeShare)*I149*TK_IF_UtilActual</f>
        <v>22240355852.9661</v>
      </c>
      <c r="J150" s="21" t="n">
        <f aca="false">J139*TK_IF_ServeShare*(1-TK_IF_FreeShare)*J149*TK_IF_UtilActual</f>
        <v>26688427023.5593</v>
      </c>
      <c r="K150" s="21" t="n">
        <f aca="false">K139*TK_IF_ServeShare*(1-TK_IF_FreeShare)*K149*TK_IF_UtilActual</f>
        <v>33805340896.5085</v>
      </c>
      <c r="L150" s="21" t="n">
        <f aca="false">L139*TK_IF_ServeShare*(1-TK_IF_FreeShare)*L149*TK_IF_UtilActual</f>
        <v>31136498194.1525</v>
      </c>
      <c r="M150" s="21" t="n">
        <f aca="false">M139*TK_IF_ServeShare*(1-TK_IF_FreeShare)*M149*TK_IF_UtilActual</f>
        <v>40922254769.4576</v>
      </c>
      <c r="N150" s="21" t="n">
        <f aca="false">N139*TK_IF_ServeShare*(1-TK_IF_FreeShare)*N149*TK_IF_UtilActual</f>
        <v>50708011344.7627</v>
      </c>
      <c r="P150" s="12" t="s">
        <v>3292</v>
      </c>
    </row>
    <row r="151" customFormat="false" ht="15" hidden="false" customHeight="false" outlineLevel="0" collapsed="false">
      <c r="A151" s="9" t="s">
        <v>3383</v>
      </c>
      <c r="B151" s="9" t="s">
        <v>3293</v>
      </c>
      <c r="C151" s="9" t="s">
        <v>3294</v>
      </c>
      <c r="D151" s="23" t="n">
        <f aca="false">D150/INP_254</f>
        <v>5814.26106929216</v>
      </c>
      <c r="E151" s="23" t="n">
        <f aca="false">E150/INP_254</f>
        <v>6444.21115385146</v>
      </c>
      <c r="F151" s="23" t="n">
        <f aca="false">F150/INP_254</f>
        <v>19304.6288803746</v>
      </c>
      <c r="G151" s="23" t="n">
        <f aca="false">G150/INP_254</f>
        <v>20105.2816910814</v>
      </c>
      <c r="H151" s="23" t="n">
        <f aca="false">H150/INP_254</f>
        <v>20905.9345017881</v>
      </c>
      <c r="I151" s="23" t="n">
        <f aca="false">I150/INP_254</f>
        <v>22240.3558529661</v>
      </c>
      <c r="J151" s="23" t="n">
        <f aca="false">J150/INP_254</f>
        <v>26688.4270235593</v>
      </c>
      <c r="K151" s="23" t="n">
        <f aca="false">K150/INP_254</f>
        <v>33805.3408965085</v>
      </c>
      <c r="L151" s="23" t="n">
        <f aca="false">L150/INP_254</f>
        <v>31136.4981941525</v>
      </c>
      <c r="M151" s="23" t="n">
        <f aca="false">M150/INP_254</f>
        <v>40922.2547694576</v>
      </c>
      <c r="N151" s="23" t="n">
        <f aca="false">N150/INP_254</f>
        <v>50708.0113447627</v>
      </c>
      <c r="P151" s="2" t="s">
        <v>3295</v>
      </c>
    </row>
    <row r="152" customFormat="false" ht="15" hidden="false" customHeight="false" outlineLevel="0" collapsed="false">
      <c r="A152" s="9" t="s">
        <v>3384</v>
      </c>
      <c r="B152" s="10" t="s">
        <v>3296</v>
      </c>
      <c r="C152" s="9" t="s">
        <v>3297</v>
      </c>
      <c r="D152" s="19" t="n">
        <f aca="false">TK_IF_PxEffMix25</f>
        <v>1.35936</v>
      </c>
      <c r="E152" s="19" t="n">
        <f aca="false">TK_IF_PxEffMix25</f>
        <v>1.35936</v>
      </c>
      <c r="F152" s="19" t="n">
        <f aca="false">TK_IF_PxEffMix</f>
        <v>1.94307555555556</v>
      </c>
      <c r="G152" s="19" t="n">
        <f aca="false">TK_IF_PxEffMix</f>
        <v>1.94307555555556</v>
      </c>
      <c r="H152" s="19" t="n">
        <f aca="false">TK_IF_PxEffMix</f>
        <v>1.94307555555556</v>
      </c>
      <c r="I152" s="19" t="n">
        <f aca="false">TK_IF_PxEffMix</f>
        <v>1.94307555555556</v>
      </c>
      <c r="J152" s="19" t="n">
        <f aca="false">TK_IF_PxEffMix</f>
        <v>1.94307555555556</v>
      </c>
      <c r="K152" s="19" t="n">
        <f aca="false">TK_IF_PxEffMix</f>
        <v>1.94307555555556</v>
      </c>
      <c r="L152" s="19" t="n">
        <f aca="false">TK_IF_PxEffMix</f>
        <v>1.94307555555556</v>
      </c>
      <c r="M152" s="19" t="n">
        <f aca="false">TK_IF_PxEffMix</f>
        <v>1.94307555555556</v>
      </c>
      <c r="N152" s="19" t="n">
        <f aca="false">TK_IF_PxEffMix</f>
        <v>1.94307555555556</v>
      </c>
      <c r="P152" s="12" t="s">
        <v>3298</v>
      </c>
    </row>
    <row r="153" customFormat="false" ht="15" hidden="false" customHeight="false" outlineLevel="0" collapsed="false">
      <c r="A153" s="9" t="s">
        <v>3385</v>
      </c>
      <c r="B153" s="10" t="s">
        <v>3301</v>
      </c>
      <c r="C153" s="9" t="s">
        <v>68</v>
      </c>
      <c r="D153" s="20" t="n">
        <f aca="false">D35</f>
        <v>13.07</v>
      </c>
      <c r="E153" s="20" t="n">
        <f aca="false">E35</f>
        <v>13.07</v>
      </c>
      <c r="F153" s="20" t="n">
        <f aca="false">F35</f>
        <v>26.3</v>
      </c>
      <c r="G153" s="20" t="n">
        <f aca="false">G35</f>
        <v>26.3</v>
      </c>
      <c r="H153" s="20" t="n">
        <f aca="false">H35</f>
        <v>26.3</v>
      </c>
      <c r="I153" s="20" t="n">
        <f aca="false">I35</f>
        <v>35</v>
      </c>
      <c r="J153" s="20" t="n">
        <f aca="false">J35</f>
        <v>35</v>
      </c>
      <c r="K153" s="20" t="n">
        <f aca="false">K35</f>
        <v>35</v>
      </c>
      <c r="L153" s="20" t="n">
        <f aca="false">L35</f>
        <v>50</v>
      </c>
      <c r="M153" s="20" t="n">
        <f aca="false">M35</f>
        <v>50</v>
      </c>
      <c r="N153" s="20" t="n">
        <f aca="false">N35</f>
        <v>50</v>
      </c>
      <c r="P153" s="2"/>
    </row>
    <row r="154" customFormat="false" ht="15" hidden="false" customHeight="false" outlineLevel="0" collapsed="false">
      <c r="A154" s="9" t="s">
        <v>3386</v>
      </c>
      <c r="B154" s="10" t="s">
        <v>3302</v>
      </c>
      <c r="C154" s="10" t="s">
        <v>560</v>
      </c>
      <c r="D154" s="19" t="n">
        <f aca="false">D153*INP_270/(D150*D152)</f>
        <v>1.65366133781129</v>
      </c>
      <c r="E154" s="19" t="n">
        <f aca="false">E153*INP_270/(E150*E152)</f>
        <v>1.49200864290168</v>
      </c>
      <c r="F154" s="19" t="n">
        <f aca="false">F153*INP_270/(F150*F152)</f>
        <v>0.701139772265428</v>
      </c>
      <c r="G154" s="19" t="n">
        <f aca="false">G153*INP_270/(G150*G152)</f>
        <v>0.673218276909725</v>
      </c>
      <c r="H154" s="19" t="n">
        <f aca="false">H153*INP_270/(H150*H152)</f>
        <v>0.647435449283395</v>
      </c>
      <c r="I154" s="19" t="n">
        <f aca="false">I153*INP_270/(I150*I152)</f>
        <v>0.809909744540825</v>
      </c>
      <c r="J154" s="19" t="n">
        <f aca="false">J153*INP_270/(J150*J152)</f>
        <v>0.674924787117355</v>
      </c>
      <c r="K154" s="19" t="n">
        <f aca="false">K153*INP_270/(K150*K152)</f>
        <v>0.532835358250543</v>
      </c>
      <c r="L154" s="19" t="n">
        <f aca="false">L153*INP_270/(L150*L152)</f>
        <v>0.826438514837577</v>
      </c>
      <c r="M154" s="19" t="n">
        <f aca="false">M153*INP_270/(M150*M152)</f>
        <v>0.628811913463374</v>
      </c>
      <c r="N154" s="19" t="n">
        <f aca="false">N153*INP_270/(N150*N152)</f>
        <v>0.507462245952898</v>
      </c>
      <c r="P154" s="12" t="s">
        <v>3303</v>
      </c>
    </row>
    <row r="155" customFormat="false" ht="15" hidden="false" customHeight="false" outlineLevel="0" collapsed="false">
      <c r="A155" s="9" t="s">
        <v>3387</v>
      </c>
      <c r="B155" s="10" t="s">
        <v>3304</v>
      </c>
      <c r="C155" s="10" t="s">
        <v>560</v>
      </c>
      <c r="D155" s="19" t="n">
        <f aca="false">D148*INP_270/(D150*D152)</f>
        <v>1.33463406526241</v>
      </c>
      <c r="E155" s="19" t="n">
        <f aca="false">E148*INP_270/(E150*E152)</f>
        <v>1.33463406526241</v>
      </c>
      <c r="F155" s="19" t="n">
        <f aca="false">F148*INP_270/(F150*F152)</f>
        <v>0.562963787346736</v>
      </c>
      <c r="G155" s="19" t="n">
        <f aca="false">G148*INP_270/(G150*G152)</f>
        <v>0.562963787346736</v>
      </c>
      <c r="H155" s="19" t="n">
        <f aca="false">H148*INP_270/(H150*H152)</f>
        <v>0.562963787346736</v>
      </c>
      <c r="I155" s="19" t="n">
        <f aca="false">I148*INP_270/(I150*I152)</f>
        <v>0.562963787346736</v>
      </c>
      <c r="J155" s="19" t="n">
        <f aca="false">J148*INP_270/(J150*J152)</f>
        <v>0.562963787346736</v>
      </c>
      <c r="K155" s="19" t="n">
        <f aca="false">K148*INP_270/(K150*K152)</f>
        <v>0.562963787346736</v>
      </c>
      <c r="L155" s="19" t="n">
        <f aca="false">L148*INP_270/(L150*L152)</f>
        <v>0.562963787346736</v>
      </c>
      <c r="M155" s="19" t="n">
        <f aca="false">M148*INP_270/(M150*M152)</f>
        <v>0.562963787346736</v>
      </c>
      <c r="N155" s="19" t="n">
        <f aca="false">N148*INP_270/(N150*N152)</f>
        <v>0.562963787346736</v>
      </c>
      <c r="P155" s="2" t="s">
        <v>3305</v>
      </c>
    </row>
    <row r="156" customFormat="false" ht="15" hidden="false" customHeight="false" outlineLevel="0" collapsed="false">
      <c r="A156" s="9" t="s">
        <v>3388</v>
      </c>
      <c r="B156" s="10" t="s">
        <v>3306</v>
      </c>
      <c r="C156" s="10" t="s">
        <v>560</v>
      </c>
      <c r="D156" s="19" t="n">
        <f aca="false">D154/D155</f>
        <v>1.2390372618626</v>
      </c>
      <c r="E156" s="19" t="n">
        <f aca="false">E154/E155</f>
        <v>1.11791590049691</v>
      </c>
      <c r="F156" s="19" t="n">
        <f aca="false">F154/F155</f>
        <v>1.24544382431758</v>
      </c>
      <c r="G156" s="19" t="n">
        <f aca="false">G154/G155</f>
        <v>1.19584650388016</v>
      </c>
      <c r="H156" s="19" t="n">
        <f aca="false">H154/H155</f>
        <v>1.15004812713581</v>
      </c>
      <c r="I156" s="19" t="n">
        <f aca="false">I154/I155</f>
        <v>1.43865336056153</v>
      </c>
      <c r="J156" s="19" t="n">
        <f aca="false">J154/J155</f>
        <v>1.19887780046794</v>
      </c>
      <c r="K156" s="19" t="n">
        <f aca="false">K154/K155</f>
        <v>0.946482474053636</v>
      </c>
      <c r="L156" s="19" t="n">
        <f aca="false">L154/L155</f>
        <v>1.46801363322605</v>
      </c>
      <c r="M156" s="19" t="n">
        <f aca="false">M154/M155</f>
        <v>1.11696689484591</v>
      </c>
      <c r="N156" s="19" t="n">
        <f aca="false">N154/N155</f>
        <v>0.901411880051081</v>
      </c>
      <c r="P156" s="2" t="s">
        <v>3307</v>
      </c>
    </row>
    <row r="157" customFormat="false" ht="15" hidden="false" customHeight="false" outlineLevel="0" collapsed="false">
      <c r="A157" s="9" t="s">
        <v>3389</v>
      </c>
      <c r="B157" s="10" t="s">
        <v>3315</v>
      </c>
      <c r="C157" s="9" t="s">
        <v>375</v>
      </c>
      <c r="F157" s="19" t="n">
        <f aca="false">F153/(F147*((1-INP_276)*$D156+INP_276*$E156))</f>
        <v>2.18122019567548</v>
      </c>
      <c r="G157" s="19" t="n">
        <f aca="false">G153/(G147*((1-INP_276)*$D156+INP_276*$E156))</f>
        <v>2.18122019567548</v>
      </c>
      <c r="H157" s="19" t="n">
        <f aca="false">H153/(H147*((1-INP_276)*$D156+INP_276*$E156))</f>
        <v>2.18122019567548</v>
      </c>
      <c r="I157" s="19" t="n">
        <f aca="false">I153/(I147*((1-INP_276)*$D156+INP_276*$E156))</f>
        <v>2.90276451895976</v>
      </c>
      <c r="J157" s="19" t="n">
        <f aca="false">J153/(J147*((1-INP_276)*$D156+INP_276*$E156))</f>
        <v>2.90276451895976</v>
      </c>
      <c r="K157" s="19" t="n">
        <f aca="false">K153/(K147*((1-INP_276)*$D156+INP_276*$E156))</f>
        <v>2.90276451895976</v>
      </c>
      <c r="L157" s="19" t="n">
        <f aca="false">L153/(L147*((1-INP_276)*$D156+INP_276*$E156))</f>
        <v>4.1468064556568</v>
      </c>
      <c r="M157" s="19" t="n">
        <f aca="false">M153/(M147*((1-INP_276)*$D156+INP_276*$E156))</f>
        <v>4.1468064556568</v>
      </c>
      <c r="N157" s="19" t="n">
        <f aca="false">N153/(N147*((1-INP_276)*$D156+INP_276*$E156))</f>
        <v>4.1468064556568</v>
      </c>
      <c r="P157" s="2" t="s">
        <v>3316</v>
      </c>
    </row>
    <row r="158" customFormat="false" ht="15" hidden="false" customHeight="false" outlineLevel="0" collapsed="false">
      <c r="A158" s="25" t="s">
        <v>3390</v>
      </c>
    </row>
    <row r="159" customFormat="false" ht="15" hidden="false" customHeight="false" outlineLevel="0" collapsed="false">
      <c r="A159" s="9" t="s">
        <v>3391</v>
      </c>
      <c r="B159" s="10" t="s">
        <v>3276</v>
      </c>
      <c r="C159" s="9" t="s">
        <v>375</v>
      </c>
      <c r="D159" s="19" t="n">
        <f aca="false">D34</f>
        <v>1.12780698259266</v>
      </c>
      <c r="E159" s="19" t="n">
        <f aca="false">E34</f>
        <v>1.25</v>
      </c>
      <c r="I159" s="19" t="n">
        <f aca="false">INDEX(CMP_SupplyGW,I$33)</f>
        <v>2.83420634920635</v>
      </c>
      <c r="J159" s="19" t="n">
        <f aca="false">INDEX(CMP_SupplyGW,J$33)</f>
        <v>2.83420634920635</v>
      </c>
      <c r="K159" s="19" t="n">
        <f aca="false">INDEX(CMP_SupplyGW,K$33)</f>
        <v>2.83420634920635</v>
      </c>
      <c r="P159" s="2"/>
    </row>
    <row r="160" customFormat="false" ht="15" hidden="false" customHeight="false" outlineLevel="0" collapsed="false">
      <c r="A160" s="9" t="s">
        <v>3392</v>
      </c>
      <c r="B160" s="10" t="s">
        <v>3277</v>
      </c>
      <c r="C160" s="10" t="s">
        <v>120</v>
      </c>
      <c r="D160" s="22" t="n">
        <f aca="false">INDEX(CMP_Share_Hopper,D$33)</f>
        <v>0.6</v>
      </c>
      <c r="E160" s="22" t="n">
        <f aca="false">INDEX(CMP_Share_Hopper,E$33)</f>
        <v>0.6</v>
      </c>
      <c r="I160" s="22" t="n">
        <f aca="false">(1-INP_280)*INDEX(CMP_Share_Hopper,I$33)+INP_280*INP_281</f>
        <v>0.35</v>
      </c>
      <c r="J160" s="22" t="n">
        <f aca="false">(1-INP_280)*INDEX(CMP_Share_Hopper,J$33)+INP_280*INP_281</f>
        <v>0.35</v>
      </c>
      <c r="K160" s="22" t="n">
        <f aca="false">(1-INP_280)*INDEX(CMP_Share_Hopper,K$33)+INP_280*INP_281</f>
        <v>0.35</v>
      </c>
      <c r="P160" s="2"/>
    </row>
    <row r="161" customFormat="false" ht="15" hidden="false" customHeight="false" outlineLevel="0" collapsed="false">
      <c r="A161" s="9" t="s">
        <v>3393</v>
      </c>
      <c r="B161" s="10" t="s">
        <v>3278</v>
      </c>
      <c r="C161" s="10" t="s">
        <v>120</v>
      </c>
      <c r="D161" s="22" t="n">
        <f aca="false">INDEX(CMP_Share_GB200,D$33)</f>
        <v>0.4</v>
      </c>
      <c r="E161" s="22" t="n">
        <f aca="false">INDEX(CMP_Share_GB200,E$33)</f>
        <v>0.4</v>
      </c>
      <c r="I161" s="22" t="n">
        <f aca="false">(1-INP_280)*INDEX(CMP_Share_GB200,I$33)+INP_280*INP_282</f>
        <v>0.275</v>
      </c>
      <c r="J161" s="22" t="n">
        <f aca="false">(1-INP_280)*INDEX(CMP_Share_GB200,J$33)+INP_280*INP_282</f>
        <v>0.275</v>
      </c>
      <c r="K161" s="22" t="n">
        <f aca="false">(1-INP_280)*INDEX(CMP_Share_GB200,K$33)+INP_280*INP_282</f>
        <v>0.275</v>
      </c>
      <c r="P161" s="2"/>
    </row>
    <row r="162" customFormat="false" ht="15" hidden="false" customHeight="false" outlineLevel="0" collapsed="false">
      <c r="A162" s="9" t="s">
        <v>3394</v>
      </c>
      <c r="B162" s="10" t="s">
        <v>3279</v>
      </c>
      <c r="C162" s="10" t="s">
        <v>120</v>
      </c>
      <c r="D162" s="22" t="n">
        <f aca="false">INDEX(CMP_Share_GB300,D$33)</f>
        <v>0</v>
      </c>
      <c r="E162" s="22" t="n">
        <f aca="false">INDEX(CMP_Share_GB300,E$33)</f>
        <v>0</v>
      </c>
      <c r="I162" s="22" t="n">
        <f aca="false">(1-INP_280)*INDEX(CMP_Share_GB300,I$33)+INP_280*INP_283</f>
        <v>0.275</v>
      </c>
      <c r="J162" s="22" t="n">
        <f aca="false">(1-INP_280)*INDEX(CMP_Share_GB300,J$33)+INP_280*INP_283</f>
        <v>0.275</v>
      </c>
      <c r="K162" s="22" t="n">
        <f aca="false">(1-INP_280)*INDEX(CMP_Share_GB300,K$33)+INP_280*INP_283</f>
        <v>0.275</v>
      </c>
      <c r="P162" s="2"/>
    </row>
    <row r="163" customFormat="false" ht="15" hidden="false" customHeight="false" outlineLevel="0" collapsed="false">
      <c r="A163" s="9" t="s">
        <v>3395</v>
      </c>
      <c r="B163" s="10" t="s">
        <v>3280</v>
      </c>
      <c r="C163" s="10" t="s">
        <v>120</v>
      </c>
      <c r="D163" s="22" t="n">
        <f aca="false">INDEX(CMP_Share_VR200,D$33)</f>
        <v>0</v>
      </c>
      <c r="E163" s="22" t="n">
        <f aca="false">INDEX(CMP_Share_VR200,E$33)</f>
        <v>0</v>
      </c>
      <c r="I163" s="22" t="n">
        <f aca="false">(1-INP_280)*INDEX(CMP_Share_VR200,I$33)+INP_280*INP_284</f>
        <v>0.05</v>
      </c>
      <c r="J163" s="22" t="n">
        <f aca="false">(1-INP_280)*INDEX(CMP_Share_VR200,J$33)+INP_280*INP_284</f>
        <v>0.05</v>
      </c>
      <c r="K163" s="22" t="n">
        <f aca="false">(1-INP_280)*INDEX(CMP_Share_VR200,K$33)+INP_280*INP_284</f>
        <v>0.05</v>
      </c>
      <c r="P163" s="2"/>
    </row>
    <row r="164" customFormat="false" ht="15" hidden="false" customHeight="false" outlineLevel="0" collapsed="false">
      <c r="A164" s="9" t="s">
        <v>3396</v>
      </c>
      <c r="B164" s="10" t="s">
        <v>3281</v>
      </c>
      <c r="C164" s="10" t="s">
        <v>120</v>
      </c>
      <c r="D164" s="22" t="n">
        <f aca="false">INDEX(CMP_Share_RubinUltra,D$33)</f>
        <v>0</v>
      </c>
      <c r="E164" s="22" t="n">
        <f aca="false">INDEX(CMP_Share_RubinUltra,E$33)</f>
        <v>0</v>
      </c>
      <c r="I164" s="22" t="n">
        <f aca="false">(1-INP_280)*INDEX(CMP_Share_RubinUltra,I$33)+INP_280*INP_285</f>
        <v>0</v>
      </c>
      <c r="J164" s="22" t="n">
        <f aca="false">(1-INP_280)*INDEX(CMP_Share_RubinUltra,J$33)+INP_280*INP_285</f>
        <v>0</v>
      </c>
      <c r="K164" s="22" t="n">
        <f aca="false">(1-INP_280)*INDEX(CMP_Share_RubinUltra,K$33)+INP_280*INP_285</f>
        <v>0</v>
      </c>
      <c r="P164" s="2"/>
    </row>
    <row r="165" customFormat="false" ht="15" hidden="false" customHeight="false" outlineLevel="0" collapsed="false">
      <c r="A165" s="9" t="s">
        <v>3397</v>
      </c>
      <c r="B165" s="10" t="s">
        <v>3282</v>
      </c>
      <c r="C165" s="10" t="s">
        <v>120</v>
      </c>
      <c r="D165" s="22" t="n">
        <f aca="false">INDEX(CMP_Share_Custom,D$33)</f>
        <v>0</v>
      </c>
      <c r="E165" s="22" t="n">
        <f aca="false">INDEX(CMP_Share_Custom,E$33)</f>
        <v>0</v>
      </c>
      <c r="I165" s="22" t="n">
        <f aca="false">(1-INP_280)*INDEX(CMP_Share_Custom,I$33)+INP_280*INP_286</f>
        <v>0.05</v>
      </c>
      <c r="J165" s="22" t="n">
        <f aca="false">(1-INP_280)*INDEX(CMP_Share_Custom,J$33)+INP_280*INP_286</f>
        <v>0.05</v>
      </c>
      <c r="K165" s="22" t="n">
        <f aca="false">(1-INP_280)*INDEX(CMP_Share_Custom,K$33)+INP_280*INP_286</f>
        <v>0.05</v>
      </c>
      <c r="P165" s="2"/>
    </row>
    <row r="166" customFormat="false" ht="15" hidden="false" customHeight="false" outlineLevel="0" collapsed="false">
      <c r="A166" s="9" t="s">
        <v>3398</v>
      </c>
      <c r="B166" s="10" t="s">
        <v>3283</v>
      </c>
      <c r="C166" s="10" t="s">
        <v>120</v>
      </c>
      <c r="D166" s="22" t="n">
        <f aca="false">SUM(D160:D165)</f>
        <v>1</v>
      </c>
      <c r="E166" s="22" t="n">
        <f aca="false">SUM(E160:E165)</f>
        <v>1</v>
      </c>
      <c r="I166" s="22" t="n">
        <f aca="false">SUM(I160:I165)</f>
        <v>1</v>
      </c>
      <c r="J166" s="22" t="n">
        <f aca="false">SUM(J160:J165)</f>
        <v>1</v>
      </c>
      <c r="K166" s="22" t="n">
        <f aca="false">SUM(K160:K165)</f>
        <v>1</v>
      </c>
      <c r="P166" s="12" t="s">
        <v>3284</v>
      </c>
    </row>
    <row r="167" customFormat="false" ht="15" hidden="false" customHeight="false" outlineLevel="0" collapsed="false">
      <c r="A167" s="9" t="s">
        <v>3399</v>
      </c>
      <c r="B167" s="10" t="s">
        <v>3285</v>
      </c>
      <c r="C167" s="9" t="s">
        <v>1603</v>
      </c>
      <c r="D167" s="19" t="n">
        <f aca="false">SUMPRODUCT(D160:D165,$D$39:$D$44)</f>
        <v>9.35311859805586</v>
      </c>
      <c r="E167" s="19" t="n">
        <f aca="false">SUMPRODUCT(E160:E165,$D$39:$D$44)</f>
        <v>9.35311859805586</v>
      </c>
      <c r="I167" s="19" t="n">
        <f aca="false">SUMPRODUCT(I160:I165,$D$39:$D$44)</f>
        <v>9.79562678672824</v>
      </c>
      <c r="J167" s="19" t="n">
        <f aca="false">SUMPRODUCT(J160:J165,$D$39:$D$44)</f>
        <v>9.79562678672824</v>
      </c>
      <c r="K167" s="19" t="n">
        <f aca="false">SUMPRODUCT(K160:K165,$D$39:$D$44)</f>
        <v>9.79562678672824</v>
      </c>
      <c r="P167" s="12" t="s">
        <v>3286</v>
      </c>
    </row>
    <row r="168" customFormat="false" ht="15" hidden="false" customHeight="false" outlineLevel="0" collapsed="false">
      <c r="A168" s="9" t="s">
        <v>3400</v>
      </c>
      <c r="B168" s="10" t="s">
        <v>3287</v>
      </c>
      <c r="C168" s="9" t="s">
        <v>68</v>
      </c>
      <c r="D168" s="20" t="n">
        <f aca="false">D159*D167</f>
        <v>10.5485124639047</v>
      </c>
      <c r="E168" s="20" t="n">
        <f aca="false">E159*E167</f>
        <v>11.6913982475698</v>
      </c>
      <c r="I168" s="20" t="n">
        <f aca="false">I159*I167</f>
        <v>27.762827633401</v>
      </c>
      <c r="J168" s="20" t="n">
        <f aca="false">J159*J167</f>
        <v>27.762827633401</v>
      </c>
      <c r="K168" s="20" t="n">
        <f aca="false">K159*K167</f>
        <v>27.762827633401</v>
      </c>
      <c r="P168" s="2" t="s">
        <v>3288</v>
      </c>
    </row>
    <row r="169" customFormat="false" ht="15" hidden="false" customHeight="false" outlineLevel="0" collapsed="false">
      <c r="A169" s="9" t="s">
        <v>3401</v>
      </c>
      <c r="B169" s="10" t="s">
        <v>3289</v>
      </c>
      <c r="C169" s="9" t="s">
        <v>1014</v>
      </c>
      <c r="D169" s="21" t="n">
        <f aca="false">SUMPRODUCT(D160:D165,$E$39:$E$44,$H$39:$H$44)</f>
        <v>56793453225.3857</v>
      </c>
      <c r="E169" s="21" t="n">
        <f aca="false">SUMPRODUCT(E160:E165,$E$39:$E$44,$H$39:$H$44)</f>
        <v>56793453225.3857</v>
      </c>
      <c r="I169" s="21" t="n">
        <f aca="false">SUMPRODUCT(I160:I165,$E$39:$E$44,$H$39:$H$44)</f>
        <v>91042401450.4909</v>
      </c>
      <c r="J169" s="21" t="n">
        <f aca="false">SUMPRODUCT(J160:J165,$E$39:$E$44,$H$39:$H$44)</f>
        <v>91042401450.4909</v>
      </c>
      <c r="K169" s="21" t="n">
        <f aca="false">SUMPRODUCT(K160:K165,$E$39:$E$44,$H$39:$H$44)</f>
        <v>91042401450.4909</v>
      </c>
      <c r="P169" s="12" t="s">
        <v>3290</v>
      </c>
    </row>
    <row r="170" customFormat="false" ht="15" hidden="false" customHeight="false" outlineLevel="0" collapsed="false">
      <c r="A170" s="9" t="s">
        <v>3402</v>
      </c>
      <c r="B170" s="9" t="s">
        <v>3291</v>
      </c>
      <c r="C170" s="9" t="s">
        <v>836</v>
      </c>
      <c r="D170" s="21" t="n">
        <f aca="false">D159*TK_IF_ServeShare*(1-TK_IF_FreeShare)*D169*TK_IF_UtilActual</f>
        <v>5814261069.29216</v>
      </c>
      <c r="E170" s="21" t="n">
        <f aca="false">E159*TK_IF_ServeShare*(1-TK_IF_FreeShare)*E169*TK_IF_UtilActual</f>
        <v>6444211153.85146</v>
      </c>
      <c r="I170" s="21" t="n">
        <f aca="false">I159*TK_IF_ServeShare*(1-TK_IF_FreeShare)*I169*TK_IF_UtilActual</f>
        <v>23422683206.4499</v>
      </c>
      <c r="J170" s="21" t="n">
        <f aca="false">J159*TK_IF_ServeShare*(1-TK_IF_FreeShare)*J169*TK_IF_UtilActual</f>
        <v>23422683206.4499</v>
      </c>
      <c r="K170" s="21" t="n">
        <f aca="false">K159*TK_IF_ServeShare*(1-TK_IF_FreeShare)*K169*TK_IF_UtilActual</f>
        <v>23422683206.4499</v>
      </c>
      <c r="P170" s="12" t="s">
        <v>3292</v>
      </c>
    </row>
    <row r="171" customFormat="false" ht="15" hidden="false" customHeight="false" outlineLevel="0" collapsed="false">
      <c r="A171" s="9" t="s">
        <v>3403</v>
      </c>
      <c r="B171" s="9" t="s">
        <v>3293</v>
      </c>
      <c r="C171" s="9" t="s">
        <v>3294</v>
      </c>
      <c r="D171" s="23" t="n">
        <f aca="false">D170/INP_254</f>
        <v>5814.26106929216</v>
      </c>
      <c r="E171" s="23" t="n">
        <f aca="false">E170/INP_254</f>
        <v>6444.21115385146</v>
      </c>
      <c r="I171" s="23" t="n">
        <f aca="false">I170/INP_254</f>
        <v>23422.6832064499</v>
      </c>
      <c r="J171" s="23" t="n">
        <f aca="false">J170/INP_254</f>
        <v>23422.6832064499</v>
      </c>
      <c r="K171" s="23" t="n">
        <f aca="false">K170/INP_254</f>
        <v>23422.6832064499</v>
      </c>
      <c r="P171" s="2" t="s">
        <v>3295</v>
      </c>
    </row>
    <row r="172" customFormat="false" ht="15" hidden="false" customHeight="false" outlineLevel="0" collapsed="false">
      <c r="A172" s="9" t="s">
        <v>3404</v>
      </c>
      <c r="B172" s="10" t="s">
        <v>3296</v>
      </c>
      <c r="C172" s="9" t="s">
        <v>3297</v>
      </c>
      <c r="D172" s="19" t="n">
        <f aca="false">TK_IF_PxEffMix25</f>
        <v>1.35936</v>
      </c>
      <c r="E172" s="19" t="n">
        <f aca="false">TK_IF_PxEffMix25</f>
        <v>1.35936</v>
      </c>
      <c r="I172" s="19" t="n">
        <f aca="false">TK_IF_PxEffMix</f>
        <v>1.94307555555556</v>
      </c>
      <c r="J172" s="19" t="n">
        <f aca="false">TK_IF_PxEffMix</f>
        <v>1.94307555555556</v>
      </c>
      <c r="K172" s="19" t="n">
        <f aca="false">TK_IF_PxEffMix</f>
        <v>1.94307555555556</v>
      </c>
      <c r="P172" s="12" t="s">
        <v>3298</v>
      </c>
    </row>
    <row r="173" customFormat="false" ht="15" hidden="false" customHeight="false" outlineLevel="0" collapsed="false">
      <c r="A173" s="9" t="s">
        <v>3405</v>
      </c>
      <c r="B173" s="10" t="s">
        <v>3301</v>
      </c>
      <c r="C173" s="9" t="s">
        <v>68</v>
      </c>
      <c r="D173" s="20" t="n">
        <f aca="false">D35</f>
        <v>13.07</v>
      </c>
      <c r="E173" s="20" t="n">
        <f aca="false">E35</f>
        <v>13.07</v>
      </c>
      <c r="I173" s="20" t="n">
        <f aca="false">I35</f>
        <v>35</v>
      </c>
      <c r="J173" s="20" t="n">
        <f aca="false">J35</f>
        <v>35</v>
      </c>
      <c r="K173" s="20" t="n">
        <f aca="false">K35</f>
        <v>35</v>
      </c>
      <c r="P173" s="2"/>
    </row>
    <row r="174" customFormat="false" ht="15" hidden="false" customHeight="false" outlineLevel="0" collapsed="false">
      <c r="A174" s="9" t="s">
        <v>3406</v>
      </c>
      <c r="B174" s="10" t="s">
        <v>3302</v>
      </c>
      <c r="C174" s="10" t="s">
        <v>560</v>
      </c>
      <c r="D174" s="19" t="n">
        <f aca="false">D173*INP_270/(D170*D172)</f>
        <v>1.65366133781129</v>
      </c>
      <c r="E174" s="19" t="n">
        <f aca="false">E173*INP_270/(E170*E172)</f>
        <v>1.49200864290168</v>
      </c>
      <c r="I174" s="19" t="n">
        <f aca="false">I173*INP_270/(I170*I172)</f>
        <v>0.769027218982865</v>
      </c>
      <c r="J174" s="19" t="n">
        <f aca="false">J173*INP_270/(J170*J172)</f>
        <v>0.769027218982865</v>
      </c>
      <c r="K174" s="19" t="n">
        <f aca="false">K173*INP_270/(K170*K172)</f>
        <v>0.769027218982865</v>
      </c>
      <c r="P174" s="12" t="s">
        <v>3303</v>
      </c>
    </row>
    <row r="175" customFormat="false" ht="15" hidden="false" customHeight="false" outlineLevel="0" collapsed="false">
      <c r="A175" s="9" t="s">
        <v>3407</v>
      </c>
      <c r="B175" s="10" t="s">
        <v>3304</v>
      </c>
      <c r="C175" s="10" t="s">
        <v>560</v>
      </c>
      <c r="D175" s="19" t="n">
        <f aca="false">D168*INP_270/(D170*D172)</f>
        <v>1.33463406526241</v>
      </c>
      <c r="E175" s="19" t="n">
        <f aca="false">E168*INP_270/(E170*E172)</f>
        <v>1.33463406526241</v>
      </c>
      <c r="I175" s="19" t="n">
        <f aca="false">I168*INP_270/(I170*I172)</f>
        <v>0.610010575028999</v>
      </c>
      <c r="J175" s="19" t="n">
        <f aca="false">J168*INP_270/(J170*J172)</f>
        <v>0.610010575028999</v>
      </c>
      <c r="K175" s="19" t="n">
        <f aca="false">K168*INP_270/(K170*K172)</f>
        <v>0.610010575028999</v>
      </c>
      <c r="P175" s="2" t="s">
        <v>3305</v>
      </c>
    </row>
    <row r="176" customFormat="false" ht="15" hidden="false" customHeight="false" outlineLevel="0" collapsed="false">
      <c r="A176" s="9" t="s">
        <v>3408</v>
      </c>
      <c r="B176" s="10" t="s">
        <v>3306</v>
      </c>
      <c r="C176" s="10" t="s">
        <v>560</v>
      </c>
      <c r="D176" s="19" t="n">
        <f aca="false">D174/D175</f>
        <v>1.2390372618626</v>
      </c>
      <c r="E176" s="19" t="n">
        <f aca="false">E174/E175</f>
        <v>1.11791590049691</v>
      </c>
      <c r="I176" s="19" t="n">
        <f aca="false">I174/I175</f>
        <v>1.26067850372316</v>
      </c>
      <c r="J176" s="19" t="n">
        <f aca="false">J174/J175</f>
        <v>1.26067850372316</v>
      </c>
      <c r="K176" s="19" t="n">
        <f aca="false">K174/K175</f>
        <v>1.26067850372316</v>
      </c>
      <c r="P176" s="2" t="s">
        <v>3307</v>
      </c>
    </row>
    <row r="177" customFormat="false" ht="15" hidden="false" customHeight="false" outlineLevel="0" collapsed="false">
      <c r="A177" s="9" t="s">
        <v>3409</v>
      </c>
      <c r="B177" s="10" t="s">
        <v>3315</v>
      </c>
      <c r="C177" s="9" t="s">
        <v>375</v>
      </c>
      <c r="I177" s="19" t="n">
        <f aca="false">I173/(I167*((1-INP_276)*$D176+INP_276*$E176))</f>
        <v>2.88370909377572</v>
      </c>
      <c r="J177" s="19" t="n">
        <f aca="false">J173/(J167*((1-INP_276)*$D176+INP_276*$E176))</f>
        <v>2.88370909377572</v>
      </c>
      <c r="K177" s="19" t="n">
        <f aca="false">K173/(K167*((1-INP_276)*$D176+INP_276*$E176))</f>
        <v>2.88370909377572</v>
      </c>
      <c r="P177" s="2" t="s">
        <v>3316</v>
      </c>
    </row>
    <row r="178" customFormat="false" ht="15" hidden="false" customHeight="false" outlineLevel="0" collapsed="false">
      <c r="A178" s="25" t="s">
        <v>3410</v>
      </c>
    </row>
    <row r="179" customFormat="false" ht="15" hidden="false" customHeight="false" outlineLevel="0" collapsed="false">
      <c r="A179" s="9" t="s">
        <v>3411</v>
      </c>
      <c r="B179" s="10" t="s">
        <v>3276</v>
      </c>
      <c r="C179" s="9" t="s">
        <v>375</v>
      </c>
      <c r="D179" s="19" t="n">
        <f aca="false">D34</f>
        <v>1.12780698259266</v>
      </c>
      <c r="E179" s="19" t="n">
        <f aca="false">E34</f>
        <v>1.25</v>
      </c>
      <c r="I179" s="19" t="n">
        <f aca="false">I34</f>
        <v>2.5</v>
      </c>
      <c r="J179" s="19" t="n">
        <f aca="false">J34</f>
        <v>3</v>
      </c>
      <c r="K179" s="19" t="n">
        <f aca="false">K34</f>
        <v>3.8</v>
      </c>
      <c r="P179" s="2"/>
    </row>
    <row r="180" customFormat="false" ht="15" hidden="false" customHeight="false" outlineLevel="0" collapsed="false">
      <c r="A180" s="9" t="s">
        <v>3412</v>
      </c>
      <c r="B180" s="10" t="s">
        <v>3277</v>
      </c>
      <c r="C180" s="10" t="s">
        <v>120</v>
      </c>
      <c r="D180" s="22" t="n">
        <f aca="false">INDEX(CMP_Share_Hopper,D$33)</f>
        <v>0.6</v>
      </c>
      <c r="E180" s="22" t="n">
        <f aca="false">INDEX(CMP_Share_Hopper,E$33)</f>
        <v>0.6</v>
      </c>
      <c r="I180" s="22" t="n">
        <f aca="false">(1-INP_280)*INDEX(CMP_Share_Hopper,I$33)+INP_280*INP_281</f>
        <v>0.35</v>
      </c>
      <c r="J180" s="22" t="n">
        <f aca="false">(1-INP_280)*INDEX(CMP_Share_Hopper,J$33)+INP_280*INP_281</f>
        <v>0.35</v>
      </c>
      <c r="K180" s="22" t="n">
        <f aca="false">(1-INP_280)*INDEX(CMP_Share_Hopper,K$33)+INP_280*INP_281</f>
        <v>0.35</v>
      </c>
      <c r="P180" s="2"/>
    </row>
    <row r="181" customFormat="false" ht="15" hidden="false" customHeight="false" outlineLevel="0" collapsed="false">
      <c r="A181" s="9" t="s">
        <v>3413</v>
      </c>
      <c r="B181" s="10" t="s">
        <v>3278</v>
      </c>
      <c r="C181" s="10" t="s">
        <v>120</v>
      </c>
      <c r="D181" s="22" t="n">
        <f aca="false">INDEX(CMP_Share_GB200,D$33)</f>
        <v>0.4</v>
      </c>
      <c r="E181" s="22" t="n">
        <f aca="false">INDEX(CMP_Share_GB200,E$33)</f>
        <v>0.4</v>
      </c>
      <c r="I181" s="22" t="n">
        <f aca="false">(1-INP_280)*INDEX(CMP_Share_GB200,I$33)+INP_280*INP_282</f>
        <v>0.275</v>
      </c>
      <c r="J181" s="22" t="n">
        <f aca="false">(1-INP_280)*INDEX(CMP_Share_GB200,J$33)+INP_280*INP_282</f>
        <v>0.275</v>
      </c>
      <c r="K181" s="22" t="n">
        <f aca="false">(1-INP_280)*INDEX(CMP_Share_GB200,K$33)+INP_280*INP_282</f>
        <v>0.275</v>
      </c>
      <c r="P181" s="2"/>
    </row>
    <row r="182" customFormat="false" ht="15" hidden="false" customHeight="false" outlineLevel="0" collapsed="false">
      <c r="A182" s="9" t="s">
        <v>3414</v>
      </c>
      <c r="B182" s="10" t="s">
        <v>3279</v>
      </c>
      <c r="C182" s="10" t="s">
        <v>120</v>
      </c>
      <c r="D182" s="22" t="n">
        <f aca="false">INDEX(CMP_Share_GB300,D$33)</f>
        <v>0</v>
      </c>
      <c r="E182" s="22" t="n">
        <f aca="false">INDEX(CMP_Share_GB300,E$33)</f>
        <v>0</v>
      </c>
      <c r="I182" s="22" t="n">
        <f aca="false">(1-INP_280)*INDEX(CMP_Share_GB300,I$33)+INP_280*INP_283</f>
        <v>0.275</v>
      </c>
      <c r="J182" s="22" t="n">
        <f aca="false">(1-INP_280)*INDEX(CMP_Share_GB300,J$33)+INP_280*INP_283</f>
        <v>0.275</v>
      </c>
      <c r="K182" s="22" t="n">
        <f aca="false">(1-INP_280)*INDEX(CMP_Share_GB300,K$33)+INP_280*INP_283</f>
        <v>0.275</v>
      </c>
      <c r="P182" s="2"/>
    </row>
    <row r="183" customFormat="false" ht="15" hidden="false" customHeight="false" outlineLevel="0" collapsed="false">
      <c r="A183" s="9" t="s">
        <v>3415</v>
      </c>
      <c r="B183" s="10" t="s">
        <v>3280</v>
      </c>
      <c r="C183" s="10" t="s">
        <v>120</v>
      </c>
      <c r="D183" s="22" t="n">
        <f aca="false">INDEX(CMP_Share_VR200,D$33)</f>
        <v>0</v>
      </c>
      <c r="E183" s="22" t="n">
        <f aca="false">INDEX(CMP_Share_VR200,E$33)</f>
        <v>0</v>
      </c>
      <c r="I183" s="22" t="n">
        <f aca="false">(1-INP_280)*INDEX(CMP_Share_VR200,I$33)+INP_280*INP_284</f>
        <v>0.05</v>
      </c>
      <c r="J183" s="22" t="n">
        <f aca="false">(1-INP_280)*INDEX(CMP_Share_VR200,J$33)+INP_280*INP_284</f>
        <v>0.05</v>
      </c>
      <c r="K183" s="22" t="n">
        <f aca="false">(1-INP_280)*INDEX(CMP_Share_VR200,K$33)+INP_280*INP_284</f>
        <v>0.05</v>
      </c>
      <c r="P183" s="2"/>
    </row>
    <row r="184" customFormat="false" ht="15" hidden="false" customHeight="false" outlineLevel="0" collapsed="false">
      <c r="A184" s="9" t="s">
        <v>3416</v>
      </c>
      <c r="B184" s="10" t="s">
        <v>3281</v>
      </c>
      <c r="C184" s="10" t="s">
        <v>120</v>
      </c>
      <c r="D184" s="22" t="n">
        <f aca="false">INDEX(CMP_Share_RubinUltra,D$33)</f>
        <v>0</v>
      </c>
      <c r="E184" s="22" t="n">
        <f aca="false">INDEX(CMP_Share_RubinUltra,E$33)</f>
        <v>0</v>
      </c>
      <c r="I184" s="22" t="n">
        <f aca="false">(1-INP_280)*INDEX(CMP_Share_RubinUltra,I$33)+INP_280*INP_285</f>
        <v>0</v>
      </c>
      <c r="J184" s="22" t="n">
        <f aca="false">(1-INP_280)*INDEX(CMP_Share_RubinUltra,J$33)+INP_280*INP_285</f>
        <v>0</v>
      </c>
      <c r="K184" s="22" t="n">
        <f aca="false">(1-INP_280)*INDEX(CMP_Share_RubinUltra,K$33)+INP_280*INP_285</f>
        <v>0</v>
      </c>
      <c r="P184" s="2"/>
    </row>
    <row r="185" customFormat="false" ht="15" hidden="false" customHeight="false" outlineLevel="0" collapsed="false">
      <c r="A185" s="9" t="s">
        <v>3417</v>
      </c>
      <c r="B185" s="10" t="s">
        <v>3282</v>
      </c>
      <c r="C185" s="10" t="s">
        <v>120</v>
      </c>
      <c r="D185" s="22" t="n">
        <f aca="false">INDEX(CMP_Share_Custom,D$33)</f>
        <v>0</v>
      </c>
      <c r="E185" s="22" t="n">
        <f aca="false">INDEX(CMP_Share_Custom,E$33)</f>
        <v>0</v>
      </c>
      <c r="I185" s="22" t="n">
        <f aca="false">(1-INP_280)*INDEX(CMP_Share_Custom,I$33)+INP_280*INP_286</f>
        <v>0.05</v>
      </c>
      <c r="J185" s="22" t="n">
        <f aca="false">(1-INP_280)*INDEX(CMP_Share_Custom,J$33)+INP_280*INP_286</f>
        <v>0.05</v>
      </c>
      <c r="K185" s="22" t="n">
        <f aca="false">(1-INP_280)*INDEX(CMP_Share_Custom,K$33)+INP_280*INP_286</f>
        <v>0.05</v>
      </c>
      <c r="P185" s="2"/>
    </row>
    <row r="186" customFormat="false" ht="15" hidden="false" customHeight="false" outlineLevel="0" collapsed="false">
      <c r="A186" s="9" t="s">
        <v>3418</v>
      </c>
      <c r="B186" s="10" t="s">
        <v>3283</v>
      </c>
      <c r="C186" s="10" t="s">
        <v>120</v>
      </c>
      <c r="D186" s="22" t="n">
        <f aca="false">SUM(D180:D185)</f>
        <v>1</v>
      </c>
      <c r="E186" s="22" t="n">
        <f aca="false">SUM(E180:E185)</f>
        <v>1</v>
      </c>
      <c r="I186" s="22" t="n">
        <f aca="false">SUM(I180:I185)</f>
        <v>1</v>
      </c>
      <c r="J186" s="22" t="n">
        <f aca="false">SUM(J180:J185)</f>
        <v>1</v>
      </c>
      <c r="K186" s="22" t="n">
        <f aca="false">SUM(K180:K185)</f>
        <v>1</v>
      </c>
      <c r="P186" s="12" t="s">
        <v>3284</v>
      </c>
    </row>
    <row r="187" customFormat="false" ht="15" hidden="false" customHeight="false" outlineLevel="0" collapsed="false">
      <c r="A187" s="9" t="s">
        <v>3419</v>
      </c>
      <c r="B187" s="10" t="s">
        <v>3285</v>
      </c>
      <c r="C187" s="9" t="s">
        <v>1603</v>
      </c>
      <c r="D187" s="19" t="n">
        <f aca="false">SUMPRODUCT(D180:D185,$D$39:$D$44)</f>
        <v>9.35311859805586</v>
      </c>
      <c r="E187" s="19" t="n">
        <f aca="false">SUMPRODUCT(E180:E185,$D$39:$D$44)</f>
        <v>9.35311859805586</v>
      </c>
      <c r="I187" s="19" t="n">
        <f aca="false">SUMPRODUCT(I180:I185,$D$39:$D$44)</f>
        <v>9.79562678672824</v>
      </c>
      <c r="J187" s="19" t="n">
        <f aca="false">SUMPRODUCT(J180:J185,$D$39:$D$44)</f>
        <v>9.79562678672824</v>
      </c>
      <c r="K187" s="19" t="n">
        <f aca="false">SUMPRODUCT(K180:K185,$D$39:$D$44)</f>
        <v>9.79562678672824</v>
      </c>
      <c r="P187" s="12" t="s">
        <v>3286</v>
      </c>
    </row>
    <row r="188" customFormat="false" ht="15" hidden="false" customHeight="false" outlineLevel="0" collapsed="false">
      <c r="A188" s="9" t="s">
        <v>3420</v>
      </c>
      <c r="B188" s="10" t="s">
        <v>3287</v>
      </c>
      <c r="C188" s="9" t="s">
        <v>68</v>
      </c>
      <c r="D188" s="20" t="n">
        <f aca="false">D179*D187</f>
        <v>10.5485124639047</v>
      </c>
      <c r="E188" s="20" t="n">
        <f aca="false">E179*E187</f>
        <v>11.6913982475698</v>
      </c>
      <c r="I188" s="20" t="n">
        <f aca="false">I179*I187</f>
        <v>24.4890669668206</v>
      </c>
      <c r="J188" s="20" t="n">
        <f aca="false">J179*J187</f>
        <v>29.3868803601847</v>
      </c>
      <c r="K188" s="20" t="n">
        <f aca="false">K179*K187</f>
        <v>37.2233817895673</v>
      </c>
      <c r="P188" s="2" t="s">
        <v>3288</v>
      </c>
    </row>
    <row r="189" customFormat="false" ht="15" hidden="false" customHeight="false" outlineLevel="0" collapsed="false">
      <c r="A189" s="9" t="s">
        <v>3421</v>
      </c>
      <c r="B189" s="10" t="s">
        <v>3289</v>
      </c>
      <c r="C189" s="9" t="s">
        <v>1014</v>
      </c>
      <c r="D189" s="21" t="n">
        <f aca="false">SUMPRODUCT(D180:D185,$E$39:$E$44,$H$39:$H$44)</f>
        <v>56793453225.3857</v>
      </c>
      <c r="E189" s="21" t="n">
        <f aca="false">SUMPRODUCT(E180:E185,$E$39:$E$44,$H$39:$H$44)</f>
        <v>56793453225.3857</v>
      </c>
      <c r="I189" s="21" t="n">
        <f aca="false">SUMPRODUCT(I180:I185,$E$39:$E$44,$H$39:$H$44)</f>
        <v>91042401450.4909</v>
      </c>
      <c r="J189" s="21" t="n">
        <f aca="false">SUMPRODUCT(J180:J185,$E$39:$E$44,$H$39:$H$44)</f>
        <v>91042401450.4909</v>
      </c>
      <c r="K189" s="21" t="n">
        <f aca="false">SUMPRODUCT(K180:K185,$E$39:$E$44,$H$39:$H$44)</f>
        <v>91042401450.4909</v>
      </c>
      <c r="P189" s="12" t="s">
        <v>3290</v>
      </c>
    </row>
    <row r="190" customFormat="false" ht="15" hidden="false" customHeight="false" outlineLevel="0" collapsed="false">
      <c r="A190" s="9" t="s">
        <v>3422</v>
      </c>
      <c r="B190" s="9" t="s">
        <v>3291</v>
      </c>
      <c r="C190" s="9" t="s">
        <v>836</v>
      </c>
      <c r="D190" s="21" t="n">
        <f aca="false">D179*TK_IF_ServeShare*(1-TK_IF_FreeShare)*D189*TK_IF_UtilActual</f>
        <v>5814261069.29216</v>
      </c>
      <c r="E190" s="21" t="n">
        <f aca="false">E179*TK_IF_ServeShare*(1-TK_IF_FreeShare)*E189*TK_IF_UtilActual</f>
        <v>6444211153.85146</v>
      </c>
      <c r="I190" s="21" t="n">
        <f aca="false">I179*TK_IF_ServeShare*(1-TK_IF_FreeShare)*I189*TK_IF_UtilActual</f>
        <v>20660707373.1672</v>
      </c>
      <c r="J190" s="21" t="n">
        <f aca="false">J179*TK_IF_ServeShare*(1-TK_IF_FreeShare)*J189*TK_IF_UtilActual</f>
        <v>24792848847.8006</v>
      </c>
      <c r="K190" s="21" t="n">
        <f aca="false">K179*TK_IF_ServeShare*(1-TK_IF_FreeShare)*K189*TK_IF_UtilActual</f>
        <v>31404275207.2141</v>
      </c>
      <c r="P190" s="12" t="s">
        <v>3292</v>
      </c>
    </row>
    <row r="191" customFormat="false" ht="15" hidden="false" customHeight="false" outlineLevel="0" collapsed="false">
      <c r="A191" s="9" t="s">
        <v>3423</v>
      </c>
      <c r="B191" s="9" t="s">
        <v>3293</v>
      </c>
      <c r="C191" s="9" t="s">
        <v>3294</v>
      </c>
      <c r="D191" s="23" t="n">
        <f aca="false">D190/INP_254</f>
        <v>5814.26106929216</v>
      </c>
      <c r="E191" s="23" t="n">
        <f aca="false">E190/INP_254</f>
        <v>6444.21115385146</v>
      </c>
      <c r="I191" s="23" t="n">
        <f aca="false">I190/INP_254</f>
        <v>20660.7073731672</v>
      </c>
      <c r="J191" s="23" t="n">
        <f aca="false">J190/INP_254</f>
        <v>24792.8488478006</v>
      </c>
      <c r="K191" s="23" t="n">
        <f aca="false">K190/INP_254</f>
        <v>31404.2752072141</v>
      </c>
      <c r="P191" s="2" t="s">
        <v>3295</v>
      </c>
    </row>
    <row r="192" customFormat="false" ht="15" hidden="false" customHeight="false" outlineLevel="0" collapsed="false">
      <c r="A192" s="9" t="s">
        <v>3424</v>
      </c>
      <c r="B192" s="10" t="s">
        <v>3296</v>
      </c>
      <c r="C192" s="9" t="s">
        <v>3297</v>
      </c>
      <c r="D192" s="19" t="n">
        <f aca="false">TK_IF_PxEffMix25</f>
        <v>1.35936</v>
      </c>
      <c r="E192" s="19" t="n">
        <f aca="false">TK_IF_PxEffMix25</f>
        <v>1.35936</v>
      </c>
      <c r="I192" s="19" t="n">
        <f aca="false">TK_IF_PxEffMix</f>
        <v>1.94307555555556</v>
      </c>
      <c r="J192" s="19" t="n">
        <f aca="false">TK_IF_PxEffMix</f>
        <v>1.94307555555556</v>
      </c>
      <c r="K192" s="19" t="n">
        <f aca="false">TK_IF_PxEffMix</f>
        <v>1.94307555555556</v>
      </c>
      <c r="P192" s="12" t="s">
        <v>3298</v>
      </c>
    </row>
    <row r="193" customFormat="false" ht="15" hidden="false" customHeight="false" outlineLevel="0" collapsed="false">
      <c r="A193" s="9" t="s">
        <v>3425</v>
      </c>
      <c r="B193" s="10" t="s">
        <v>3301</v>
      </c>
      <c r="C193" s="9" t="s">
        <v>68</v>
      </c>
      <c r="D193" s="20" t="n">
        <f aca="false">SRC_OAI_002</f>
        <v>13.07</v>
      </c>
      <c r="E193" s="20" t="n">
        <f aca="false">SRC_OAI_002</f>
        <v>13.07</v>
      </c>
      <c r="I193" s="20" t="n">
        <f aca="false">SRC_OAI_043</f>
        <v>36</v>
      </c>
      <c r="J193" s="20" t="n">
        <f aca="false">SRC_OAI_043</f>
        <v>36</v>
      </c>
      <c r="K193" s="20" t="n">
        <f aca="false">SRC_OAI_043</f>
        <v>36</v>
      </c>
      <c r="P193" s="2"/>
    </row>
    <row r="194" customFormat="false" ht="15" hidden="false" customHeight="false" outlineLevel="0" collapsed="false">
      <c r="A194" s="9" t="s">
        <v>3426</v>
      </c>
      <c r="B194" s="10" t="s">
        <v>3302</v>
      </c>
      <c r="C194" s="10" t="s">
        <v>560</v>
      </c>
      <c r="D194" s="19" t="n">
        <f aca="false">D193*INP_270/(D190*D192)</f>
        <v>1.65366133781129</v>
      </c>
      <c r="E194" s="19" t="n">
        <f aca="false">E193*INP_270/(E190*E192)</f>
        <v>1.49200864290168</v>
      </c>
      <c r="I194" s="19" t="n">
        <f aca="false">I193*INP_270/(I190*I192)</f>
        <v>0.896742237292966</v>
      </c>
      <c r="J194" s="19" t="n">
        <f aca="false">J193*INP_270/(J190*J192)</f>
        <v>0.747285197744138</v>
      </c>
      <c r="K194" s="19" t="n">
        <f aca="false">K193*INP_270/(K190*K192)</f>
        <v>0.589961998219057</v>
      </c>
      <c r="P194" s="12" t="s">
        <v>3303</v>
      </c>
    </row>
    <row r="195" customFormat="false" ht="15" hidden="false" customHeight="false" outlineLevel="0" collapsed="false">
      <c r="A195" s="9" t="s">
        <v>3427</v>
      </c>
      <c r="B195" s="10" t="s">
        <v>3304</v>
      </c>
      <c r="C195" s="10" t="s">
        <v>560</v>
      </c>
      <c r="D195" s="19" t="n">
        <f aca="false">D188*INP_270/(D190*D192)</f>
        <v>1.33463406526241</v>
      </c>
      <c r="E195" s="19" t="n">
        <f aca="false">E188*INP_270/(E190*E192)</f>
        <v>1.33463406526241</v>
      </c>
      <c r="I195" s="19" t="n">
        <f aca="false">I188*INP_270/(I190*I192)</f>
        <v>0.610010575028999</v>
      </c>
      <c r="J195" s="19" t="n">
        <f aca="false">J188*INP_270/(J190*J192)</f>
        <v>0.610010575028999</v>
      </c>
      <c r="K195" s="19" t="n">
        <f aca="false">K188*INP_270/(K190*K192)</f>
        <v>0.610010575028999</v>
      </c>
      <c r="P195" s="2" t="s">
        <v>3305</v>
      </c>
    </row>
    <row r="196" customFormat="false" ht="15" hidden="false" customHeight="false" outlineLevel="0" collapsed="false">
      <c r="A196" s="9" t="s">
        <v>3428</v>
      </c>
      <c r="B196" s="10" t="s">
        <v>3306</v>
      </c>
      <c r="C196" s="10" t="s">
        <v>560</v>
      </c>
      <c r="D196" s="19" t="n">
        <f aca="false">D194/D195</f>
        <v>1.2390372618626</v>
      </c>
      <c r="E196" s="19" t="n">
        <f aca="false">E194/E195</f>
        <v>1.11791590049691</v>
      </c>
      <c r="I196" s="19" t="n">
        <f aca="false">I194/I195</f>
        <v>1.47004375661903</v>
      </c>
      <c r="J196" s="19" t="n">
        <f aca="false">J194/J195</f>
        <v>1.22503646384919</v>
      </c>
      <c r="K196" s="19" t="n">
        <f aca="false">K194/K195</f>
        <v>0.967134050407258</v>
      </c>
      <c r="P196" s="2" t="s">
        <v>3307</v>
      </c>
    </row>
    <row r="197" customFormat="false" ht="15" hidden="false" customHeight="false" outlineLevel="0" collapsed="false">
      <c r="A197" s="9" t="s">
        <v>3429</v>
      </c>
      <c r="B197" s="10" t="s">
        <v>3315</v>
      </c>
      <c r="C197" s="9" t="s">
        <v>375</v>
      </c>
      <c r="I197" s="19" t="n">
        <f aca="false">I193/(I187*((1-INP_276)*$D196+INP_276*$E196))</f>
        <v>2.96610078216931</v>
      </c>
      <c r="J197" s="19" t="n">
        <f aca="false">J193/(J187*((1-INP_276)*$D196+INP_276*$E196))</f>
        <v>2.96610078216931</v>
      </c>
      <c r="K197" s="19" t="n">
        <f aca="false">K193/(K187*((1-INP_276)*$D196+INP_276*$E196))</f>
        <v>2.96610078216931</v>
      </c>
      <c r="P197" s="2" t="s">
        <v>3316</v>
      </c>
    </row>
    <row r="198" customFormat="false" ht="15" hidden="false" customHeight="false" outlineLevel="0" collapsed="false">
      <c r="A198" s="25" t="s">
        <v>3430</v>
      </c>
    </row>
    <row r="199" customFormat="false" ht="15" hidden="false" customHeight="false" outlineLevel="0" collapsed="false">
      <c r="A199" s="9" t="s">
        <v>3431</v>
      </c>
      <c r="B199" s="10" t="s">
        <v>3276</v>
      </c>
      <c r="C199" s="9" t="s">
        <v>375</v>
      </c>
      <c r="D199" s="19" t="n">
        <f aca="false">D34</f>
        <v>1.12780698259266</v>
      </c>
      <c r="E199" s="19" t="n">
        <f aca="false">E34</f>
        <v>1.25</v>
      </c>
      <c r="F199" s="19" t="n">
        <f aca="false">F34</f>
        <v>2.17</v>
      </c>
      <c r="G199" s="19" t="n">
        <f aca="false">G34</f>
        <v>2.26</v>
      </c>
      <c r="H199" s="19" t="n">
        <f aca="false">H34</f>
        <v>2.35</v>
      </c>
      <c r="P199" s="2"/>
    </row>
    <row r="200" customFormat="false" ht="15" hidden="false" customHeight="false" outlineLevel="0" collapsed="false">
      <c r="A200" s="9" t="s">
        <v>3432</v>
      </c>
      <c r="B200" s="10" t="s">
        <v>3277</v>
      </c>
      <c r="C200" s="10" t="s">
        <v>120</v>
      </c>
      <c r="D200" s="22" t="n">
        <f aca="false">INDEX(CMP_Share_Hopper,D$33)</f>
        <v>0.6</v>
      </c>
      <c r="E200" s="22" t="n">
        <f aca="false">INDEX(CMP_Share_Hopper,E$33)</f>
        <v>0.6</v>
      </c>
      <c r="F200" s="22" t="n">
        <f aca="false">(1-INP_280)*INDEX(CMP_Share_Hopper,F$33)+INP_280*INP_281</f>
        <v>0.35</v>
      </c>
      <c r="G200" s="22" t="n">
        <f aca="false">(1-INP_280)*INDEX(CMP_Share_Hopper,G$33)+INP_280*INP_281</f>
        <v>0.35</v>
      </c>
      <c r="H200" s="22" t="n">
        <f aca="false">(1-INP_280)*INDEX(CMP_Share_Hopper,H$33)+INP_280*INP_281</f>
        <v>0.35</v>
      </c>
      <c r="P200" s="2"/>
    </row>
    <row r="201" customFormat="false" ht="15" hidden="false" customHeight="false" outlineLevel="0" collapsed="false">
      <c r="A201" s="9" t="s">
        <v>3433</v>
      </c>
      <c r="B201" s="10" t="s">
        <v>3278</v>
      </c>
      <c r="C201" s="10" t="s">
        <v>120</v>
      </c>
      <c r="D201" s="22" t="n">
        <f aca="false">INDEX(CMP_Share_GB200,D$33)</f>
        <v>0.4</v>
      </c>
      <c r="E201" s="22" t="n">
        <f aca="false">INDEX(CMP_Share_GB200,E$33)</f>
        <v>0.4</v>
      </c>
      <c r="F201" s="22" t="n">
        <f aca="false">(1-INP_280)*INDEX(CMP_Share_GB200,F$33)+INP_280*INP_282</f>
        <v>0.275</v>
      </c>
      <c r="G201" s="22" t="n">
        <f aca="false">(1-INP_280)*INDEX(CMP_Share_GB200,G$33)+INP_280*INP_282</f>
        <v>0.275</v>
      </c>
      <c r="H201" s="22" t="n">
        <f aca="false">(1-INP_280)*INDEX(CMP_Share_GB200,H$33)+INP_280*INP_282</f>
        <v>0.275</v>
      </c>
      <c r="P201" s="2"/>
    </row>
    <row r="202" customFormat="false" ht="15" hidden="false" customHeight="false" outlineLevel="0" collapsed="false">
      <c r="A202" s="9" t="s">
        <v>3434</v>
      </c>
      <c r="B202" s="10" t="s">
        <v>3279</v>
      </c>
      <c r="C202" s="10" t="s">
        <v>120</v>
      </c>
      <c r="D202" s="22" t="n">
        <f aca="false">INDEX(CMP_Share_GB300,D$33)</f>
        <v>0</v>
      </c>
      <c r="E202" s="22" t="n">
        <f aca="false">INDEX(CMP_Share_GB300,E$33)</f>
        <v>0</v>
      </c>
      <c r="F202" s="22" t="n">
        <f aca="false">(1-INP_280)*INDEX(CMP_Share_GB300,F$33)+INP_280*INP_283</f>
        <v>0.275</v>
      </c>
      <c r="G202" s="22" t="n">
        <f aca="false">(1-INP_280)*INDEX(CMP_Share_GB300,G$33)+INP_280*INP_283</f>
        <v>0.275</v>
      </c>
      <c r="H202" s="22" t="n">
        <f aca="false">(1-INP_280)*INDEX(CMP_Share_GB300,H$33)+INP_280*INP_283</f>
        <v>0.275</v>
      </c>
      <c r="P202" s="2"/>
    </row>
    <row r="203" customFormat="false" ht="15" hidden="false" customHeight="false" outlineLevel="0" collapsed="false">
      <c r="A203" s="9" t="s">
        <v>3435</v>
      </c>
      <c r="B203" s="10" t="s">
        <v>3280</v>
      </c>
      <c r="C203" s="10" t="s">
        <v>120</v>
      </c>
      <c r="D203" s="22" t="n">
        <f aca="false">INDEX(CMP_Share_VR200,D$33)</f>
        <v>0</v>
      </c>
      <c r="E203" s="22" t="n">
        <f aca="false">INDEX(CMP_Share_VR200,E$33)</f>
        <v>0</v>
      </c>
      <c r="F203" s="22" t="n">
        <f aca="false">(1-INP_280)*INDEX(CMP_Share_VR200,F$33)+INP_280*INP_284</f>
        <v>0.05</v>
      </c>
      <c r="G203" s="22" t="n">
        <f aca="false">(1-INP_280)*INDEX(CMP_Share_VR200,G$33)+INP_280*INP_284</f>
        <v>0.05</v>
      </c>
      <c r="H203" s="22" t="n">
        <f aca="false">(1-INP_280)*INDEX(CMP_Share_VR200,H$33)+INP_280*INP_284</f>
        <v>0.05</v>
      </c>
      <c r="P203" s="2"/>
    </row>
    <row r="204" customFormat="false" ht="15" hidden="false" customHeight="false" outlineLevel="0" collapsed="false">
      <c r="A204" s="9" t="s">
        <v>3436</v>
      </c>
      <c r="B204" s="10" t="s">
        <v>3281</v>
      </c>
      <c r="C204" s="10" t="s">
        <v>120</v>
      </c>
      <c r="D204" s="22" t="n">
        <f aca="false">INDEX(CMP_Share_RubinUltra,D$33)</f>
        <v>0</v>
      </c>
      <c r="E204" s="22" t="n">
        <f aca="false">INDEX(CMP_Share_RubinUltra,E$33)</f>
        <v>0</v>
      </c>
      <c r="F204" s="22" t="n">
        <f aca="false">(1-INP_280)*INDEX(CMP_Share_RubinUltra,F$33)+INP_280*INP_285</f>
        <v>0</v>
      </c>
      <c r="G204" s="22" t="n">
        <f aca="false">(1-INP_280)*INDEX(CMP_Share_RubinUltra,G$33)+INP_280*INP_285</f>
        <v>0</v>
      </c>
      <c r="H204" s="22" t="n">
        <f aca="false">(1-INP_280)*INDEX(CMP_Share_RubinUltra,H$33)+INP_280*INP_285</f>
        <v>0</v>
      </c>
      <c r="P204" s="2"/>
    </row>
    <row r="205" customFormat="false" ht="15" hidden="false" customHeight="false" outlineLevel="0" collapsed="false">
      <c r="A205" s="9" t="s">
        <v>3437</v>
      </c>
      <c r="B205" s="10" t="s">
        <v>3282</v>
      </c>
      <c r="C205" s="10" t="s">
        <v>120</v>
      </c>
      <c r="D205" s="22" t="n">
        <f aca="false">INDEX(CMP_Share_Custom,D$33)</f>
        <v>0</v>
      </c>
      <c r="E205" s="22" t="n">
        <f aca="false">INDEX(CMP_Share_Custom,E$33)</f>
        <v>0</v>
      </c>
      <c r="F205" s="22" t="n">
        <f aca="false">(1-INP_280)*INDEX(CMP_Share_Custom,F$33)+INP_280*INP_286</f>
        <v>0.05</v>
      </c>
      <c r="G205" s="22" t="n">
        <f aca="false">(1-INP_280)*INDEX(CMP_Share_Custom,G$33)+INP_280*INP_286</f>
        <v>0.05</v>
      </c>
      <c r="H205" s="22" t="n">
        <f aca="false">(1-INP_280)*INDEX(CMP_Share_Custom,H$33)+INP_280*INP_286</f>
        <v>0.05</v>
      </c>
      <c r="P205" s="2"/>
    </row>
    <row r="206" customFormat="false" ht="15" hidden="false" customHeight="false" outlineLevel="0" collapsed="false">
      <c r="A206" s="9" t="s">
        <v>3438</v>
      </c>
      <c r="B206" s="10" t="s">
        <v>3283</v>
      </c>
      <c r="C206" s="10" t="s">
        <v>120</v>
      </c>
      <c r="D206" s="22" t="n">
        <f aca="false">SUM(D200:D205)</f>
        <v>1</v>
      </c>
      <c r="E206" s="22" t="n">
        <f aca="false">SUM(E200:E205)</f>
        <v>1</v>
      </c>
      <c r="F206" s="22" t="n">
        <f aca="false">SUM(F200:F205)</f>
        <v>1</v>
      </c>
      <c r="G206" s="22" t="n">
        <f aca="false">SUM(G200:G205)</f>
        <v>1</v>
      </c>
      <c r="H206" s="22" t="n">
        <f aca="false">SUM(H200:H205)</f>
        <v>1</v>
      </c>
      <c r="P206" s="12" t="s">
        <v>3284</v>
      </c>
    </row>
    <row r="207" customFormat="false" ht="15" hidden="false" customHeight="false" outlineLevel="0" collapsed="false">
      <c r="A207" s="9" t="s">
        <v>3439</v>
      </c>
      <c r="B207" s="10" t="s">
        <v>3285</v>
      </c>
      <c r="C207" s="9" t="s">
        <v>1603</v>
      </c>
      <c r="D207" s="19" t="n">
        <f aca="false">SUMPRODUCT(D200:D205,$D$39:$D$44)</f>
        <v>9.35311859805586</v>
      </c>
      <c r="E207" s="19" t="n">
        <f aca="false">SUMPRODUCT(E200:E205,$D$39:$D$44)</f>
        <v>9.35311859805586</v>
      </c>
      <c r="F207" s="19" t="n">
        <f aca="false">SUMPRODUCT(F200:F205,$D$39:$D$44)</f>
        <v>9.79562678672824</v>
      </c>
      <c r="G207" s="19" t="n">
        <f aca="false">SUMPRODUCT(G200:G205,$D$39:$D$44)</f>
        <v>9.79562678672824</v>
      </c>
      <c r="H207" s="19" t="n">
        <f aca="false">SUMPRODUCT(H200:H205,$D$39:$D$44)</f>
        <v>9.79562678672824</v>
      </c>
      <c r="P207" s="12" t="s">
        <v>3286</v>
      </c>
    </row>
    <row r="208" customFormat="false" ht="15" hidden="false" customHeight="false" outlineLevel="0" collapsed="false">
      <c r="A208" s="9" t="s">
        <v>3440</v>
      </c>
      <c r="B208" s="10" t="s">
        <v>3287</v>
      </c>
      <c r="C208" s="9" t="s">
        <v>68</v>
      </c>
      <c r="D208" s="20" t="n">
        <f aca="false">D199*D207</f>
        <v>10.5485124639047</v>
      </c>
      <c r="E208" s="20" t="n">
        <f aca="false">E199*E207</f>
        <v>11.6913982475698</v>
      </c>
      <c r="F208" s="20" t="n">
        <f aca="false">F199*F207</f>
        <v>21.2565101272003</v>
      </c>
      <c r="G208" s="20" t="n">
        <f aca="false">G199*G207</f>
        <v>22.1381165380058</v>
      </c>
      <c r="H208" s="20" t="n">
        <f aca="false">H199*H207</f>
        <v>23.0197229488114</v>
      </c>
      <c r="P208" s="2" t="s">
        <v>3288</v>
      </c>
    </row>
    <row r="209" customFormat="false" ht="15" hidden="false" customHeight="false" outlineLevel="0" collapsed="false">
      <c r="A209" s="9" t="s">
        <v>3441</v>
      </c>
      <c r="B209" s="10" t="s">
        <v>3289</v>
      </c>
      <c r="C209" s="9" t="s">
        <v>1014</v>
      </c>
      <c r="D209" s="21" t="n">
        <f aca="false">SUMPRODUCT(D200:D205,$E$39:$E$44,$H$39:$H$44)</f>
        <v>56793453225.3857</v>
      </c>
      <c r="E209" s="21" t="n">
        <f aca="false">SUMPRODUCT(E200:E205,$E$39:$E$44,$H$39:$H$44)</f>
        <v>56793453225.3857</v>
      </c>
      <c r="F209" s="21" t="n">
        <f aca="false">SUMPRODUCT(F200:F205,$E$39:$E$44,$H$39:$H$44)</f>
        <v>91042401450.4909</v>
      </c>
      <c r="G209" s="21" t="n">
        <f aca="false">SUMPRODUCT(G200:G205,$E$39:$E$44,$H$39:$H$44)</f>
        <v>91042401450.4909</v>
      </c>
      <c r="H209" s="21" t="n">
        <f aca="false">SUMPRODUCT(H200:H205,$E$39:$E$44,$H$39:$H$44)</f>
        <v>91042401450.4909</v>
      </c>
      <c r="P209" s="12" t="s">
        <v>3290</v>
      </c>
    </row>
    <row r="210" customFormat="false" ht="15" hidden="false" customHeight="false" outlineLevel="0" collapsed="false">
      <c r="A210" s="9" t="s">
        <v>3442</v>
      </c>
      <c r="B210" s="9" t="s">
        <v>3291</v>
      </c>
      <c r="C210" s="9" t="s">
        <v>836</v>
      </c>
      <c r="D210" s="21" t="n">
        <f aca="false">D199*TK_IF_ServeShare*(1-TK_IF_FreeShare)*D209*TK_IF_UtilActual</f>
        <v>5814261069.29216</v>
      </c>
      <c r="E210" s="21" t="n">
        <f aca="false">E199*TK_IF_ServeShare*(1-TK_IF_FreeShare)*E209*TK_IF_UtilActual</f>
        <v>6444211153.85146</v>
      </c>
      <c r="F210" s="21" t="n">
        <f aca="false">F199*TK_IF_ServeShare*(1-TK_IF_FreeShare)*F209*TK_IF_UtilActual</f>
        <v>17933493999.9091</v>
      </c>
      <c r="G210" s="21" t="n">
        <f aca="false">G199*TK_IF_ServeShare*(1-TK_IF_FreeShare)*G209*TK_IF_UtilActual</f>
        <v>18677279465.3431</v>
      </c>
      <c r="H210" s="21" t="n">
        <f aca="false">H199*TK_IF_ServeShare*(1-TK_IF_FreeShare)*H209*TK_IF_UtilActual</f>
        <v>19421064930.7771</v>
      </c>
      <c r="P210" s="12" t="s">
        <v>3292</v>
      </c>
    </row>
    <row r="211" customFormat="false" ht="15" hidden="false" customHeight="false" outlineLevel="0" collapsed="false">
      <c r="A211" s="9" t="s">
        <v>3443</v>
      </c>
      <c r="B211" s="9" t="s">
        <v>3293</v>
      </c>
      <c r="C211" s="9" t="s">
        <v>3294</v>
      </c>
      <c r="D211" s="23" t="n">
        <f aca="false">D210/INP_254</f>
        <v>5814.26106929216</v>
      </c>
      <c r="E211" s="23" t="n">
        <f aca="false">E210/INP_254</f>
        <v>6444.21115385146</v>
      </c>
      <c r="F211" s="23" t="n">
        <f aca="false">F210/INP_254</f>
        <v>17933.4939999091</v>
      </c>
      <c r="G211" s="23" t="n">
        <f aca="false">G210/INP_254</f>
        <v>18677.2794653431</v>
      </c>
      <c r="H211" s="23" t="n">
        <f aca="false">H210/INP_254</f>
        <v>19421.0649307771</v>
      </c>
      <c r="P211" s="2" t="s">
        <v>3295</v>
      </c>
    </row>
    <row r="212" customFormat="false" ht="15" hidden="false" customHeight="false" outlineLevel="0" collapsed="false">
      <c r="A212" s="9" t="s">
        <v>3444</v>
      </c>
      <c r="B212" s="10" t="s">
        <v>3296</v>
      </c>
      <c r="C212" s="9" t="s">
        <v>3297</v>
      </c>
      <c r="D212" s="19" t="n">
        <f aca="false">TK_IF_PxEffMix25</f>
        <v>1.35936</v>
      </c>
      <c r="E212" s="19" t="n">
        <f aca="false">TK_IF_PxEffMix25</f>
        <v>1.35936</v>
      </c>
      <c r="F212" s="19" t="n">
        <f aca="false">TK_IF_PxEffMix</f>
        <v>1.94307555555556</v>
      </c>
      <c r="G212" s="19" t="n">
        <f aca="false">TK_IF_PxEffMix</f>
        <v>1.94307555555556</v>
      </c>
      <c r="H212" s="19" t="n">
        <f aca="false">TK_IF_PxEffMix</f>
        <v>1.94307555555556</v>
      </c>
      <c r="P212" s="12" t="s">
        <v>3298</v>
      </c>
    </row>
    <row r="213" customFormat="false" ht="15" hidden="false" customHeight="false" outlineLevel="0" collapsed="false">
      <c r="A213" s="9" t="s">
        <v>3445</v>
      </c>
      <c r="B213" s="10" t="s">
        <v>3301</v>
      </c>
      <c r="C213" s="9" t="s">
        <v>68</v>
      </c>
      <c r="D213" s="20" t="n">
        <f aca="false">SRC_OAI_002</f>
        <v>13.07</v>
      </c>
      <c r="E213" s="20" t="n">
        <f aca="false">SRC_OAI_002</f>
        <v>13.07</v>
      </c>
      <c r="F213" s="20" t="n">
        <f aca="false">INP_318</f>
        <v>26.8</v>
      </c>
      <c r="G213" s="20" t="n">
        <f aca="false">INP_318</f>
        <v>26.8</v>
      </c>
      <c r="H213" s="20" t="n">
        <f aca="false">INP_318</f>
        <v>26.8</v>
      </c>
      <c r="P213" s="2"/>
    </row>
    <row r="214" customFormat="false" ht="15" hidden="false" customHeight="false" outlineLevel="0" collapsed="false">
      <c r="A214" s="9" t="s">
        <v>3446</v>
      </c>
      <c r="B214" s="10" t="s">
        <v>3302</v>
      </c>
      <c r="C214" s="10" t="s">
        <v>560</v>
      </c>
      <c r="D214" s="19" t="n">
        <f aca="false">D213*INP_270/(D210*D212)</f>
        <v>1.65366133781129</v>
      </c>
      <c r="E214" s="19" t="n">
        <f aca="false">E213*INP_270/(E210*E212)</f>
        <v>1.49200864290168</v>
      </c>
      <c r="F214" s="19" t="n">
        <f aca="false">F213*INP_270/(F210*F212)</f>
        <v>0.769095364805795</v>
      </c>
      <c r="G214" s="19" t="n">
        <f aca="false">G213*INP_270/(G210*G212)</f>
        <v>0.73846767328698</v>
      </c>
      <c r="H214" s="19" t="n">
        <f aca="false">H213*INP_270/(H210*H212)</f>
        <v>0.710185932607904</v>
      </c>
      <c r="P214" s="12" t="s">
        <v>3303</v>
      </c>
    </row>
    <row r="215" customFormat="false" ht="15" hidden="false" customHeight="false" outlineLevel="0" collapsed="false">
      <c r="A215" s="9" t="s">
        <v>3447</v>
      </c>
      <c r="B215" s="10" t="s">
        <v>3304</v>
      </c>
      <c r="C215" s="10" t="s">
        <v>560</v>
      </c>
      <c r="D215" s="19" t="n">
        <f aca="false">D208*INP_270/(D210*D212)</f>
        <v>1.33463406526241</v>
      </c>
      <c r="E215" s="19" t="n">
        <f aca="false">E208*INP_270/(E210*E212)</f>
        <v>1.33463406526241</v>
      </c>
      <c r="F215" s="19" t="n">
        <f aca="false">F208*INP_270/(F210*F212)</f>
        <v>0.610010575028999</v>
      </c>
      <c r="G215" s="19" t="n">
        <f aca="false">G208*INP_270/(G210*G212)</f>
        <v>0.610010575028999</v>
      </c>
      <c r="H215" s="19" t="n">
        <f aca="false">H208*INP_270/(H210*H212)</f>
        <v>0.610010575028999</v>
      </c>
      <c r="P215" s="2" t="s">
        <v>3305</v>
      </c>
    </row>
    <row r="216" customFormat="false" ht="15" hidden="false" customHeight="false" outlineLevel="0" collapsed="false">
      <c r="A216" s="9" t="s">
        <v>3448</v>
      </c>
      <c r="B216" s="10" t="s">
        <v>3306</v>
      </c>
      <c r="C216" s="10" t="s">
        <v>560</v>
      </c>
      <c r="D216" s="19" t="n">
        <f aca="false">D214/D215</f>
        <v>1.2390372618626</v>
      </c>
      <c r="E216" s="19" t="n">
        <f aca="false">E214/E215</f>
        <v>1.11791590049691</v>
      </c>
      <c r="F216" s="19" t="n">
        <f aca="false">F214/F215</f>
        <v>1.26079021625032</v>
      </c>
      <c r="G216" s="19" t="n">
        <f aca="false">G214/G215</f>
        <v>1.21058175631115</v>
      </c>
      <c r="H216" s="19" t="n">
        <f aca="false">H214/H215</f>
        <v>1.1642190507503</v>
      </c>
      <c r="P216" s="2" t="s">
        <v>3307</v>
      </c>
    </row>
    <row r="217" customFormat="false" ht="15" hidden="false" customHeight="false" outlineLevel="0" collapsed="false">
      <c r="A217" s="9" t="s">
        <v>3449</v>
      </c>
      <c r="B217" s="10" t="s">
        <v>3315</v>
      </c>
      <c r="C217" s="9" t="s">
        <v>375</v>
      </c>
      <c r="F217" s="19" t="n">
        <f aca="false">F213/(F207*((1-INP_276)*$D216+INP_276*$E216))</f>
        <v>2.20809724894826</v>
      </c>
      <c r="G217" s="19" t="n">
        <f aca="false">G213/(G207*((1-INP_276)*$D216+INP_276*$E216))</f>
        <v>2.20809724894826</v>
      </c>
      <c r="H217" s="19" t="n">
        <f aca="false">H213/(H207*((1-INP_276)*$D216+INP_276*$E216))</f>
        <v>2.20809724894826</v>
      </c>
      <c r="P217" s="2" t="s">
        <v>3316</v>
      </c>
    </row>
    <row r="218" customFormat="false" ht="15" hidden="false" customHeight="false" outlineLevel="0" collapsed="false">
      <c r="A218" s="15" t="s">
        <v>3450</v>
      </c>
    </row>
    <row r="219" customFormat="false" ht="15" hidden="false" customHeight="false" outlineLevel="0" collapsed="false">
      <c r="A219" s="9" t="s">
        <v>3451</v>
      </c>
      <c r="B219" s="10" t="s">
        <v>3452</v>
      </c>
      <c r="C219" s="9" t="s">
        <v>68</v>
      </c>
      <c r="D219" s="20" t="n">
        <f aca="false">SRC_OAI_138</f>
        <v>16</v>
      </c>
      <c r="E219" s="20" t="n">
        <f aca="false">SRC_OAI_138</f>
        <v>16</v>
      </c>
      <c r="F219" s="20" t="n">
        <f aca="false">SRC_OAI_139</f>
        <v>50</v>
      </c>
      <c r="G219" s="20" t="n">
        <f aca="false">SRC_OAI_139</f>
        <v>50</v>
      </c>
      <c r="H219" s="20" t="n">
        <f aca="false">SRC_OAI_139</f>
        <v>50</v>
      </c>
      <c r="I219" s="20" t="n">
        <f aca="false">SRC_OAI_139</f>
        <v>50</v>
      </c>
      <c r="J219" s="20" t="n">
        <f aca="false">SRC_OAI_139</f>
        <v>50</v>
      </c>
      <c r="K219" s="20" t="n">
        <f aca="false">SRC_OAI_139</f>
        <v>50</v>
      </c>
      <c r="L219" s="20" t="n">
        <f aca="false">SRC_OAI_139</f>
        <v>50</v>
      </c>
      <c r="M219" s="20" t="n">
        <f aca="false">SRC_OAI_139</f>
        <v>50</v>
      </c>
      <c r="N219" s="20" t="n">
        <f aca="false">SRC_OAI_139</f>
        <v>50</v>
      </c>
      <c r="P219" s="12" t="s">
        <v>3453</v>
      </c>
    </row>
    <row r="220" customFormat="false" ht="15" hidden="false" customHeight="false" outlineLevel="0" collapsed="false">
      <c r="A220" s="9" t="s">
        <v>3454</v>
      </c>
      <c r="B220" s="10" t="s">
        <v>3455</v>
      </c>
      <c r="C220" s="10" t="s">
        <v>560</v>
      </c>
      <c r="D220" s="20" t="n">
        <f aca="false">D219/D55</f>
        <v>1.51680154474381</v>
      </c>
      <c r="E220" s="20" t="n">
        <f aca="false">E219/E55</f>
        <v>1.36852749869553</v>
      </c>
      <c r="F220" s="20" t="n">
        <f aca="false">F219/F55</f>
        <v>2.35222055270583</v>
      </c>
      <c r="G220" s="20" t="n">
        <f aca="false">G219/G55</f>
        <v>2.25854805281931</v>
      </c>
      <c r="H220" s="20" t="n">
        <f aca="false">H219/H55</f>
        <v>2.17205046781772</v>
      </c>
      <c r="I220" s="20" t="n">
        <f aca="false">I219/I55</f>
        <v>2.04172743974866</v>
      </c>
      <c r="J220" s="20" t="n">
        <f aca="false">J219/J55</f>
        <v>1.70143953312388</v>
      </c>
      <c r="K220" s="20" t="n">
        <f aca="false">K219/K55</f>
        <v>1.34324173667675</v>
      </c>
      <c r="L220" s="20" t="n">
        <f aca="false">L219/L55</f>
        <v>1.45837674267761</v>
      </c>
      <c r="M220" s="20" t="n">
        <f aca="false">M219/M55</f>
        <v>1.10963447812427</v>
      </c>
      <c r="N220" s="20" t="n">
        <f aca="false">N219/N55</f>
        <v>0.895494491117832</v>
      </c>
      <c r="P220" s="2" t="s">
        <v>3456</v>
      </c>
    </row>
    <row r="221" customFormat="false" ht="15" hidden="false" customHeight="false" outlineLevel="0" collapsed="false">
      <c r="A221" s="9" t="s">
        <v>3457</v>
      </c>
      <c r="B221" s="9" t="s">
        <v>3458</v>
      </c>
      <c r="C221" s="9" t="s">
        <v>68</v>
      </c>
      <c r="D221" s="20" t="n">
        <f aca="false">TK_SRC_DEM_004+TK_SRC_DEM_006</f>
        <v>20.4</v>
      </c>
      <c r="E221" s="20" t="n">
        <f aca="false">TK_SRC_DEM_004+TK_SRC_DEM_006</f>
        <v>20.4</v>
      </c>
      <c r="P221" s="12" t="s">
        <v>3459</v>
      </c>
    </row>
    <row r="222" customFormat="false" ht="15" hidden="false" customHeight="false" outlineLevel="0" collapsed="false">
      <c r="A222" s="9" t="s">
        <v>3460</v>
      </c>
      <c r="B222" s="10" t="s">
        <v>3461</v>
      </c>
      <c r="C222" s="10" t="s">
        <v>560</v>
      </c>
      <c r="D222" s="20" t="n">
        <f aca="false">D221/D55</f>
        <v>1.93392196954836</v>
      </c>
      <c r="E222" s="20" t="n">
        <f aca="false">E221/E55</f>
        <v>1.7448725608368</v>
      </c>
      <c r="P222" s="2"/>
    </row>
    <row r="223" customFormat="false" ht="15" hidden="false" customHeight="false" outlineLevel="0" collapsed="false">
      <c r="A223" s="15" t="s">
        <v>3462</v>
      </c>
    </row>
    <row r="224" customFormat="false" ht="29.85" hidden="false" customHeight="false" outlineLevel="0" collapsed="false">
      <c r="B224" s="7" t="s">
        <v>3463</v>
      </c>
      <c r="C224" s="8" t="s">
        <v>46</v>
      </c>
      <c r="D224" s="8" t="s">
        <v>3464</v>
      </c>
      <c r="E224" s="8" t="s">
        <v>3465</v>
      </c>
      <c r="F224" s="8" t="s">
        <v>3466</v>
      </c>
      <c r="G224" s="8" t="s">
        <v>3467</v>
      </c>
      <c r="H224" s="8" t="s">
        <v>3468</v>
      </c>
      <c r="I224" s="8" t="s">
        <v>3469</v>
      </c>
    </row>
    <row r="225" customFormat="false" ht="15" hidden="false" customHeight="false" outlineLevel="0" collapsed="false">
      <c r="A225" s="9" t="s">
        <v>3470</v>
      </c>
      <c r="B225" s="10" t="s">
        <v>3471</v>
      </c>
      <c r="C225" s="9" t="s">
        <v>68</v>
      </c>
      <c r="D225" s="2" t="n">
        <v>9.35</v>
      </c>
      <c r="E225" s="19" t="n">
        <f aca="false">D81</f>
        <v>9.35311859805586</v>
      </c>
      <c r="F225" s="26" t="n">
        <f aca="false">(E225-D225)/D225</f>
        <v>0.000333539899022236</v>
      </c>
      <c r="G225" s="9" t="str">
        <f aca="false">IF(ABS(F225)&lt;=INP_288,"OK","差異")</f>
        <v>OK</v>
      </c>
      <c r="H225" s="19" t="n">
        <f aca="false">D54</f>
        <v>9.35311859805586</v>
      </c>
      <c r="I225" s="26" t="n">
        <f aca="false">(H225-D225)/D225</f>
        <v>0.000333539899022236</v>
      </c>
    </row>
    <row r="226" customFormat="false" ht="15" hidden="false" customHeight="false" outlineLevel="0" collapsed="false">
      <c r="A226" s="9" t="s">
        <v>3472</v>
      </c>
      <c r="B226" s="10" t="s">
        <v>3473</v>
      </c>
      <c r="C226" s="9" t="s">
        <v>68</v>
      </c>
      <c r="D226" s="2" t="n">
        <v>9.73</v>
      </c>
      <c r="E226" s="19" t="n">
        <f aca="false">J81</f>
        <v>9.73132262697083</v>
      </c>
      <c r="F226" s="26" t="n">
        <f aca="false">(E226-D226)/D226</f>
        <v>0.000135932884977112</v>
      </c>
      <c r="G226" s="9" t="str">
        <f aca="false">IF(ABS(F226)&lt;=INP_288,"OK","差異")</f>
        <v>OK</v>
      </c>
      <c r="H226" s="19" t="n">
        <f aca="false">J54</f>
        <v>9.79562678672824</v>
      </c>
      <c r="I226" s="26" t="n">
        <f aca="false">(H226-D226)/D226</f>
        <v>0.00674478794740371</v>
      </c>
    </row>
    <row r="227" customFormat="false" ht="15" hidden="false" customHeight="false" outlineLevel="0" collapsed="false">
      <c r="A227" s="9" t="s">
        <v>3474</v>
      </c>
      <c r="B227" s="10" t="s">
        <v>3475</v>
      </c>
      <c r="C227" s="9" t="s">
        <v>68</v>
      </c>
      <c r="D227" s="2" t="n">
        <v>10.6</v>
      </c>
      <c r="E227" s="19" t="n">
        <f aca="false">D82</f>
        <v>10.5485124639047</v>
      </c>
      <c r="F227" s="26" t="n">
        <f aca="false">(E227-D227)/D227</f>
        <v>-0.00485731472597199</v>
      </c>
      <c r="G227" s="9" t="str">
        <f aca="false">IF(ABS(F227)&lt;=INP_288,"OK","差異")</f>
        <v>OK</v>
      </c>
      <c r="H227" s="19" t="n">
        <f aca="false">D55</f>
        <v>10.5485124639047</v>
      </c>
      <c r="I227" s="26" t="n">
        <f aca="false">(H227-D227)/D227</f>
        <v>-0.00485731472597199</v>
      </c>
    </row>
    <row r="228" customFormat="false" ht="15" hidden="false" customHeight="false" outlineLevel="0" collapsed="false">
      <c r="A228" s="9" t="s">
        <v>3476</v>
      </c>
      <c r="B228" s="10" t="s">
        <v>3477</v>
      </c>
      <c r="C228" s="9" t="s">
        <v>68</v>
      </c>
      <c r="D228" s="2" t="n">
        <v>11.7</v>
      </c>
      <c r="E228" s="19" t="n">
        <f aca="false">E82</f>
        <v>11.6913982475698</v>
      </c>
      <c r="F228" s="26" t="n">
        <f aca="false">(E228-D228)/D228</f>
        <v>-0.000735192515399774</v>
      </c>
      <c r="G228" s="9" t="str">
        <f aca="false">IF(ABS(F228)&lt;=INP_288,"OK","差異")</f>
        <v>OK</v>
      </c>
      <c r="H228" s="19" t="n">
        <f aca="false">E55</f>
        <v>11.6913982475698</v>
      </c>
      <c r="I228" s="26" t="n">
        <f aca="false">(H228-D228)/D228</f>
        <v>-0.000735192515399774</v>
      </c>
    </row>
    <row r="229" customFormat="false" ht="15" hidden="false" customHeight="false" outlineLevel="0" collapsed="false">
      <c r="A229" s="9" t="s">
        <v>3478</v>
      </c>
      <c r="B229" s="10" t="s">
        <v>3479</v>
      </c>
      <c r="C229" s="9" t="s">
        <v>68</v>
      </c>
      <c r="D229" s="2" t="n">
        <v>24.3</v>
      </c>
      <c r="E229" s="19" t="n">
        <f aca="false">I82</f>
        <v>24.3283065674271</v>
      </c>
      <c r="F229" s="26" t="n">
        <f aca="false">(E229-D229)/D229</f>
        <v>0.0011648793179864</v>
      </c>
      <c r="G229" s="9" t="str">
        <f aca="false">IF(ABS(F229)&lt;=INP_288,"OK","差異")</f>
        <v>OK</v>
      </c>
      <c r="H229" s="19" t="n">
        <f aca="false">I55</f>
        <v>24.4890669668206</v>
      </c>
      <c r="I229" s="26" t="n">
        <f aca="false">(H229-D229)/D229</f>
        <v>0.0077805336140162</v>
      </c>
    </row>
    <row r="230" customFormat="false" ht="15" hidden="false" customHeight="false" outlineLevel="0" collapsed="false">
      <c r="A230" s="9" t="s">
        <v>3480</v>
      </c>
      <c r="B230" s="10" t="s">
        <v>3481</v>
      </c>
      <c r="C230" s="9" t="s">
        <v>68</v>
      </c>
      <c r="D230" s="2" t="n">
        <v>29.2</v>
      </c>
      <c r="E230" s="19" t="n">
        <f aca="false">J82</f>
        <v>29.1939678809125</v>
      </c>
      <c r="F230" s="26" t="n">
        <f aca="false">(E230-D230)/D230</f>
        <v>-0.000206579420805407</v>
      </c>
      <c r="G230" s="9" t="str">
        <f aca="false">IF(ABS(F230)&lt;=INP_288,"OK","差異")</f>
        <v>OK</v>
      </c>
      <c r="H230" s="19" t="n">
        <f aca="false">J55</f>
        <v>29.3868803601847</v>
      </c>
      <c r="I230" s="26" t="n">
        <f aca="false">(H230-D230)/D230</f>
        <v>0.00640001233509302</v>
      </c>
    </row>
    <row r="231" customFormat="false" ht="15" hidden="false" customHeight="false" outlineLevel="0" collapsed="false">
      <c r="A231" s="9" t="s">
        <v>3482</v>
      </c>
      <c r="B231" s="10" t="s">
        <v>3483</v>
      </c>
      <c r="C231" s="9" t="s">
        <v>68</v>
      </c>
      <c r="D231" s="2" t="n">
        <v>34.1</v>
      </c>
      <c r="E231" s="19" t="n">
        <f aca="false">K82</f>
        <v>36.9790259824891</v>
      </c>
      <c r="F231" s="26" t="n">
        <f aca="false">(E231-D231)/D231</f>
        <v>0.0844289144424968</v>
      </c>
      <c r="G231" s="9" t="str">
        <f aca="false">IF(ABS(F231)&lt;=INP_288,"OK","差異")</f>
        <v>差異</v>
      </c>
      <c r="H231" s="19" t="n">
        <f aca="false">K55</f>
        <v>37.2233817895673</v>
      </c>
      <c r="I231" s="26" t="n">
        <f aca="false">(H231-D231)/D231</f>
        <v>0.0915947738876042</v>
      </c>
    </row>
    <row r="232" customFormat="false" ht="15" hidden="false" customHeight="false" outlineLevel="0" collapsed="false">
      <c r="A232" s="9" t="s">
        <v>3484</v>
      </c>
      <c r="B232" s="10" t="s">
        <v>3485</v>
      </c>
      <c r="C232" s="10" t="s">
        <v>560</v>
      </c>
      <c r="D232" s="2" t="n">
        <v>1.24</v>
      </c>
      <c r="E232" s="19" t="n">
        <f aca="false">D91</f>
        <v>1.2390372618626</v>
      </c>
      <c r="F232" s="26" t="n">
        <f aca="false">(E232-D232)/D232</f>
        <v>-0.000776401723708423</v>
      </c>
      <c r="G232" s="9" t="str">
        <f aca="false">IF(ABS(F232)&lt;=INP_288,"OK","差異")</f>
        <v>OK</v>
      </c>
      <c r="H232" s="19" t="n">
        <f aca="false">D64</f>
        <v>1.2390372618626</v>
      </c>
      <c r="I232" s="26" t="n">
        <f aca="false">(H232-D232)/D232</f>
        <v>-0.000776401723708423</v>
      </c>
    </row>
    <row r="233" customFormat="false" ht="15" hidden="false" customHeight="false" outlineLevel="0" collapsed="false">
      <c r="A233" s="9" t="s">
        <v>3486</v>
      </c>
      <c r="B233" s="10" t="s">
        <v>3487</v>
      </c>
      <c r="C233" s="10" t="s">
        <v>560</v>
      </c>
      <c r="D233" s="2" t="n">
        <v>1.12</v>
      </c>
      <c r="E233" s="19" t="n">
        <f aca="false">E91</f>
        <v>1.11791590049691</v>
      </c>
      <c r="F233" s="26" t="n">
        <f aca="false">(E233-D233)/D233</f>
        <v>-0.00186080312776009</v>
      </c>
      <c r="G233" s="9" t="str">
        <f aca="false">IF(ABS(F233)&lt;=INP_288,"OK","差異")</f>
        <v>OK</v>
      </c>
      <c r="H233" s="19" t="n">
        <f aca="false">E64</f>
        <v>1.11791590049691</v>
      </c>
      <c r="I233" s="26" t="n">
        <f aca="false">(H233-D233)/D233</f>
        <v>-0.00186080312776009</v>
      </c>
    </row>
    <row r="234" customFormat="false" ht="15" hidden="false" customHeight="false" outlineLevel="0" collapsed="false">
      <c r="A234" s="9" t="s">
        <v>3488</v>
      </c>
      <c r="B234" s="10" t="s">
        <v>3489</v>
      </c>
      <c r="C234" s="10" t="s">
        <v>560</v>
      </c>
      <c r="D234" s="2" t="n">
        <v>1.48</v>
      </c>
      <c r="E234" s="19" t="n">
        <f aca="false">I91</f>
        <v>1.43865336056153</v>
      </c>
      <c r="F234" s="26" t="n">
        <f aca="false">(E234-D234)/D234</f>
        <v>-0.0279369185395093</v>
      </c>
      <c r="G234" s="9" t="str">
        <f aca="false">IF(ABS(F234)&lt;=INP_288,"OK","差異")</f>
        <v>差異</v>
      </c>
      <c r="H234" s="19" t="n">
        <f aca="false">I64</f>
        <v>1.42920920782406</v>
      </c>
      <c r="I234" s="26" t="n">
        <f aca="false">(H234-D234)/D234</f>
        <v>-0.0343181028215816</v>
      </c>
    </row>
    <row r="235" customFormat="false" ht="15" hidden="false" customHeight="false" outlineLevel="0" collapsed="false">
      <c r="A235" s="9" t="s">
        <v>3490</v>
      </c>
      <c r="B235" s="10" t="s">
        <v>3491</v>
      </c>
      <c r="C235" s="10" t="s">
        <v>560</v>
      </c>
      <c r="D235" s="2" t="n">
        <v>1.23</v>
      </c>
      <c r="E235" s="19" t="n">
        <f aca="false">J91</f>
        <v>1.19887780046794</v>
      </c>
      <c r="F235" s="26" t="n">
        <f aca="false">(E235-D235)/D235</f>
        <v>-0.0253026012455786</v>
      </c>
      <c r="G235" s="9" t="str">
        <f aca="false">IF(ABS(F235)&lt;=INP_288,"OK","差異")</f>
        <v>差異</v>
      </c>
      <c r="H235" s="19" t="n">
        <f aca="false">J64</f>
        <v>1.19100767318672</v>
      </c>
      <c r="I235" s="26" t="n">
        <f aca="false">(H235-D235)/D235</f>
        <v>-0.0317010787099871</v>
      </c>
    </row>
    <row r="236" customFormat="false" ht="15" hidden="false" customHeight="false" outlineLevel="0" collapsed="false">
      <c r="A236" s="9" t="s">
        <v>3492</v>
      </c>
      <c r="B236" s="10" t="s">
        <v>3493</v>
      </c>
      <c r="C236" s="10" t="s">
        <v>560</v>
      </c>
      <c r="D236" s="2" t="n">
        <v>1.06</v>
      </c>
      <c r="E236" s="19" t="n">
        <f aca="false">K91</f>
        <v>0.946482474053636</v>
      </c>
      <c r="F236" s="26" t="n">
        <f aca="false">(E236-D236)/D236</f>
        <v>-0.107092005609778</v>
      </c>
      <c r="G236" s="9" t="str">
        <f aca="false">IF(ABS(F236)&lt;=INP_288,"OK","差異")</f>
        <v>差異</v>
      </c>
      <c r="H236" s="19" t="n">
        <f aca="false">K64</f>
        <v>0.940269215673723</v>
      </c>
      <c r="I236" s="26" t="n">
        <f aca="false">(H236-D236)/D236</f>
        <v>-0.112953570119129</v>
      </c>
    </row>
    <row r="237" customFormat="false" ht="15" hidden="false" customHeight="false" outlineLevel="0" collapsed="false">
      <c r="A237" s="9" t="s">
        <v>3494</v>
      </c>
      <c r="B237" s="10" t="s">
        <v>3495</v>
      </c>
      <c r="C237" s="9" t="s">
        <v>375</v>
      </c>
      <c r="D237" s="2" t="n">
        <v>2.99</v>
      </c>
      <c r="E237" s="19" t="n">
        <f aca="false">J95</f>
        <v>2.90276451895976</v>
      </c>
      <c r="F237" s="26" t="n">
        <f aca="false">(E237-D237)/D237</f>
        <v>-0.0291757461673037</v>
      </c>
      <c r="G237" s="9" t="str">
        <f aca="false">IF(ABS(F237)&lt;=INP_288,"OK","差異")</f>
        <v>差異</v>
      </c>
      <c r="H237" s="19" t="n">
        <f aca="false">J68</f>
        <v>2.88370909377572</v>
      </c>
      <c r="I237" s="26" t="n">
        <f aca="false">(H237-D237)/D237</f>
        <v>-0.0355487980683223</v>
      </c>
    </row>
    <row r="238" customFormat="false" ht="15" hidden="false" customHeight="false" outlineLevel="0" collapsed="false">
      <c r="A238" s="9" t="s">
        <v>3496</v>
      </c>
      <c r="B238" s="10" t="s">
        <v>3497</v>
      </c>
      <c r="C238" s="9" t="s">
        <v>375</v>
      </c>
      <c r="D238" s="2" t="n">
        <v>3.31</v>
      </c>
      <c r="E238" s="19" t="n">
        <f aca="false">J96</f>
        <v>3.21726652228949</v>
      </c>
      <c r="F238" s="26" t="n">
        <f aca="false">(E238-D238)/D238</f>
        <v>-0.0280161564080085</v>
      </c>
      <c r="G238" s="9" t="str">
        <f aca="false">IF(ABS(F238)&lt;=INP_288,"OK","差異")</f>
        <v>差異</v>
      </c>
      <c r="H238" s="19" t="n">
        <f aca="false">J69</f>
        <v>3.19614652405602</v>
      </c>
      <c r="I238" s="26" t="n">
        <f aca="false">(H238-D238)/D238</f>
        <v>-0.034396820526883</v>
      </c>
    </row>
    <row r="239" customFormat="false" ht="15" hidden="false" customHeight="false" outlineLevel="0" collapsed="false">
      <c r="A239" s="9" t="s">
        <v>3498</v>
      </c>
      <c r="B239" s="9" t="s">
        <v>3499</v>
      </c>
      <c r="C239" s="9" t="s">
        <v>3500</v>
      </c>
      <c r="D239" s="2" t="n">
        <v>6400</v>
      </c>
      <c r="E239" s="23" t="n">
        <f aca="false">E85</f>
        <v>6444.21115385146</v>
      </c>
      <c r="F239" s="26" t="n">
        <f aca="false">(E239-D239)/D239</f>
        <v>0.00690799278928992</v>
      </c>
      <c r="G239" s="9" t="str">
        <f aca="false">IF(ABS(F239)&lt;=INP_288,"OK","差異")</f>
        <v>差異</v>
      </c>
      <c r="H239" s="23" t="n">
        <f aca="false">E58</f>
        <v>6444.21115385146</v>
      </c>
      <c r="I239" s="26" t="n">
        <f aca="false">(H239-D239)/D239</f>
        <v>0.00690799278928992</v>
      </c>
      <c r="P239" s="2" t="s">
        <v>3501</v>
      </c>
    </row>
    <row r="241" customFormat="false" ht="15" hidden="false" customHeight="false" outlineLevel="0" collapsed="false">
      <c r="B241" s="7" t="s">
        <v>3502</v>
      </c>
      <c r="C241" s="8" t="s">
        <v>46</v>
      </c>
      <c r="D241" s="8" t="s">
        <v>3503</v>
      </c>
      <c r="E241" s="8" t="s">
        <v>3504</v>
      </c>
      <c r="F241" s="8" t="s">
        <v>3466</v>
      </c>
      <c r="G241" s="8" t="s">
        <v>3505</v>
      </c>
      <c r="H241" s="8" t="s">
        <v>3506</v>
      </c>
    </row>
    <row r="242" customFormat="false" ht="15" hidden="false" customHeight="false" outlineLevel="0" collapsed="false">
      <c r="A242" s="9" t="s">
        <v>3507</v>
      </c>
      <c r="B242" s="9" t="s">
        <v>3508</v>
      </c>
      <c r="C242" s="10" t="s">
        <v>560</v>
      </c>
      <c r="D242" s="27" t="n">
        <v>1.239</v>
      </c>
      <c r="E242" s="19" t="n">
        <f aca="false">D64</f>
        <v>1.2390372618626</v>
      </c>
      <c r="F242" s="26" t="n">
        <f aca="false">(E242-D242)/D242</f>
        <v>3.00741425354684E-005</v>
      </c>
      <c r="G242" s="9" t="str">
        <f aca="false">IF(ABS(F242)&lt;=INP_307,"OK","差異")</f>
        <v>OK</v>
      </c>
      <c r="H242" s="12" t="s">
        <v>3509</v>
      </c>
    </row>
    <row r="243" customFormat="false" ht="15" hidden="false" customHeight="false" outlineLevel="0" collapsed="false">
      <c r="A243" s="9" t="s">
        <v>3510</v>
      </c>
      <c r="B243" s="9" t="s">
        <v>3511</v>
      </c>
      <c r="C243" s="10" t="s">
        <v>560</v>
      </c>
      <c r="D243" s="27" t="n">
        <v>1.118</v>
      </c>
      <c r="E243" s="19" t="n">
        <f aca="false">E64</f>
        <v>1.11791590049691</v>
      </c>
      <c r="F243" s="26" t="n">
        <f aca="false">(E243-D243)/D243</f>
        <v>-7.52231691335376E-005</v>
      </c>
      <c r="G243" s="9" t="str">
        <f aca="false">IF(ABS(F243)&lt;=INP_307,"OK","差異")</f>
        <v>OK</v>
      </c>
      <c r="H243" s="12" t="s">
        <v>3512</v>
      </c>
    </row>
    <row r="244" customFormat="false" ht="15" hidden="false" customHeight="false" outlineLevel="0" collapsed="false">
      <c r="A244" s="9" t="s">
        <v>3513</v>
      </c>
      <c r="B244" s="10" t="s">
        <v>3514</v>
      </c>
      <c r="C244" s="9" t="s">
        <v>375</v>
      </c>
      <c r="D244" s="27" t="n">
        <v>2.1669</v>
      </c>
      <c r="E244" s="19" t="n">
        <f aca="false">E21</f>
        <v>2.16690140475147</v>
      </c>
      <c r="F244" s="26" t="n">
        <f aca="false">(E244-D244)/D244</f>
        <v>6.4827701654387E-007</v>
      </c>
      <c r="G244" s="9" t="str">
        <f aca="false">IF(ABS(F244)&lt;=INP_307,"OK","差異")</f>
        <v>OK</v>
      </c>
      <c r="H244" s="12" t="s">
        <v>3515</v>
      </c>
    </row>
    <row r="245" customFormat="false" ht="15" hidden="false" customHeight="false" outlineLevel="0" collapsed="false">
      <c r="A245" s="9" t="s">
        <v>3516</v>
      </c>
      <c r="B245" s="10" t="s">
        <v>3517</v>
      </c>
      <c r="C245" s="9" t="s">
        <v>375</v>
      </c>
      <c r="D245" s="27" t="n">
        <v>2.8837</v>
      </c>
      <c r="E245" s="19" t="n">
        <f aca="false">E22</f>
        <v>2.88370909377572</v>
      </c>
      <c r="F245" s="26" t="n">
        <f aca="false">(E245-D245)/D245</f>
        <v>3.15350962875857E-006</v>
      </c>
      <c r="G245" s="9" t="str">
        <f aca="false">IF(ABS(F245)&lt;=INP_307,"OK","差異")</f>
        <v>OK</v>
      </c>
      <c r="H245" s="12" t="s">
        <v>3518</v>
      </c>
    </row>
    <row r="246" customFormat="false" ht="15" hidden="false" customHeight="false" outlineLevel="0" collapsed="false">
      <c r="A246" s="9" t="s">
        <v>3519</v>
      </c>
      <c r="B246" s="10" t="s">
        <v>3520</v>
      </c>
      <c r="C246" s="9" t="s">
        <v>375</v>
      </c>
      <c r="D246" s="27" t="n">
        <v>4.1196</v>
      </c>
      <c r="E246" s="19" t="n">
        <f aca="false">E23</f>
        <v>4.1195844196796</v>
      </c>
      <c r="F246" s="26" t="n">
        <f aca="false">(E246-D246)/D246</f>
        <v>-3.78199835066121E-006</v>
      </c>
      <c r="G246" s="9" t="str">
        <f aca="false">IF(ABS(F246)&lt;=INP_307,"OK","差異")</f>
        <v>OK</v>
      </c>
      <c r="H246" s="12" t="s">
        <v>3521</v>
      </c>
    </row>
    <row r="247" customFormat="false" ht="15" hidden="false" customHeight="false" outlineLevel="0" collapsed="false">
      <c r="A247" s="9" t="s">
        <v>3522</v>
      </c>
      <c r="B247" s="10" t="s">
        <v>3523</v>
      </c>
      <c r="C247" s="9" t="s">
        <v>375</v>
      </c>
      <c r="D247" s="27" t="n">
        <v>2.4014</v>
      </c>
      <c r="E247" s="19" t="n">
        <f aca="false">D21</f>
        <v>2.40167581664781</v>
      </c>
      <c r="F247" s="26" t="n">
        <f aca="false">(E247-D247)/D247</f>
        <v>0.00011485660356767</v>
      </c>
      <c r="G247" s="9" t="str">
        <f aca="false">IF(ABS(F247)&lt;=INP_307,"OK","差異")</f>
        <v>OK</v>
      </c>
      <c r="H247" s="12" t="s">
        <v>3524</v>
      </c>
    </row>
    <row r="248" customFormat="false" ht="15" hidden="false" customHeight="false" outlineLevel="0" collapsed="false">
      <c r="A248" s="9" t="s">
        <v>3525</v>
      </c>
      <c r="B248" s="10" t="s">
        <v>3526</v>
      </c>
      <c r="C248" s="9" t="s">
        <v>375</v>
      </c>
      <c r="D248" s="27" t="n">
        <v>3.1958</v>
      </c>
      <c r="E248" s="19" t="n">
        <f aca="false">D22</f>
        <v>3.19614652405602</v>
      </c>
      <c r="F248" s="26" t="n">
        <f aca="false">(E248-D248)/D248</f>
        <v>0.000108431083302211</v>
      </c>
      <c r="G248" s="9" t="str">
        <f aca="false">IF(ABS(F248)&lt;=INP_307,"OK","差異")</f>
        <v>OK</v>
      </c>
      <c r="H248" s="12" t="s">
        <v>3527</v>
      </c>
    </row>
    <row r="249" customFormat="false" ht="15" hidden="false" customHeight="false" outlineLevel="0" collapsed="false">
      <c r="A249" s="9" t="s">
        <v>3528</v>
      </c>
      <c r="B249" s="10" t="s">
        <v>3529</v>
      </c>
      <c r="C249" s="9" t="s">
        <v>375</v>
      </c>
      <c r="D249" s="27" t="n">
        <v>4.5654</v>
      </c>
      <c r="E249" s="19" t="n">
        <f aca="false">D23</f>
        <v>4.56592360579431</v>
      </c>
      <c r="F249" s="26" t="n">
        <f aca="false">(E249-D249)/D249</f>
        <v>0.000114690014962566</v>
      </c>
      <c r="G249" s="9" t="str">
        <f aca="false">IF(ABS(F249)&lt;=INP_307,"OK","差異")</f>
        <v>OK</v>
      </c>
      <c r="H249" s="12" t="s">
        <v>3530</v>
      </c>
    </row>
    <row r="250" customFormat="false" ht="15" hidden="false" customHeight="false" outlineLevel="0" collapsed="false">
      <c r="A250" s="9" t="s">
        <v>3531</v>
      </c>
      <c r="B250" s="10" t="s">
        <v>3532</v>
      </c>
      <c r="C250" s="9" t="s">
        <v>375</v>
      </c>
      <c r="D250" s="27" t="n">
        <v>1.9218</v>
      </c>
      <c r="E250" s="19" t="n">
        <f aca="false">F21</f>
        <v>1.92188373891874</v>
      </c>
      <c r="F250" s="26" t="n">
        <f aca="false">(E250-D250)/D250</f>
        <v>4.35731703309537E-005</v>
      </c>
      <c r="G250" s="9" t="str">
        <f aca="false">IF(ABS(F250)&lt;=INP_307,"OK","差異")</f>
        <v>OK</v>
      </c>
      <c r="H250" s="12" t="s">
        <v>3533</v>
      </c>
    </row>
    <row r="251" customFormat="false" ht="15" hidden="false" customHeight="false" outlineLevel="0" collapsed="false">
      <c r="A251" s="9" t="s">
        <v>3534</v>
      </c>
      <c r="B251" s="10" t="s">
        <v>3535</v>
      </c>
      <c r="C251" s="9" t="s">
        <v>375</v>
      </c>
      <c r="D251" s="27" t="n">
        <v>2.5575</v>
      </c>
      <c r="E251" s="19" t="n">
        <f aca="false">F22</f>
        <v>2.55763995673597</v>
      </c>
      <c r="F251" s="26" t="n">
        <f aca="false">(E251-D251)/D251</f>
        <v>5.47240414342586E-005</v>
      </c>
      <c r="G251" s="9" t="str">
        <f aca="false">IF(ABS(F251)&lt;=INP_307,"OK","差異")</f>
        <v>OK</v>
      </c>
      <c r="H251" s="12" t="s">
        <v>3536</v>
      </c>
    </row>
    <row r="252" customFormat="false" ht="15" hidden="false" customHeight="false" outlineLevel="0" collapsed="false">
      <c r="A252" s="9" t="s">
        <v>3537</v>
      </c>
      <c r="B252" s="10" t="s">
        <v>3538</v>
      </c>
      <c r="C252" s="9" t="s">
        <v>375</v>
      </c>
      <c r="D252" s="27" t="n">
        <v>3.6536</v>
      </c>
      <c r="E252" s="19" t="n">
        <f aca="false">F23</f>
        <v>3.65377136676567</v>
      </c>
      <c r="F252" s="26" t="n">
        <f aca="false">(E252-D252)/D252</f>
        <v>4.69035377898149E-005</v>
      </c>
      <c r="G252" s="9" t="str">
        <f aca="false">IF(ABS(F252)&lt;=INP_307,"OK","差異")</f>
        <v>OK</v>
      </c>
      <c r="H252" s="12" t="s">
        <v>3539</v>
      </c>
    </row>
    <row r="253" customFormat="false" ht="15" hidden="false" customHeight="false" outlineLevel="0" collapsed="false">
      <c r="A253" s="9" t="s">
        <v>3540</v>
      </c>
      <c r="B253" s="10" t="s">
        <v>3541</v>
      </c>
      <c r="C253" s="10" t="s">
        <v>560</v>
      </c>
      <c r="D253" s="27" t="n">
        <v>0.959</v>
      </c>
      <c r="E253" s="19" t="n">
        <f aca="false">E15</f>
        <v>0.958805931305959</v>
      </c>
      <c r="F253" s="26" t="n">
        <f aca="false">(E253-D253)/D253</f>
        <v>-0.000202365687216933</v>
      </c>
      <c r="G253" s="9" t="str">
        <f aca="false">IF(ABS(F253)&lt;=INP_307,"OK","差異")</f>
        <v>OK</v>
      </c>
      <c r="H253" s="12" t="s">
        <v>3542</v>
      </c>
    </row>
    <row r="254" customFormat="false" ht="15" hidden="false" customHeight="false" outlineLevel="0" collapsed="false">
      <c r="A254" s="9" t="s">
        <v>3543</v>
      </c>
      <c r="B254" s="10" t="s">
        <v>3544</v>
      </c>
      <c r="C254" s="10" t="s">
        <v>560</v>
      </c>
      <c r="D254" s="28" t="n">
        <v>0.96</v>
      </c>
      <c r="E254" s="20" t="n">
        <f aca="false">E16</f>
        <v>0.961236364591905</v>
      </c>
      <c r="F254" s="26" t="n">
        <f aca="false">(E254-D254)/D254</f>
        <v>0.00128787978323485</v>
      </c>
      <c r="G254" s="9" t="str">
        <f aca="false">IF(ABS(F254)&lt;=INP_307,"OK","差異")</f>
        <v>OK</v>
      </c>
      <c r="H254" s="2" t="s">
        <v>3545</v>
      </c>
    </row>
    <row r="255" customFormat="false" ht="15" hidden="false" customHeight="false" outlineLevel="0" collapsed="false">
      <c r="A255" s="9" t="s">
        <v>3546</v>
      </c>
      <c r="B255" s="10" t="s">
        <v>3547</v>
      </c>
      <c r="C255" s="10" t="s">
        <v>560</v>
      </c>
      <c r="D255" s="28" t="n">
        <v>0.9</v>
      </c>
      <c r="E255" s="20" t="n">
        <f aca="false">E17</f>
        <v>0.89556183036513</v>
      </c>
      <c r="F255" s="26" t="n">
        <f aca="false">(E255-D255)/D255</f>
        <v>-0.0049312995943006</v>
      </c>
      <c r="G255" s="9" t="str">
        <f aca="false">IF(ABS(F255)&lt;=INP_307,"OK","差異")</f>
        <v>OK</v>
      </c>
      <c r="H255" s="2" t="s">
        <v>3548</v>
      </c>
    </row>
    <row r="256" customFormat="false" ht="15" hidden="false" customHeight="false" outlineLevel="0" collapsed="false">
      <c r="A256" s="9" t="s">
        <v>3549</v>
      </c>
      <c r="B256" s="9" t="s">
        <v>3550</v>
      </c>
      <c r="C256" s="10" t="s">
        <v>560</v>
      </c>
      <c r="D256" s="27" t="n">
        <v>0.98249</v>
      </c>
      <c r="E256" s="19" t="n">
        <f aca="false">F267</f>
        <v>0.980498373190709</v>
      </c>
      <c r="F256" s="26" t="n">
        <f aca="false">(E256-D256)/D256</f>
        <v>-0.00202712171044081</v>
      </c>
      <c r="G256" s="9" t="str">
        <f aca="false">IF(ABS(F256)&lt;=INP_307,"OK","差異")</f>
        <v>OK</v>
      </c>
      <c r="H256" s="12" t="s">
        <v>3551</v>
      </c>
    </row>
    <row r="257" customFormat="false" ht="15" hidden="false" customHeight="false" outlineLevel="0" collapsed="false">
      <c r="A257" s="9" t="s">
        <v>3552</v>
      </c>
      <c r="B257" s="9" t="s">
        <v>3553</v>
      </c>
      <c r="C257" s="10" t="s">
        <v>560</v>
      </c>
      <c r="D257" s="27" t="n">
        <v>0.90648</v>
      </c>
      <c r="E257" s="19" t="n">
        <f aca="false">F268</f>
        <v>0.906653307427392</v>
      </c>
      <c r="F257" s="26" t="n">
        <f aca="false">(E257-D257)/D257</f>
        <v>0.000191187259941838</v>
      </c>
      <c r="G257" s="9" t="str">
        <f aca="false">IF(ABS(F257)&lt;=INP_307,"OK","差異")</f>
        <v>OK</v>
      </c>
      <c r="H257" s="12" t="s">
        <v>3554</v>
      </c>
    </row>
    <row r="258" customFormat="false" ht="15" hidden="false" customHeight="false" outlineLevel="0" collapsed="false">
      <c r="A258" s="9" t="s">
        <v>3555</v>
      </c>
      <c r="B258" s="9" t="s">
        <v>3556</v>
      </c>
      <c r="C258" s="10" t="s">
        <v>560</v>
      </c>
      <c r="D258" s="27" t="n">
        <v>0.92599</v>
      </c>
      <c r="E258" s="19" t="n">
        <f aca="false">F269</f>
        <v>0.926026241346781</v>
      </c>
      <c r="F258" s="26" t="n">
        <f aca="false">(E258-D258)/D258</f>
        <v>3.91379461774087E-005</v>
      </c>
      <c r="G258" s="9" t="str">
        <f aca="false">IF(ABS(F258)&lt;=INP_307,"OK","差異")</f>
        <v>OK</v>
      </c>
      <c r="H258" s="12" t="s">
        <v>3557</v>
      </c>
    </row>
    <row r="259" customFormat="false" ht="15" hidden="false" customHeight="false" outlineLevel="0" collapsed="false">
      <c r="A259" s="9" t="s">
        <v>3558</v>
      </c>
      <c r="B259" s="9" t="s">
        <v>3559</v>
      </c>
      <c r="C259" s="10" t="s">
        <v>560</v>
      </c>
      <c r="D259" s="27" t="n">
        <v>0.83742</v>
      </c>
      <c r="E259" s="19" t="n">
        <f aca="false">F270</f>
        <v>0.83664146901601</v>
      </c>
      <c r="F259" s="26" t="n">
        <f aca="false">(E259-D259)/D259</f>
        <v>-0.000929678039680938</v>
      </c>
      <c r="G259" s="9" t="str">
        <f aca="false">IF(ABS(F259)&lt;=INP_307,"OK","差異")</f>
        <v>OK</v>
      </c>
      <c r="H259" s="12" t="s">
        <v>3560</v>
      </c>
    </row>
    <row r="260" customFormat="false" ht="15" hidden="false" customHeight="false" outlineLevel="0" collapsed="false">
      <c r="A260" s="9" t="s">
        <v>3561</v>
      </c>
      <c r="B260" s="9" t="s">
        <v>3562</v>
      </c>
      <c r="C260" s="10" t="s">
        <v>560</v>
      </c>
      <c r="D260" s="27" t="n">
        <v>0.85707</v>
      </c>
      <c r="E260" s="19" t="n">
        <f aca="false">F271</f>
        <v>0.856482768676469</v>
      </c>
      <c r="F260" s="26" t="n">
        <f aca="false">(E260-D260)/D260</f>
        <v>-0.000685161449508988</v>
      </c>
      <c r="G260" s="9" t="str">
        <f aca="false">IF(ABS(F260)&lt;=INP_307,"OK","差異")</f>
        <v>OK</v>
      </c>
      <c r="H260" s="12" t="s">
        <v>3563</v>
      </c>
    </row>
    <row r="261" customFormat="false" ht="15" hidden="false" customHeight="false" outlineLevel="0" collapsed="false">
      <c r="A261" s="9" t="s">
        <v>3564</v>
      </c>
      <c r="B261" s="9" t="s">
        <v>3565</v>
      </c>
      <c r="C261" s="10" t="s">
        <v>560</v>
      </c>
      <c r="D261" s="27" t="n">
        <v>0.76092</v>
      </c>
      <c r="E261" s="19" t="n">
        <f aca="false">F272</f>
        <v>0.760316282368936</v>
      </c>
      <c r="F261" s="26" t="n">
        <f aca="false">(E261-D261)/D261</f>
        <v>-0.000793404866561872</v>
      </c>
      <c r="G261" s="9" t="str">
        <f aca="false">IF(ABS(F261)&lt;=INP_307,"OK","差異")</f>
        <v>OK</v>
      </c>
      <c r="H261" s="12" t="s">
        <v>3566</v>
      </c>
    </row>
    <row r="262" customFormat="false" ht="15" hidden="false" customHeight="false" outlineLevel="0" collapsed="false">
      <c r="A262" s="9" t="s">
        <v>3567</v>
      </c>
      <c r="B262" s="9" t="s">
        <v>3568</v>
      </c>
      <c r="C262" s="10" t="s">
        <v>560</v>
      </c>
      <c r="D262" s="27" t="n">
        <v>1.2541</v>
      </c>
      <c r="E262" s="19" t="n">
        <f aca="false">E278</f>
        <v>1.25891430236138</v>
      </c>
      <c r="F262" s="26" t="n">
        <f aca="false">(E262-D262)/D262</f>
        <v>0.00383885045959956</v>
      </c>
      <c r="G262" s="9" t="str">
        <f aca="false">IF(ABS(F262)&lt;=INP_307,"OK","差異")</f>
        <v>OK</v>
      </c>
      <c r="H262" s="12" t="s">
        <v>3569</v>
      </c>
    </row>
    <row r="263" customFormat="false" ht="15" hidden="false" customHeight="false" outlineLevel="0" collapsed="false">
      <c r="A263" s="9" t="s">
        <v>3570</v>
      </c>
      <c r="B263" s="9" t="s">
        <v>3571</v>
      </c>
      <c r="C263" s="10" t="s">
        <v>560</v>
      </c>
      <c r="D263" s="27" t="n">
        <v>1.3182</v>
      </c>
      <c r="E263" s="19" t="n">
        <f aca="false">E279</f>
        <v>1.31829705247277</v>
      </c>
      <c r="F263" s="26" t="n">
        <f aca="false">(E263-D263)/D263</f>
        <v>7.3624998308239E-005</v>
      </c>
      <c r="G263" s="9" t="str">
        <f aca="false">IF(ABS(F263)&lt;=INP_307,"OK","差異")</f>
        <v>OK</v>
      </c>
      <c r="H263" s="12" t="s">
        <v>3572</v>
      </c>
    </row>
    <row r="264" customFormat="false" ht="15" hidden="false" customHeight="false" outlineLevel="0" collapsed="false">
      <c r="A264" s="9" t="s">
        <v>3573</v>
      </c>
      <c r="B264" s="10" t="s">
        <v>3574</v>
      </c>
      <c r="C264" s="9"/>
      <c r="E264" s="9" t="n">
        <f aca="false">COUNTIF(G242:G263,"差異")</f>
        <v>0</v>
      </c>
      <c r="P264" s="2" t="s">
        <v>3575</v>
      </c>
    </row>
    <row r="265" customFormat="false" ht="15" hidden="false" customHeight="false" outlineLevel="0" collapsed="false">
      <c r="A265" s="15" t="s">
        <v>3576</v>
      </c>
    </row>
    <row r="266" customFormat="false" ht="29.85" hidden="false" customHeight="false" outlineLevel="0" collapsed="false">
      <c r="B266" s="7" t="s">
        <v>3577</v>
      </c>
      <c r="C266" s="8" t="s">
        <v>46</v>
      </c>
      <c r="D266" s="7" t="s">
        <v>3578</v>
      </c>
      <c r="E266" s="8" t="s">
        <v>3579</v>
      </c>
      <c r="F266" s="8" t="s">
        <v>3580</v>
      </c>
      <c r="G266" s="8" t="s">
        <v>3581</v>
      </c>
    </row>
    <row r="267" customFormat="false" ht="15" hidden="false" customHeight="false" outlineLevel="0" collapsed="false">
      <c r="A267" s="9" t="s">
        <v>3582</v>
      </c>
      <c r="B267" s="10" t="s">
        <v>3583</v>
      </c>
      <c r="C267" s="9" t="s">
        <v>375</v>
      </c>
      <c r="D267" s="20" t="n">
        <f aca="false">INP_295</f>
        <v>2.21</v>
      </c>
      <c r="E267" s="19" t="n">
        <f aca="false">$G$61/(D267*$G$54)</f>
        <v>1.21487401957895</v>
      </c>
      <c r="F267" s="19" t="n">
        <f aca="false">E267/PXQ_Ratio2025Sel</f>
        <v>0.980498373190709</v>
      </c>
      <c r="G267" s="19" t="n">
        <f aca="false">$G$213/(D267*$G$54)/PXQ_Ratio2025Sel</f>
        <v>0.999139026673422</v>
      </c>
      <c r="P267" s="12" t="s">
        <v>3584</v>
      </c>
    </row>
    <row r="268" customFormat="false" ht="15" hidden="false" customHeight="false" outlineLevel="0" collapsed="false">
      <c r="A268" s="9" t="s">
        <v>3585</v>
      </c>
      <c r="B268" s="10" t="s">
        <v>3586</v>
      </c>
      <c r="C268" s="9" t="s">
        <v>375</v>
      </c>
      <c r="D268" s="20" t="n">
        <f aca="false">INP_296</f>
        <v>2.39</v>
      </c>
      <c r="E268" s="19" t="n">
        <f aca="false">$G$61/(D268*$G$54)</f>
        <v>1.12337723149351</v>
      </c>
      <c r="F268" s="19" t="n">
        <f aca="false">E268/PXQ_Ratio2025Sel</f>
        <v>0.906653307427392</v>
      </c>
      <c r="G268" s="19" t="n">
        <f aca="false">$G$213/(D268*$G$54)/PXQ_Ratio2025Sel</f>
        <v>0.923890062321449</v>
      </c>
      <c r="P268" s="12" t="s">
        <v>3587</v>
      </c>
    </row>
    <row r="269" customFormat="false" ht="15" hidden="false" customHeight="false" outlineLevel="0" collapsed="false">
      <c r="A269" s="9" t="s">
        <v>3588</v>
      </c>
      <c r="B269" s="10" t="s">
        <v>3589</v>
      </c>
      <c r="C269" s="9" t="s">
        <v>375</v>
      </c>
      <c r="D269" s="20" t="n">
        <f aca="false">INP_297</f>
        <v>2.34</v>
      </c>
      <c r="E269" s="19" t="n">
        <f aca="false">$G$61/(D269*$G$54)</f>
        <v>1.14738101849123</v>
      </c>
      <c r="F269" s="19" t="n">
        <f aca="false">E269/PXQ_Ratio2025Sel</f>
        <v>0.926026241346781</v>
      </c>
      <c r="G269" s="19" t="n">
        <f aca="false">$G$213/(D269*$G$54)/PXQ_Ratio2025Sel</f>
        <v>0.943631302969343</v>
      </c>
      <c r="P269" s="12" t="s">
        <v>3590</v>
      </c>
    </row>
    <row r="270" customFormat="false" ht="15" hidden="false" customHeight="false" outlineLevel="0" collapsed="false">
      <c r="A270" s="9" t="s">
        <v>3591</v>
      </c>
      <c r="B270" s="10" t="s">
        <v>3592</v>
      </c>
      <c r="C270" s="9" t="s">
        <v>375</v>
      </c>
      <c r="D270" s="20" t="n">
        <f aca="false">INP_298</f>
        <v>2.59</v>
      </c>
      <c r="E270" s="19" t="n">
        <f aca="false">$G$61/(D270*$G$54)</f>
        <v>1.0366299549303</v>
      </c>
      <c r="F270" s="19" t="n">
        <f aca="false">E270/PXQ_Ratio2025Sel</f>
        <v>0.83664146901601</v>
      </c>
      <c r="G270" s="19" t="n">
        <f aca="false">$G$213/(D270*$G$54)/PXQ_Ratio2025Sel</f>
        <v>0.852547200366125</v>
      </c>
      <c r="P270" s="12" t="s">
        <v>3593</v>
      </c>
    </row>
    <row r="271" customFormat="false" ht="15" hidden="false" customHeight="false" outlineLevel="0" collapsed="false">
      <c r="A271" s="9" t="s">
        <v>3594</v>
      </c>
      <c r="B271" s="10" t="s">
        <v>3595</v>
      </c>
      <c r="C271" s="9" t="s">
        <v>375</v>
      </c>
      <c r="D271" s="20" t="n">
        <f aca="false">INP_299</f>
        <v>2.53</v>
      </c>
      <c r="E271" s="19" t="n">
        <f aca="false">$G$61/(D271*$G$54)</f>
        <v>1.06121406453339</v>
      </c>
      <c r="F271" s="19" t="n">
        <f aca="false">E271/PXQ_Ratio2025Sel</f>
        <v>0.856482768676469</v>
      </c>
      <c r="G271" s="19" t="n">
        <f aca="false">$G$213/(D271*$G$54)/PXQ_Ratio2025Sel</f>
        <v>0.872765711046744</v>
      </c>
      <c r="P271" s="12" t="s">
        <v>3596</v>
      </c>
    </row>
    <row r="272" customFormat="false" ht="15" hidden="false" customHeight="false" outlineLevel="0" collapsed="false">
      <c r="A272" s="9" t="s">
        <v>3597</v>
      </c>
      <c r="B272" s="10" t="s">
        <v>3598</v>
      </c>
      <c r="C272" s="9" t="s">
        <v>375</v>
      </c>
      <c r="D272" s="20" t="n">
        <f aca="false">INP_300</f>
        <v>2.85</v>
      </c>
      <c r="E272" s="19" t="n">
        <f aca="false">$G$61/(D272*$G$54)</f>
        <v>0.942060204655959</v>
      </c>
      <c r="F272" s="19" t="n">
        <f aca="false">E272/PXQ_Ratio2025Sel</f>
        <v>0.760316282368936</v>
      </c>
      <c r="G272" s="19" t="n">
        <f aca="false">$G$213/(D272*$G$54)/PXQ_Ratio2025Sel</f>
        <v>0.77477096454325</v>
      </c>
      <c r="P272" s="12" t="s">
        <v>3599</v>
      </c>
    </row>
    <row r="273" customFormat="false" ht="15" hidden="false" customHeight="false" outlineLevel="0" collapsed="false">
      <c r="A273" s="9" t="s">
        <v>3600</v>
      </c>
      <c r="B273" s="10" t="s">
        <v>3601</v>
      </c>
      <c r="C273" s="9"/>
      <c r="D273" s="20" t="n">
        <f aca="false">MIN(D267:D272)</f>
        <v>2.21</v>
      </c>
      <c r="F273" s="20" t="n">
        <f aca="false">MIN(F267:F272)</f>
        <v>0.760316282368936</v>
      </c>
      <c r="G273" s="20" t="n">
        <f aca="false">MIN(G267:G272)</f>
        <v>0.77477096454325</v>
      </c>
      <c r="P273" s="2" t="s">
        <v>3602</v>
      </c>
    </row>
    <row r="274" customFormat="false" ht="15" hidden="false" customHeight="false" outlineLevel="0" collapsed="false">
      <c r="A274" s="9" t="s">
        <v>3603</v>
      </c>
      <c r="B274" s="10" t="s">
        <v>3604</v>
      </c>
      <c r="C274" s="9"/>
      <c r="D274" s="20" t="n">
        <f aca="false">MAX(D267:D272)</f>
        <v>2.85</v>
      </c>
      <c r="F274" s="20" t="n">
        <f aca="false">MAX(F267:F272)</f>
        <v>0.980498373190709</v>
      </c>
      <c r="G274" s="20" t="n">
        <f aca="false">MAX(G267:G272)</f>
        <v>0.999139026673422</v>
      </c>
      <c r="P274" s="2"/>
    </row>
    <row r="275" customFormat="false" ht="15" hidden="false" customHeight="false" outlineLevel="0" collapsed="false">
      <c r="B275" s="12" t="s">
        <v>3605</v>
      </c>
    </row>
    <row r="277" customFormat="false" ht="29.85" hidden="false" customHeight="false" outlineLevel="0" collapsed="false">
      <c r="B277" s="7" t="s">
        <v>3606</v>
      </c>
      <c r="C277" s="8" t="s">
        <v>46</v>
      </c>
      <c r="D277" s="7" t="s">
        <v>3607</v>
      </c>
      <c r="E277" s="7" t="s">
        <v>3608</v>
      </c>
      <c r="F277" s="8" t="s">
        <v>3609</v>
      </c>
    </row>
    <row r="278" customFormat="false" ht="15" hidden="false" customHeight="false" outlineLevel="0" collapsed="false">
      <c r="A278" s="9" t="s">
        <v>3610</v>
      </c>
      <c r="B278" s="9" t="s">
        <v>3611</v>
      </c>
      <c r="C278" s="9" t="s">
        <v>375</v>
      </c>
      <c r="D278" s="20" t="n">
        <f aca="false">INP_301</f>
        <v>1.11</v>
      </c>
      <c r="E278" s="19" t="n">
        <f aca="false">$D$61/(D278*$D$54)</f>
        <v>1.25891430236138</v>
      </c>
      <c r="F278" s="19" t="n">
        <f aca="false">E278/$D$64</f>
        <v>1.01604232666006</v>
      </c>
      <c r="P278" s="12" t="s">
        <v>3612</v>
      </c>
    </row>
    <row r="279" customFormat="false" ht="15" hidden="false" customHeight="false" outlineLevel="0" collapsed="false">
      <c r="A279" s="9" t="s">
        <v>3613</v>
      </c>
      <c r="B279" s="9" t="s">
        <v>3614</v>
      </c>
      <c r="C279" s="9" t="s">
        <v>375</v>
      </c>
      <c r="D279" s="20" t="n">
        <f aca="false">INP_302</f>
        <v>1.06</v>
      </c>
      <c r="E279" s="19" t="n">
        <f aca="false">$D$61/(D279*$D$54)</f>
        <v>1.31829705247277</v>
      </c>
      <c r="F279" s="19" t="n">
        <f aca="false">E279/$D$64</f>
        <v>1.06396885150251</v>
      </c>
      <c r="P279" s="12" t="s">
        <v>3612</v>
      </c>
    </row>
    <row r="280" customFormat="false" ht="15" hidden="false" customHeight="false" outlineLevel="0" collapsed="false">
      <c r="A280" s="9" t="s">
        <v>3615</v>
      </c>
      <c r="B280" s="9" t="s">
        <v>3616</v>
      </c>
      <c r="C280" s="10" t="s">
        <v>560</v>
      </c>
      <c r="E280" s="19" t="n">
        <f aca="false">INP_303</f>
        <v>1.397</v>
      </c>
      <c r="P280" s="12" t="s">
        <v>3617</v>
      </c>
    </row>
    <row r="281" customFormat="false" ht="15" hidden="false" customHeight="false" outlineLevel="0" collapsed="false">
      <c r="A281" s="15" t="s">
        <v>3618</v>
      </c>
    </row>
    <row r="282" customFormat="false" ht="58.2" hidden="false" customHeight="false" outlineLevel="0" collapsed="false">
      <c r="B282" s="7" t="s">
        <v>3619</v>
      </c>
      <c r="C282" s="8" t="s">
        <v>46</v>
      </c>
      <c r="D282" s="7" t="s">
        <v>3620</v>
      </c>
      <c r="E282" s="7" t="s">
        <v>3621</v>
      </c>
      <c r="F282" s="7" t="s">
        <v>3622</v>
      </c>
    </row>
    <row r="283" customFormat="false" ht="15" hidden="false" customHeight="false" outlineLevel="0" collapsed="false">
      <c r="A283" s="9" t="s">
        <v>3623</v>
      </c>
      <c r="B283" s="10" t="s">
        <v>3624</v>
      </c>
      <c r="C283" s="9" t="s">
        <v>375</v>
      </c>
      <c r="D283" s="19" t="n">
        <f aca="false">INP_297</f>
        <v>2.34</v>
      </c>
      <c r="E283" s="19" t="n">
        <f aca="false">INP_297</f>
        <v>2.34</v>
      </c>
      <c r="F283" s="19" t="n">
        <f aca="false">$G$46</f>
        <v>2.26</v>
      </c>
      <c r="P283" s="12" t="s">
        <v>3625</v>
      </c>
    </row>
    <row r="284" customFormat="false" ht="15" hidden="false" customHeight="false" outlineLevel="0" collapsed="false">
      <c r="A284" s="9" t="s">
        <v>3626</v>
      </c>
      <c r="B284" s="10" t="s">
        <v>3627</v>
      </c>
      <c r="C284" s="9" t="s">
        <v>1014</v>
      </c>
      <c r="D284" s="21" t="n">
        <f aca="false">SUMPRODUCT($G$74:$G$79,$E$39:$E$44)</f>
        <v>115966241659.343</v>
      </c>
      <c r="E284" s="21" t="n">
        <f aca="false">SUMPRODUCT($G$74:$G$79,$E$39:$E$44)</f>
        <v>115966241659.343</v>
      </c>
      <c r="F284" s="21" t="n">
        <f aca="false">SUMPRODUCT($G$47:$G$52,$E$39:$E$44)</f>
        <v>107777068652.826</v>
      </c>
      <c r="P284" s="12" t="s">
        <v>3628</v>
      </c>
    </row>
    <row r="285" customFormat="false" ht="15" hidden="false" customHeight="false" outlineLevel="0" collapsed="false">
      <c r="A285" s="9" t="s">
        <v>3629</v>
      </c>
      <c r="B285" s="10" t="s">
        <v>3630</v>
      </c>
      <c r="C285" s="10" t="s">
        <v>560</v>
      </c>
      <c r="D285" s="19" t="n">
        <f aca="false">TK_IF_ProdDerate</f>
        <v>0.85</v>
      </c>
      <c r="E285" s="19" t="n">
        <f aca="false">TK_IF_FleetProdRatio_VR200</f>
        <v>0.805795445539647</v>
      </c>
      <c r="F285" s="19" t="n">
        <f aca="false">$G$56/F284</f>
        <v>0.844728870329171</v>
      </c>
      <c r="P285" s="12" t="s">
        <v>3631</v>
      </c>
    </row>
    <row r="286" customFormat="false" ht="15" hidden="false" customHeight="false" outlineLevel="0" collapsed="false">
      <c r="A286" s="9" t="s">
        <v>3632</v>
      </c>
      <c r="B286" s="9" t="s">
        <v>3633</v>
      </c>
      <c r="C286" s="9" t="s">
        <v>836</v>
      </c>
      <c r="D286" s="21" t="n">
        <f aca="false">D283*TK_IF_ServeShare*(1-TK_IF_FreeShare)*D284*D285*TK_IF_UtilActual</f>
        <v>20937645324.9462</v>
      </c>
      <c r="E286" s="21" t="n">
        <f aca="false">E283*TK_IF_ServeShare*(1-TK_IF_FreeShare)*E284*E285*TK_IF_UtilActual</f>
        <v>19848775580.1954</v>
      </c>
      <c r="F286" s="21" t="n">
        <f aca="false">F283*TK_IF_ServeShare*(1-TK_IF_FreeShare)*F284*F285*TK_IF_UtilActual</f>
        <v>18677279465.3431</v>
      </c>
      <c r="P286" s="2" t="s">
        <v>3634</v>
      </c>
    </row>
    <row r="287" customFormat="false" ht="15" hidden="false" customHeight="false" outlineLevel="0" collapsed="false">
      <c r="A287" s="9" t="s">
        <v>3635</v>
      </c>
      <c r="B287" s="10" t="s">
        <v>3636</v>
      </c>
      <c r="C287" s="10" t="s">
        <v>120</v>
      </c>
      <c r="D287" s="24" t="n">
        <f aca="false">(D286-$G$84*D283/$G$46)/($G$84*D283/$G$46)</f>
        <v>0</v>
      </c>
      <c r="F287" s="24" t="n">
        <f aca="false">(F286-$G$57)/$G$57</f>
        <v>0</v>
      </c>
      <c r="P287" s="12" t="s">
        <v>3637</v>
      </c>
    </row>
    <row r="288" customFormat="false" ht="15" hidden="false" customHeight="false" outlineLevel="0" collapsed="false">
      <c r="B288" s="7" t="s">
        <v>3638</v>
      </c>
      <c r="C288" s="8" t="s">
        <v>46</v>
      </c>
      <c r="D288" s="7" t="s">
        <v>3639</v>
      </c>
      <c r="E288" s="7" t="s">
        <v>3640</v>
      </c>
      <c r="F288" s="7" t="s">
        <v>3641</v>
      </c>
    </row>
    <row r="289" customFormat="false" ht="15" hidden="false" customHeight="false" outlineLevel="0" collapsed="false">
      <c r="A289" s="9" t="s">
        <v>3642</v>
      </c>
      <c r="B289" s="9" t="s">
        <v>3643</v>
      </c>
      <c r="C289" s="9" t="s">
        <v>836</v>
      </c>
      <c r="D289" s="21" t="n">
        <f aca="false">SRC_OAI_145*INP_238/INP_239*INP_254</f>
        <v>7884000000</v>
      </c>
      <c r="E289" s="21" t="n">
        <f aca="false">SRC_OAI_145*INP_238/INP_239*INP_254</f>
        <v>7884000000</v>
      </c>
      <c r="F289" s="21" t="n">
        <f aca="false">SRC_OAI_145*INP_238/INP_239*INP_254</f>
        <v>7884000000</v>
      </c>
      <c r="P289" s="12" t="s">
        <v>3644</v>
      </c>
    </row>
    <row r="290" customFormat="false" ht="15" hidden="false" customHeight="false" outlineLevel="0" collapsed="false">
      <c r="A290" s="9" t="s">
        <v>3645</v>
      </c>
      <c r="B290" s="9" t="s">
        <v>3646</v>
      </c>
      <c r="C290" s="9" t="s">
        <v>836</v>
      </c>
      <c r="D290" s="21" t="n">
        <f aca="false">INP_304*INP_305*INP_251/INP_239*INP_254*(1-INP_306)</f>
        <v>2102400000</v>
      </c>
      <c r="E290" s="21" t="n">
        <f aca="false">INP_304*INP_305*INP_251/INP_239*INP_254*(1-INP_306)</f>
        <v>2102400000</v>
      </c>
      <c r="F290" s="21" t="n">
        <f aca="false">INP_304*INP_305*INP_251/INP_239*INP_254*(1-INP_306)</f>
        <v>2102400000</v>
      </c>
      <c r="P290" s="12" t="s">
        <v>3647</v>
      </c>
    </row>
    <row r="291" customFormat="false" ht="15" hidden="false" customHeight="false" outlineLevel="0" collapsed="false">
      <c r="A291" s="9" t="s">
        <v>3648</v>
      </c>
      <c r="B291" s="10" t="s">
        <v>3649</v>
      </c>
      <c r="C291" s="9" t="s">
        <v>836</v>
      </c>
      <c r="D291" s="21" t="n">
        <f aca="false">D289+D290</f>
        <v>9986400000</v>
      </c>
      <c r="E291" s="21" t="n">
        <f aca="false">E289+E290</f>
        <v>9986400000</v>
      </c>
      <c r="F291" s="21" t="n">
        <f aca="false">F289+F290</f>
        <v>9986400000</v>
      </c>
      <c r="P291" s="2"/>
    </row>
    <row r="292" customFormat="false" ht="15" hidden="false" customHeight="false" outlineLevel="0" collapsed="false">
      <c r="B292" s="7" t="s">
        <v>3650</v>
      </c>
      <c r="C292" s="8" t="s">
        <v>46</v>
      </c>
      <c r="D292" s="7" t="s">
        <v>3639</v>
      </c>
      <c r="E292" s="7" t="s">
        <v>3640</v>
      </c>
      <c r="F292" s="7" t="s">
        <v>3641</v>
      </c>
    </row>
    <row r="293" customFormat="false" ht="15" hidden="false" customHeight="false" outlineLevel="0" collapsed="false">
      <c r="A293" s="9" t="s">
        <v>3651</v>
      </c>
      <c r="B293" s="9" t="s">
        <v>3652</v>
      </c>
      <c r="C293" s="10" t="s">
        <v>560</v>
      </c>
      <c r="D293" s="19" t="n">
        <f aca="false">D286/D291</f>
        <v>2.09661593015964</v>
      </c>
      <c r="E293" s="19" t="n">
        <f aca="false">E286/E291</f>
        <v>1.98758066772765</v>
      </c>
      <c r="F293" s="19" t="n">
        <f aca="false">F286/F291</f>
        <v>1.87027151579579</v>
      </c>
      <c r="P293" s="12" t="s">
        <v>3653</v>
      </c>
    </row>
    <row r="294" customFormat="false" ht="15" hidden="false" customHeight="false" outlineLevel="0" collapsed="false">
      <c r="A294" s="9" t="s">
        <v>3654</v>
      </c>
      <c r="B294" s="10" t="s">
        <v>3655</v>
      </c>
      <c r="C294" s="10" t="s">
        <v>560</v>
      </c>
      <c r="D294" s="20" t="n">
        <v>2.1</v>
      </c>
      <c r="E294" s="20" t="n">
        <v>1.99</v>
      </c>
      <c r="P294" s="12" t="s">
        <v>3656</v>
      </c>
    </row>
    <row r="295" customFormat="false" ht="15" hidden="false" customHeight="false" outlineLevel="0" collapsed="false">
      <c r="A295" s="9" t="s">
        <v>3657</v>
      </c>
      <c r="B295" s="10" t="s">
        <v>3466</v>
      </c>
      <c r="C295" s="9"/>
      <c r="D295" s="26" t="n">
        <f aca="false">(D293-D294)/D294</f>
        <v>-0.00161146182874465</v>
      </c>
      <c r="E295" s="26" t="n">
        <f aca="false">(E293-E294)/E294</f>
        <v>-0.0012157448604755</v>
      </c>
      <c r="P295" s="2"/>
    </row>
    <row r="296" customFormat="false" ht="15" hidden="false" customHeight="false" outlineLevel="0" collapsed="false">
      <c r="A296" s="9" t="s">
        <v>3658</v>
      </c>
      <c r="B296" s="10" t="s">
        <v>3659</v>
      </c>
      <c r="C296" s="9"/>
      <c r="D296" s="9" t="str">
        <f aca="false">IF(ABS(D295)&lt;=INP_307,"OK","差異")</f>
        <v>OK</v>
      </c>
      <c r="E296" s="9" t="str">
        <f aca="false">IF(ABS(E295)&lt;=INP_307,"OK","差異")</f>
        <v>OK</v>
      </c>
      <c r="P296" s="2"/>
    </row>
    <row r="297" customFormat="false" ht="15" hidden="false" customHeight="false" outlineLevel="0" collapsed="false">
      <c r="A297" s="9" t="s">
        <v>3660</v>
      </c>
      <c r="B297" s="9" t="s">
        <v>3661</v>
      </c>
      <c r="C297" s="10" t="s">
        <v>560</v>
      </c>
      <c r="D297" s="19" t="n">
        <f aca="false">$F$57/$F$291</f>
        <v>1.79579167667118</v>
      </c>
      <c r="E297" s="19" t="n">
        <f aca="false">$G$57/$F$291</f>
        <v>1.87027151579579</v>
      </c>
      <c r="F297" s="19" t="n">
        <f aca="false">$H$57/$F$291</f>
        <v>1.9447513549204</v>
      </c>
      <c r="P297" s="2" t="s">
        <v>3662</v>
      </c>
    </row>
    <row r="298" customFormat="false" ht="15" hidden="false" customHeight="false" outlineLevel="0" collapsed="false">
      <c r="A298" s="9" t="s">
        <v>3663</v>
      </c>
      <c r="B298" s="9" t="s">
        <v>3664</v>
      </c>
      <c r="C298" s="9"/>
      <c r="D298" s="10" t="s">
        <v>3665</v>
      </c>
      <c r="P298" s="12" t="s">
        <v>3666</v>
      </c>
    </row>
    <row r="299" customFormat="false" ht="29.85" hidden="false" customHeight="false" outlineLevel="0" collapsed="false">
      <c r="B299" s="7" t="s">
        <v>3667</v>
      </c>
      <c r="C299" s="8" t="s">
        <v>46</v>
      </c>
      <c r="D299" s="7" t="s">
        <v>3668</v>
      </c>
      <c r="E299" s="7" t="s">
        <v>3669</v>
      </c>
      <c r="F299" s="7" t="s">
        <v>3670</v>
      </c>
      <c r="G299" s="8" t="s">
        <v>3671</v>
      </c>
      <c r="H299" s="8" t="s">
        <v>3672</v>
      </c>
      <c r="I299" s="8" t="s">
        <v>3673</v>
      </c>
      <c r="J299" s="8" t="s">
        <v>3674</v>
      </c>
      <c r="K299" s="8" t="s">
        <v>3675</v>
      </c>
    </row>
    <row r="300" customFormat="false" ht="15" hidden="false" customHeight="false" outlineLevel="0" collapsed="false">
      <c r="A300" s="9" t="s">
        <v>3676</v>
      </c>
      <c r="B300" s="9" t="s">
        <v>3677</v>
      </c>
      <c r="C300" s="9" t="s">
        <v>945</v>
      </c>
      <c r="D300" s="19" t="n">
        <f aca="false">INP_304*INP_305/INP_239</f>
        <v>14.4</v>
      </c>
      <c r="E300" s="19" t="n">
        <f aca="false">INP_304*INP_305/INP_239</f>
        <v>14.4</v>
      </c>
      <c r="F300" s="19" t="n">
        <f aca="false">INP_304*INP_305/INP_239</f>
        <v>14.4</v>
      </c>
      <c r="G300" s="19" t="n">
        <v>14.4</v>
      </c>
      <c r="H300" s="19" t="n">
        <v>14.4</v>
      </c>
      <c r="I300" s="19" t="n">
        <v>14.4</v>
      </c>
      <c r="J300" s="26" t="n">
        <f aca="false">MAX(ABS((D300-G300)/G300),ABS((E300-H300)/H300),ABS((F300-I300)/I300))</f>
        <v>0</v>
      </c>
      <c r="K300" s="9" t="str">
        <f aca="false">IF(J300&lt;=INP_307,"OK","差異")</f>
        <v>OK</v>
      </c>
      <c r="P300" s="12" t="s">
        <v>3678</v>
      </c>
    </row>
    <row r="301" customFormat="false" ht="15" hidden="false" customHeight="false" outlineLevel="0" collapsed="false">
      <c r="A301" s="9" t="s">
        <v>3679</v>
      </c>
      <c r="B301" s="9" t="s">
        <v>3680</v>
      </c>
      <c r="C301" s="10" t="s">
        <v>560</v>
      </c>
      <c r="D301" s="19" t="n">
        <f aca="false">SRC_OAI_147/(1-SRC_OAI_147)</f>
        <v>0.197604790419162</v>
      </c>
      <c r="E301" s="19" t="n">
        <f aca="false">SRC_OAI_147/(1-SRC_OAI_147)</f>
        <v>0.197604790419162</v>
      </c>
      <c r="F301" s="19" t="n">
        <f aca="false">SRC_OAI_147/(1-SRC_OAI_147)</f>
        <v>0.197604790419162</v>
      </c>
      <c r="P301" s="12" t="s">
        <v>3681</v>
      </c>
    </row>
    <row r="302" customFormat="false" ht="15" hidden="false" customHeight="false" outlineLevel="0" collapsed="false">
      <c r="A302" s="9" t="s">
        <v>3682</v>
      </c>
      <c r="B302" s="9" t="s">
        <v>3683</v>
      </c>
      <c r="C302" s="10" t="s">
        <v>560</v>
      </c>
      <c r="D302" s="19" t="n">
        <f aca="false">SRC_OAI_146/(1-SRC_OAI_146)</f>
        <v>1.72479564032698</v>
      </c>
      <c r="E302" s="19" t="n">
        <f aca="false">SRC_OAI_146/(1-SRC_OAI_146)</f>
        <v>1.72479564032698</v>
      </c>
      <c r="F302" s="19" t="n">
        <f aca="false">SRC_OAI_146/(1-SRC_OAI_146)</f>
        <v>1.72479564032698</v>
      </c>
      <c r="P302" s="12" t="s">
        <v>3684</v>
      </c>
    </row>
    <row r="303" customFormat="false" ht="15" hidden="false" customHeight="false" outlineLevel="0" collapsed="false">
      <c r="A303" s="9" t="s">
        <v>3685</v>
      </c>
      <c r="B303" s="9" t="s">
        <v>3686</v>
      </c>
      <c r="C303" s="10" t="s">
        <v>560</v>
      </c>
      <c r="D303" s="29" t="n">
        <f aca="false">(1-INP_309)*D301+INP_309*D302</f>
        <v>0.350323875409943</v>
      </c>
      <c r="E303" s="29" t="n">
        <f aca="false">(1-INP_308)*E301+INP_308*E302</f>
        <v>0.503042960400725</v>
      </c>
      <c r="F303" s="29" t="n">
        <f aca="false">(1-INP_310)*F301+INP_310*F302</f>
        <v>0.655762045391506</v>
      </c>
      <c r="G303" s="29" t="n">
        <v>0.350324</v>
      </c>
      <c r="H303" s="29" t="n">
        <v>0.503043</v>
      </c>
      <c r="I303" s="29" t="n">
        <v>0.655762</v>
      </c>
      <c r="J303" s="26" t="n">
        <f aca="false">MAX(ABS((D303-G303)/G303),ABS((E303-H303)/H303),ABS((F303-I303)/I303))</f>
        <v>3.55642367872252E-007</v>
      </c>
      <c r="K303" s="9" t="str">
        <f aca="false">IF(J303&lt;=INP_307,"OK","差異")</f>
        <v>OK</v>
      </c>
      <c r="P303" s="12" t="s">
        <v>3687</v>
      </c>
    </row>
    <row r="304" customFormat="false" ht="15" hidden="false" customHeight="false" outlineLevel="0" collapsed="false">
      <c r="A304" s="9" t="s">
        <v>3688</v>
      </c>
      <c r="B304" s="9" t="s">
        <v>3689</v>
      </c>
      <c r="C304" s="9" t="s">
        <v>945</v>
      </c>
      <c r="D304" s="19" t="n">
        <f aca="false">D300*D303*INP_312</f>
        <v>5.04466380590318</v>
      </c>
      <c r="E304" s="19" t="n">
        <f aca="false">E300*E303*INP_312</f>
        <v>7.24381862977043</v>
      </c>
      <c r="F304" s="19" t="n">
        <f aca="false">F300*F303*INP_312</f>
        <v>9.44297345363768</v>
      </c>
      <c r="G304" s="19" t="n">
        <v>5.044664</v>
      </c>
      <c r="H304" s="19" t="n">
        <v>7.243819</v>
      </c>
      <c r="I304" s="19" t="n">
        <v>9.442973</v>
      </c>
      <c r="J304" s="26" t="n">
        <f aca="false">MAX(ABS((D304-G304)/G304),ABS((E304-H304)/H304),ABS((F304-I304)/I304))</f>
        <v>5.11097208535763E-008</v>
      </c>
      <c r="K304" s="9" t="str">
        <f aca="false">IF(J304&lt;=INP_307,"OK","差異")</f>
        <v>OK</v>
      </c>
      <c r="P304" s="12" t="s">
        <v>3690</v>
      </c>
    </row>
    <row r="305" customFormat="false" ht="15" hidden="false" customHeight="false" outlineLevel="0" collapsed="false">
      <c r="A305" s="9" t="s">
        <v>3691</v>
      </c>
      <c r="B305" s="9" t="s">
        <v>3692</v>
      </c>
      <c r="C305" s="9" t="s">
        <v>945</v>
      </c>
      <c r="D305" s="19" t="n">
        <f aca="false">D304*INP_311</f>
        <v>3.53126466413223</v>
      </c>
      <c r="E305" s="19" t="n">
        <f aca="false">E304*INP_311</f>
        <v>5.0706730408393</v>
      </c>
      <c r="F305" s="19" t="n">
        <f aca="false">F304*INP_311</f>
        <v>6.61008141754638</v>
      </c>
      <c r="G305" s="19" t="n">
        <v>3.531265</v>
      </c>
      <c r="H305" s="19" t="n">
        <v>5.070673</v>
      </c>
      <c r="I305" s="19" t="n">
        <v>6.610081</v>
      </c>
      <c r="J305" s="26" t="n">
        <f aca="false">MAX(ABS((D305-G305)/G305),ABS((E305-H305)/H305),ABS((F305-I305)/I305))</f>
        <v>9.51125936878399E-008</v>
      </c>
      <c r="K305" s="9" t="str">
        <f aca="false">IF(J305&lt;=INP_307,"OK","差異")</f>
        <v>OK</v>
      </c>
      <c r="P305" s="12" t="s">
        <v>3693</v>
      </c>
    </row>
    <row r="306" customFormat="false" ht="15" hidden="false" customHeight="false" outlineLevel="0" collapsed="false">
      <c r="A306" s="9" t="s">
        <v>3694</v>
      </c>
      <c r="B306" s="9" t="s">
        <v>3695</v>
      </c>
      <c r="C306" s="9" t="s">
        <v>945</v>
      </c>
      <c r="D306" s="19" t="n">
        <f aca="false">D305*INP_313/INP_312</f>
        <v>7.06252932826445</v>
      </c>
      <c r="E306" s="19" t="n">
        <f aca="false">E305*INP_313/INP_312</f>
        <v>10.1413460816786</v>
      </c>
      <c r="F306" s="19" t="n">
        <f aca="false">F305*INP_313/INP_312</f>
        <v>13.2201628350928</v>
      </c>
      <c r="G306" s="19" t="n">
        <v>7.062529</v>
      </c>
      <c r="H306" s="19" t="n">
        <v>10.141346</v>
      </c>
      <c r="I306" s="19" t="n">
        <v>13.220163</v>
      </c>
      <c r="J306" s="26" t="n">
        <f aca="false">MAX(ABS((D306-G306)/G306),ABS((E306-H306)/H306),ABS((F306-I306)/I306))</f>
        <v>4.64797318130089E-008</v>
      </c>
      <c r="K306" s="9" t="str">
        <f aca="false">IF(J306&lt;=INP_307,"OK","差異")</f>
        <v>OK</v>
      </c>
      <c r="P306" s="12" t="s">
        <v>3696</v>
      </c>
    </row>
    <row r="307" customFormat="false" ht="15" hidden="false" customHeight="false" outlineLevel="0" collapsed="false">
      <c r="A307" s="9" t="s">
        <v>3697</v>
      </c>
      <c r="B307" s="9" t="s">
        <v>3698</v>
      </c>
      <c r="C307" s="9" t="s">
        <v>945</v>
      </c>
      <c r="D307" s="19" t="n">
        <f aca="false">D305*INP_314/INP_305</f>
        <v>5.29689699619834</v>
      </c>
      <c r="E307" s="19" t="n">
        <f aca="false">E305*INP_314/INP_305</f>
        <v>7.60600956125895</v>
      </c>
      <c r="F307" s="19" t="n">
        <f aca="false">F305*INP_314/INP_305</f>
        <v>9.91512212631957</v>
      </c>
      <c r="H307" s="19" t="n">
        <v>7.60601</v>
      </c>
      <c r="J307" s="26" t="n">
        <f aca="false">ABS((E307-H307)/H307)</f>
        <v>5.76834695405835E-008</v>
      </c>
      <c r="K307" s="9" t="str">
        <f aca="false">IF(J307&lt;=INP_307,"OK","差異")</f>
        <v>OK</v>
      </c>
      <c r="P307" s="12" t="s">
        <v>3699</v>
      </c>
    </row>
    <row r="308" customFormat="false" ht="15" hidden="false" customHeight="false" outlineLevel="0" collapsed="false">
      <c r="A308" s="9" t="s">
        <v>3700</v>
      </c>
      <c r="B308" s="9" t="s">
        <v>3701</v>
      </c>
      <c r="C308" s="10" t="s">
        <v>560</v>
      </c>
      <c r="D308" s="19" t="n">
        <f aca="false">$D$286/($D$291+D305*INP_251*INP_254)</f>
        <v>1.8569460484333</v>
      </c>
      <c r="E308" s="19" t="n">
        <f aca="false">$D$286/($D$291+E305*INP_251*INP_254)</f>
        <v>1.76880115244389</v>
      </c>
      <c r="F308" s="19" t="n">
        <f aca="false">$D$286/($D$291+F305*INP_251*INP_254)</f>
        <v>1.68864510932665</v>
      </c>
      <c r="G308" s="19" t="n">
        <v>1.856946</v>
      </c>
      <c r="H308" s="19" t="n">
        <v>1.768801</v>
      </c>
      <c r="I308" s="19" t="n">
        <v>1.688645</v>
      </c>
      <c r="J308" s="26" t="n">
        <f aca="false">MAX(ABS((D308-G308)/G308),ABS((E308-H308)/H308),ABS((F308-I308)/I308))</f>
        <v>8.61848749884571E-008</v>
      </c>
      <c r="K308" s="9" t="str">
        <f aca="false">IF(J308&lt;=INP_307,"OK","差異")</f>
        <v>OK</v>
      </c>
      <c r="P308" s="12" t="s">
        <v>3702</v>
      </c>
    </row>
    <row r="309" customFormat="false" ht="15" hidden="false" customHeight="false" outlineLevel="0" collapsed="false">
      <c r="A309" s="9" t="s">
        <v>3703</v>
      </c>
      <c r="B309" s="9" t="s">
        <v>3704</v>
      </c>
      <c r="C309" s="10" t="s">
        <v>560</v>
      </c>
      <c r="D309" s="19" t="n">
        <f aca="false">$D$286/($D$291+D306*INP_251*INP_254)</f>
        <v>1.66644964703585</v>
      </c>
      <c r="E309" s="19" t="n">
        <f aca="false">$D$286/($D$291+E306*INP_251*INP_254)</f>
        <v>1.52963607557524</v>
      </c>
      <c r="F309" s="19" t="n">
        <f aca="false">$D$286/($D$291+F306*INP_251*INP_254)</f>
        <v>1.41358259409351</v>
      </c>
      <c r="G309" s="19" t="n">
        <v>1.66645</v>
      </c>
      <c r="H309" s="19" t="n">
        <v>1.529636</v>
      </c>
      <c r="I309" s="19" t="n">
        <v>1.413583</v>
      </c>
      <c r="J309" s="26" t="n">
        <f aca="false">MAX(ABS((D309-G309)/G309),ABS((E309-H309)/H309),ABS((F309-I309)/I309))</f>
        <v>2.87147260213516E-007</v>
      </c>
      <c r="K309" s="9" t="str">
        <f aca="false">IF(J309&lt;=INP_307,"OK","差異")</f>
        <v>OK</v>
      </c>
      <c r="P309" s="12" t="s">
        <v>3705</v>
      </c>
    </row>
    <row r="310" customFormat="false" ht="15" hidden="false" customHeight="false" outlineLevel="0" collapsed="false">
      <c r="A310" s="9" t="s">
        <v>3706</v>
      </c>
      <c r="B310" s="9" t="s">
        <v>3707</v>
      </c>
      <c r="C310" s="10" t="s">
        <v>560</v>
      </c>
      <c r="D310" s="19" t="n">
        <f aca="false">$F$286/($F$291+D305*INP_251*INP_254)</f>
        <v>1.65647568102277</v>
      </c>
      <c r="E310" s="19" t="n">
        <f aca="false">$F$286/($F$291+E305*INP_251*INP_254)</f>
        <v>1.57784664560414</v>
      </c>
      <c r="F310" s="19" t="n">
        <f aca="false">$F$286/($F$291+F305*INP_251*INP_254)</f>
        <v>1.50634401028377</v>
      </c>
      <c r="P310" s="12" t="s">
        <v>3708</v>
      </c>
    </row>
    <row r="311" customFormat="false" ht="15" hidden="false" customHeight="false" outlineLevel="0" collapsed="false">
      <c r="A311" s="9" t="s">
        <v>3709</v>
      </c>
      <c r="B311" s="9" t="s">
        <v>3710</v>
      </c>
      <c r="C311" s="10" t="s">
        <v>560</v>
      </c>
      <c r="D311" s="19" t="n">
        <f aca="false">$F$286/($F$291+D306*INP_251*INP_254)</f>
        <v>1.48654470402779</v>
      </c>
      <c r="E311" s="19" t="n">
        <f aca="false">$F$286/($F$291+E306*INP_251*INP_254)</f>
        <v>1.36450111845912</v>
      </c>
      <c r="F311" s="19" t="n">
        <f aca="false">$F$286/($F$291+F306*INP_251*INP_254)</f>
        <v>1.26097642535633</v>
      </c>
      <c r="P311" s="2" t="s">
        <v>388</v>
      </c>
    </row>
    <row r="312" customFormat="false" ht="15" hidden="false" customHeight="false" outlineLevel="0" collapsed="false">
      <c r="A312" s="9" t="s">
        <v>3711</v>
      </c>
      <c r="B312" s="9" t="s">
        <v>3712</v>
      </c>
      <c r="C312" s="9"/>
      <c r="E312" s="9" t="n">
        <f aca="false">COUNTIF(K300:K309,"差異")</f>
        <v>0</v>
      </c>
      <c r="P312" s="12" t="s">
        <v>3713</v>
      </c>
    </row>
    <row r="313" customFormat="false" ht="15" hidden="false" customHeight="false" outlineLevel="0" collapsed="false">
      <c r="B313" s="12" t="s">
        <v>3714</v>
      </c>
    </row>
    <row r="315" customFormat="false" ht="15" hidden="false" customHeight="false" outlineLevel="0" collapsed="false">
      <c r="A315" s="15" t="s">
        <v>3715</v>
      </c>
    </row>
    <row r="316" customFormat="false" ht="29.85" hidden="false" customHeight="false" outlineLevel="0" collapsed="false">
      <c r="B316" s="8" t="s">
        <v>1956</v>
      </c>
      <c r="C316" s="8" t="s">
        <v>46</v>
      </c>
      <c r="D316" s="8" t="s">
        <v>3716</v>
      </c>
      <c r="E316" s="8" t="s">
        <v>3717</v>
      </c>
    </row>
    <row r="317" customFormat="false" ht="15" hidden="false" customHeight="false" outlineLevel="0" collapsed="false">
      <c r="A317" s="9" t="s">
        <v>3718</v>
      </c>
      <c r="B317" s="9" t="s">
        <v>3719</v>
      </c>
      <c r="C317" s="9" t="s">
        <v>68</v>
      </c>
      <c r="D317" s="20" t="n">
        <f aca="false">SRC_OAI_148</f>
        <v>10</v>
      </c>
      <c r="E317" s="20" t="n">
        <f aca="false">D317*INP_317</f>
        <v>40</v>
      </c>
      <c r="P317" s="12" t="s">
        <v>3720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3721</v>
      </c>
    </row>
    <row r="2" customFormat="false" ht="15" hidden="false" customHeight="false" outlineLevel="0" collapsed="false">
      <c r="A2" s="12" t="s">
        <v>3722</v>
      </c>
    </row>
    <row r="4" customFormat="false" ht="29.85" hidden="false" customHeight="false" outlineLevel="0" collapsed="false">
      <c r="A4" s="8" t="s">
        <v>1955</v>
      </c>
      <c r="B4" s="8" t="s">
        <v>3723</v>
      </c>
      <c r="C4" s="8" t="s">
        <v>1957</v>
      </c>
      <c r="D4" s="8" t="s">
        <v>3724</v>
      </c>
      <c r="E4" s="8" t="s">
        <v>3725</v>
      </c>
      <c r="F4" s="8" t="s">
        <v>815</v>
      </c>
    </row>
    <row r="5" customFormat="false" ht="15" hidden="false" customHeight="false" outlineLevel="0" collapsed="false">
      <c r="A5" s="9" t="s">
        <v>3726</v>
      </c>
      <c r="B5" s="9" t="s">
        <v>3727</v>
      </c>
      <c r="C5" s="9" t="n">
        <f aca="false">SUMPRODUCT(--(LEN(SRC_OAI!$A$5:$A$400)&gt;0))</f>
        <v>139</v>
      </c>
      <c r="D5" s="9" t="n">
        <v>139</v>
      </c>
      <c r="E5" s="9" t="str">
        <f aca="false">IF(C5=D5,"OK","ERR")</f>
        <v>OK</v>
      </c>
      <c r="F5" s="2" t="s">
        <v>3728</v>
      </c>
    </row>
    <row r="6" customFormat="false" ht="15" hidden="false" customHeight="false" outlineLevel="0" collapsed="false">
      <c r="A6" s="9" t="s">
        <v>3729</v>
      </c>
      <c r="B6" s="9" t="s">
        <v>3730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3731</v>
      </c>
    </row>
    <row r="7" customFormat="false" ht="15" hidden="false" customHeight="false" outlineLevel="0" collapsed="false">
      <c r="A7" s="9" t="s">
        <v>3732</v>
      </c>
      <c r="B7" s="9" t="s">
        <v>3733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3734</v>
      </c>
      <c r="B8" s="9" t="s">
        <v>3735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3736</v>
      </c>
    </row>
    <row r="9" customFormat="false" ht="15" hidden="false" customHeight="false" outlineLevel="0" collapsed="false">
      <c r="A9" s="9" t="s">
        <v>3737</v>
      </c>
      <c r="B9" s="9" t="s">
        <v>3738</v>
      </c>
      <c r="C9" s="9" t="n">
        <f aca="false">SUMPRODUCT(--(LEN(Inputs!$A$5:$A$600)&gt;0))</f>
        <v>308</v>
      </c>
      <c r="D9" s="9" t="n">
        <v>308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3739</v>
      </c>
      <c r="B10" s="9" t="s">
        <v>3740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3741</v>
      </c>
    </row>
    <row r="11" customFormat="false" ht="15" hidden="false" customHeight="false" outlineLevel="0" collapsed="false">
      <c r="A11" s="9" t="s">
        <v>3742</v>
      </c>
      <c r="B11" s="9" t="s">
        <v>3743</v>
      </c>
      <c r="C11" s="9" t="n">
        <f aca="false">COUNTIF(TK_Link!$F$10:$F$200,"OK")</f>
        <v>88</v>
      </c>
      <c r="E11" s="9" t="s">
        <v>3744</v>
      </c>
      <c r="F11" s="2" t="s">
        <v>3745</v>
      </c>
    </row>
    <row r="12" customFormat="false" ht="15" hidden="false" customHeight="false" outlineLevel="0" collapsed="false">
      <c r="A12" s="9" t="s">
        <v>3746</v>
      </c>
      <c r="B12" s="9" t="s">
        <v>3747</v>
      </c>
      <c r="C12" s="9" t="n">
        <f aca="false">COUNTIF(TK_Link!$F$10:$F$200,"待 Tokenomics 提供")</f>
        <v>2</v>
      </c>
      <c r="D12" s="9" t="n">
        <v>2</v>
      </c>
      <c r="E12" s="9" t="str">
        <f aca="false">IF(C12=D12,"OK","ERR")</f>
        <v>OK</v>
      </c>
      <c r="F12" s="2" t="s">
        <v>3748</v>
      </c>
    </row>
    <row r="13" customFormat="false" ht="15" hidden="false" customHeight="false" outlineLevel="0" collapsed="false">
      <c r="A13" s="9" t="s">
        <v>3749</v>
      </c>
      <c r="B13" s="9" t="s">
        <v>3750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3751</v>
      </c>
      <c r="B14" s="9" t="s">
        <v>3752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3753</v>
      </c>
    </row>
    <row r="15" customFormat="false" ht="15" hidden="false" customHeight="false" outlineLevel="0" collapsed="false">
      <c r="A15" s="9" t="s">
        <v>3754</v>
      </c>
      <c r="B15" s="9" t="s">
        <v>3755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3756</v>
      </c>
    </row>
    <row r="16" customFormat="false" ht="15" hidden="false" customHeight="false" outlineLevel="0" collapsed="false">
      <c r="A16" s="9" t="s">
        <v>3757</v>
      </c>
      <c r="B16" s="9" t="s">
        <v>3758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3759</v>
      </c>
    </row>
    <row r="17" customFormat="false" ht="15" hidden="false" customHeight="false" outlineLevel="0" collapsed="false">
      <c r="A17" s="9" t="s">
        <v>3760</v>
      </c>
      <c r="B17" s="10" t="s">
        <v>3761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3762</v>
      </c>
    </row>
    <row r="18" customFormat="false" ht="15" hidden="false" customHeight="false" outlineLevel="0" collapsed="false">
      <c r="A18" s="9" t="s">
        <v>3763</v>
      </c>
      <c r="B18" s="10" t="s">
        <v>3764</v>
      </c>
      <c r="C18" s="9" t="n">
        <f aca="false">IF(SRC_OAI_060-SRC_OAI_059+1&gt;0,SRC_OAI_058/(SRC_OAI_060-SRC_OAI_059+1)/SRC_OAI_061,"期間無效")</f>
        <v>13.3333333333333</v>
      </c>
      <c r="E18" s="9" t="s">
        <v>3744</v>
      </c>
      <c r="F18" s="12" t="s">
        <v>3765</v>
      </c>
    </row>
    <row r="19" customFormat="false" ht="15" hidden="false" customHeight="false" outlineLevel="0" collapsed="false">
      <c r="A19" s="9" t="s">
        <v>3766</v>
      </c>
      <c r="B19" s="10" t="s">
        <v>3767</v>
      </c>
      <c r="C19" s="9" t="n">
        <f aca="false">IF(SRC_OAI_067-SRC_OAI_066+1&gt;0,SRC_OAI_065/(SRC_OAI_067-SRC_OAI_066+1)/SRC_OAI_068,"期間無效")</f>
        <v>6.25</v>
      </c>
      <c r="E19" s="9" t="s">
        <v>3744</v>
      </c>
      <c r="F19" s="2" t="s">
        <v>3768</v>
      </c>
    </row>
    <row r="20" customFormat="false" ht="15" hidden="false" customHeight="false" outlineLevel="0" collapsed="false">
      <c r="A20" s="9" t="s">
        <v>3769</v>
      </c>
      <c r="B20" s="10" t="s">
        <v>3770</v>
      </c>
      <c r="C20" s="9" t="n">
        <f aca="false">SRC_OAI_047-SRC_OAI_003</f>
        <v>0.9</v>
      </c>
      <c r="E20" s="9" t="s">
        <v>3744</v>
      </c>
      <c r="F20" s="2" t="s">
        <v>3771</v>
      </c>
    </row>
    <row r="21" customFormat="false" ht="15" hidden="false" customHeight="false" outlineLevel="0" collapsed="false">
      <c r="A21" s="9" t="s">
        <v>3772</v>
      </c>
      <c r="B21" s="10" t="s">
        <v>3773</v>
      </c>
      <c r="C21" s="9" t="n">
        <f aca="false">SRC_OAI_087-C22</f>
        <v>7.18</v>
      </c>
      <c r="E21" s="9" t="s">
        <v>3744</v>
      </c>
      <c r="F21" s="2" t="s">
        <v>3774</v>
      </c>
    </row>
    <row r="22" customFormat="false" ht="15" hidden="false" customHeight="false" outlineLevel="0" collapsed="false">
      <c r="A22" s="9" t="s">
        <v>3775</v>
      </c>
      <c r="B22" s="9" t="s">
        <v>3776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3777</v>
      </c>
    </row>
    <row r="23" customFormat="false" ht="15" hidden="false" customHeight="false" outlineLevel="0" collapsed="false">
      <c r="A23" s="9" t="s">
        <v>3778</v>
      </c>
      <c r="B23" s="9" t="s">
        <v>3779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3780</v>
      </c>
    </row>
    <row r="24" customFormat="false" ht="15" hidden="false" customHeight="false" outlineLevel="0" collapsed="false">
      <c r="A24" s="9" t="s">
        <v>3781</v>
      </c>
      <c r="B24" s="9" t="s">
        <v>3782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3783</v>
      </c>
    </row>
    <row r="25" customFormat="false" ht="15" hidden="false" customHeight="false" outlineLevel="0" collapsed="false">
      <c r="A25" s="9" t="s">
        <v>3784</v>
      </c>
      <c r="B25" s="9" t="s">
        <v>3785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3786</v>
      </c>
    </row>
    <row r="26" customFormat="false" ht="15" hidden="false" customHeight="false" outlineLevel="0" collapsed="false">
      <c r="A26" s="9" t="s">
        <v>3787</v>
      </c>
      <c r="B26" s="9" t="s">
        <v>3788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3789</v>
      </c>
    </row>
    <row r="27" customFormat="false" ht="15" hidden="false" customHeight="false" outlineLevel="0" collapsed="false">
      <c r="A27" s="9" t="s">
        <v>3790</v>
      </c>
      <c r="B27" s="9" t="s">
        <v>3791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3792</v>
      </c>
    </row>
    <row r="28" customFormat="false" ht="15" hidden="false" customHeight="false" outlineLevel="0" collapsed="false">
      <c r="A28" s="9" t="s">
        <v>3793</v>
      </c>
      <c r="B28" s="9" t="s">
        <v>3794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3795</v>
      </c>
    </row>
    <row r="29" customFormat="false" ht="15" hidden="false" customHeight="false" outlineLevel="0" collapsed="false">
      <c r="A29" s="9" t="s">
        <v>3796</v>
      </c>
      <c r="B29" s="9" t="s">
        <v>3797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3798</v>
      </c>
    </row>
    <row r="30" customFormat="false" ht="15" hidden="false" customHeight="false" outlineLevel="0" collapsed="false">
      <c r="A30" s="9" t="s">
        <v>3799</v>
      </c>
      <c r="B30" s="9" t="s">
        <v>3800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3801</v>
      </c>
    </row>
    <row r="31" customFormat="false" ht="15" hidden="false" customHeight="false" outlineLevel="0" collapsed="false">
      <c r="A31" s="9" t="s">
        <v>3802</v>
      </c>
      <c r="B31" s="9" t="s">
        <v>3803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3804</v>
      </c>
    </row>
    <row r="32" customFormat="false" ht="15" hidden="false" customHeight="false" outlineLevel="0" collapsed="false">
      <c r="A32" s="9" t="s">
        <v>3805</v>
      </c>
      <c r="B32" s="9" t="s">
        <v>3806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3807</v>
      </c>
    </row>
    <row r="33" customFormat="false" ht="15" hidden="false" customHeight="false" outlineLevel="0" collapsed="false">
      <c r="A33" s="9" t="s">
        <v>3808</v>
      </c>
      <c r="B33" s="9" t="s">
        <v>3809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3810</v>
      </c>
    </row>
    <row r="34" customFormat="false" ht="15" hidden="false" customHeight="false" outlineLevel="0" collapsed="false">
      <c r="A34" s="9" t="s">
        <v>3811</v>
      </c>
      <c r="B34" s="9" t="s">
        <v>3812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3813</v>
      </c>
    </row>
    <row r="35" customFormat="false" ht="15" hidden="false" customHeight="false" outlineLevel="0" collapsed="false">
      <c r="A35" s="9" t="s">
        <v>3814</v>
      </c>
      <c r="B35" s="9" t="s">
        <v>3815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3816</v>
      </c>
    </row>
    <row r="36" customFormat="false" ht="15" hidden="false" customHeight="false" outlineLevel="0" collapsed="false">
      <c r="A36" s="9" t="s">
        <v>3817</v>
      </c>
      <c r="B36" s="9" t="s">
        <v>3818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3819</v>
      </c>
    </row>
    <row r="37" customFormat="false" ht="15" hidden="false" customHeight="false" outlineLevel="0" collapsed="false">
      <c r="A37" s="9" t="s">
        <v>3820</v>
      </c>
      <c r="B37" s="9" t="s">
        <v>3821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3822</v>
      </c>
    </row>
    <row r="38" customFormat="false" ht="15" hidden="false" customHeight="false" outlineLevel="0" collapsed="false">
      <c r="A38" s="9" t="s">
        <v>3823</v>
      </c>
      <c r="B38" s="9" t="s">
        <v>3824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3825</v>
      </c>
    </row>
    <row r="39" customFormat="false" ht="15" hidden="false" customHeight="false" outlineLevel="0" collapsed="false">
      <c r="A39" s="9" t="s">
        <v>3826</v>
      </c>
      <c r="B39" s="9" t="s">
        <v>3827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3828</v>
      </c>
    </row>
    <row r="40" customFormat="false" ht="15" hidden="false" customHeight="false" outlineLevel="0" collapsed="false">
      <c r="A40" s="9" t="s">
        <v>3829</v>
      </c>
      <c r="B40" s="9" t="s">
        <v>3830</v>
      </c>
      <c r="C40" s="9" t="n">
        <f aca="false">DEM_TkRatio2025</f>
        <v>0.588186612239279</v>
      </c>
      <c r="E40" s="9" t="s">
        <v>3744</v>
      </c>
      <c r="F40" s="2" t="s">
        <v>3831</v>
      </c>
    </row>
    <row r="41" customFormat="false" ht="15" hidden="false" customHeight="false" outlineLevel="0" collapsed="false">
      <c r="A41" s="9" t="s">
        <v>3832</v>
      </c>
      <c r="B41" s="9" t="s">
        <v>3833</v>
      </c>
      <c r="C41" s="9" t="n">
        <f aca="false">REV_GapUncal2025</f>
        <v>1.02870549883871</v>
      </c>
      <c r="E41" s="9" t="s">
        <v>3744</v>
      </c>
      <c r="F41" s="2" t="s">
        <v>3834</v>
      </c>
    </row>
    <row r="42" customFormat="false" ht="15" hidden="false" customHeight="false" outlineLevel="0" collapsed="false">
      <c r="A42" s="9" t="s">
        <v>3835</v>
      </c>
      <c r="B42" s="9" t="s">
        <v>3836</v>
      </c>
      <c r="C42" s="9" t="n">
        <f aca="false">Revenue!$I$41</f>
        <v>126.38309270298</v>
      </c>
      <c r="E42" s="9" t="s">
        <v>3744</v>
      </c>
      <c r="F42" s="2" t="s">
        <v>3837</v>
      </c>
    </row>
    <row r="43" customFormat="false" ht="15" hidden="false" customHeight="false" outlineLevel="0" collapsed="false">
      <c r="A43" s="9" t="s">
        <v>3838</v>
      </c>
      <c r="B43" s="9" t="s">
        <v>3839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3840</v>
      </c>
    </row>
    <row r="44" customFormat="false" ht="15" hidden="false" customHeight="false" outlineLevel="0" collapsed="false">
      <c r="A44" s="9" t="s">
        <v>3841</v>
      </c>
      <c r="B44" s="9" t="s">
        <v>3842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3843</v>
      </c>
    </row>
    <row r="45" customFormat="false" ht="15" hidden="false" customHeight="false" outlineLevel="0" collapsed="false">
      <c r="A45" s="9" t="s">
        <v>3844</v>
      </c>
      <c r="B45" s="9" t="s">
        <v>3845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3846</v>
      </c>
    </row>
    <row r="46" customFormat="false" ht="15" hidden="false" customHeight="false" outlineLevel="0" collapsed="false">
      <c r="A46" s="9" t="s">
        <v>3847</v>
      </c>
      <c r="B46" s="9" t="s">
        <v>3848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1715</v>
      </c>
    </row>
    <row r="47" customFormat="false" ht="15" hidden="false" customHeight="false" outlineLevel="0" collapsed="false">
      <c r="A47" s="9" t="s">
        <v>3849</v>
      </c>
      <c r="B47" s="9" t="s">
        <v>3850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3851</v>
      </c>
    </row>
    <row r="48" customFormat="false" ht="15" hidden="false" customHeight="false" outlineLevel="0" collapsed="false">
      <c r="A48" s="9" t="s">
        <v>3852</v>
      </c>
      <c r="B48" s="9" t="s">
        <v>3853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3854</v>
      </c>
    </row>
    <row r="49" customFormat="false" ht="15" hidden="false" customHeight="false" outlineLevel="0" collapsed="false">
      <c r="A49" s="9" t="s">
        <v>3855</v>
      </c>
      <c r="B49" s="9" t="s">
        <v>3856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3857</v>
      </c>
    </row>
    <row r="50" customFormat="false" ht="15" hidden="false" customHeight="false" outlineLevel="0" collapsed="false">
      <c r="A50" s="9" t="s">
        <v>3858</v>
      </c>
      <c r="B50" s="9" t="s">
        <v>3859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1619</v>
      </c>
    </row>
    <row r="51" customFormat="false" ht="15" hidden="false" customHeight="false" outlineLevel="0" collapsed="false">
      <c r="A51" s="9" t="s">
        <v>3860</v>
      </c>
      <c r="B51" s="9" t="s">
        <v>3861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3862</v>
      </c>
      <c r="B52" s="9" t="s">
        <v>3863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3864</v>
      </c>
    </row>
    <row r="53" customFormat="false" ht="15" hidden="false" customHeight="false" outlineLevel="0" collapsed="false">
      <c r="A53" s="9" t="s">
        <v>3865</v>
      </c>
      <c r="B53" s="9" t="s">
        <v>3866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3867</v>
      </c>
    </row>
    <row r="54" customFormat="false" ht="15" hidden="false" customHeight="false" outlineLevel="0" collapsed="false">
      <c r="A54" s="9" t="s">
        <v>3868</v>
      </c>
      <c r="B54" s="9" t="s">
        <v>3869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3819</v>
      </c>
    </row>
    <row r="55" customFormat="false" ht="15" hidden="false" customHeight="false" outlineLevel="0" collapsed="false">
      <c r="A55" s="9" t="s">
        <v>3870</v>
      </c>
      <c r="B55" s="9" t="s">
        <v>3871</v>
      </c>
      <c r="C55" s="9" t="n">
        <f aca="false">CMP_Eta2025</f>
        <v>0.166801542892899</v>
      </c>
      <c r="E55" s="9" t="s">
        <v>3744</v>
      </c>
      <c r="F55" s="2" t="s">
        <v>3872</v>
      </c>
    </row>
    <row r="56" customFormat="false" ht="15" hidden="false" customHeight="false" outlineLevel="0" collapsed="false">
      <c r="A56" s="9" t="s">
        <v>3873</v>
      </c>
      <c r="B56" s="9" t="s">
        <v>3874</v>
      </c>
      <c r="C56" s="9" t="n">
        <f aca="false">Compute!$D$51</f>
        <v>0.116761080025029</v>
      </c>
      <c r="E56" s="9" t="s">
        <v>3744</v>
      </c>
      <c r="F56" s="12" t="s">
        <v>3875</v>
      </c>
    </row>
    <row r="57" customFormat="false" ht="15" hidden="false" customHeight="false" outlineLevel="0" collapsed="false">
      <c r="A57" s="9" t="s">
        <v>3876</v>
      </c>
      <c r="B57" s="9" t="s">
        <v>3877</v>
      </c>
      <c r="C57" s="9" t="n">
        <f aca="false">TK_IF_AllocServeGW</f>
        <v>0.89809617101894</v>
      </c>
      <c r="E57" s="9" t="s">
        <v>3744</v>
      </c>
      <c r="F57" s="12" t="s">
        <v>3878</v>
      </c>
    </row>
    <row r="58" customFormat="false" ht="15" hidden="false" customHeight="false" outlineLevel="0" collapsed="false">
      <c r="A58" s="9" t="s">
        <v>3879</v>
      </c>
      <c r="B58" s="9" t="s">
        <v>3880</v>
      </c>
      <c r="C58" s="9" t="n">
        <f aca="false">TK_IF_AllocDemand/TK_IF_AllocServeGW</f>
        <v>6697723689.40781</v>
      </c>
      <c r="E58" s="9" t="s">
        <v>3744</v>
      </c>
      <c r="F58" s="2" t="s">
        <v>3881</v>
      </c>
    </row>
    <row r="59" customFormat="false" ht="15" hidden="false" customHeight="false" outlineLevel="0" collapsed="false">
      <c r="A59" s="9" t="s">
        <v>3882</v>
      </c>
      <c r="B59" s="9" t="s">
        <v>3883</v>
      </c>
      <c r="C59" s="9" t="n">
        <f aca="false">(Compute!$D$47+Compute!$D$48)/Compute!$D$51</f>
        <v>30301707633.9417</v>
      </c>
      <c r="E59" s="9" t="s">
        <v>3744</v>
      </c>
      <c r="F59" s="2"/>
    </row>
    <row r="60" customFormat="false" ht="15" hidden="false" customHeight="false" outlineLevel="0" collapsed="false">
      <c r="A60" s="9" t="s">
        <v>3884</v>
      </c>
      <c r="B60" s="9" t="s">
        <v>3885</v>
      </c>
      <c r="C60" s="9" t="n">
        <f aca="false">Compute!$D$72</f>
        <v>1</v>
      </c>
      <c r="E60" s="9" t="s">
        <v>3744</v>
      </c>
      <c r="F60" s="12" t="s">
        <v>3886</v>
      </c>
    </row>
    <row r="61" customFormat="false" ht="15" hidden="false" customHeight="false" outlineLevel="0" collapsed="false">
      <c r="A61" s="9" t="s">
        <v>3887</v>
      </c>
      <c r="B61" s="9" t="s">
        <v>3888</v>
      </c>
      <c r="C61" s="9" t="n">
        <f aca="false">TK_IF_AllocRDGW</f>
        <v>0.202611367920628</v>
      </c>
      <c r="E61" s="9" t="s">
        <v>3744</v>
      </c>
      <c r="F61" s="2" t="s">
        <v>3889</v>
      </c>
    </row>
    <row r="62" customFormat="false" ht="15" hidden="false" customHeight="false" outlineLevel="0" collapsed="false">
      <c r="A62" s="9" t="s">
        <v>3890</v>
      </c>
      <c r="B62" s="9" t="s">
        <v>3891</v>
      </c>
      <c r="C62" s="9" t="n">
        <f aca="false">TK_IF_AllocImpliedNk</f>
        <v>11.3720988983824</v>
      </c>
      <c r="E62" s="9" t="s">
        <v>3744</v>
      </c>
      <c r="F62" s="2" t="s">
        <v>3889</v>
      </c>
    </row>
    <row r="63" customFormat="false" ht="15" hidden="false" customHeight="false" outlineLevel="0" collapsed="false">
      <c r="A63" s="9" t="s">
        <v>3892</v>
      </c>
      <c r="B63" s="9" t="s">
        <v>3893</v>
      </c>
      <c r="C63" s="9" t="n">
        <f aca="false">Compute!$D$66</f>
        <v>4.32</v>
      </c>
      <c r="E63" s="9" t="s">
        <v>3744</v>
      </c>
      <c r="F63" s="12" t="s">
        <v>3894</v>
      </c>
    </row>
    <row r="64" customFormat="false" ht="15" hidden="false" customHeight="false" outlineLevel="0" collapsed="false">
      <c r="A64" s="9" t="s">
        <v>3895</v>
      </c>
      <c r="B64" s="9" t="s">
        <v>3896</v>
      </c>
      <c r="C64" s="9" t="n">
        <f aca="false">CMP_DemGapAvg2025</f>
        <v>0.45</v>
      </c>
      <c r="E64" s="9" t="s">
        <v>3744</v>
      </c>
      <c r="F64" s="12" t="s">
        <v>3897</v>
      </c>
    </row>
    <row r="65" customFormat="false" ht="15" hidden="false" customHeight="false" outlineLevel="0" collapsed="false">
      <c r="A65" s="9" t="s">
        <v>3898</v>
      </c>
      <c r="B65" s="9" t="s">
        <v>3899</v>
      </c>
      <c r="C65" s="9" t="n">
        <f aca="false">SUM(CMP_CapFlag)</f>
        <v>0</v>
      </c>
      <c r="E65" s="9" t="s">
        <v>3744</v>
      </c>
      <c r="F65" s="12" t="s">
        <v>3900</v>
      </c>
    </row>
    <row r="66" customFormat="false" ht="15" hidden="false" customHeight="false" outlineLevel="0" collapsed="false">
      <c r="A66" s="9" t="s">
        <v>3901</v>
      </c>
      <c r="B66" s="9" t="s">
        <v>3902</v>
      </c>
      <c r="C66" s="9" t="n">
        <f aca="false">SRC_OAI_055/INP_229</f>
        <v>71.3333333333333</v>
      </c>
      <c r="E66" s="9" t="s">
        <v>3744</v>
      </c>
      <c r="F66" s="12" t="s">
        <v>3903</v>
      </c>
    </row>
    <row r="67" customFormat="false" ht="15" hidden="false" customHeight="false" outlineLevel="0" collapsed="false">
      <c r="A67" s="9" t="s">
        <v>3904</v>
      </c>
      <c r="B67" s="9" t="s">
        <v>3905</v>
      </c>
      <c r="C67" s="9" t="n">
        <f aca="false">SUM(Compute!$E$87:$I$87)</f>
        <v>53.8377511451055</v>
      </c>
      <c r="E67" s="9" t="s">
        <v>3744</v>
      </c>
      <c r="F67" s="2"/>
    </row>
    <row r="68" customFormat="false" ht="15" hidden="false" customHeight="false" outlineLevel="0" collapsed="false">
      <c r="A68" s="9" t="s">
        <v>3906</v>
      </c>
      <c r="B68" s="9" t="s">
        <v>3907</v>
      </c>
      <c r="C68" s="9" t="n">
        <f aca="false">SUM(Compute!$E$73:$I$73)</f>
        <v>48.453976030595</v>
      </c>
      <c r="E68" s="9" t="s">
        <v>3744</v>
      </c>
      <c r="F68" s="2"/>
    </row>
    <row r="69" customFormat="false" ht="15" hidden="false" customHeight="false" outlineLevel="0" collapsed="false">
      <c r="A69" s="9" t="s">
        <v>3908</v>
      </c>
      <c r="B69" s="9" t="s">
        <v>3909</v>
      </c>
      <c r="C69" s="9" t="n">
        <f aca="false">Compute!$I$61</f>
        <v>6.79461049391086</v>
      </c>
      <c r="E69" s="9" t="s">
        <v>3744</v>
      </c>
      <c r="F69" s="12" t="s">
        <v>3910</v>
      </c>
    </row>
    <row r="70" customFormat="false" ht="15" hidden="false" customHeight="false" outlineLevel="0" collapsed="false">
      <c r="A70" s="9" t="s">
        <v>3911</v>
      </c>
      <c r="B70" s="9" t="s">
        <v>3912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3913</v>
      </c>
    </row>
    <row r="71" customFormat="false" ht="15" hidden="false" customHeight="false" outlineLevel="0" collapsed="false">
      <c r="A71" s="9" t="s">
        <v>3914</v>
      </c>
      <c r="B71" s="9" t="s">
        <v>3915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3916</v>
      </c>
    </row>
    <row r="72" customFormat="false" ht="15" hidden="false" customHeight="false" outlineLevel="0" collapsed="false">
      <c r="A72" s="9" t="s">
        <v>3917</v>
      </c>
      <c r="B72" s="9" t="s">
        <v>3918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3919</v>
      </c>
    </row>
    <row r="73" customFormat="false" ht="15" hidden="false" customHeight="false" outlineLevel="0" collapsed="false">
      <c r="A73" s="9" t="s">
        <v>3920</v>
      </c>
      <c r="B73" s="9" t="s">
        <v>3921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3922</v>
      </c>
    </row>
    <row r="74" customFormat="false" ht="15" hidden="false" customHeight="false" outlineLevel="0" collapsed="false">
      <c r="A74" s="9" t="s">
        <v>3923</v>
      </c>
      <c r="B74" s="9" t="s">
        <v>3924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3925</v>
      </c>
    </row>
    <row r="75" customFormat="false" ht="15" hidden="false" customHeight="false" outlineLevel="0" collapsed="false">
      <c r="A75" s="9" t="s">
        <v>3926</v>
      </c>
      <c r="B75" s="9" t="s">
        <v>3927</v>
      </c>
      <c r="C75" s="9" t="n">
        <f aca="false">SRC_OAI_002-(SRC_OAI_003+SRC_OAI_087+SRC_OAI_129+SRC_OAI_130)+SRC_OAI_131</f>
        <v>0.0100000000000051</v>
      </c>
      <c r="E75" s="9" t="s">
        <v>3744</v>
      </c>
      <c r="F75" s="2" t="s">
        <v>3928</v>
      </c>
    </row>
    <row r="76" customFormat="false" ht="15" hidden="false" customHeight="false" outlineLevel="0" collapsed="false">
      <c r="A76" s="9" t="s">
        <v>3929</v>
      </c>
      <c r="B76" s="9" t="s">
        <v>3930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3931</v>
      </c>
    </row>
    <row r="77" customFormat="false" ht="15" hidden="false" customHeight="false" outlineLevel="0" collapsed="false">
      <c r="A77" s="9" t="s">
        <v>3932</v>
      </c>
      <c r="B77" s="9" t="s">
        <v>3933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3934</v>
      </c>
      <c r="B78" s="9" t="s">
        <v>3935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2881</v>
      </c>
    </row>
    <row r="79" customFormat="false" ht="15" hidden="false" customHeight="false" outlineLevel="0" collapsed="false">
      <c r="A79" s="9" t="s">
        <v>3936</v>
      </c>
      <c r="B79" s="9" t="s">
        <v>3937</v>
      </c>
      <c r="C79" s="9" t="n">
        <f aca="false">Cost!$D$29</f>
        <v>-5.64476190476191</v>
      </c>
      <c r="E79" s="9" t="s">
        <v>3744</v>
      </c>
      <c r="F79" s="2" t="s">
        <v>2512</v>
      </c>
    </row>
    <row r="80" customFormat="false" ht="15" hidden="false" customHeight="false" outlineLevel="0" collapsed="false">
      <c r="A80" s="9" t="s">
        <v>3938</v>
      </c>
      <c r="B80" s="9" t="s">
        <v>3939</v>
      </c>
      <c r="C80" s="9" t="n">
        <f aca="false">COST_NonCompRD2025</f>
        <v>7.18</v>
      </c>
      <c r="E80" s="9" t="s">
        <v>3744</v>
      </c>
      <c r="F80" s="12" t="s">
        <v>3940</v>
      </c>
    </row>
    <row r="81" customFormat="false" ht="15" hidden="false" customHeight="false" outlineLevel="0" collapsed="false">
      <c r="A81" s="9" t="s">
        <v>3941</v>
      </c>
      <c r="B81" s="9" t="s">
        <v>3942</v>
      </c>
      <c r="C81" s="9" t="n">
        <f aca="false">Cost!$D$66</f>
        <v>1.21576128538638</v>
      </c>
      <c r="E81" s="9" t="s">
        <v>3744</v>
      </c>
      <c r="F81" s="2" t="s">
        <v>3943</v>
      </c>
    </row>
    <row r="82" customFormat="false" ht="15" hidden="false" customHeight="false" outlineLevel="0" collapsed="false">
      <c r="A82" s="9" t="s">
        <v>3944</v>
      </c>
      <c r="B82" s="9" t="s">
        <v>3945</v>
      </c>
      <c r="C82" s="9" t="n">
        <f aca="false">Cost!$D$58/Cost!$D$69</f>
        <v>0.993650572839555</v>
      </c>
      <c r="E82" s="9" t="s">
        <v>3744</v>
      </c>
      <c r="F82" s="2" t="s">
        <v>3946</v>
      </c>
    </row>
    <row r="83" customFormat="false" ht="15" hidden="false" customHeight="false" outlineLevel="0" collapsed="false">
      <c r="A83" s="9" t="s">
        <v>3947</v>
      </c>
      <c r="B83" s="9" t="s">
        <v>3948</v>
      </c>
      <c r="C83" s="9" t="n">
        <f aca="false">Cost!$I$38</f>
        <v>0.0635789933422146</v>
      </c>
      <c r="E83" s="9" t="s">
        <v>3744</v>
      </c>
      <c r="F83" s="12" t="s">
        <v>3919</v>
      </c>
    </row>
    <row r="84" customFormat="false" ht="15" hidden="false" customHeight="false" outlineLevel="0" collapsed="false">
      <c r="A84" s="9" t="s">
        <v>3949</v>
      </c>
      <c r="B84" s="9" t="s">
        <v>3950</v>
      </c>
      <c r="C84" s="9" t="n">
        <f aca="false">Cost!$D$79</f>
        <v>0.464588930001521</v>
      </c>
      <c r="E84" s="9" t="s">
        <v>3744</v>
      </c>
      <c r="F84" s="12" t="s">
        <v>2881</v>
      </c>
    </row>
    <row r="85" customFormat="false" ht="15" hidden="false" customHeight="false" outlineLevel="0" collapsed="false">
      <c r="A85" s="9" t="s">
        <v>3951</v>
      </c>
      <c r="B85" s="9" t="s">
        <v>3952</v>
      </c>
      <c r="C85" s="9" t="n">
        <f aca="false">Cost!$D$82</f>
        <v>10.0966113680574</v>
      </c>
      <c r="E85" s="9" t="s">
        <v>3744</v>
      </c>
      <c r="F85" s="2" t="s">
        <v>2512</v>
      </c>
    </row>
    <row r="86" customFormat="false" ht="15" hidden="false" customHeight="false" outlineLevel="0" collapsed="false">
      <c r="A86" s="9" t="s">
        <v>3953</v>
      </c>
      <c r="B86" s="9" t="s">
        <v>3954</v>
      </c>
      <c r="C86" s="9" t="n">
        <f aca="false">Cost!$I$96</f>
        <v>-10.027662357318</v>
      </c>
      <c r="E86" s="9" t="s">
        <v>3744</v>
      </c>
      <c r="F86" s="2" t="s">
        <v>3955</v>
      </c>
    </row>
    <row r="87" customFormat="false" ht="15" hidden="false" customHeight="false" outlineLevel="0" collapsed="false">
      <c r="A87" s="9" t="s">
        <v>3956</v>
      </c>
      <c r="B87" s="9" t="s">
        <v>3957</v>
      </c>
      <c r="C87" s="9" t="n">
        <f aca="false">Cost!$I$101</f>
        <v>-7.70093963340709</v>
      </c>
      <c r="E87" s="9" t="s">
        <v>3744</v>
      </c>
      <c r="F87" s="2" t="s">
        <v>3958</v>
      </c>
    </row>
    <row r="88" customFormat="false" ht="15" hidden="false" customHeight="false" outlineLevel="0" collapsed="false">
      <c r="A88" s="9" t="s">
        <v>3959</v>
      </c>
      <c r="B88" s="9" t="s">
        <v>3960</v>
      </c>
      <c r="C88" s="9" t="n">
        <f aca="false">SUM(Cost!$D$89:$I$89)</f>
        <v>-649.558869748766</v>
      </c>
      <c r="E88" s="9" t="s">
        <v>3744</v>
      </c>
      <c r="F88" s="12" t="s">
        <v>3961</v>
      </c>
    </row>
    <row r="89" customFormat="false" ht="15" hidden="false" customHeight="false" outlineLevel="0" collapsed="false">
      <c r="A89" s="9" t="s">
        <v>3962</v>
      </c>
      <c r="B89" s="9" t="s">
        <v>3963</v>
      </c>
      <c r="C89" s="9" t="n">
        <f aca="false">SUMPRODUCT(--(Cost!$D$96:$I$96&lt;0))</f>
        <v>6</v>
      </c>
      <c r="E89" s="9" t="s">
        <v>3744</v>
      </c>
      <c r="F89" s="12" t="s">
        <v>3964</v>
      </c>
    </row>
    <row r="90" customFormat="false" ht="15" hidden="false" customHeight="false" outlineLevel="0" collapsed="false">
      <c r="A90" s="9" t="s">
        <v>3965</v>
      </c>
      <c r="B90" s="9" t="s">
        <v>3966</v>
      </c>
      <c r="C90" s="9" t="n">
        <f aca="false">COST_V16Flag</f>
        <v>0</v>
      </c>
      <c r="E90" s="9" t="s">
        <v>3744</v>
      </c>
      <c r="F90" s="12" t="s">
        <v>3967</v>
      </c>
    </row>
    <row r="91" customFormat="false" ht="15" hidden="false" customHeight="false" outlineLevel="0" collapsed="false">
      <c r="A91" s="9" t="s">
        <v>3968</v>
      </c>
      <c r="B91" s="9" t="s">
        <v>3969</v>
      </c>
      <c r="C91" s="9" t="n">
        <f aca="false">Cost!$D$115</f>
        <v>-11.9047619047619</v>
      </c>
      <c r="E91" s="9" t="s">
        <v>3744</v>
      </c>
      <c r="F91" s="2" t="s">
        <v>3970</v>
      </c>
    </row>
    <row r="92" customFormat="false" ht="15" hidden="false" customHeight="false" outlineLevel="0" collapsed="false">
      <c r="A92" s="9" t="s">
        <v>3971</v>
      </c>
      <c r="B92" s="9" t="s">
        <v>3972</v>
      </c>
      <c r="C92" s="9" t="n">
        <f aca="false">Cost!$D$105-Cost!$D$106</f>
        <v>8.35840598758285</v>
      </c>
      <c r="E92" s="9" t="s">
        <v>3744</v>
      </c>
      <c r="F92" s="12" t="s">
        <v>3973</v>
      </c>
    </row>
    <row r="93" customFormat="false" ht="15" hidden="false" customHeight="false" outlineLevel="0" collapsed="false">
      <c r="A93" s="9" t="s">
        <v>3974</v>
      </c>
      <c r="B93" s="9" t="s">
        <v>3975</v>
      </c>
      <c r="C93" s="9" t="n">
        <f aca="false">Compute!$I$156</f>
        <v>3.08418724860889</v>
      </c>
      <c r="E93" s="9" t="s">
        <v>3744</v>
      </c>
      <c r="F93" s="12" t="s">
        <v>3976</v>
      </c>
    </row>
    <row r="94" customFormat="false" ht="15" hidden="false" customHeight="false" outlineLevel="0" collapsed="false">
      <c r="A94" s="9" t="s">
        <v>3977</v>
      </c>
      <c r="B94" s="9" t="s">
        <v>3978</v>
      </c>
      <c r="C94" s="9" t="n">
        <f aca="false">ABS(Funding!D8-Funding!D9-Funding!D10-Funding!D13)+ABS(Funding!E8-Funding!E9-Funding!E10-Funding!E13)+ABS(Funding!F8-Funding!F9-Funding!F10-Funding!F13)+ABS(Funding!G8-Funding!G9-Funding!G10-Funding!G13)+ABS(Funding!H8-Funding!H9-Funding!H10-Funding!H13)+ABS(Funding!I8-Funding!I9-Funding!I10-Funding!I13)</f>
        <v>0</v>
      </c>
      <c r="D94" s="9" t="n">
        <v>0</v>
      </c>
      <c r="E94" s="9" t="str">
        <f aca="false">IF(ISNUMBER(C94),IF(ABS(C94-D94)&lt;0.000000001,"OK","ERR"),"ERR")</f>
        <v>OK</v>
      </c>
      <c r="F94" s="2" t="s">
        <v>3979</v>
      </c>
    </row>
    <row r="95" customFormat="false" ht="15" hidden="false" customHeight="false" outlineLevel="0" collapsed="false">
      <c r="A95" s="9" t="s">
        <v>3980</v>
      </c>
      <c r="B95" s="9" t="s">
        <v>3981</v>
      </c>
      <c r="C95" s="9" t="n">
        <f aca="false">ABS(Funding!D13-Cost!D89-Cost!D58)+ABS(Funding!E13-Cost!E89-Cost!E58)+ABS(Funding!F13-Cost!F89-Cost!F58)+ABS(Funding!G13-Cost!G89-Cost!G58)+ABS(Funding!H13-Cost!H89-Cost!H58)+ABS(Funding!I13-Cost!I89-Cost!I58)</f>
        <v>0</v>
      </c>
      <c r="D95" s="9" t="n">
        <v>0</v>
      </c>
      <c r="E95" s="9" t="str">
        <f aca="false">IF(ISNUMBER(C95),IF(ABS(C95-D95)&lt;0.000000001,"OK","ERR"),"ERR")</f>
        <v>OK</v>
      </c>
      <c r="F95" s="12" t="s">
        <v>3982</v>
      </c>
    </row>
    <row r="96" customFormat="false" ht="15" hidden="false" customHeight="false" outlineLevel="0" collapsed="false">
      <c r="A96" s="9" t="s">
        <v>3983</v>
      </c>
      <c r="B96" s="9" t="s">
        <v>3984</v>
      </c>
      <c r="C96" s="9" t="n">
        <f aca="false">ABS(Funding!E27+Funding!E13+Funding!E24+Funding!E29-Funding!E30)+ABS(Funding!F27+Funding!F13+Funding!F24+Funding!F29-Funding!F30)+ABS(Funding!G27+Funding!G13+Funding!G24+Funding!G29-Funding!G30)+ABS(Funding!H27+Funding!H13+Funding!H24+Funding!H29-Funding!H30)+ABS(Funding!I27+Funding!I13+Funding!I24+Funding!I29-Funding!I30)</f>
        <v>0</v>
      </c>
      <c r="D96" s="9" t="n">
        <v>0</v>
      </c>
      <c r="E96" s="9" t="str">
        <f aca="false">IF(ISNUMBER(C96),IF(ABS(C96-D96)&lt;0.000000001,"OK","ERR"),"ERR")</f>
        <v>OK</v>
      </c>
      <c r="F96" s="2" t="s">
        <v>3985</v>
      </c>
    </row>
    <row r="97" customFormat="false" ht="15" hidden="false" customHeight="false" outlineLevel="0" collapsed="false">
      <c r="A97" s="9" t="s">
        <v>3986</v>
      </c>
      <c r="B97" s="9" t="s">
        <v>3987</v>
      </c>
      <c r="C97" s="9" t="n">
        <f aca="false">SUM(Funding!$D$21:$I$21)+SUM(Funding!$D$22:$I$22)-V9_Uncond2026</f>
        <v>0</v>
      </c>
      <c r="D97" s="9" t="n">
        <v>0</v>
      </c>
      <c r="E97" s="9" t="str">
        <f aca="false">IF(ISNUMBER(C97),IF(ABS(C97-D97)&lt;0.000000001,"OK","ERR"),"ERR")</f>
        <v>OK</v>
      </c>
      <c r="F97" s="2" t="s">
        <v>3988</v>
      </c>
    </row>
    <row r="98" customFormat="false" ht="15" hidden="false" customHeight="false" outlineLevel="0" collapsed="false">
      <c r="A98" s="9" t="s">
        <v>3989</v>
      </c>
      <c r="B98" s="9" t="s">
        <v>3990</v>
      </c>
      <c r="C98" s="9" t="n">
        <f aca="false">(SRC_OAI_079&lt;0)+(Funding!$D$26&lt;0)</f>
        <v>0</v>
      </c>
      <c r="D98" s="9" t="n">
        <v>0</v>
      </c>
      <c r="E98" s="9" t="str">
        <f aca="false">IF(C98=D98,"OK","ERR")</f>
        <v>OK</v>
      </c>
      <c r="F98" s="12" t="s">
        <v>1559</v>
      </c>
    </row>
    <row r="99" customFormat="false" ht="15" hidden="false" customHeight="false" outlineLevel="0" collapsed="false">
      <c r="A99" s="9" t="s">
        <v>3991</v>
      </c>
      <c r="B99" s="9" t="s">
        <v>3992</v>
      </c>
      <c r="C99" s="9" t="n">
        <f aca="false">IF(OR(SRC_OAI_082&lt;0,AND(INP_274&lt;&gt;0,INP_274&lt;&gt;1)),1,0)</f>
        <v>0</v>
      </c>
      <c r="D99" s="9" t="n">
        <v>0</v>
      </c>
      <c r="E99" s="9" t="str">
        <f aca="false">IF(C99=D99,"OK","ERR")</f>
        <v>OK</v>
      </c>
      <c r="F99" s="12" t="s">
        <v>3993</v>
      </c>
    </row>
    <row r="100" customFormat="false" ht="15" hidden="false" customHeight="false" outlineLevel="0" collapsed="false">
      <c r="A100" s="9" t="s">
        <v>3994</v>
      </c>
      <c r="B100" s="9" t="s">
        <v>3995</v>
      </c>
      <c r="C100" s="9" t="n">
        <f aca="false">SUMPRODUCT(--(Funding!$E$29:$I$29&lt;0))+SUMPRODUCT(--(Funding!$E$30:$I$30&lt;Funding!$E$26:$I$26-0.000000001))</f>
        <v>0</v>
      </c>
      <c r="D100" s="9" t="n">
        <v>0</v>
      </c>
      <c r="E100" s="9" t="str">
        <f aca="false">IF(C100=D100,"OK","ERR")</f>
        <v>OK</v>
      </c>
      <c r="F100" s="2" t="s">
        <v>3996</v>
      </c>
    </row>
    <row r="101" customFormat="false" ht="15" hidden="false" customHeight="false" outlineLevel="0" collapsed="false">
      <c r="A101" s="9" t="s">
        <v>3997</v>
      </c>
      <c r="B101" s="9" t="s">
        <v>3998</v>
      </c>
      <c r="C101" s="9" t="n">
        <f aca="false">Funding!$I$31</f>
        <v>442.844811653528</v>
      </c>
      <c r="E101" s="9" t="s">
        <v>3744</v>
      </c>
      <c r="F101" s="12" t="s">
        <v>3999</v>
      </c>
    </row>
    <row r="102" customFormat="false" ht="15" hidden="false" customHeight="false" outlineLevel="0" collapsed="false">
      <c r="A102" s="9" t="s">
        <v>4000</v>
      </c>
      <c r="B102" s="9" t="s">
        <v>4001</v>
      </c>
      <c r="C102" s="9" t="n">
        <f aca="false">MAX(Funding!$E$29:$I$29)</f>
        <v>137.624622192723</v>
      </c>
      <c r="E102" s="9" t="s">
        <v>3744</v>
      </c>
      <c r="F102" s="2"/>
    </row>
    <row r="103" customFormat="false" ht="15" hidden="false" customHeight="false" outlineLevel="0" collapsed="false">
      <c r="A103" s="9" t="s">
        <v>4002</v>
      </c>
      <c r="B103" s="9" t="s">
        <v>4003</v>
      </c>
      <c r="C103" s="9" t="n">
        <f aca="false">MIN(Funding!$E$36:$I$36)</f>
        <v>2029</v>
      </c>
      <c r="E103" s="9" t="s">
        <v>3744</v>
      </c>
      <c r="F103" s="2"/>
    </row>
    <row r="104" customFormat="false" ht="15" hidden="false" customHeight="false" outlineLevel="0" collapsed="false">
      <c r="A104" s="9" t="s">
        <v>4004</v>
      </c>
      <c r="B104" s="9" t="s">
        <v>4005</v>
      </c>
      <c r="C104" s="9" t="n">
        <f aca="false">IF(COUNT(Funding!$E$33:$I$33)=0,"無",MIN(Funding!$E$33:$I$33))</f>
        <v>2027</v>
      </c>
      <c r="E104" s="9" t="s">
        <v>3744</v>
      </c>
      <c r="F104" s="12" t="s">
        <v>4006</v>
      </c>
    </row>
    <row r="105" customFormat="false" ht="15" hidden="false" customHeight="false" outlineLevel="0" collapsed="false">
      <c r="A105" s="9" t="s">
        <v>4007</v>
      </c>
      <c r="B105" s="9" t="s">
        <v>4008</v>
      </c>
      <c r="C105" s="9" t="n">
        <f aca="false">IF(COUNT(Funding!$E$35:$I$35)=0,"無",MIN(Funding!$E$35:$I$35))</f>
        <v>2027</v>
      </c>
      <c r="E105" s="9" t="s">
        <v>3744</v>
      </c>
      <c r="F105" s="2" t="s">
        <v>4009</v>
      </c>
    </row>
    <row r="106" customFormat="false" ht="15" hidden="false" customHeight="false" outlineLevel="0" collapsed="false">
      <c r="A106" s="9" t="s">
        <v>4010</v>
      </c>
      <c r="B106" s="9" t="s">
        <v>4011</v>
      </c>
      <c r="C106" s="9" t="n">
        <f aca="false">SUM(Funding!$E$32:$I$32)</f>
        <v>4</v>
      </c>
      <c r="E106" s="9" t="s">
        <v>3744</v>
      </c>
      <c r="F106" s="2"/>
    </row>
    <row r="107" customFormat="false" ht="15" hidden="false" customHeight="false" outlineLevel="0" collapsed="false">
      <c r="A107" s="9" t="s">
        <v>4012</v>
      </c>
      <c r="B107" s="9" t="s">
        <v>4013</v>
      </c>
      <c r="C107" s="9" t="n">
        <f aca="false">Funding!$I$30</f>
        <v>10</v>
      </c>
      <c r="E107" s="9" t="s">
        <v>3744</v>
      </c>
      <c r="F107" s="2" t="s">
        <v>4014</v>
      </c>
    </row>
    <row r="108" customFormat="false" ht="15" hidden="false" customHeight="false" outlineLevel="0" collapsed="false">
      <c r="A108" s="9" t="s">
        <v>4015</v>
      </c>
      <c r="B108" s="9" t="s">
        <v>4016</v>
      </c>
      <c r="C108" s="9" t="n">
        <f aca="false">Funding!$I$43</f>
        <v>407.844811653528</v>
      </c>
      <c r="E108" s="9" t="s">
        <v>3744</v>
      </c>
      <c r="F108" s="12" t="s">
        <v>4017</v>
      </c>
    </row>
    <row r="109" customFormat="false" ht="15" hidden="false" customHeight="false" outlineLevel="0" collapsed="false">
      <c r="A109" s="9" t="s">
        <v>4018</v>
      </c>
      <c r="B109" s="9" t="s">
        <v>4019</v>
      </c>
      <c r="C109" s="9" t="n">
        <f aca="false">Funding!$I$31-Funding!$I$43</f>
        <v>35</v>
      </c>
      <c r="E109" s="9" t="s">
        <v>3744</v>
      </c>
      <c r="F109" s="2"/>
    </row>
    <row r="110" customFormat="false" ht="15" hidden="false" customHeight="false" outlineLevel="0" collapsed="false">
      <c r="A110" s="9" t="s">
        <v>4020</v>
      </c>
      <c r="B110" s="9" t="s">
        <v>4021</v>
      </c>
      <c r="C110" s="9" t="n">
        <f aca="false">FND_Contingent</f>
        <v>600</v>
      </c>
      <c r="E110" s="9" t="s">
        <v>3744</v>
      </c>
      <c r="F110" s="12" t="s">
        <v>4022</v>
      </c>
    </row>
    <row r="111" customFormat="false" ht="15" hidden="false" customHeight="false" outlineLevel="0" collapsed="false">
      <c r="A111" s="9" t="s">
        <v>4023</v>
      </c>
      <c r="B111" s="9" t="s">
        <v>4024</v>
      </c>
      <c r="C111" s="9" t="n">
        <f aca="false">FND_CommitAfter2030</f>
        <v>133.547619047619</v>
      </c>
      <c r="E111" s="9" t="s">
        <v>3744</v>
      </c>
      <c r="F111" s="12" t="s">
        <v>4025</v>
      </c>
    </row>
    <row r="112" customFormat="false" ht="15" hidden="false" customHeight="false" outlineLevel="0" collapsed="false">
      <c r="A112" s="9" t="s">
        <v>4026</v>
      </c>
      <c r="B112" s="9" t="s">
        <v>4027</v>
      </c>
      <c r="C112" s="9" t="n">
        <f aca="false">Revenue!$D$74-SRC_OAI_002</f>
        <v>0</v>
      </c>
      <c r="D112" s="9" t="n">
        <v>0</v>
      </c>
      <c r="E112" s="9" t="str">
        <f aca="false">IF(ISNUMBER(C112),IF(ABS(C112-D112)&lt;0.000000001,"OK","ERR"),"ERR")</f>
        <v>OK</v>
      </c>
      <c r="F112" s="12" t="s">
        <v>4028</v>
      </c>
    </row>
    <row r="113" customFormat="false" ht="15" hidden="false" customHeight="false" outlineLevel="0" collapsed="false">
      <c r="A113" s="9" t="s">
        <v>4029</v>
      </c>
      <c r="B113" s="9" t="s">
        <v>4030</v>
      </c>
      <c r="C113" s="9" t="n">
        <f aca="false">Compute!$D$61*INP_229-SRC_OAI_047</f>
        <v>0</v>
      </c>
      <c r="D113" s="9" t="n">
        <v>0</v>
      </c>
      <c r="E113" s="9" t="str">
        <f aca="false">IF(ISNUMBER(C113),IF(ABS(C113-D113)&lt;0.000000001,"OK","ERR"),"ERR")</f>
        <v>OK</v>
      </c>
      <c r="F113" s="12" t="s">
        <v>4031</v>
      </c>
    </row>
    <row r="114" customFormat="false" ht="15" hidden="false" customHeight="false" outlineLevel="0" collapsed="false">
      <c r="A114" s="9" t="s">
        <v>4032</v>
      </c>
      <c r="B114" s="9" t="s">
        <v>4033</v>
      </c>
      <c r="C114" s="9" t="n">
        <f aca="false">SRC_OAI_047-SRC_OAI_003</f>
        <v>0.9</v>
      </c>
      <c r="E114" s="9" t="s">
        <v>3744</v>
      </c>
      <c r="F114" s="2" t="s">
        <v>4034</v>
      </c>
    </row>
    <row r="115" customFormat="false" ht="15" hidden="false" customHeight="false" outlineLevel="0" collapsed="false">
      <c r="A115" s="9" t="s">
        <v>4035</v>
      </c>
      <c r="B115" s="9" t="s">
        <v>4036</v>
      </c>
      <c r="C115" s="9" t="n">
        <f aca="false">Compute!$D$72*INP_229-(SRC_OAI_098+INP_230)</f>
        <v>0</v>
      </c>
      <c r="D115" s="9" t="n">
        <v>0</v>
      </c>
      <c r="E115" s="9" t="str">
        <f aca="false">IF(ISNUMBER(C115),IF(ABS(C115-D115)&lt;0.000000001,"OK","ERR"),"ERR")</f>
        <v>OK</v>
      </c>
      <c r="F115" s="12" t="s">
        <v>4037</v>
      </c>
    </row>
    <row r="116" customFormat="false" ht="15" hidden="false" customHeight="false" outlineLevel="0" collapsed="false">
      <c r="A116" s="9" t="s">
        <v>4038</v>
      </c>
      <c r="B116" s="9" t="s">
        <v>4039</v>
      </c>
      <c r="C116" s="9" t="n">
        <f aca="false">Compute!$D$73-SRC_OAI_090</f>
        <v>-0.2</v>
      </c>
      <c r="E116" s="9" t="s">
        <v>3744</v>
      </c>
      <c r="F116" s="2" t="s">
        <v>4040</v>
      </c>
    </row>
    <row r="117" customFormat="false" ht="15" hidden="false" customHeight="false" outlineLevel="0" collapsed="false">
      <c r="A117" s="9" t="s">
        <v>4041</v>
      </c>
      <c r="B117" s="9" t="s">
        <v>4042</v>
      </c>
      <c r="C117" s="9" t="n">
        <f aca="false">Compute!$D$87-Compute!$D$64</f>
        <v>-0.0203968253968254</v>
      </c>
      <c r="E117" s="9" t="s">
        <v>3744</v>
      </c>
      <c r="F117" s="12" t="s">
        <v>4043</v>
      </c>
    </row>
    <row r="118" customFormat="false" ht="15" hidden="false" customHeight="false" outlineLevel="0" collapsed="false">
      <c r="A118" s="9" t="s">
        <v>4044</v>
      </c>
      <c r="B118" s="9" t="s">
        <v>4045</v>
      </c>
      <c r="C118" s="9" t="n">
        <f aca="false">Cost!$D$27-COST_Actual2025</f>
        <v>-5.64476190476191</v>
      </c>
      <c r="E118" s="9" t="s">
        <v>3744</v>
      </c>
      <c r="F118" s="12" t="s">
        <v>4046</v>
      </c>
    </row>
    <row r="119" customFormat="false" ht="15" hidden="false" customHeight="false" outlineLevel="0" collapsed="false">
      <c r="A119" s="9" t="s">
        <v>4047</v>
      </c>
      <c r="B119" s="9" t="s">
        <v>4048</v>
      </c>
      <c r="C119" s="9" t="n">
        <f aca="false">Revenue!$D$74-COST_Actual2025-Cost!$D$59-Cost!$D$58</f>
        <v>-21.81</v>
      </c>
      <c r="E119" s="9" t="s">
        <v>3744</v>
      </c>
      <c r="F119" s="2" t="s">
        <v>4049</v>
      </c>
    </row>
    <row r="120" customFormat="false" ht="15" hidden="false" customHeight="false" outlineLevel="0" collapsed="false">
      <c r="A120" s="9" t="s">
        <v>4050</v>
      </c>
      <c r="B120" s="9" t="s">
        <v>4051</v>
      </c>
      <c r="C120" s="9" t="n">
        <f aca="false">(Revenue!$D$74-COST_Actual2025-Cost!$D$59-Cost!$D$58)+SRC_OAI_131</f>
        <v>-0.890000000000001</v>
      </c>
      <c r="E120" s="9" t="s">
        <v>3744</v>
      </c>
      <c r="F120" s="2" t="s">
        <v>4052</v>
      </c>
    </row>
    <row r="121" customFormat="false" ht="15" hidden="false" customHeight="false" outlineLevel="0" collapsed="false">
      <c r="A121" s="9" t="s">
        <v>4053</v>
      </c>
      <c r="B121" s="9" t="s">
        <v>4054</v>
      </c>
      <c r="C121" s="9" t="n">
        <f aca="false">(Revenue!$D$74-COST_Actual2025-Cost!$D$59-Cost!$D$58)+SRC_OAI_131+SRC_OAI_047-SRC_OAI_003</f>
        <v>0.00999999999999979</v>
      </c>
      <c r="E121" s="9" t="s">
        <v>3744</v>
      </c>
      <c r="F121" s="12" t="s">
        <v>4055</v>
      </c>
    </row>
    <row r="122" customFormat="false" ht="15" hidden="false" customHeight="false" outlineLevel="0" collapsed="false">
      <c r="A122" s="9" t="s">
        <v>4056</v>
      </c>
      <c r="B122" s="9" t="s">
        <v>4057</v>
      </c>
      <c r="C122" s="9" t="n">
        <f aca="false">Revenue!$D$75</f>
        <v>2.614</v>
      </c>
      <c r="E122" s="9" t="s">
        <v>3744</v>
      </c>
      <c r="F122" s="2" t="s">
        <v>4058</v>
      </c>
    </row>
    <row r="123" customFormat="false" ht="15" hidden="false" customHeight="false" outlineLevel="0" collapsed="false">
      <c r="A123" s="9" t="s">
        <v>4059</v>
      </c>
      <c r="B123" s="9" t="s">
        <v>4060</v>
      </c>
      <c r="C123" s="9" t="n">
        <f aca="false">FND_FCF2025Act</f>
        <v>-18.424</v>
      </c>
      <c r="E123" s="9" t="s">
        <v>3744</v>
      </c>
      <c r="F123" s="2" t="s">
        <v>4061</v>
      </c>
    </row>
    <row r="124" customFormat="false" ht="15" hidden="false" customHeight="false" outlineLevel="0" collapsed="false">
      <c r="A124" s="9" t="s">
        <v>4062</v>
      </c>
      <c r="B124" s="9" t="s">
        <v>4063</v>
      </c>
      <c r="C124" s="9" t="n">
        <f aca="false">Reverse!$D$9</f>
        <v>0</v>
      </c>
      <c r="D124" s="9" t="n">
        <v>0</v>
      </c>
      <c r="E124" s="9" t="str">
        <f aca="false">IF(ISNUMBER(C124),IF(ABS(C124-D124)&lt;0.000000001,"OK","ERR"),"ERR")</f>
        <v>OK</v>
      </c>
      <c r="F124" s="12" t="s">
        <v>4064</v>
      </c>
    </row>
    <row r="125" customFormat="false" ht="15" hidden="false" customHeight="false" outlineLevel="0" collapsed="false">
      <c r="A125" s="9" t="s">
        <v>4065</v>
      </c>
      <c r="B125" s="9" t="s">
        <v>4066</v>
      </c>
      <c r="C125" s="9" t="n">
        <f aca="false">(Reverse!E8&lt;=Reverse!D8)+(Reverse!F8&lt;=Reverse!E8)+(Reverse!G8&lt;=Reverse!F8)+(Reverse!H8&lt;=Reverse!G8)+(Reverse!I8&lt;=Reverse!H8)</f>
        <v>0</v>
      </c>
      <c r="D125" s="9" t="n">
        <v>0</v>
      </c>
      <c r="E125" s="9" t="str">
        <f aca="false">IF(C125=D125,"OK","ERR")</f>
        <v>OK</v>
      </c>
      <c r="F125" s="2" t="s">
        <v>4067</v>
      </c>
    </row>
    <row r="126" customFormat="false" ht="15" hidden="false" customHeight="false" outlineLevel="0" collapsed="false">
      <c r="A126" s="9" t="s">
        <v>4068</v>
      </c>
      <c r="B126" s="9" t="s">
        <v>4069</v>
      </c>
      <c r="C126" s="9" t="n">
        <f aca="false">MAX(0,MAX(RVS_MSCum)-SRC_OAI_010)</f>
        <v>0</v>
      </c>
      <c r="D126" s="9" t="n">
        <v>0</v>
      </c>
      <c r="E126" s="9" t="str">
        <f aca="false">IF(ISNUMBER(C126),IF(ABS(C126-D126)&lt;0.000000001,"OK","ERR"),"ERR")</f>
        <v>OK</v>
      </c>
      <c r="F126" s="2" t="s">
        <v>4070</v>
      </c>
    </row>
    <row r="127" customFormat="false" ht="15" hidden="false" customHeight="false" outlineLevel="0" collapsed="false">
      <c r="A127" s="9" t="s">
        <v>4071</v>
      </c>
      <c r="B127" s="9" t="s">
        <v>4072</v>
      </c>
      <c r="C127" s="9" t="n">
        <f aca="false">Reverse!$I$21</f>
        <v>4.01200833427565</v>
      </c>
      <c r="E127" s="9" t="s">
        <v>3744</v>
      </c>
      <c r="F127" s="12" t="s">
        <v>4073</v>
      </c>
    </row>
    <row r="128" customFormat="false" ht="15" hidden="false" customHeight="false" outlineLevel="0" collapsed="false">
      <c r="A128" s="9" t="s">
        <v>4074</v>
      </c>
      <c r="B128" s="9" t="s">
        <v>4075</v>
      </c>
      <c r="C128" s="9" t="n">
        <f aca="false">Reverse!$I$22</f>
        <v>5.80223848638112</v>
      </c>
      <c r="E128" s="9" t="s">
        <v>3744</v>
      </c>
      <c r="F128" s="12" t="s">
        <v>4076</v>
      </c>
    </row>
    <row r="129" customFormat="false" ht="15" hidden="false" customHeight="false" outlineLevel="0" collapsed="false">
      <c r="A129" s="9" t="s">
        <v>4077</v>
      </c>
      <c r="B129" s="9" t="s">
        <v>4078</v>
      </c>
      <c r="C129" s="9" t="n">
        <f aca="false">Reverse!$I$23</f>
        <v>2.85102706327665</v>
      </c>
      <c r="E129" s="9" t="s">
        <v>3744</v>
      </c>
      <c r="F129" s="12" t="s">
        <v>4079</v>
      </c>
    </row>
    <row r="130" customFormat="false" ht="15" hidden="false" customHeight="false" outlineLevel="0" collapsed="false">
      <c r="A130" s="9" t="s">
        <v>4080</v>
      </c>
      <c r="B130" s="9" t="s">
        <v>4081</v>
      </c>
      <c r="C130" s="9" t="n">
        <f aca="false">Reverse!$I$53</f>
        <v>92.6501994713753</v>
      </c>
      <c r="E130" s="9" t="s">
        <v>3744</v>
      </c>
      <c r="F130" s="12" t="s">
        <v>4082</v>
      </c>
    </row>
    <row r="131" customFormat="false" ht="15" hidden="false" customHeight="false" outlineLevel="0" collapsed="false">
      <c r="A131" s="9" t="s">
        <v>4083</v>
      </c>
      <c r="B131" s="9" t="s">
        <v>4084</v>
      </c>
      <c r="C131" s="9" t="n">
        <f aca="false">Reverse!$D$59</f>
        <v>162.221197591926</v>
      </c>
      <c r="E131" s="9" t="s">
        <v>3744</v>
      </c>
      <c r="F131" s="12" t="s">
        <v>4085</v>
      </c>
    </row>
    <row r="132" customFormat="false" ht="15" hidden="false" customHeight="false" outlineLevel="0" collapsed="false">
      <c r="A132" s="9" t="s">
        <v>4086</v>
      </c>
      <c r="B132" s="9" t="s">
        <v>4087</v>
      </c>
      <c r="C132" s="9" t="str">
        <f aca="false">TK_Version</f>
        <v>v21.7</v>
      </c>
      <c r="E132" s="9" t="s">
        <v>3744</v>
      </c>
      <c r="F132" s="12" t="s">
        <v>4088</v>
      </c>
    </row>
    <row r="133" customFormat="false" ht="15" hidden="false" customHeight="false" outlineLevel="0" collapsed="false">
      <c r="A133" s="9" t="s">
        <v>4089</v>
      </c>
      <c r="B133" s="9" t="s">
        <v>4090</v>
      </c>
      <c r="C133" s="9" t="str">
        <f aca="false">TK_Commit</f>
        <v>8309fdb17a74b6045375870db47e81bd2f0a6c88</v>
      </c>
      <c r="E133" s="9" t="s">
        <v>3744</v>
      </c>
      <c r="F133" s="2"/>
    </row>
    <row r="134" customFormat="false" ht="15" hidden="false" customHeight="false" outlineLevel="0" collapsed="false">
      <c r="A134" s="9" t="s">
        <v>4091</v>
      </c>
      <c r="B134" s="9" t="s">
        <v>4092</v>
      </c>
      <c r="C134" s="9" t="n">
        <f aca="false">SUMPRODUCT(PXQ_Identity,PXQ_Identity)</f>
        <v>0</v>
      </c>
      <c r="D134" s="9" t="n">
        <v>0</v>
      </c>
      <c r="E134" s="9" t="str">
        <f aca="false">IF(ISNUMBER(C134),IF(ABS(C134-D134)&lt;0.000000001,"OK","ERR"),"ERR")</f>
        <v>OK</v>
      </c>
      <c r="F134" s="2" t="s">
        <v>4093</v>
      </c>
    </row>
    <row r="135" customFormat="false" ht="15" hidden="false" customHeight="false" outlineLevel="0" collapsed="false">
      <c r="A135" s="9" t="s">
        <v>4094</v>
      </c>
      <c r="B135" s="9" t="s">
        <v>4095</v>
      </c>
      <c r="C135" s="9" t="n">
        <f aca="false">SUMPRODUCT(--ISERROR(PxQ!$D$7:$N$400))</f>
        <v>0</v>
      </c>
      <c r="D135" s="9" t="n">
        <v>0</v>
      </c>
      <c r="E135" s="9" t="str">
        <f aca="false">IF(C135=D135,"OK","ERR")</f>
        <v>OK</v>
      </c>
      <c r="F135" s="2"/>
    </row>
    <row r="136" customFormat="false" ht="15" hidden="false" customHeight="false" outlineLevel="0" collapsed="false">
      <c r="A136" s="9" t="s">
        <v>4096</v>
      </c>
      <c r="B136" s="9" t="s">
        <v>4097</v>
      </c>
      <c r="C136" s="9" t="n">
        <f aca="false">INP_276*(1-INP_276)+INP_280*(1-INP_280)+INP_287*(1-INP_287)</f>
        <v>0</v>
      </c>
      <c r="D136" s="9" t="n">
        <v>0</v>
      </c>
      <c r="E136" s="9" t="str">
        <f aca="false">IF(ISNUMBER(C136),IF(ABS(C136-D136)&lt;0.000000001,"OK","ERR"),"ERR")</f>
        <v>OK</v>
      </c>
      <c r="F136" s="12" t="s">
        <v>4098</v>
      </c>
    </row>
    <row r="137" customFormat="false" ht="15" hidden="false" customHeight="false" outlineLevel="0" collapsed="false">
      <c r="A137" s="9" t="s">
        <v>4099</v>
      </c>
      <c r="B137" s="9" t="s">
        <v>4100</v>
      </c>
      <c r="C137" s="9" t="n">
        <f aca="false">COUNTIF(PXQ_GW,"&lt;=0")</f>
        <v>0</v>
      </c>
      <c r="D137" s="9" t="n">
        <v>0</v>
      </c>
      <c r="E137" s="9" t="str">
        <f aca="false">IF(C137=D137,"OK","ERR")</f>
        <v>OK</v>
      </c>
      <c r="F137" s="2"/>
    </row>
    <row r="138" customFormat="false" ht="15" hidden="false" customHeight="false" outlineLevel="0" collapsed="false">
      <c r="A138" s="9" t="s">
        <v>4101</v>
      </c>
      <c r="B138" s="9" t="s">
        <v>4102</v>
      </c>
      <c r="C138" s="9" t="n">
        <f aca="false">COUNTIF(PXQ_Q,"&lt;=0")</f>
        <v>0</v>
      </c>
      <c r="D138" s="9" t="n">
        <v>0</v>
      </c>
      <c r="E138" s="9" t="str">
        <f aca="false">IF(C138=D138,"OK","ERR")</f>
        <v>OK</v>
      </c>
      <c r="F138" s="2"/>
    </row>
    <row r="139" customFormat="false" ht="15" hidden="false" customHeight="false" outlineLevel="0" collapsed="false">
      <c r="A139" s="9" t="s">
        <v>4103</v>
      </c>
      <c r="B139" s="9" t="s">
        <v>4104</v>
      </c>
      <c r="C139" s="19" t="n">
        <f aca="false">PxQ!$D$64</f>
        <v>1.2390372618626</v>
      </c>
      <c r="E139" s="9" t="s">
        <v>3744</v>
      </c>
      <c r="F139" s="12" t="s">
        <v>4105</v>
      </c>
    </row>
    <row r="140" customFormat="false" ht="15" hidden="false" customHeight="false" outlineLevel="0" collapsed="false">
      <c r="A140" s="9" t="s">
        <v>4106</v>
      </c>
      <c r="B140" s="9" t="s">
        <v>4107</v>
      </c>
      <c r="C140" s="19" t="n">
        <f aca="false">PxQ!$E$64</f>
        <v>1.11791590049691</v>
      </c>
      <c r="E140" s="9" t="s">
        <v>3744</v>
      </c>
      <c r="F140" s="12" t="s">
        <v>4108</v>
      </c>
    </row>
    <row r="141" customFormat="false" ht="15" hidden="false" customHeight="false" outlineLevel="0" collapsed="false">
      <c r="A141" s="9" t="s">
        <v>4109</v>
      </c>
      <c r="B141" s="9" t="s">
        <v>4110</v>
      </c>
      <c r="C141" s="20" t="n">
        <f aca="false">PxQ!$D$220</f>
        <v>1.51680154474381</v>
      </c>
      <c r="E141" s="9" t="s">
        <v>3744</v>
      </c>
      <c r="F141" s="2" t="s">
        <v>4111</v>
      </c>
    </row>
    <row r="142" customFormat="false" ht="15" hidden="false" customHeight="false" outlineLevel="0" collapsed="false">
      <c r="A142" s="9" t="s">
        <v>4112</v>
      </c>
      <c r="B142" s="9" t="s">
        <v>4113</v>
      </c>
      <c r="C142" s="9" t="n">
        <f aca="false">ABS(PxQ!$D$53-1)+ABS(PxQ!$E$53-1)+ABS(PxQ!$F$53-1)+ABS(PxQ!$G$53-1)+ABS(PxQ!$H$53-1)+ABS(PxQ!$I$53-1)+ABS(PxQ!$J$53-1)+ABS(PxQ!$K$53-1)+ABS(PxQ!$L$53-1)+ABS(PxQ!$M$53-1)+ABS(PxQ!$N$53-1)</f>
        <v>0</v>
      </c>
      <c r="D142" s="9" t="n">
        <v>0</v>
      </c>
      <c r="E142" s="9" t="str">
        <f aca="false">IF(ISNUMBER(C142),IF(ABS(C142-D142)&lt;0.000000001,"OK","ERR"),"ERR")</f>
        <v>OK</v>
      </c>
      <c r="F142" s="2" t="s">
        <v>4114</v>
      </c>
    </row>
    <row r="143" customFormat="false" ht="15" hidden="false" customHeight="false" outlineLevel="0" collapsed="false">
      <c r="A143" s="9" t="s">
        <v>4115</v>
      </c>
      <c r="B143" s="9" t="s">
        <v>4116</v>
      </c>
      <c r="C143" s="9" t="n">
        <f aca="false">ABS(PxQ!$D$80-1)+ABS(PxQ!$E$80-1)+ABS(PxQ!$F$80-1)+ABS(PxQ!$G$80-1)+ABS(PxQ!$H$80-1)+ABS(PxQ!$I$80-1)+ABS(PxQ!$J$80-1)+ABS(PxQ!$K$80-1)+ABS(PxQ!$L$80-1)+ABS(PxQ!$M$80-1)+ABS(PxQ!$N$80-1)</f>
        <v>0</v>
      </c>
      <c r="D143" s="9" t="n">
        <v>0</v>
      </c>
      <c r="E143" s="9" t="str">
        <f aca="false">IF(ISNUMBER(C143),IF(ABS(C143-D143)&lt;0.000000001,"OK","ERR"),"ERR")</f>
        <v>OK</v>
      </c>
      <c r="F143" s="2" t="s">
        <v>4117</v>
      </c>
    </row>
    <row r="144" customFormat="false" ht="15" hidden="false" customHeight="false" outlineLevel="0" collapsed="false">
      <c r="A144" s="9" t="s">
        <v>4118</v>
      </c>
      <c r="B144" s="9" t="s">
        <v>4119</v>
      </c>
      <c r="C144" s="9" t="n">
        <f aca="false">SRC_OAI_002-TK_SRC_DEM_007</f>
        <v>0</v>
      </c>
      <c r="D144" s="9" t="n">
        <v>0</v>
      </c>
      <c r="E144" s="9" t="str">
        <f aca="false">IF(ISNUMBER(C144),IF(ABS(C144-D144)&lt;0.000000001,"OK","ERR"),"ERR")</f>
        <v>OK</v>
      </c>
      <c r="F144" s="12" t="s">
        <v>4120</v>
      </c>
    </row>
    <row r="145" customFormat="false" ht="15" hidden="false" customHeight="false" outlineLevel="0" collapsed="false">
      <c r="A145" s="9" t="s">
        <v>4121</v>
      </c>
      <c r="B145" s="9" t="s">
        <v>4122</v>
      </c>
      <c r="C145" s="9" t="n">
        <f aca="false">COUNTIF(TK_Link!$F$10:$F$200,"OK")</f>
        <v>88</v>
      </c>
      <c r="D145" s="9" t="n">
        <v>88</v>
      </c>
      <c r="E145" s="9" t="str">
        <f aca="false">IF(C145=D145,"OK","ERR")</f>
        <v>OK</v>
      </c>
      <c r="F145" s="2" t="s">
        <v>4123</v>
      </c>
    </row>
    <row r="146" customFormat="false" ht="15" hidden="false" customHeight="false" outlineLevel="0" collapsed="false">
      <c r="A146" s="9" t="s">
        <v>4124</v>
      </c>
      <c r="B146" s="9" t="s">
        <v>4125</v>
      </c>
      <c r="C146" s="9" t="n">
        <f aca="false">IF(LEN(TK_FileSHA256)=64,1,0)</f>
        <v>1</v>
      </c>
      <c r="D146" s="9" t="n">
        <v>1</v>
      </c>
      <c r="E146" s="9" t="str">
        <f aca="false">IF(C146=D146,"OK","ERR")</f>
        <v>OK</v>
      </c>
      <c r="F146" s="12" t="s">
        <v>4126</v>
      </c>
    </row>
    <row r="147" customFormat="false" ht="15" hidden="false" customHeight="false" outlineLevel="0" collapsed="false">
      <c r="A147" s="9" t="s">
        <v>4127</v>
      </c>
      <c r="B147" s="9" t="s">
        <v>4128</v>
      </c>
      <c r="C147" s="9" t="n">
        <f aca="false">INDEX(CMP_RDGW,1)/(INDEX(CMP_RDGW,1)+INDEX(CMP_InfGW,1))</f>
        <v>0.588235294117647</v>
      </c>
      <c r="E147" s="9" t="s">
        <v>3744</v>
      </c>
      <c r="F147" s="2" t="s">
        <v>4129</v>
      </c>
    </row>
    <row r="148" customFormat="false" ht="15" hidden="false" customHeight="false" outlineLevel="0" collapsed="false">
      <c r="A148" s="9" t="s">
        <v>4130</v>
      </c>
      <c r="B148" s="9" t="s">
        <v>4131</v>
      </c>
      <c r="C148" s="9" t="n">
        <f aca="false">TK_IF_AllocQ1</f>
        <v>0.184073753247684</v>
      </c>
      <c r="E148" s="9" t="s">
        <v>3744</v>
      </c>
      <c r="F148" s="12" t="s">
        <v>4132</v>
      </c>
    </row>
    <row r="149" customFormat="false" ht="15" hidden="false" customHeight="false" outlineLevel="0" collapsed="false">
      <c r="A149" s="9" t="s">
        <v>4133</v>
      </c>
      <c r="B149" s="9" t="s">
        <v>4134</v>
      </c>
      <c r="C149" s="9" t="n">
        <f aca="false">TK_RNG_IF_AllocQ1_Lo</f>
        <v>0.153096029718054</v>
      </c>
      <c r="E149" s="9" t="s">
        <v>3744</v>
      </c>
      <c r="F149" s="12" t="s">
        <v>4135</v>
      </c>
    </row>
    <row r="150" customFormat="false" ht="15" hidden="false" customHeight="false" outlineLevel="0" collapsed="false">
      <c r="A150" s="9" t="s">
        <v>4136</v>
      </c>
      <c r="B150" s="9" t="s">
        <v>4137</v>
      </c>
      <c r="C150" s="9" t="n">
        <f aca="false">TK_RNG_IF_AllocQ1_Hi</f>
        <v>0.190421309098234</v>
      </c>
      <c r="E150" s="9" t="s">
        <v>3744</v>
      </c>
      <c r="F150" s="12" t="s">
        <v>4135</v>
      </c>
    </row>
    <row r="151" customFormat="false" ht="15" hidden="false" customHeight="false" outlineLevel="0" collapsed="false">
      <c r="A151" s="9" t="s">
        <v>4138</v>
      </c>
      <c r="B151" s="9" t="s">
        <v>4139</v>
      </c>
      <c r="C151" s="9" t="n">
        <f aca="false">IF(TK_RNG_StaleFlag="一致",1,0)</f>
        <v>1</v>
      </c>
      <c r="D151" s="9" t="n">
        <v>1</v>
      </c>
      <c r="E151" s="9" t="str">
        <f aca="false">IF(C151=D151,"OK","ERR")</f>
        <v>OK</v>
      </c>
      <c r="F151" s="2" t="s">
        <v>4140</v>
      </c>
    </row>
    <row r="152" customFormat="false" ht="15" hidden="false" customHeight="false" outlineLevel="0" collapsed="false">
      <c r="A152" s="9" t="s">
        <v>4141</v>
      </c>
      <c r="B152" s="9" t="s">
        <v>4142</v>
      </c>
      <c r="C152" s="9" t="str">
        <f aca="false">TK_Version</f>
        <v>v21.7</v>
      </c>
      <c r="D152" s="9" t="s">
        <v>796</v>
      </c>
      <c r="E152" s="9" t="str">
        <f aca="false">IF(C152=D152,"OK","ERR")</f>
        <v>OK</v>
      </c>
      <c r="F152" s="12" t="s">
        <v>4143</v>
      </c>
    </row>
    <row r="153" customFormat="false" ht="15" hidden="false" customHeight="false" outlineLevel="0" collapsed="false">
      <c r="A153" s="9" t="s">
        <v>4144</v>
      </c>
      <c r="B153" s="9" t="s">
        <v>4145</v>
      </c>
      <c r="C153" s="9" t="n">
        <f aca="false">PXQ_ReconBad</f>
        <v>0</v>
      </c>
      <c r="D153" s="9" t="n">
        <v>0</v>
      </c>
      <c r="E153" s="9" t="str">
        <f aca="false">IF(C153=D153,"OK","ERR")</f>
        <v>OK</v>
      </c>
      <c r="F153" s="2" t="s">
        <v>4146</v>
      </c>
    </row>
    <row r="154" customFormat="false" ht="15" hidden="false" customHeight="false" outlineLevel="0" collapsed="false">
      <c r="A154" s="9" t="s">
        <v>4147</v>
      </c>
      <c r="B154" s="9" t="s">
        <v>4148</v>
      </c>
      <c r="C154" s="9" t="n">
        <f aca="false">ABS(INDEX(PXQ_TokLedgerRel,1))</f>
        <v>0.00161146182874465</v>
      </c>
      <c r="D154" s="9" t="n">
        <v>0.01</v>
      </c>
      <c r="E154" s="9" t="str">
        <f aca="false">IF(ISNUMBER(C154),IF(C154&lt;=D154,"OK","ERR"),"ERR")</f>
        <v>OK</v>
      </c>
      <c r="F154" s="12" t="s">
        <v>4149</v>
      </c>
    </row>
    <row r="155" customFormat="false" ht="15" hidden="false" customHeight="false" outlineLevel="0" collapsed="false">
      <c r="A155" s="9" t="s">
        <v>4150</v>
      </c>
      <c r="B155" s="9" t="s">
        <v>4151</v>
      </c>
      <c r="C155" s="9" t="n">
        <f aca="false">ABS(INDEX(PXQ_TokLedgerRel,2))</f>
        <v>0.0012157448604755</v>
      </c>
      <c r="D155" s="9" t="n">
        <v>0.01</v>
      </c>
      <c r="E155" s="9" t="str">
        <f aca="false">IF(ISNUMBER(C155),IF(C155&lt;=D155,"OK","ERR"),"ERR")</f>
        <v>OK</v>
      </c>
      <c r="F155" s="12" t="s">
        <v>4152</v>
      </c>
    </row>
    <row r="156" customFormat="false" ht="15" hidden="false" customHeight="false" outlineLevel="0" collapsed="false">
      <c r="A156" s="9" t="s">
        <v>4153</v>
      </c>
      <c r="B156" s="9" t="s">
        <v>4154</v>
      </c>
      <c r="C156" s="9" t="n">
        <f aca="false">SRC_OAI_145-TK_SRC_DEM_011</f>
        <v>0</v>
      </c>
      <c r="D156" s="9" t="n">
        <v>0</v>
      </c>
      <c r="E156" s="9" t="str">
        <f aca="false">IF(ISNUMBER(C156),IF(ABS(C156-D156)&lt;0.000000001,"OK","ERR"),"ERR")</f>
        <v>OK</v>
      </c>
      <c r="F156" s="2" t="s">
        <v>4155</v>
      </c>
    </row>
    <row r="157" customFormat="false" ht="15" hidden="false" customHeight="false" outlineLevel="0" collapsed="false">
      <c r="A157" s="9" t="s">
        <v>4156</v>
      </c>
      <c r="B157" s="9" t="s">
        <v>4157</v>
      </c>
      <c r="C157" s="9" t="n">
        <f aca="false">MIN(PXQ_FW_Mult)</f>
        <v>0.760316282368936</v>
      </c>
      <c r="E157" s="9" t="s">
        <v>3744</v>
      </c>
      <c r="F157" s="12" t="s">
        <v>4158</v>
      </c>
    </row>
    <row r="158" customFormat="false" ht="15" hidden="false" customHeight="false" outlineLevel="0" collapsed="false">
      <c r="A158" s="9" t="s">
        <v>4159</v>
      </c>
      <c r="B158" s="9" t="s">
        <v>4160</v>
      </c>
      <c r="C158" s="9" t="n">
        <f aca="false">MAX(PXQ_FW_Mult)</f>
        <v>0.980498373190709</v>
      </c>
      <c r="E158" s="9" t="s">
        <v>3744</v>
      </c>
      <c r="F158" s="2"/>
    </row>
    <row r="159" customFormat="false" ht="15" hidden="false" customHeight="false" outlineLevel="0" collapsed="false">
      <c r="A159" s="9" t="s">
        <v>4161</v>
      </c>
      <c r="B159" s="9" t="s">
        <v>4162</v>
      </c>
      <c r="C159" s="9" t="str">
        <f aca="false">TEXT(PxQ!$D$9,"0.00")&amp;" / "&amp;TEXT(PxQ!$E$9,"0.00")&amp;" / "&amp;TEXT(PxQ!$F$9,"0.00")</f>
        <v>1.24 / 1.19 / 1.14</v>
      </c>
      <c r="E159" s="9" t="s">
        <v>3744</v>
      </c>
      <c r="F159" s="12" t="s">
        <v>4163</v>
      </c>
    </row>
    <row r="160" customFormat="false" ht="15" hidden="false" customHeight="false" outlineLevel="0" collapsed="false">
      <c r="A160" s="9" t="s">
        <v>4164</v>
      </c>
      <c r="B160" s="9" t="s">
        <v>4165</v>
      </c>
      <c r="C160" s="20" t="n">
        <f aca="false">PxQ!$E$10</f>
        <v>1.19100767318672</v>
      </c>
      <c r="E160" s="9" t="s">
        <v>3744</v>
      </c>
      <c r="F160" s="12" t="s">
        <v>4166</v>
      </c>
    </row>
    <row r="161" customFormat="false" ht="15" hidden="false" customHeight="false" outlineLevel="0" collapsed="false">
      <c r="A161" s="9" t="s">
        <v>4167</v>
      </c>
      <c r="B161" s="9" t="s">
        <v>4168</v>
      </c>
      <c r="C161" s="20" t="n">
        <f aca="false">PxQ!$E$11</f>
        <v>1.10963447812427</v>
      </c>
      <c r="E161" s="9" t="s">
        <v>3744</v>
      </c>
      <c r="F161" s="12" t="s">
        <v>4169</v>
      </c>
    </row>
    <row r="162" customFormat="false" ht="15" hidden="false" customHeight="false" outlineLevel="0" collapsed="false">
      <c r="A162" s="9" t="s">
        <v>4170</v>
      </c>
      <c r="B162" s="9" t="s">
        <v>4171</v>
      </c>
      <c r="C162" s="9" t="str">
        <f aca="false">TEXT(PxQ!$E$15,"0.00")&amp;" / "&amp;TEXT(PxQ!$E$16,"0.00")&amp;" / "&amp;TEXT(PxQ!$E$17,"0.00")</f>
        <v>0.96 / 0.96 / 0.90</v>
      </c>
      <c r="E162" s="9" t="s">
        <v>3744</v>
      </c>
      <c r="F162" s="2" t="s">
        <v>4172</v>
      </c>
    </row>
    <row r="163" customFormat="false" ht="15" hidden="false" customHeight="false" outlineLevel="0" collapsed="false">
      <c r="A163" s="9" t="s">
        <v>4173</v>
      </c>
      <c r="B163" s="9" t="s">
        <v>4174</v>
      </c>
      <c r="C163" s="20" t="n">
        <f aca="false">PxQ!$J$220</f>
        <v>1.70143953312388</v>
      </c>
      <c r="E163" s="9" t="s">
        <v>3744</v>
      </c>
      <c r="F163" s="2" t="s">
        <v>4111</v>
      </c>
    </row>
    <row r="164" customFormat="false" ht="15" hidden="false" customHeight="false" outlineLevel="0" collapsed="false">
      <c r="A164" s="9" t="s">
        <v>4175</v>
      </c>
      <c r="B164" s="9" t="s">
        <v>4176</v>
      </c>
      <c r="C164" s="9" t="n">
        <f aca="false">ABS(PxQ!$D$287)+ABS(PxQ!$F$287)</f>
        <v>0</v>
      </c>
      <c r="D164" s="9" t="n">
        <v>0</v>
      </c>
      <c r="E164" s="9" t="str">
        <f aca="false">IF(ISNUMBER(C164),IF(ABS(C164-D164)&lt;0.000000001,"OK","ERR"),"ERR")</f>
        <v>OK</v>
      </c>
      <c r="F164" s="2" t="s">
        <v>4177</v>
      </c>
    </row>
    <row r="165" customFormat="false" ht="15" hidden="false" customHeight="false" outlineLevel="0" collapsed="false">
      <c r="A165" s="9" t="s">
        <v>4178</v>
      </c>
      <c r="B165" s="9" t="s">
        <v>4179</v>
      </c>
      <c r="C165" s="9" t="n">
        <f aca="false">PXQ_D2ReconBad</f>
        <v>0</v>
      </c>
      <c r="D165" s="9" t="n">
        <v>0</v>
      </c>
      <c r="E165" s="9" t="str">
        <f aca="false">IF(C165=D165,"OK","ERR")</f>
        <v>OK</v>
      </c>
      <c r="F165" s="2" t="s">
        <v>4180</v>
      </c>
    </row>
    <row r="166" customFormat="false" ht="15" hidden="false" customHeight="false" outlineLevel="0" collapsed="false">
      <c r="A166" s="9" t="s">
        <v>4181</v>
      </c>
      <c r="B166" s="9" t="s">
        <v>4182</v>
      </c>
      <c r="C166" s="19" t="n">
        <f aca="false">PxQ!$E$305</f>
        <v>5.0706730408393</v>
      </c>
      <c r="E166" s="9" t="s">
        <v>3744</v>
      </c>
      <c r="F166" s="12" t="s">
        <v>4183</v>
      </c>
    </row>
    <row r="167" customFormat="false" ht="15" hidden="false" customHeight="false" outlineLevel="0" collapsed="false">
      <c r="A167" s="9" t="s">
        <v>4184</v>
      </c>
      <c r="B167" s="9" t="s">
        <v>4185</v>
      </c>
      <c r="C167" s="19" t="n">
        <f aca="false">PxQ!$E$308</f>
        <v>1.76880115244389</v>
      </c>
      <c r="E167" s="9" t="s">
        <v>3744</v>
      </c>
      <c r="F167" s="12" t="s">
        <v>4186</v>
      </c>
    </row>
    <row r="169" customFormat="false" ht="15" hidden="false" customHeight="false" outlineLevel="0" collapsed="false">
      <c r="A169" s="5" t="s">
        <v>4187</v>
      </c>
      <c r="C169" s="9" t="n">
        <f aca="false">COUNTIF($E$5:$E$167,"ERR")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4188</v>
      </c>
    </row>
    <row r="2" customFormat="false" ht="15" hidden="false" customHeight="false" outlineLevel="0" collapsed="false">
      <c r="A2" s="2" t="s">
        <v>4189</v>
      </c>
    </row>
    <row r="4" customFormat="false" ht="29.85" hidden="false" customHeight="false" outlineLevel="0" collapsed="false">
      <c r="A4" s="7" t="s">
        <v>59</v>
      </c>
      <c r="B4" s="7" t="s">
        <v>4190</v>
      </c>
      <c r="C4" s="8" t="s">
        <v>4191</v>
      </c>
      <c r="D4" s="8" t="s">
        <v>4192</v>
      </c>
      <c r="E4" s="8" t="s">
        <v>4193</v>
      </c>
    </row>
    <row r="5" customFormat="false" ht="15" hidden="false" customHeight="false" outlineLevel="0" collapsed="false">
      <c r="A5" s="9" t="s">
        <v>4194</v>
      </c>
      <c r="B5" s="9" t="s">
        <v>4195</v>
      </c>
      <c r="C5" s="10" t="s">
        <v>4196</v>
      </c>
      <c r="D5" s="9" t="s">
        <v>71</v>
      </c>
      <c r="E5" s="10" t="s">
        <v>4197</v>
      </c>
    </row>
    <row r="6" customFormat="false" ht="15" hidden="false" customHeight="false" outlineLevel="0" collapsed="false">
      <c r="A6" s="9" t="s">
        <v>4198</v>
      </c>
      <c r="B6" s="9" t="s">
        <v>4199</v>
      </c>
      <c r="C6" s="10" t="s">
        <v>4196</v>
      </c>
      <c r="D6" s="9" t="s">
        <v>71</v>
      </c>
      <c r="E6" s="10" t="s">
        <v>4200</v>
      </c>
    </row>
    <row r="7" customFormat="false" ht="15" hidden="false" customHeight="false" outlineLevel="0" collapsed="false">
      <c r="A7" s="9" t="s">
        <v>4201</v>
      </c>
      <c r="B7" s="9" t="s">
        <v>4202</v>
      </c>
      <c r="C7" s="10" t="s">
        <v>4196</v>
      </c>
      <c r="D7" s="9" t="s">
        <v>71</v>
      </c>
      <c r="E7" s="10" t="s">
        <v>4203</v>
      </c>
    </row>
    <row r="8" customFormat="false" ht="15" hidden="false" customHeight="false" outlineLevel="0" collapsed="false">
      <c r="A8" s="9" t="s">
        <v>1111</v>
      </c>
      <c r="B8" s="9" t="s">
        <v>411</v>
      </c>
      <c r="C8" s="9" t="s">
        <v>14</v>
      </c>
      <c r="D8" s="9" t="s">
        <v>1107</v>
      </c>
      <c r="E8" s="9"/>
    </row>
    <row r="9" customFormat="false" ht="15" hidden="false" customHeight="false" outlineLevel="0" collapsed="false">
      <c r="A9" s="9" t="s">
        <v>1115</v>
      </c>
      <c r="B9" s="9" t="s">
        <v>423</v>
      </c>
      <c r="C9" s="9" t="s">
        <v>14</v>
      </c>
      <c r="D9" s="9" t="s">
        <v>1113</v>
      </c>
      <c r="E9" s="9"/>
    </row>
    <row r="10" customFormat="false" ht="15" hidden="false" customHeight="false" outlineLevel="0" collapsed="false">
      <c r="A10" s="9" t="s">
        <v>1118</v>
      </c>
      <c r="B10" s="9" t="s">
        <v>1207</v>
      </c>
      <c r="C10" s="9" t="s">
        <v>14</v>
      </c>
      <c r="D10" s="9" t="s">
        <v>1116</v>
      </c>
      <c r="E10" s="9"/>
    </row>
    <row r="11" customFormat="false" ht="15" hidden="false" customHeight="false" outlineLevel="0" collapsed="false">
      <c r="A11" s="9" t="s">
        <v>1121</v>
      </c>
      <c r="B11" s="9" t="s">
        <v>1209</v>
      </c>
      <c r="C11" s="9" t="s">
        <v>14</v>
      </c>
      <c r="D11" s="9" t="s">
        <v>1119</v>
      </c>
      <c r="E11" s="9"/>
    </row>
    <row r="12" customFormat="false" ht="15" hidden="false" customHeight="false" outlineLevel="0" collapsed="false">
      <c r="A12" s="9" t="s">
        <v>1124</v>
      </c>
      <c r="B12" s="9" t="s">
        <v>1211</v>
      </c>
      <c r="C12" s="9" t="s">
        <v>14</v>
      </c>
      <c r="D12" s="9" t="s">
        <v>1122</v>
      </c>
      <c r="E12" s="9"/>
    </row>
    <row r="13" customFormat="false" ht="15" hidden="false" customHeight="false" outlineLevel="0" collapsed="false">
      <c r="A13" s="9" t="s">
        <v>1127</v>
      </c>
      <c r="B13" s="9" t="s">
        <v>1213</v>
      </c>
      <c r="C13" s="9" t="s">
        <v>14</v>
      </c>
      <c r="D13" s="9" t="s">
        <v>1125</v>
      </c>
      <c r="E13" s="9"/>
    </row>
    <row r="14" customFormat="false" ht="15" hidden="false" customHeight="false" outlineLevel="0" collapsed="false">
      <c r="A14" s="9" t="s">
        <v>1096</v>
      </c>
      <c r="B14" s="9" t="s">
        <v>411</v>
      </c>
      <c r="C14" s="9" t="s">
        <v>14</v>
      </c>
      <c r="D14" s="9" t="s">
        <v>1092</v>
      </c>
      <c r="E14" s="9"/>
    </row>
    <row r="15" customFormat="false" ht="15" hidden="false" customHeight="false" outlineLevel="0" collapsed="false">
      <c r="A15" s="9" t="s">
        <v>1099</v>
      </c>
      <c r="B15" s="9" t="s">
        <v>411</v>
      </c>
      <c r="C15" s="9" t="s">
        <v>14</v>
      </c>
      <c r="D15" s="9" t="s">
        <v>1097</v>
      </c>
      <c r="E15" s="9"/>
    </row>
    <row r="16" customFormat="false" ht="15" hidden="false" customHeight="false" outlineLevel="0" collapsed="false">
      <c r="A16" s="9" t="s">
        <v>1103</v>
      </c>
      <c r="B16" s="9" t="s">
        <v>423</v>
      </c>
      <c r="C16" s="9" t="s">
        <v>14</v>
      </c>
      <c r="D16" s="9" t="s">
        <v>1101</v>
      </c>
      <c r="E16" s="9"/>
    </row>
    <row r="17" customFormat="false" ht="15" hidden="false" customHeight="false" outlineLevel="0" collapsed="false">
      <c r="A17" s="9" t="s">
        <v>1106</v>
      </c>
      <c r="B17" s="9" t="s">
        <v>1207</v>
      </c>
      <c r="C17" s="9" t="s">
        <v>14</v>
      </c>
      <c r="D17" s="9" t="s">
        <v>1104</v>
      </c>
      <c r="E17" s="9"/>
    </row>
    <row r="18" customFormat="false" ht="15" hidden="false" customHeight="false" outlineLevel="0" collapsed="false">
      <c r="A18" s="9" t="s">
        <v>4204</v>
      </c>
      <c r="B18" s="9" t="s">
        <v>4205</v>
      </c>
      <c r="C18" s="10" t="s">
        <v>4196</v>
      </c>
      <c r="D18" s="9" t="s">
        <v>71</v>
      </c>
      <c r="E18" s="10" t="s">
        <v>4206</v>
      </c>
    </row>
    <row r="19" customFormat="false" ht="15" hidden="false" customHeight="false" outlineLevel="0" collapsed="false">
      <c r="A19" s="9" t="s">
        <v>4207</v>
      </c>
      <c r="B19" s="9" t="s">
        <v>4208</v>
      </c>
      <c r="C19" s="10" t="s">
        <v>4196</v>
      </c>
      <c r="D19" s="9" t="s">
        <v>71</v>
      </c>
      <c r="E19" s="10" t="s">
        <v>4206</v>
      </c>
    </row>
    <row r="20" customFormat="false" ht="15" hidden="false" customHeight="false" outlineLevel="0" collapsed="false">
      <c r="A20" s="9" t="s">
        <v>4209</v>
      </c>
      <c r="B20" s="9" t="s">
        <v>4210</v>
      </c>
      <c r="C20" s="10" t="s">
        <v>4196</v>
      </c>
      <c r="D20" s="9" t="s">
        <v>71</v>
      </c>
      <c r="E20" s="10" t="s">
        <v>4206</v>
      </c>
    </row>
    <row r="21" customFormat="false" ht="15" hidden="false" customHeight="false" outlineLevel="0" collapsed="false">
      <c r="A21" s="9" t="s">
        <v>4211</v>
      </c>
      <c r="B21" s="9" t="s">
        <v>4212</v>
      </c>
      <c r="C21" s="10" t="s">
        <v>4196</v>
      </c>
      <c r="D21" s="9" t="s">
        <v>71</v>
      </c>
      <c r="E21" s="10" t="s">
        <v>4206</v>
      </c>
    </row>
    <row r="22" customFormat="false" ht="15" hidden="false" customHeight="false" outlineLevel="0" collapsed="false">
      <c r="A22" s="9" t="s">
        <v>4213</v>
      </c>
      <c r="B22" s="9" t="s">
        <v>4214</v>
      </c>
      <c r="C22" s="10" t="s">
        <v>4196</v>
      </c>
      <c r="D22" s="9" t="s">
        <v>71</v>
      </c>
      <c r="E22" s="10" t="s">
        <v>4206</v>
      </c>
    </row>
    <row r="23" customFormat="false" ht="15" hidden="false" customHeight="false" outlineLevel="0" collapsed="false">
      <c r="A23" s="9" t="s">
        <v>4215</v>
      </c>
      <c r="B23" s="9" t="s">
        <v>4216</v>
      </c>
      <c r="C23" s="10" t="s">
        <v>4196</v>
      </c>
      <c r="D23" s="9" t="s">
        <v>71</v>
      </c>
      <c r="E23" s="10" t="s">
        <v>4217</v>
      </c>
    </row>
    <row r="24" customFormat="false" ht="15" hidden="false" customHeight="false" outlineLevel="0" collapsed="false">
      <c r="A24" s="9" t="s">
        <v>4218</v>
      </c>
      <c r="B24" s="9" t="s">
        <v>4219</v>
      </c>
      <c r="C24" s="10" t="s">
        <v>4196</v>
      </c>
      <c r="D24" s="9" t="s">
        <v>71</v>
      </c>
      <c r="E24" s="9" t="s">
        <v>4220</v>
      </c>
    </row>
    <row r="25" customFormat="false" ht="15" hidden="false" customHeight="false" outlineLevel="0" collapsed="false">
      <c r="A25" s="9" t="s">
        <v>4221</v>
      </c>
      <c r="B25" s="9" t="s">
        <v>4222</v>
      </c>
      <c r="C25" s="9" t="s">
        <v>6</v>
      </c>
      <c r="D25" s="9" t="s">
        <v>66</v>
      </c>
      <c r="E25" s="9"/>
    </row>
    <row r="26" customFormat="false" ht="15" hidden="false" customHeight="false" outlineLevel="0" collapsed="false">
      <c r="A26" s="9" t="s">
        <v>4223</v>
      </c>
      <c r="B26" s="9" t="s">
        <v>4224</v>
      </c>
      <c r="C26" s="9" t="s">
        <v>6</v>
      </c>
      <c r="D26" s="9" t="s">
        <v>66</v>
      </c>
      <c r="E26" s="10" t="s">
        <v>4225</v>
      </c>
    </row>
    <row r="27" customFormat="false" ht="15" hidden="false" customHeight="false" outlineLevel="0" collapsed="false">
      <c r="A27" s="9" t="s">
        <v>4226</v>
      </c>
      <c r="B27" s="9" t="s">
        <v>4227</v>
      </c>
      <c r="C27" s="9" t="s">
        <v>6</v>
      </c>
      <c r="D27" s="9" t="s">
        <v>66</v>
      </c>
      <c r="E27" s="10" t="s">
        <v>4225</v>
      </c>
    </row>
    <row r="28" customFormat="false" ht="15" hidden="false" customHeight="false" outlineLevel="0" collapsed="false">
      <c r="A28" s="9" t="s">
        <v>4228</v>
      </c>
      <c r="B28" s="9" t="s">
        <v>4120</v>
      </c>
      <c r="C28" s="9" t="s">
        <v>6</v>
      </c>
      <c r="D28" s="9" t="s">
        <v>82</v>
      </c>
      <c r="E28" s="9"/>
    </row>
    <row r="29" customFormat="false" ht="15" hidden="false" customHeight="false" outlineLevel="0" collapsed="false">
      <c r="A29" s="9" t="s">
        <v>4229</v>
      </c>
      <c r="B29" s="9" t="s">
        <v>4224</v>
      </c>
      <c r="C29" s="9" t="s">
        <v>6</v>
      </c>
      <c r="D29" s="9" t="s">
        <v>82</v>
      </c>
      <c r="E29" s="10" t="s">
        <v>4225</v>
      </c>
    </row>
    <row r="30" customFormat="false" ht="15" hidden="false" customHeight="false" outlineLevel="0" collapsed="false">
      <c r="A30" s="9" t="s">
        <v>4230</v>
      </c>
      <c r="B30" s="9" t="s">
        <v>4231</v>
      </c>
      <c r="C30" s="9" t="s">
        <v>6</v>
      </c>
      <c r="D30" s="9" t="s">
        <v>82</v>
      </c>
      <c r="E30" s="10" t="s">
        <v>4225</v>
      </c>
    </row>
    <row r="31" customFormat="false" ht="15" hidden="false" customHeight="false" outlineLevel="0" collapsed="false">
      <c r="A31" s="9" t="s">
        <v>4232</v>
      </c>
      <c r="B31" s="9" t="s">
        <v>4233</v>
      </c>
      <c r="C31" s="9" t="s">
        <v>6</v>
      </c>
      <c r="D31" s="9" t="s">
        <v>90</v>
      </c>
      <c r="E31" s="9"/>
    </row>
    <row r="32" customFormat="false" ht="15" hidden="false" customHeight="false" outlineLevel="0" collapsed="false">
      <c r="A32" s="9" t="s">
        <v>4234</v>
      </c>
      <c r="B32" s="9" t="s">
        <v>4224</v>
      </c>
      <c r="C32" s="9" t="s">
        <v>6</v>
      </c>
      <c r="D32" s="9" t="s">
        <v>90</v>
      </c>
      <c r="E32" s="10" t="s">
        <v>4225</v>
      </c>
    </row>
    <row r="33" customFormat="false" ht="15" hidden="false" customHeight="false" outlineLevel="0" collapsed="false">
      <c r="A33" s="9" t="s">
        <v>4235</v>
      </c>
      <c r="B33" s="9" t="s">
        <v>4236</v>
      </c>
      <c r="C33" s="9" t="s">
        <v>6</v>
      </c>
      <c r="D33" s="9" t="s">
        <v>90</v>
      </c>
      <c r="E33" s="10" t="s">
        <v>4225</v>
      </c>
    </row>
    <row r="34" customFormat="false" ht="15" hidden="false" customHeight="false" outlineLevel="0" collapsed="false">
      <c r="A34" s="9" t="s">
        <v>4237</v>
      </c>
      <c r="B34" s="9" t="s">
        <v>4238</v>
      </c>
      <c r="C34" s="9" t="s">
        <v>6</v>
      </c>
      <c r="D34" s="9" t="s">
        <v>96</v>
      </c>
      <c r="E34" s="9"/>
    </row>
    <row r="35" customFormat="false" ht="15" hidden="false" customHeight="false" outlineLevel="0" collapsed="false">
      <c r="A35" s="9" t="s">
        <v>4239</v>
      </c>
      <c r="B35" s="9" t="s">
        <v>4224</v>
      </c>
      <c r="C35" s="9" t="s">
        <v>6</v>
      </c>
      <c r="D35" s="9" t="s">
        <v>96</v>
      </c>
      <c r="E35" s="10" t="s">
        <v>4225</v>
      </c>
    </row>
    <row r="36" customFormat="false" ht="15" hidden="false" customHeight="false" outlineLevel="0" collapsed="false">
      <c r="A36" s="9" t="s">
        <v>4240</v>
      </c>
      <c r="B36" s="9" t="s">
        <v>4241</v>
      </c>
      <c r="C36" s="9" t="s">
        <v>6</v>
      </c>
      <c r="D36" s="9" t="s">
        <v>96</v>
      </c>
      <c r="E36" s="10" t="s">
        <v>4225</v>
      </c>
    </row>
    <row r="37" customFormat="false" ht="15" hidden="false" customHeight="false" outlineLevel="0" collapsed="false">
      <c r="A37" s="9" t="s">
        <v>4242</v>
      </c>
      <c r="B37" s="9" t="s">
        <v>4243</v>
      </c>
      <c r="C37" s="9" t="s">
        <v>6</v>
      </c>
      <c r="D37" s="9" t="s">
        <v>104</v>
      </c>
      <c r="E37" s="9"/>
    </row>
    <row r="38" customFormat="false" ht="15" hidden="false" customHeight="false" outlineLevel="0" collapsed="false">
      <c r="A38" s="9" t="s">
        <v>4244</v>
      </c>
      <c r="B38" s="9" t="s">
        <v>4224</v>
      </c>
      <c r="C38" s="9" t="s">
        <v>6</v>
      </c>
      <c r="D38" s="9" t="s">
        <v>104</v>
      </c>
      <c r="E38" s="10" t="s">
        <v>4225</v>
      </c>
    </row>
    <row r="39" customFormat="false" ht="15" hidden="false" customHeight="false" outlineLevel="0" collapsed="false">
      <c r="A39" s="9" t="s">
        <v>4245</v>
      </c>
      <c r="B39" s="9" t="s">
        <v>4246</v>
      </c>
      <c r="C39" s="9" t="s">
        <v>6</v>
      </c>
      <c r="D39" s="9" t="s">
        <v>104</v>
      </c>
      <c r="E39" s="10" t="s">
        <v>4225</v>
      </c>
    </row>
    <row r="40" customFormat="false" ht="15" hidden="false" customHeight="false" outlineLevel="0" collapsed="false">
      <c r="A40" s="9" t="s">
        <v>4247</v>
      </c>
      <c r="B40" s="9" t="s">
        <v>4248</v>
      </c>
      <c r="C40" s="9" t="s">
        <v>6</v>
      </c>
      <c r="D40" s="9" t="s">
        <v>111</v>
      </c>
      <c r="E40" s="9"/>
    </row>
    <row r="41" customFormat="false" ht="15" hidden="false" customHeight="false" outlineLevel="0" collapsed="false">
      <c r="A41" s="9" t="s">
        <v>4249</v>
      </c>
      <c r="B41" s="9" t="s">
        <v>4224</v>
      </c>
      <c r="C41" s="9" t="s">
        <v>6</v>
      </c>
      <c r="D41" s="9" t="s">
        <v>111</v>
      </c>
      <c r="E41" s="10" t="s">
        <v>4225</v>
      </c>
    </row>
    <row r="42" customFormat="false" ht="15" hidden="false" customHeight="false" outlineLevel="0" collapsed="false">
      <c r="A42" s="9" t="s">
        <v>4250</v>
      </c>
      <c r="B42" s="9" t="s">
        <v>4251</v>
      </c>
      <c r="C42" s="9" t="s">
        <v>6</v>
      </c>
      <c r="D42" s="9" t="s">
        <v>111</v>
      </c>
      <c r="E42" s="10" t="s">
        <v>4225</v>
      </c>
    </row>
    <row r="43" customFormat="false" ht="15" hidden="false" customHeight="false" outlineLevel="0" collapsed="false">
      <c r="A43" s="9" t="s">
        <v>4252</v>
      </c>
      <c r="B43" s="9" t="s">
        <v>4253</v>
      </c>
      <c r="C43" s="9" t="s">
        <v>6</v>
      </c>
      <c r="D43" s="9" t="s">
        <v>118</v>
      </c>
      <c r="E43" s="9"/>
    </row>
    <row r="44" customFormat="false" ht="15" hidden="false" customHeight="false" outlineLevel="0" collapsed="false">
      <c r="A44" s="9" t="s">
        <v>4254</v>
      </c>
      <c r="B44" s="9" t="s">
        <v>4224</v>
      </c>
      <c r="C44" s="9" t="s">
        <v>6</v>
      </c>
      <c r="D44" s="9" t="s">
        <v>118</v>
      </c>
      <c r="E44" s="10" t="s">
        <v>4225</v>
      </c>
    </row>
    <row r="45" customFormat="false" ht="15" hidden="false" customHeight="false" outlineLevel="0" collapsed="false">
      <c r="A45" s="9" t="s">
        <v>4255</v>
      </c>
      <c r="B45" s="9" t="s">
        <v>4256</v>
      </c>
      <c r="C45" s="9" t="s">
        <v>6</v>
      </c>
      <c r="D45" s="9" t="s">
        <v>118</v>
      </c>
      <c r="E45" s="10" t="s">
        <v>4225</v>
      </c>
    </row>
    <row r="46" customFormat="false" ht="15" hidden="false" customHeight="false" outlineLevel="0" collapsed="false">
      <c r="A46" s="9" t="s">
        <v>4257</v>
      </c>
      <c r="B46" s="9" t="s">
        <v>4258</v>
      </c>
      <c r="C46" s="9" t="s">
        <v>6</v>
      </c>
      <c r="D46" s="9" t="s">
        <v>125</v>
      </c>
      <c r="E46" s="9"/>
    </row>
    <row r="47" customFormat="false" ht="15" hidden="false" customHeight="false" outlineLevel="0" collapsed="false">
      <c r="A47" s="9" t="s">
        <v>4259</v>
      </c>
      <c r="B47" s="9" t="s">
        <v>4260</v>
      </c>
      <c r="C47" s="9" t="s">
        <v>6</v>
      </c>
      <c r="D47" s="9" t="s">
        <v>125</v>
      </c>
      <c r="E47" s="10" t="s">
        <v>4225</v>
      </c>
    </row>
    <row r="48" customFormat="false" ht="15" hidden="false" customHeight="false" outlineLevel="0" collapsed="false">
      <c r="A48" s="9" t="s">
        <v>4261</v>
      </c>
      <c r="B48" s="9" t="s">
        <v>4224</v>
      </c>
      <c r="C48" s="9" t="s">
        <v>6</v>
      </c>
      <c r="D48" s="9" t="s">
        <v>125</v>
      </c>
      <c r="E48" s="10" t="s">
        <v>4225</v>
      </c>
    </row>
    <row r="49" customFormat="false" ht="15" hidden="false" customHeight="false" outlineLevel="0" collapsed="false">
      <c r="A49" s="9" t="s">
        <v>4262</v>
      </c>
      <c r="B49" s="9" t="s">
        <v>4263</v>
      </c>
      <c r="C49" s="9" t="s">
        <v>6</v>
      </c>
      <c r="D49" s="9" t="s">
        <v>125</v>
      </c>
      <c r="E49" s="10" t="s">
        <v>4225</v>
      </c>
    </row>
    <row r="50" customFormat="false" ht="15" hidden="false" customHeight="false" outlineLevel="0" collapsed="false">
      <c r="A50" s="9" t="s">
        <v>4264</v>
      </c>
      <c r="B50" s="9" t="s">
        <v>4265</v>
      </c>
      <c r="C50" s="10" t="s">
        <v>4266</v>
      </c>
      <c r="D50" s="9" t="s">
        <v>4267</v>
      </c>
      <c r="E50" s="9" t="s">
        <v>4268</v>
      </c>
    </row>
    <row r="51" customFormat="false" ht="15" hidden="false" customHeight="false" outlineLevel="0" collapsed="false">
      <c r="A51" s="9" t="s">
        <v>4269</v>
      </c>
      <c r="B51" s="9" t="s">
        <v>4270</v>
      </c>
      <c r="C51" s="10" t="s">
        <v>4266</v>
      </c>
      <c r="D51" s="9" t="s">
        <v>4267</v>
      </c>
      <c r="E51" s="9" t="s">
        <v>4268</v>
      </c>
    </row>
    <row r="52" customFormat="false" ht="15" hidden="false" customHeight="false" outlineLevel="0" collapsed="false">
      <c r="A52" s="9" t="s">
        <v>4271</v>
      </c>
      <c r="B52" s="9" t="s">
        <v>4272</v>
      </c>
      <c r="C52" s="10" t="s">
        <v>4266</v>
      </c>
      <c r="D52" s="9" t="s">
        <v>4267</v>
      </c>
      <c r="E52" s="9" t="s">
        <v>4268</v>
      </c>
    </row>
    <row r="53" customFormat="false" ht="15" hidden="false" customHeight="false" outlineLevel="0" collapsed="false">
      <c r="A53" s="9" t="s">
        <v>4273</v>
      </c>
      <c r="B53" s="9" t="s">
        <v>4274</v>
      </c>
      <c r="C53" s="10" t="s">
        <v>4266</v>
      </c>
      <c r="D53" s="9" t="s">
        <v>4267</v>
      </c>
      <c r="E53" s="9" t="s">
        <v>4268</v>
      </c>
    </row>
    <row r="54" customFormat="false" ht="15" hidden="false" customHeight="false" outlineLevel="0" collapsed="false">
      <c r="A54" s="9" t="s">
        <v>4275</v>
      </c>
      <c r="B54" s="9" t="s">
        <v>4276</v>
      </c>
      <c r="C54" s="10" t="s">
        <v>4266</v>
      </c>
      <c r="D54" s="9" t="s">
        <v>4267</v>
      </c>
      <c r="E54" s="9" t="s">
        <v>4268</v>
      </c>
    </row>
    <row r="55" customFormat="false" ht="15" hidden="false" customHeight="false" outlineLevel="0" collapsed="false">
      <c r="A55" s="9" t="s">
        <v>4277</v>
      </c>
      <c r="B55" s="9" t="s">
        <v>4278</v>
      </c>
      <c r="C55" s="10" t="s">
        <v>4266</v>
      </c>
      <c r="D55" s="9" t="s">
        <v>4267</v>
      </c>
      <c r="E55" s="9" t="s">
        <v>4268</v>
      </c>
    </row>
    <row r="56" customFormat="false" ht="15" hidden="false" customHeight="false" outlineLevel="0" collapsed="false">
      <c r="A56" s="9" t="s">
        <v>4279</v>
      </c>
      <c r="B56" s="9" t="s">
        <v>4280</v>
      </c>
      <c r="C56" s="10" t="s">
        <v>4266</v>
      </c>
      <c r="D56" s="9" t="s">
        <v>4267</v>
      </c>
      <c r="E56" s="9" t="s">
        <v>4268</v>
      </c>
    </row>
    <row r="57" customFormat="false" ht="15" hidden="false" customHeight="false" outlineLevel="0" collapsed="false">
      <c r="A57" s="9" t="s">
        <v>4281</v>
      </c>
      <c r="B57" s="9" t="s">
        <v>4282</v>
      </c>
      <c r="C57" s="9" t="s">
        <v>6</v>
      </c>
      <c r="D57" s="9" t="s">
        <v>135</v>
      </c>
      <c r="E57" s="9"/>
    </row>
    <row r="58" customFormat="false" ht="15" hidden="false" customHeight="false" outlineLevel="0" collapsed="false">
      <c r="A58" s="9" t="s">
        <v>4283</v>
      </c>
      <c r="B58" s="9" t="s">
        <v>4224</v>
      </c>
      <c r="C58" s="9" t="s">
        <v>6</v>
      </c>
      <c r="D58" s="9" t="s">
        <v>135</v>
      </c>
      <c r="E58" s="10" t="s">
        <v>4225</v>
      </c>
    </row>
    <row r="59" customFormat="false" ht="15" hidden="false" customHeight="false" outlineLevel="0" collapsed="false">
      <c r="A59" s="9" t="s">
        <v>4284</v>
      </c>
      <c r="B59" s="9" t="s">
        <v>4285</v>
      </c>
      <c r="C59" s="9" t="s">
        <v>6</v>
      </c>
      <c r="D59" s="9" t="s">
        <v>135</v>
      </c>
      <c r="E59" s="10" t="s">
        <v>4225</v>
      </c>
    </row>
    <row r="60" customFormat="false" ht="15" hidden="false" customHeight="false" outlineLevel="0" collapsed="false">
      <c r="A60" s="9" t="s">
        <v>4286</v>
      </c>
      <c r="B60" s="9" t="s">
        <v>4287</v>
      </c>
      <c r="C60" s="9" t="s">
        <v>6</v>
      </c>
      <c r="D60" s="9" t="s">
        <v>144</v>
      </c>
      <c r="E60" s="9"/>
    </row>
    <row r="61" customFormat="false" ht="15" hidden="false" customHeight="false" outlineLevel="0" collapsed="false">
      <c r="A61" s="9" t="s">
        <v>4288</v>
      </c>
      <c r="B61" s="9" t="s">
        <v>4224</v>
      </c>
      <c r="C61" s="9" t="s">
        <v>6</v>
      </c>
      <c r="D61" s="9" t="s">
        <v>144</v>
      </c>
      <c r="E61" s="10" t="s">
        <v>4225</v>
      </c>
    </row>
    <row r="62" customFormat="false" ht="15" hidden="false" customHeight="false" outlineLevel="0" collapsed="false">
      <c r="A62" s="9" t="s">
        <v>4289</v>
      </c>
      <c r="B62" s="9" t="s">
        <v>4290</v>
      </c>
      <c r="C62" s="9" t="s">
        <v>6</v>
      </c>
      <c r="D62" s="9" t="s">
        <v>144</v>
      </c>
      <c r="E62" s="10" t="s">
        <v>4225</v>
      </c>
    </row>
    <row r="63" customFormat="false" ht="15" hidden="false" customHeight="false" outlineLevel="0" collapsed="false">
      <c r="A63" s="9" t="s">
        <v>4291</v>
      </c>
      <c r="B63" s="9" t="s">
        <v>1213</v>
      </c>
      <c r="C63" s="9" t="s">
        <v>6</v>
      </c>
      <c r="D63" s="9" t="s">
        <v>150</v>
      </c>
      <c r="E63" s="9"/>
    </row>
    <row r="64" customFormat="false" ht="15" hidden="false" customHeight="false" outlineLevel="0" collapsed="false">
      <c r="A64" s="9" t="s">
        <v>4292</v>
      </c>
      <c r="B64" s="9" t="s">
        <v>4293</v>
      </c>
      <c r="C64" s="9" t="s">
        <v>6</v>
      </c>
      <c r="D64" s="9" t="s">
        <v>150</v>
      </c>
      <c r="E64" s="10" t="s">
        <v>4225</v>
      </c>
    </row>
    <row r="65" customFormat="false" ht="15" hidden="false" customHeight="false" outlineLevel="0" collapsed="false">
      <c r="A65" s="9" t="s">
        <v>4294</v>
      </c>
      <c r="B65" s="9" t="s">
        <v>4295</v>
      </c>
      <c r="C65" s="9" t="s">
        <v>6</v>
      </c>
      <c r="D65" s="9" t="s">
        <v>150</v>
      </c>
      <c r="E65" s="10" t="s">
        <v>4225</v>
      </c>
    </row>
    <row r="66" customFormat="false" ht="15" hidden="false" customHeight="false" outlineLevel="0" collapsed="false">
      <c r="A66" s="9" t="s">
        <v>4296</v>
      </c>
      <c r="B66" s="9" t="s">
        <v>423</v>
      </c>
      <c r="C66" s="9" t="s">
        <v>14</v>
      </c>
      <c r="D66" s="9" t="s">
        <v>1128</v>
      </c>
      <c r="E66" s="9"/>
    </row>
    <row r="67" customFormat="false" ht="15" hidden="false" customHeight="false" outlineLevel="0" collapsed="false">
      <c r="A67" s="9" t="s">
        <v>4297</v>
      </c>
      <c r="B67" s="9" t="s">
        <v>4298</v>
      </c>
      <c r="C67" s="9" t="s">
        <v>14</v>
      </c>
      <c r="D67" s="9" t="s">
        <v>1128</v>
      </c>
      <c r="E67" s="10" t="s">
        <v>4225</v>
      </c>
    </row>
    <row r="68" customFormat="false" ht="15" hidden="false" customHeight="false" outlineLevel="0" collapsed="false">
      <c r="A68" s="9" t="s">
        <v>4299</v>
      </c>
      <c r="B68" s="9" t="s">
        <v>4300</v>
      </c>
      <c r="C68" s="9" t="s">
        <v>14</v>
      </c>
      <c r="D68" s="9" t="s">
        <v>1128</v>
      </c>
      <c r="E68" s="10" t="s">
        <v>4225</v>
      </c>
    </row>
    <row r="69" customFormat="false" ht="15" hidden="false" customHeight="false" outlineLevel="0" collapsed="false">
      <c r="A69" s="9" t="s">
        <v>4301</v>
      </c>
      <c r="B69" s="9" t="s">
        <v>4302</v>
      </c>
      <c r="C69" s="9" t="s">
        <v>6</v>
      </c>
      <c r="D69" s="9" t="s">
        <v>158</v>
      </c>
      <c r="E69" s="9"/>
    </row>
    <row r="70" customFormat="false" ht="15" hidden="false" customHeight="false" outlineLevel="0" collapsed="false">
      <c r="A70" s="9" t="s">
        <v>4303</v>
      </c>
      <c r="B70" s="9" t="s">
        <v>4293</v>
      </c>
      <c r="C70" s="9" t="s">
        <v>6</v>
      </c>
      <c r="D70" s="9" t="s">
        <v>158</v>
      </c>
      <c r="E70" s="10" t="s">
        <v>4225</v>
      </c>
    </row>
    <row r="71" customFormat="false" ht="15" hidden="false" customHeight="false" outlineLevel="0" collapsed="false">
      <c r="A71" s="9" t="s">
        <v>4304</v>
      </c>
      <c r="B71" s="9" t="s">
        <v>4305</v>
      </c>
      <c r="C71" s="9" t="s">
        <v>6</v>
      </c>
      <c r="D71" s="9" t="s">
        <v>158</v>
      </c>
      <c r="E71" s="10" t="s">
        <v>4225</v>
      </c>
    </row>
    <row r="72" customFormat="false" ht="15" hidden="false" customHeight="false" outlineLevel="0" collapsed="false">
      <c r="A72" s="9" t="s">
        <v>4306</v>
      </c>
      <c r="B72" s="9" t="s">
        <v>4307</v>
      </c>
      <c r="C72" s="10" t="s">
        <v>4196</v>
      </c>
      <c r="D72" s="9" t="s">
        <v>71</v>
      </c>
      <c r="E72" s="10" t="s">
        <v>4308</v>
      </c>
    </row>
    <row r="73" customFormat="false" ht="15" hidden="false" customHeight="false" outlineLevel="0" collapsed="false">
      <c r="A73" s="9" t="s">
        <v>4309</v>
      </c>
      <c r="B73" s="9" t="s">
        <v>4310</v>
      </c>
      <c r="C73" s="10" t="s">
        <v>4196</v>
      </c>
      <c r="D73" s="9" t="s">
        <v>71</v>
      </c>
      <c r="E73" s="10" t="s">
        <v>4308</v>
      </c>
    </row>
    <row r="74" customFormat="false" ht="15" hidden="false" customHeight="false" outlineLevel="0" collapsed="false">
      <c r="A74" s="9" t="s">
        <v>4311</v>
      </c>
      <c r="B74" s="9" t="s">
        <v>4312</v>
      </c>
      <c r="C74" s="10" t="s">
        <v>4196</v>
      </c>
      <c r="D74" s="9" t="s">
        <v>71</v>
      </c>
      <c r="E74" s="10" t="s">
        <v>4308</v>
      </c>
    </row>
    <row r="75" customFormat="false" ht="15" hidden="false" customHeight="false" outlineLevel="0" collapsed="false">
      <c r="A75" s="9" t="s">
        <v>196</v>
      </c>
      <c r="B75" s="9" t="s">
        <v>4313</v>
      </c>
      <c r="C75" s="9" t="s">
        <v>6</v>
      </c>
      <c r="D75" s="9" t="s">
        <v>190</v>
      </c>
      <c r="E75" s="9"/>
    </row>
    <row r="76" customFormat="false" ht="15" hidden="false" customHeight="false" outlineLevel="0" collapsed="false">
      <c r="A76" s="9" t="s">
        <v>202</v>
      </c>
      <c r="B76" s="9" t="s">
        <v>4314</v>
      </c>
      <c r="C76" s="9" t="s">
        <v>6</v>
      </c>
      <c r="D76" s="9" t="s">
        <v>199</v>
      </c>
      <c r="E76" s="9"/>
    </row>
    <row r="77" customFormat="false" ht="15" hidden="false" customHeight="false" outlineLevel="0" collapsed="false">
      <c r="A77" s="9" t="s">
        <v>206</v>
      </c>
      <c r="B77" s="9" t="s">
        <v>4315</v>
      </c>
      <c r="C77" s="9" t="s">
        <v>6</v>
      </c>
      <c r="D77" s="9" t="s">
        <v>203</v>
      </c>
      <c r="E77" s="9"/>
    </row>
    <row r="78" customFormat="false" ht="15" hidden="false" customHeight="false" outlineLevel="0" collapsed="false">
      <c r="A78" s="9" t="s">
        <v>4316</v>
      </c>
      <c r="B78" s="9" t="s">
        <v>4317</v>
      </c>
      <c r="C78" s="9" t="s">
        <v>6</v>
      </c>
      <c r="D78" s="9" t="s">
        <v>4318</v>
      </c>
      <c r="E78" s="10" t="s">
        <v>4319</v>
      </c>
    </row>
    <row r="79" customFormat="false" ht="15" hidden="false" customHeight="false" outlineLevel="0" collapsed="false">
      <c r="A79" s="9" t="s">
        <v>4320</v>
      </c>
      <c r="B79" s="9" t="s">
        <v>4293</v>
      </c>
      <c r="C79" s="9" t="s">
        <v>6</v>
      </c>
      <c r="D79" s="9" t="s">
        <v>163</v>
      </c>
      <c r="E79" s="10" t="s">
        <v>4225</v>
      </c>
    </row>
    <row r="80" customFormat="false" ht="15" hidden="false" customHeight="false" outlineLevel="0" collapsed="false">
      <c r="A80" s="9" t="s">
        <v>4321</v>
      </c>
      <c r="B80" s="9" t="s">
        <v>4322</v>
      </c>
      <c r="C80" s="9" t="s">
        <v>6</v>
      </c>
      <c r="D80" s="9" t="s">
        <v>163</v>
      </c>
      <c r="E80" s="10" t="s">
        <v>4225</v>
      </c>
    </row>
    <row r="81" customFormat="false" ht="15" hidden="false" customHeight="false" outlineLevel="0" collapsed="false">
      <c r="A81" s="9" t="s">
        <v>4323</v>
      </c>
      <c r="B81" s="9" t="s">
        <v>4324</v>
      </c>
      <c r="C81" s="9" t="s">
        <v>6</v>
      </c>
      <c r="D81" s="9" t="s">
        <v>163</v>
      </c>
      <c r="E81" s="9"/>
    </row>
    <row r="82" customFormat="false" ht="15" hidden="false" customHeight="false" outlineLevel="0" collapsed="false">
      <c r="A82" s="9" t="s">
        <v>4325</v>
      </c>
      <c r="B82" s="9" t="s">
        <v>4326</v>
      </c>
      <c r="C82" s="9" t="s">
        <v>6</v>
      </c>
      <c r="D82" s="9" t="s">
        <v>172</v>
      </c>
      <c r="E82" s="9"/>
    </row>
    <row r="83" customFormat="false" ht="15" hidden="false" customHeight="false" outlineLevel="0" collapsed="false">
      <c r="A83" s="9" t="s">
        <v>4327</v>
      </c>
      <c r="B83" s="9" t="s">
        <v>4328</v>
      </c>
      <c r="C83" s="9" t="s">
        <v>6</v>
      </c>
      <c r="D83" s="9" t="s">
        <v>174</v>
      </c>
      <c r="E83" s="9"/>
    </row>
    <row r="84" customFormat="false" ht="15" hidden="false" customHeight="false" outlineLevel="0" collapsed="false">
      <c r="A84" s="9" t="s">
        <v>4329</v>
      </c>
      <c r="B84" s="9" t="s">
        <v>4330</v>
      </c>
      <c r="C84" s="9" t="s">
        <v>6</v>
      </c>
      <c r="D84" s="9" t="s">
        <v>176</v>
      </c>
      <c r="E84" s="9"/>
    </row>
    <row r="85" customFormat="false" ht="15" hidden="false" customHeight="false" outlineLevel="0" collapsed="false">
      <c r="A85" s="9" t="s">
        <v>4331</v>
      </c>
      <c r="B85" s="9" t="s">
        <v>4282</v>
      </c>
      <c r="C85" s="9" t="s">
        <v>6</v>
      </c>
      <c r="D85" s="9" t="s">
        <v>179</v>
      </c>
      <c r="E85" s="9"/>
    </row>
    <row r="86" customFormat="false" ht="15" hidden="false" customHeight="false" outlineLevel="0" collapsed="false">
      <c r="A86" s="9" t="s">
        <v>4332</v>
      </c>
      <c r="B86" s="9" t="s">
        <v>4324</v>
      </c>
      <c r="C86" s="9" t="s">
        <v>6</v>
      </c>
      <c r="D86" s="9" t="s">
        <v>181</v>
      </c>
      <c r="E86" s="9"/>
    </row>
    <row r="87" customFormat="false" ht="15" hidden="false" customHeight="false" outlineLevel="0" collapsed="false">
      <c r="A87" s="9" t="s">
        <v>4333</v>
      </c>
      <c r="B87" s="9" t="s">
        <v>4334</v>
      </c>
      <c r="C87" s="9" t="s">
        <v>6</v>
      </c>
      <c r="D87" s="9" t="s">
        <v>183</v>
      </c>
      <c r="E87" s="9"/>
    </row>
    <row r="88" customFormat="false" ht="15" hidden="false" customHeight="false" outlineLevel="0" collapsed="false">
      <c r="A88" s="9" t="s">
        <v>4335</v>
      </c>
      <c r="B88" s="9" t="s">
        <v>4336</v>
      </c>
      <c r="C88" s="9" t="s">
        <v>6</v>
      </c>
      <c r="D88" s="9" t="s">
        <v>186</v>
      </c>
      <c r="E88" s="9"/>
    </row>
    <row r="89" customFormat="false" ht="15" hidden="false" customHeight="false" outlineLevel="0" collapsed="false">
      <c r="A89" s="9" t="s">
        <v>4337</v>
      </c>
      <c r="B89" s="9" t="s">
        <v>4338</v>
      </c>
      <c r="C89" s="9" t="s">
        <v>6</v>
      </c>
      <c r="D89" s="9" t="s">
        <v>188</v>
      </c>
      <c r="E89" s="9"/>
    </row>
    <row r="90" customFormat="false" ht="15" hidden="false" customHeight="false" outlineLevel="0" collapsed="false">
      <c r="A90" s="9" t="s">
        <v>4339</v>
      </c>
      <c r="B90" s="9" t="s">
        <v>4293</v>
      </c>
      <c r="C90" s="9" t="s">
        <v>6</v>
      </c>
      <c r="D90" s="9" t="s">
        <v>207</v>
      </c>
      <c r="E90" s="10" t="s">
        <v>4225</v>
      </c>
    </row>
    <row r="91" customFormat="false" ht="15" hidden="false" customHeight="false" outlineLevel="0" collapsed="false">
      <c r="A91" s="9" t="s">
        <v>4340</v>
      </c>
      <c r="B91" s="9" t="s">
        <v>4341</v>
      </c>
      <c r="C91" s="9" t="s">
        <v>6</v>
      </c>
      <c r="D91" s="9" t="s">
        <v>207</v>
      </c>
      <c r="E91" s="10" t="s">
        <v>4225</v>
      </c>
    </row>
    <row r="92" customFormat="false" ht="15" hidden="false" customHeight="false" outlineLevel="0" collapsed="false">
      <c r="A92" s="9" t="s">
        <v>4342</v>
      </c>
      <c r="B92" s="9" t="s">
        <v>4343</v>
      </c>
      <c r="C92" s="9" t="s">
        <v>6</v>
      </c>
      <c r="D92" s="9" t="s">
        <v>207</v>
      </c>
      <c r="E92" s="9"/>
    </row>
    <row r="93" customFormat="false" ht="15" hidden="false" customHeight="false" outlineLevel="0" collapsed="false">
      <c r="A93" s="9" t="s">
        <v>4344</v>
      </c>
      <c r="B93" s="9" t="s">
        <v>4345</v>
      </c>
      <c r="C93" s="9" t="s">
        <v>6</v>
      </c>
      <c r="D93" s="9" t="s">
        <v>215</v>
      </c>
      <c r="E93" s="9"/>
    </row>
    <row r="94" customFormat="false" ht="15" hidden="false" customHeight="false" outlineLevel="0" collapsed="false">
      <c r="A94" s="9" t="s">
        <v>4346</v>
      </c>
      <c r="B94" s="9" t="s">
        <v>4347</v>
      </c>
      <c r="C94" s="9" t="s">
        <v>6</v>
      </c>
      <c r="D94" s="9" t="s">
        <v>219</v>
      </c>
      <c r="E94" s="9"/>
    </row>
    <row r="95" customFormat="false" ht="15" hidden="false" customHeight="false" outlineLevel="0" collapsed="false">
      <c r="A95" s="9" t="s">
        <v>4348</v>
      </c>
      <c r="B95" s="9" t="s">
        <v>4349</v>
      </c>
      <c r="C95" s="9" t="s">
        <v>6</v>
      </c>
      <c r="D95" s="9" t="s">
        <v>223</v>
      </c>
      <c r="E95" s="9"/>
    </row>
    <row r="96" customFormat="false" ht="15" hidden="false" customHeight="false" outlineLevel="0" collapsed="false">
      <c r="A96" s="9" t="s">
        <v>4350</v>
      </c>
      <c r="B96" s="9" t="s">
        <v>4351</v>
      </c>
      <c r="C96" s="9" t="s">
        <v>6</v>
      </c>
      <c r="D96" s="9" t="s">
        <v>227</v>
      </c>
      <c r="E96" s="9"/>
    </row>
    <row r="97" customFormat="false" ht="15" hidden="false" customHeight="false" outlineLevel="0" collapsed="false">
      <c r="A97" s="9" t="s">
        <v>4352</v>
      </c>
      <c r="B97" s="9" t="s">
        <v>4353</v>
      </c>
      <c r="C97" s="9" t="s">
        <v>14</v>
      </c>
      <c r="D97" s="9" t="s">
        <v>4354</v>
      </c>
      <c r="E97" s="10" t="s">
        <v>4355</v>
      </c>
    </row>
    <row r="98" customFormat="false" ht="15" hidden="false" customHeight="false" outlineLevel="0" collapsed="false">
      <c r="A98" s="9" t="s">
        <v>4356</v>
      </c>
      <c r="B98" s="9" t="s">
        <v>4357</v>
      </c>
      <c r="C98" s="9" t="s">
        <v>14</v>
      </c>
      <c r="D98" s="9" t="s">
        <v>1144</v>
      </c>
      <c r="E98" s="9"/>
    </row>
    <row r="99" customFormat="false" ht="15" hidden="false" customHeight="false" outlineLevel="0" collapsed="false">
      <c r="A99" s="9" t="s">
        <v>4358</v>
      </c>
      <c r="B99" s="9" t="s">
        <v>4359</v>
      </c>
      <c r="C99" s="10" t="s">
        <v>4266</v>
      </c>
      <c r="D99" s="9" t="s">
        <v>4360</v>
      </c>
      <c r="E99" s="9" t="s">
        <v>4361</v>
      </c>
    </row>
    <row r="100" customFormat="false" ht="15" hidden="false" customHeight="false" outlineLevel="0" collapsed="false">
      <c r="A100" s="9" t="s">
        <v>4362</v>
      </c>
      <c r="B100" s="9" t="s">
        <v>4363</v>
      </c>
      <c r="C100" s="9" t="s">
        <v>14</v>
      </c>
      <c r="D100" s="9" t="s">
        <v>1144</v>
      </c>
      <c r="E100" s="9"/>
    </row>
    <row r="101" customFormat="false" ht="15" hidden="false" customHeight="false" outlineLevel="0" collapsed="false">
      <c r="A101" s="9" t="s">
        <v>4364</v>
      </c>
      <c r="B101" s="9" t="s">
        <v>4365</v>
      </c>
      <c r="C101" s="10" t="s">
        <v>4266</v>
      </c>
      <c r="D101" s="9" t="s">
        <v>4360</v>
      </c>
      <c r="E101" s="9" t="s">
        <v>4361</v>
      </c>
    </row>
    <row r="102" customFormat="false" ht="15" hidden="false" customHeight="false" outlineLevel="0" collapsed="false">
      <c r="A102" s="9" t="s">
        <v>4366</v>
      </c>
      <c r="B102" s="9" t="s">
        <v>4367</v>
      </c>
      <c r="C102" s="9" t="s">
        <v>14</v>
      </c>
      <c r="D102" s="9" t="s">
        <v>1144</v>
      </c>
      <c r="E102" s="9"/>
    </row>
    <row r="103" customFormat="false" ht="15" hidden="false" customHeight="false" outlineLevel="0" collapsed="false">
      <c r="A103" s="9" t="s">
        <v>4368</v>
      </c>
      <c r="B103" s="9" t="s">
        <v>4233</v>
      </c>
      <c r="C103" s="10" t="s">
        <v>4266</v>
      </c>
      <c r="D103" s="9" t="s">
        <v>4360</v>
      </c>
      <c r="E103" s="9" t="s">
        <v>4361</v>
      </c>
    </row>
    <row r="104" customFormat="false" ht="15" hidden="false" customHeight="false" outlineLevel="0" collapsed="false">
      <c r="A104" s="9" t="s">
        <v>4369</v>
      </c>
      <c r="B104" s="9" t="s">
        <v>4370</v>
      </c>
      <c r="C104" s="9" t="s">
        <v>14</v>
      </c>
      <c r="D104" s="9" t="s">
        <v>4371</v>
      </c>
      <c r="E104" s="10" t="s">
        <v>4225</v>
      </c>
    </row>
    <row r="105" customFormat="false" ht="15" hidden="false" customHeight="false" outlineLevel="0" collapsed="false">
      <c r="A105" s="9" t="s">
        <v>4372</v>
      </c>
      <c r="B105" s="9" t="s">
        <v>4363</v>
      </c>
      <c r="C105" s="9" t="s">
        <v>14</v>
      </c>
      <c r="D105" s="9" t="s">
        <v>1149</v>
      </c>
      <c r="E105" s="9"/>
    </row>
    <row r="106" customFormat="false" ht="15" hidden="false" customHeight="false" outlineLevel="0" collapsed="false">
      <c r="A106" s="9" t="s">
        <v>4373</v>
      </c>
      <c r="B106" s="9" t="s">
        <v>4374</v>
      </c>
      <c r="C106" s="10" t="s">
        <v>4266</v>
      </c>
      <c r="D106" s="9" t="s">
        <v>4360</v>
      </c>
      <c r="E106" s="9" t="s">
        <v>4361</v>
      </c>
    </row>
    <row r="107" customFormat="false" ht="15" hidden="false" customHeight="false" outlineLevel="0" collapsed="false">
      <c r="A107" s="9" t="s">
        <v>4375</v>
      </c>
      <c r="B107" s="9" t="s">
        <v>4326</v>
      </c>
      <c r="C107" s="9" t="s">
        <v>14</v>
      </c>
      <c r="D107" s="9" t="s">
        <v>1149</v>
      </c>
      <c r="E107" s="9"/>
    </row>
    <row r="108" customFormat="false" ht="15" hidden="false" customHeight="false" outlineLevel="0" collapsed="false">
      <c r="A108" s="9" t="s">
        <v>4376</v>
      </c>
      <c r="B108" s="9" t="s">
        <v>4330</v>
      </c>
      <c r="C108" s="10" t="s">
        <v>4266</v>
      </c>
      <c r="D108" s="9" t="s">
        <v>4360</v>
      </c>
      <c r="E108" s="9" t="s">
        <v>4361</v>
      </c>
    </row>
    <row r="109" customFormat="false" ht="15" hidden="false" customHeight="false" outlineLevel="0" collapsed="false">
      <c r="A109" s="9" t="s">
        <v>4377</v>
      </c>
      <c r="B109" s="9" t="s">
        <v>4357</v>
      </c>
      <c r="C109" s="9" t="s">
        <v>14</v>
      </c>
      <c r="D109" s="9" t="s">
        <v>1149</v>
      </c>
      <c r="E109" s="9"/>
    </row>
    <row r="110" customFormat="false" ht="15" hidden="false" customHeight="false" outlineLevel="0" collapsed="false">
      <c r="A110" s="9" t="s">
        <v>4378</v>
      </c>
      <c r="B110" s="9" t="s">
        <v>4357</v>
      </c>
      <c r="C110" s="10" t="s">
        <v>4266</v>
      </c>
      <c r="D110" s="9" t="s">
        <v>4360</v>
      </c>
      <c r="E110" s="9" t="s">
        <v>4361</v>
      </c>
    </row>
    <row r="111" customFormat="false" ht="15" hidden="false" customHeight="false" outlineLevel="0" collapsed="false">
      <c r="A111" s="9" t="s">
        <v>4379</v>
      </c>
      <c r="B111" s="9" t="s">
        <v>4370</v>
      </c>
      <c r="C111" s="9" t="s">
        <v>14</v>
      </c>
      <c r="D111" s="9" t="s">
        <v>4371</v>
      </c>
      <c r="E111" s="10" t="s">
        <v>4225</v>
      </c>
    </row>
    <row r="112" customFormat="false" ht="15" hidden="false" customHeight="false" outlineLevel="0" collapsed="false">
      <c r="A112" s="9" t="s">
        <v>4380</v>
      </c>
      <c r="B112" s="9" t="s">
        <v>4282</v>
      </c>
      <c r="C112" s="9" t="s">
        <v>14</v>
      </c>
      <c r="D112" s="9" t="s">
        <v>1152</v>
      </c>
      <c r="E112" s="9"/>
    </row>
    <row r="113" customFormat="false" ht="15" hidden="false" customHeight="false" outlineLevel="0" collapsed="false">
      <c r="A113" s="9" t="s">
        <v>4381</v>
      </c>
      <c r="B113" s="9" t="s">
        <v>4382</v>
      </c>
      <c r="C113" s="10" t="s">
        <v>4266</v>
      </c>
      <c r="D113" s="9" t="s">
        <v>4360</v>
      </c>
      <c r="E113" s="9" t="s">
        <v>4361</v>
      </c>
    </row>
    <row r="114" customFormat="false" ht="15" hidden="false" customHeight="false" outlineLevel="0" collapsed="false">
      <c r="A114" s="9" t="s">
        <v>4383</v>
      </c>
      <c r="B114" s="9" t="s">
        <v>4334</v>
      </c>
      <c r="C114" s="9" t="s">
        <v>14</v>
      </c>
      <c r="D114" s="9" t="s">
        <v>1152</v>
      </c>
      <c r="E114" s="9"/>
    </row>
    <row r="115" customFormat="false" ht="15" hidden="false" customHeight="false" outlineLevel="0" collapsed="false">
      <c r="A115" s="9" t="s">
        <v>4384</v>
      </c>
      <c r="B115" s="9" t="s">
        <v>4385</v>
      </c>
      <c r="C115" s="10" t="s">
        <v>4266</v>
      </c>
      <c r="D115" s="9" t="s">
        <v>4360</v>
      </c>
      <c r="E115" s="9" t="s">
        <v>4361</v>
      </c>
    </row>
    <row r="116" customFormat="false" ht="15" hidden="false" customHeight="false" outlineLevel="0" collapsed="false">
      <c r="A116" s="9" t="s">
        <v>4386</v>
      </c>
      <c r="B116" s="9" t="s">
        <v>4385</v>
      </c>
      <c r="C116" s="9" t="s">
        <v>14</v>
      </c>
      <c r="D116" s="9" t="s">
        <v>1152</v>
      </c>
      <c r="E116" s="9"/>
    </row>
    <row r="117" customFormat="false" ht="15" hidden="false" customHeight="false" outlineLevel="0" collapsed="false">
      <c r="A117" s="9" t="s">
        <v>4387</v>
      </c>
      <c r="B117" s="9" t="s">
        <v>4388</v>
      </c>
      <c r="C117" s="10" t="s">
        <v>4266</v>
      </c>
      <c r="D117" s="9" t="s">
        <v>4360</v>
      </c>
      <c r="E117" s="9" t="s">
        <v>4361</v>
      </c>
    </row>
    <row r="118" customFormat="false" ht="15" hidden="false" customHeight="false" outlineLevel="0" collapsed="false">
      <c r="A118" s="9" t="s">
        <v>4389</v>
      </c>
      <c r="B118" s="9" t="s">
        <v>4370</v>
      </c>
      <c r="C118" s="9" t="s">
        <v>14</v>
      </c>
      <c r="D118" s="9" t="s">
        <v>4371</v>
      </c>
      <c r="E118" s="10" t="s">
        <v>4225</v>
      </c>
    </row>
    <row r="119" customFormat="false" ht="15" hidden="false" customHeight="false" outlineLevel="0" collapsed="false">
      <c r="A119" s="9" t="s">
        <v>4390</v>
      </c>
      <c r="B119" s="9" t="s">
        <v>4391</v>
      </c>
      <c r="C119" s="9" t="s">
        <v>14</v>
      </c>
      <c r="D119" s="9" t="s">
        <v>1155</v>
      </c>
      <c r="E119" s="9"/>
    </row>
    <row r="120" customFormat="false" ht="15" hidden="false" customHeight="false" outlineLevel="0" collapsed="false">
      <c r="A120" s="9" t="s">
        <v>4392</v>
      </c>
      <c r="B120" s="9" t="s">
        <v>4393</v>
      </c>
      <c r="C120" s="10" t="s">
        <v>4266</v>
      </c>
      <c r="D120" s="9" t="s">
        <v>4360</v>
      </c>
      <c r="E120" s="9" t="s">
        <v>4361</v>
      </c>
    </row>
    <row r="121" customFormat="false" ht="15" hidden="false" customHeight="false" outlineLevel="0" collapsed="false">
      <c r="A121" s="9" t="s">
        <v>4394</v>
      </c>
      <c r="B121" s="9" t="s">
        <v>4395</v>
      </c>
      <c r="C121" s="9" t="s">
        <v>14</v>
      </c>
      <c r="D121" s="9" t="s">
        <v>1155</v>
      </c>
      <c r="E121" s="9"/>
    </row>
    <row r="122" customFormat="false" ht="15" hidden="false" customHeight="false" outlineLevel="0" collapsed="false">
      <c r="A122" s="9" t="s">
        <v>4396</v>
      </c>
      <c r="B122" s="9" t="s">
        <v>4397</v>
      </c>
      <c r="C122" s="10" t="s">
        <v>4266</v>
      </c>
      <c r="D122" s="9" t="s">
        <v>4360</v>
      </c>
      <c r="E122" s="9" t="s">
        <v>4361</v>
      </c>
    </row>
    <row r="123" customFormat="false" ht="15" hidden="false" customHeight="false" outlineLevel="0" collapsed="false">
      <c r="A123" s="9" t="s">
        <v>4398</v>
      </c>
      <c r="B123" s="9" t="s">
        <v>4399</v>
      </c>
      <c r="C123" s="9" t="s">
        <v>14</v>
      </c>
      <c r="D123" s="9" t="s">
        <v>1155</v>
      </c>
      <c r="E123" s="9"/>
    </row>
    <row r="124" customFormat="false" ht="15" hidden="false" customHeight="false" outlineLevel="0" collapsed="false">
      <c r="A124" s="9" t="s">
        <v>4400</v>
      </c>
      <c r="B124" s="9" t="s">
        <v>4401</v>
      </c>
      <c r="C124" s="10" t="s">
        <v>4266</v>
      </c>
      <c r="D124" s="9" t="s">
        <v>4360</v>
      </c>
      <c r="E124" s="9" t="s">
        <v>4361</v>
      </c>
    </row>
    <row r="125" customFormat="false" ht="15" hidden="false" customHeight="false" outlineLevel="0" collapsed="false">
      <c r="A125" s="9" t="s">
        <v>4402</v>
      </c>
      <c r="B125" s="9" t="s">
        <v>4370</v>
      </c>
      <c r="C125" s="9" t="s">
        <v>14</v>
      </c>
      <c r="D125" s="9" t="s">
        <v>4371</v>
      </c>
      <c r="E125" s="10" t="s">
        <v>4225</v>
      </c>
    </row>
    <row r="126" customFormat="false" ht="15" hidden="false" customHeight="false" outlineLevel="0" collapsed="false">
      <c r="A126" s="9" t="s">
        <v>4403</v>
      </c>
      <c r="B126" s="9" t="s">
        <v>4395</v>
      </c>
      <c r="C126" s="9" t="s">
        <v>14</v>
      </c>
      <c r="D126" s="9" t="s">
        <v>1158</v>
      </c>
      <c r="E126" s="9"/>
    </row>
    <row r="127" customFormat="false" ht="15" hidden="false" customHeight="false" outlineLevel="0" collapsed="false">
      <c r="A127" s="9" t="s">
        <v>4404</v>
      </c>
      <c r="B127" s="9" t="s">
        <v>4405</v>
      </c>
      <c r="C127" s="10" t="s">
        <v>4266</v>
      </c>
      <c r="D127" s="9" t="s">
        <v>4360</v>
      </c>
      <c r="E127" s="9" t="s">
        <v>4361</v>
      </c>
    </row>
    <row r="128" customFormat="false" ht="15" hidden="false" customHeight="false" outlineLevel="0" collapsed="false">
      <c r="A128" s="9" t="s">
        <v>4406</v>
      </c>
      <c r="B128" s="9" t="s">
        <v>4365</v>
      </c>
      <c r="C128" s="9" t="s">
        <v>14</v>
      </c>
      <c r="D128" s="9" t="s">
        <v>1158</v>
      </c>
      <c r="E128" s="9"/>
    </row>
    <row r="129" customFormat="false" ht="15" hidden="false" customHeight="false" outlineLevel="0" collapsed="false">
      <c r="A129" s="9" t="s">
        <v>4407</v>
      </c>
      <c r="B129" s="9" t="s">
        <v>4408</v>
      </c>
      <c r="C129" s="10" t="s">
        <v>4266</v>
      </c>
      <c r="D129" s="9" t="s">
        <v>4360</v>
      </c>
      <c r="E129" s="9" t="s">
        <v>4361</v>
      </c>
    </row>
    <row r="130" customFormat="false" ht="15" hidden="false" customHeight="false" outlineLevel="0" collapsed="false">
      <c r="A130" s="9" t="s">
        <v>4409</v>
      </c>
      <c r="B130" s="9" t="s">
        <v>4324</v>
      </c>
      <c r="C130" s="9" t="s">
        <v>14</v>
      </c>
      <c r="D130" s="9" t="s">
        <v>1158</v>
      </c>
      <c r="E130" s="9"/>
    </row>
    <row r="131" customFormat="false" ht="15" hidden="false" customHeight="false" outlineLevel="0" collapsed="false">
      <c r="A131" s="9" t="s">
        <v>4410</v>
      </c>
      <c r="B131" s="9" t="s">
        <v>4411</v>
      </c>
      <c r="C131" s="10" t="s">
        <v>4266</v>
      </c>
      <c r="D131" s="9" t="s">
        <v>4360</v>
      </c>
      <c r="E131" s="9" t="s">
        <v>4361</v>
      </c>
    </row>
    <row r="132" customFormat="false" ht="15" hidden="false" customHeight="false" outlineLevel="0" collapsed="false">
      <c r="A132" s="9" t="s">
        <v>4412</v>
      </c>
      <c r="B132" s="9" t="s">
        <v>4370</v>
      </c>
      <c r="C132" s="9" t="s">
        <v>14</v>
      </c>
      <c r="D132" s="9" t="s">
        <v>4371</v>
      </c>
      <c r="E132" s="10" t="s">
        <v>4225</v>
      </c>
    </row>
    <row r="133" customFormat="false" ht="15" hidden="false" customHeight="false" outlineLevel="0" collapsed="false">
      <c r="A133" s="9" t="s">
        <v>4413</v>
      </c>
      <c r="B133" s="9" t="s">
        <v>4326</v>
      </c>
      <c r="C133" s="9" t="s">
        <v>14</v>
      </c>
      <c r="D133" s="9" t="s">
        <v>1161</v>
      </c>
      <c r="E133" s="9"/>
    </row>
    <row r="134" customFormat="false" ht="15" hidden="false" customHeight="false" outlineLevel="0" collapsed="false">
      <c r="A134" s="9" t="s">
        <v>4414</v>
      </c>
      <c r="B134" s="9" t="s">
        <v>4415</v>
      </c>
      <c r="C134" s="10" t="s">
        <v>4266</v>
      </c>
      <c r="D134" s="9" t="s">
        <v>4360</v>
      </c>
      <c r="E134" s="9" t="s">
        <v>4361</v>
      </c>
    </row>
    <row r="135" customFormat="false" ht="15" hidden="false" customHeight="false" outlineLevel="0" collapsed="false">
      <c r="A135" s="9" t="s">
        <v>4416</v>
      </c>
      <c r="B135" s="9" t="s">
        <v>4338</v>
      </c>
      <c r="C135" s="9" t="s">
        <v>14</v>
      </c>
      <c r="D135" s="9" t="s">
        <v>1161</v>
      </c>
      <c r="E135" s="9"/>
    </row>
    <row r="136" customFormat="false" ht="15" hidden="false" customHeight="false" outlineLevel="0" collapsed="false">
      <c r="A136" s="9" t="s">
        <v>4417</v>
      </c>
      <c r="B136" s="9" t="s">
        <v>4357</v>
      </c>
      <c r="C136" s="10" t="s">
        <v>4266</v>
      </c>
      <c r="D136" s="9" t="s">
        <v>4360</v>
      </c>
      <c r="E136" s="9" t="s">
        <v>4361</v>
      </c>
    </row>
    <row r="137" customFormat="false" ht="15" hidden="false" customHeight="false" outlineLevel="0" collapsed="false">
      <c r="A137" s="9" t="s">
        <v>4418</v>
      </c>
      <c r="B137" s="9" t="s">
        <v>4330</v>
      </c>
      <c r="C137" s="9" t="s">
        <v>14</v>
      </c>
      <c r="D137" s="9" t="s">
        <v>1161</v>
      </c>
      <c r="E137" s="9"/>
    </row>
    <row r="138" customFormat="false" ht="15" hidden="false" customHeight="false" outlineLevel="0" collapsed="false">
      <c r="A138" s="9" t="s">
        <v>4419</v>
      </c>
      <c r="B138" s="9" t="s">
        <v>4365</v>
      </c>
      <c r="C138" s="10" t="s">
        <v>4266</v>
      </c>
      <c r="D138" s="9" t="s">
        <v>4360</v>
      </c>
      <c r="E138" s="9" t="s">
        <v>4361</v>
      </c>
    </row>
    <row r="139" customFormat="false" ht="15" hidden="false" customHeight="false" outlineLevel="0" collapsed="false">
      <c r="A139" s="9" t="s">
        <v>4420</v>
      </c>
      <c r="B139" s="9" t="s">
        <v>4370</v>
      </c>
      <c r="C139" s="9" t="s">
        <v>14</v>
      </c>
      <c r="D139" s="9" t="s">
        <v>4371</v>
      </c>
      <c r="E139" s="10" t="s">
        <v>4225</v>
      </c>
    </row>
    <row r="140" customFormat="false" ht="15" hidden="false" customHeight="false" outlineLevel="0" collapsed="false">
      <c r="A140" s="9" t="s">
        <v>4421</v>
      </c>
      <c r="B140" s="9" t="s">
        <v>4422</v>
      </c>
      <c r="C140" s="9" t="s">
        <v>14</v>
      </c>
      <c r="D140" s="9" t="s">
        <v>4423</v>
      </c>
      <c r="E140" s="10" t="s">
        <v>4424</v>
      </c>
    </row>
    <row r="141" customFormat="false" ht="15" hidden="false" customHeight="false" outlineLevel="0" collapsed="false">
      <c r="A141" s="9" t="s">
        <v>4425</v>
      </c>
      <c r="B141" s="9" t="s">
        <v>4426</v>
      </c>
      <c r="C141" s="9" t="s">
        <v>14</v>
      </c>
      <c r="D141" s="9" t="s">
        <v>1164</v>
      </c>
      <c r="E141" s="9"/>
    </row>
    <row r="142" customFormat="false" ht="15" hidden="false" customHeight="false" outlineLevel="0" collapsed="false">
      <c r="A142" s="9" t="s">
        <v>4427</v>
      </c>
      <c r="B142" s="9" t="s">
        <v>4428</v>
      </c>
      <c r="C142" s="9" t="s">
        <v>14</v>
      </c>
      <c r="D142" s="9" t="s">
        <v>1164</v>
      </c>
      <c r="E142" s="9"/>
    </row>
    <row r="143" customFormat="false" ht="15" hidden="false" customHeight="false" outlineLevel="0" collapsed="false">
      <c r="A143" s="9" t="s">
        <v>4429</v>
      </c>
      <c r="B143" s="9" t="s">
        <v>4430</v>
      </c>
      <c r="C143" s="9" t="s">
        <v>14</v>
      </c>
      <c r="D143" s="9" t="s">
        <v>1164</v>
      </c>
      <c r="E143" s="9"/>
    </row>
    <row r="144" customFormat="false" ht="15" hidden="false" customHeight="false" outlineLevel="0" collapsed="false">
      <c r="A144" s="9" t="s">
        <v>4431</v>
      </c>
      <c r="B144" s="9" t="s">
        <v>4298</v>
      </c>
      <c r="C144" s="9" t="s">
        <v>14</v>
      </c>
      <c r="D144" s="9" t="s">
        <v>1164</v>
      </c>
      <c r="E144" s="10" t="s">
        <v>4225</v>
      </c>
    </row>
    <row r="145" customFormat="false" ht="15" hidden="false" customHeight="false" outlineLevel="0" collapsed="false">
      <c r="A145" s="9" t="s">
        <v>4432</v>
      </c>
      <c r="B145" s="9" t="s">
        <v>4433</v>
      </c>
      <c r="C145" s="9" t="s">
        <v>14</v>
      </c>
      <c r="D145" s="9" t="s">
        <v>1170</v>
      </c>
      <c r="E145" s="9"/>
    </row>
    <row r="146" customFormat="false" ht="15" hidden="false" customHeight="false" outlineLevel="0" collapsed="false">
      <c r="A146" s="9" t="s">
        <v>4434</v>
      </c>
      <c r="B146" s="9" t="s">
        <v>4435</v>
      </c>
      <c r="C146" s="9" t="s">
        <v>14</v>
      </c>
      <c r="D146" s="9" t="s">
        <v>1170</v>
      </c>
      <c r="E146" s="9"/>
    </row>
    <row r="147" customFormat="false" ht="15" hidden="false" customHeight="false" outlineLevel="0" collapsed="false">
      <c r="A147" s="9" t="s">
        <v>4436</v>
      </c>
      <c r="B147" s="9" t="s">
        <v>4437</v>
      </c>
      <c r="C147" s="9" t="s">
        <v>14</v>
      </c>
      <c r="D147" s="9" t="s">
        <v>1170</v>
      </c>
      <c r="E147" s="9"/>
    </row>
    <row r="148" customFormat="false" ht="15" hidden="false" customHeight="false" outlineLevel="0" collapsed="false">
      <c r="A148" s="9" t="s">
        <v>4438</v>
      </c>
      <c r="B148" s="9" t="s">
        <v>4298</v>
      </c>
      <c r="C148" s="9" t="s">
        <v>14</v>
      </c>
      <c r="D148" s="9" t="s">
        <v>1170</v>
      </c>
      <c r="E148" s="10" t="s">
        <v>4225</v>
      </c>
    </row>
    <row r="149" customFormat="false" ht="15" hidden="false" customHeight="false" outlineLevel="0" collapsed="false">
      <c r="A149" s="9" t="s">
        <v>4439</v>
      </c>
      <c r="B149" s="9" t="s">
        <v>4433</v>
      </c>
      <c r="C149" s="9" t="s">
        <v>14</v>
      </c>
      <c r="D149" s="9" t="s">
        <v>1173</v>
      </c>
      <c r="E149" s="9"/>
    </row>
    <row r="150" customFormat="false" ht="15" hidden="false" customHeight="false" outlineLevel="0" collapsed="false">
      <c r="A150" s="9" t="s">
        <v>4440</v>
      </c>
      <c r="B150" s="9" t="s">
        <v>4435</v>
      </c>
      <c r="C150" s="9" t="s">
        <v>14</v>
      </c>
      <c r="D150" s="9" t="s">
        <v>1173</v>
      </c>
      <c r="E150" s="9"/>
    </row>
    <row r="151" customFormat="false" ht="15" hidden="false" customHeight="false" outlineLevel="0" collapsed="false">
      <c r="A151" s="9" t="s">
        <v>4441</v>
      </c>
      <c r="B151" s="9" t="s">
        <v>4437</v>
      </c>
      <c r="C151" s="9" t="s">
        <v>14</v>
      </c>
      <c r="D151" s="9" t="s">
        <v>1173</v>
      </c>
      <c r="E151" s="9"/>
    </row>
    <row r="152" customFormat="false" ht="15" hidden="false" customHeight="false" outlineLevel="0" collapsed="false">
      <c r="A152" s="9" t="s">
        <v>4442</v>
      </c>
      <c r="B152" s="9" t="s">
        <v>4298</v>
      </c>
      <c r="C152" s="9" t="s">
        <v>14</v>
      </c>
      <c r="D152" s="9" t="s">
        <v>1173</v>
      </c>
      <c r="E152" s="10" t="s">
        <v>4225</v>
      </c>
    </row>
    <row r="153" customFormat="false" ht="15" hidden="false" customHeight="false" outlineLevel="0" collapsed="false">
      <c r="A153" s="9" t="s">
        <v>4443</v>
      </c>
      <c r="B153" s="9" t="s">
        <v>4334</v>
      </c>
      <c r="C153" s="9" t="s">
        <v>6</v>
      </c>
      <c r="D153" s="9" t="s">
        <v>231</v>
      </c>
      <c r="E153" s="9"/>
    </row>
    <row r="154" customFormat="false" ht="15" hidden="false" customHeight="false" outlineLevel="0" collapsed="false">
      <c r="A154" s="9" t="s">
        <v>4444</v>
      </c>
      <c r="B154" s="9" t="s">
        <v>4293</v>
      </c>
      <c r="C154" s="9" t="s">
        <v>6</v>
      </c>
      <c r="D154" s="9" t="s">
        <v>231</v>
      </c>
      <c r="E154" s="10" t="s">
        <v>4225</v>
      </c>
    </row>
    <row r="155" customFormat="false" ht="15" hidden="false" customHeight="false" outlineLevel="0" collapsed="false">
      <c r="A155" s="9" t="s">
        <v>4445</v>
      </c>
      <c r="B155" s="9" t="s">
        <v>4446</v>
      </c>
      <c r="C155" s="9" t="s">
        <v>6</v>
      </c>
      <c r="D155" s="9" t="s">
        <v>231</v>
      </c>
      <c r="E155" s="10" t="s">
        <v>4225</v>
      </c>
    </row>
    <row r="156" customFormat="false" ht="15" hidden="false" customHeight="false" outlineLevel="0" collapsed="false">
      <c r="A156" s="9" t="s">
        <v>4447</v>
      </c>
      <c r="B156" s="9" t="s">
        <v>4385</v>
      </c>
      <c r="C156" s="9" t="s">
        <v>14</v>
      </c>
      <c r="D156" s="9" t="s">
        <v>1176</v>
      </c>
      <c r="E156" s="9"/>
    </row>
    <row r="157" customFormat="false" ht="15" hidden="false" customHeight="false" outlineLevel="0" collapsed="false">
      <c r="A157" s="9" t="s">
        <v>4448</v>
      </c>
      <c r="B157" s="9" t="s">
        <v>4449</v>
      </c>
      <c r="C157" s="9" t="s">
        <v>14</v>
      </c>
      <c r="D157" s="9" t="s">
        <v>1181</v>
      </c>
      <c r="E157" s="9"/>
    </row>
    <row r="158" customFormat="false" ht="15" hidden="false" customHeight="false" outlineLevel="0" collapsed="false">
      <c r="A158" s="9" t="s">
        <v>4450</v>
      </c>
      <c r="B158" s="9" t="s">
        <v>4451</v>
      </c>
      <c r="C158" s="9" t="s">
        <v>14</v>
      </c>
      <c r="D158" s="9" t="s">
        <v>1176</v>
      </c>
      <c r="E158" s="9"/>
    </row>
    <row r="159" customFormat="false" ht="15" hidden="false" customHeight="false" outlineLevel="0" collapsed="false">
      <c r="A159" s="9" t="s">
        <v>4452</v>
      </c>
      <c r="B159" s="9" t="s">
        <v>4453</v>
      </c>
      <c r="C159" s="9" t="s">
        <v>14</v>
      </c>
      <c r="D159" s="9" t="s">
        <v>1181</v>
      </c>
      <c r="E159" s="9"/>
    </row>
    <row r="160" customFormat="false" ht="15" hidden="false" customHeight="false" outlineLevel="0" collapsed="false">
      <c r="A160" s="9" t="s">
        <v>4454</v>
      </c>
      <c r="B160" s="9" t="s">
        <v>4338</v>
      </c>
      <c r="C160" s="9" t="s">
        <v>14</v>
      </c>
      <c r="D160" s="9" t="s">
        <v>1176</v>
      </c>
      <c r="E160" s="9"/>
    </row>
    <row r="161" customFormat="false" ht="15" hidden="false" customHeight="false" outlineLevel="0" collapsed="false">
      <c r="A161" s="9" t="s">
        <v>4455</v>
      </c>
      <c r="B161" s="9" t="s">
        <v>4451</v>
      </c>
      <c r="C161" s="9" t="s">
        <v>14</v>
      </c>
      <c r="D161" s="9" t="s">
        <v>1181</v>
      </c>
      <c r="E161" s="9"/>
    </row>
    <row r="162" customFormat="false" ht="15" hidden="false" customHeight="false" outlineLevel="0" collapsed="false">
      <c r="A162" s="9" t="s">
        <v>4456</v>
      </c>
      <c r="B162" s="9" t="s">
        <v>4298</v>
      </c>
      <c r="C162" s="9" t="s">
        <v>14</v>
      </c>
      <c r="D162" s="9" t="s">
        <v>1181</v>
      </c>
      <c r="E162" s="10" t="s">
        <v>4225</v>
      </c>
    </row>
    <row r="163" customFormat="false" ht="15" hidden="false" customHeight="false" outlineLevel="0" collapsed="false">
      <c r="A163" s="9" t="s">
        <v>4457</v>
      </c>
      <c r="B163" s="9" t="s">
        <v>4385</v>
      </c>
      <c r="C163" s="9" t="s">
        <v>14</v>
      </c>
      <c r="D163" s="9" t="s">
        <v>1183</v>
      </c>
      <c r="E163" s="9"/>
    </row>
    <row r="164" customFormat="false" ht="15" hidden="false" customHeight="false" outlineLevel="0" collapsed="false">
      <c r="A164" s="9" t="s">
        <v>4458</v>
      </c>
      <c r="B164" s="9" t="s">
        <v>4459</v>
      </c>
      <c r="C164" s="9" t="s">
        <v>14</v>
      </c>
      <c r="D164" s="9" t="s">
        <v>1186</v>
      </c>
      <c r="E164" s="9"/>
    </row>
    <row r="165" customFormat="false" ht="15" hidden="false" customHeight="false" outlineLevel="0" collapsed="false">
      <c r="A165" s="9" t="s">
        <v>4460</v>
      </c>
      <c r="B165" s="9" t="s">
        <v>4461</v>
      </c>
      <c r="C165" s="9" t="s">
        <v>14</v>
      </c>
      <c r="D165" s="9" t="s">
        <v>1183</v>
      </c>
      <c r="E165" s="9"/>
    </row>
    <row r="166" customFormat="false" ht="15" hidden="false" customHeight="false" outlineLevel="0" collapsed="false">
      <c r="A166" s="9" t="s">
        <v>4462</v>
      </c>
      <c r="B166" s="9" t="s">
        <v>4463</v>
      </c>
      <c r="C166" s="9" t="s">
        <v>14</v>
      </c>
      <c r="D166" s="9" t="s">
        <v>1186</v>
      </c>
      <c r="E166" s="9"/>
    </row>
    <row r="167" customFormat="false" ht="15" hidden="false" customHeight="false" outlineLevel="0" collapsed="false">
      <c r="A167" s="9" t="s">
        <v>4464</v>
      </c>
      <c r="B167" s="9" t="s">
        <v>4338</v>
      </c>
      <c r="C167" s="9" t="s">
        <v>14</v>
      </c>
      <c r="D167" s="9" t="s">
        <v>1183</v>
      </c>
      <c r="E167" s="9"/>
    </row>
    <row r="168" customFormat="false" ht="15" hidden="false" customHeight="false" outlineLevel="0" collapsed="false">
      <c r="A168" s="9" t="s">
        <v>4465</v>
      </c>
      <c r="B168" s="9" t="s">
        <v>4466</v>
      </c>
      <c r="C168" s="9" t="s">
        <v>14</v>
      </c>
      <c r="D168" s="9" t="s">
        <v>1186</v>
      </c>
      <c r="E168" s="9"/>
    </row>
    <row r="169" customFormat="false" ht="15" hidden="false" customHeight="false" outlineLevel="0" collapsed="false">
      <c r="A169" s="9" t="s">
        <v>4467</v>
      </c>
      <c r="B169" s="9" t="s">
        <v>4298</v>
      </c>
      <c r="C169" s="9" t="s">
        <v>14</v>
      </c>
      <c r="D169" s="9" t="s">
        <v>1186</v>
      </c>
      <c r="E169" s="10" t="s">
        <v>4225</v>
      </c>
    </row>
    <row r="170" customFormat="false" ht="15" hidden="false" customHeight="false" outlineLevel="0" collapsed="false">
      <c r="A170" s="9" t="s">
        <v>4468</v>
      </c>
      <c r="B170" s="9" t="s">
        <v>4282</v>
      </c>
      <c r="C170" s="10" t="s">
        <v>4266</v>
      </c>
      <c r="D170" s="9" t="s">
        <v>4469</v>
      </c>
      <c r="E170" s="9" t="s">
        <v>4470</v>
      </c>
    </row>
    <row r="171" customFormat="false" ht="15" hidden="false" customHeight="false" outlineLevel="0" collapsed="false">
      <c r="A171" s="9" t="s">
        <v>4471</v>
      </c>
      <c r="B171" s="9" t="s">
        <v>4385</v>
      </c>
      <c r="C171" s="10" t="s">
        <v>4266</v>
      </c>
      <c r="D171" s="9" t="s">
        <v>4469</v>
      </c>
      <c r="E171" s="9" t="s">
        <v>4470</v>
      </c>
    </row>
    <row r="172" customFormat="false" ht="15" hidden="false" customHeight="false" outlineLevel="0" collapsed="false">
      <c r="A172" s="9" t="s">
        <v>4472</v>
      </c>
      <c r="B172" s="9" t="s">
        <v>4334</v>
      </c>
      <c r="C172" s="10" t="s">
        <v>4266</v>
      </c>
      <c r="D172" s="9" t="s">
        <v>4469</v>
      </c>
      <c r="E172" s="9" t="s">
        <v>4470</v>
      </c>
    </row>
    <row r="173" customFormat="false" ht="15" hidden="false" customHeight="false" outlineLevel="0" collapsed="false">
      <c r="A173" s="9" t="s">
        <v>4473</v>
      </c>
      <c r="B173" s="9" t="s">
        <v>4451</v>
      </c>
      <c r="C173" s="10" t="s">
        <v>4266</v>
      </c>
      <c r="D173" s="9" t="s">
        <v>4469</v>
      </c>
      <c r="E173" s="9" t="s">
        <v>4470</v>
      </c>
    </row>
    <row r="174" customFormat="false" ht="15" hidden="false" customHeight="false" outlineLevel="0" collapsed="false">
      <c r="A174" s="9" t="s">
        <v>4474</v>
      </c>
      <c r="B174" s="9" t="s">
        <v>4463</v>
      </c>
      <c r="C174" s="10" t="s">
        <v>4266</v>
      </c>
      <c r="D174" s="9" t="s">
        <v>4469</v>
      </c>
      <c r="E174" s="9" t="s">
        <v>4470</v>
      </c>
    </row>
    <row r="175" customFormat="false" ht="15" hidden="false" customHeight="false" outlineLevel="0" collapsed="false">
      <c r="A175" s="9" t="s">
        <v>4475</v>
      </c>
      <c r="B175" s="9" t="s">
        <v>4466</v>
      </c>
      <c r="C175" s="10" t="s">
        <v>4266</v>
      </c>
      <c r="D175" s="9" t="s">
        <v>4469</v>
      </c>
      <c r="E175" s="9" t="s">
        <v>4470</v>
      </c>
    </row>
    <row r="176" customFormat="false" ht="15" hidden="false" customHeight="false" outlineLevel="0" collapsed="false">
      <c r="A176" s="9" t="s">
        <v>4476</v>
      </c>
      <c r="B176" s="9" t="s">
        <v>4298</v>
      </c>
      <c r="C176" s="10" t="s">
        <v>4266</v>
      </c>
      <c r="D176" s="9" t="s">
        <v>4469</v>
      </c>
      <c r="E176" s="9" t="s">
        <v>4470</v>
      </c>
    </row>
    <row r="177" customFormat="false" ht="15" hidden="false" customHeight="false" outlineLevel="0" collapsed="false">
      <c r="A177" s="9" t="s">
        <v>4477</v>
      </c>
      <c r="B177" s="9" t="s">
        <v>4478</v>
      </c>
      <c r="C177" s="10" t="s">
        <v>4266</v>
      </c>
      <c r="D177" s="9" t="s">
        <v>4469</v>
      </c>
      <c r="E177" s="9" t="s">
        <v>4470</v>
      </c>
    </row>
    <row r="178" customFormat="false" ht="15" hidden="false" customHeight="false" outlineLevel="0" collapsed="false">
      <c r="A178" s="9" t="s">
        <v>4479</v>
      </c>
      <c r="B178" s="9" t="s">
        <v>4282</v>
      </c>
      <c r="C178" s="9" t="s">
        <v>14</v>
      </c>
      <c r="D178" s="9" t="s">
        <v>1187</v>
      </c>
      <c r="E178" s="9"/>
    </row>
    <row r="179" customFormat="false" ht="15" hidden="false" customHeight="false" outlineLevel="0" collapsed="false">
      <c r="A179" s="9" t="s">
        <v>4480</v>
      </c>
      <c r="B179" s="9" t="s">
        <v>4334</v>
      </c>
      <c r="C179" s="9" t="s">
        <v>14</v>
      </c>
      <c r="D179" s="9" t="s">
        <v>1187</v>
      </c>
      <c r="E179" s="9"/>
    </row>
    <row r="180" customFormat="false" ht="15" hidden="false" customHeight="false" outlineLevel="0" collapsed="false">
      <c r="A180" s="9" t="s">
        <v>4481</v>
      </c>
      <c r="B180" s="9" t="s">
        <v>4463</v>
      </c>
      <c r="C180" s="9" t="s">
        <v>14</v>
      </c>
      <c r="D180" s="9" t="s">
        <v>1187</v>
      </c>
      <c r="E180" s="9"/>
    </row>
    <row r="181" customFormat="false" ht="15" hidden="false" customHeight="false" outlineLevel="0" collapsed="false">
      <c r="A181" s="9" t="s">
        <v>4482</v>
      </c>
      <c r="B181" s="9" t="s">
        <v>4483</v>
      </c>
      <c r="C181" s="9" t="s">
        <v>14</v>
      </c>
      <c r="D181" s="9" t="s">
        <v>1187</v>
      </c>
      <c r="E181" s="10" t="s">
        <v>4225</v>
      </c>
    </row>
    <row r="182" customFormat="false" ht="15" hidden="false" customHeight="false" outlineLevel="0" collapsed="false">
      <c r="A182" s="9" t="s">
        <v>4484</v>
      </c>
      <c r="B182" s="9" t="s">
        <v>4485</v>
      </c>
      <c r="C182" s="9" t="s">
        <v>14</v>
      </c>
      <c r="D182" s="9" t="s">
        <v>1187</v>
      </c>
      <c r="E182" s="10" t="s">
        <v>4225</v>
      </c>
    </row>
    <row r="183" customFormat="false" ht="15" hidden="false" customHeight="false" outlineLevel="0" collapsed="false">
      <c r="A183" s="9" t="s">
        <v>4486</v>
      </c>
      <c r="B183" s="9" t="s">
        <v>4466</v>
      </c>
      <c r="C183" s="9" t="s">
        <v>14</v>
      </c>
      <c r="D183" s="9" t="s">
        <v>1190</v>
      </c>
      <c r="E183" s="9"/>
    </row>
    <row r="184" customFormat="false" ht="15" hidden="false" customHeight="false" outlineLevel="0" collapsed="false">
      <c r="A184" s="9" t="s">
        <v>4487</v>
      </c>
      <c r="B184" s="9" t="s">
        <v>4461</v>
      </c>
      <c r="C184" s="9" t="s">
        <v>14</v>
      </c>
      <c r="D184" s="9" t="s">
        <v>1190</v>
      </c>
      <c r="E184" s="9"/>
    </row>
    <row r="185" customFormat="false" ht="15" hidden="false" customHeight="false" outlineLevel="0" collapsed="false">
      <c r="A185" s="9" t="s">
        <v>4488</v>
      </c>
      <c r="B185" s="9" t="s">
        <v>4489</v>
      </c>
      <c r="C185" s="9" t="s">
        <v>14</v>
      </c>
      <c r="D185" s="9" t="s">
        <v>1190</v>
      </c>
      <c r="E185" s="9"/>
    </row>
    <row r="186" customFormat="false" ht="15" hidden="false" customHeight="false" outlineLevel="0" collapsed="false">
      <c r="A186" s="9" t="s">
        <v>4490</v>
      </c>
      <c r="B186" s="9" t="s">
        <v>4298</v>
      </c>
      <c r="C186" s="9" t="s">
        <v>14</v>
      </c>
      <c r="D186" s="9" t="s">
        <v>1190</v>
      </c>
      <c r="E186" s="10" t="s">
        <v>4225</v>
      </c>
    </row>
    <row r="187" customFormat="false" ht="15" hidden="false" customHeight="false" outlineLevel="0" collapsed="false">
      <c r="A187" s="9" t="s">
        <v>4491</v>
      </c>
      <c r="B187" s="9" t="s">
        <v>4282</v>
      </c>
      <c r="C187" s="9" t="s">
        <v>14</v>
      </c>
      <c r="D187" s="9" t="s">
        <v>1193</v>
      </c>
      <c r="E187" s="9"/>
    </row>
    <row r="188" customFormat="false" ht="15" hidden="false" customHeight="false" outlineLevel="0" collapsed="false">
      <c r="A188" s="9" t="s">
        <v>4492</v>
      </c>
      <c r="B188" s="9" t="s">
        <v>4334</v>
      </c>
      <c r="C188" s="9" t="s">
        <v>14</v>
      </c>
      <c r="D188" s="9" t="s">
        <v>1193</v>
      </c>
      <c r="E188" s="9"/>
    </row>
    <row r="189" customFormat="false" ht="15" hidden="false" customHeight="false" outlineLevel="0" collapsed="false">
      <c r="A189" s="9" t="s">
        <v>4493</v>
      </c>
      <c r="B189" s="9" t="s">
        <v>4461</v>
      </c>
      <c r="C189" s="9" t="s">
        <v>14</v>
      </c>
      <c r="D189" s="9" t="s">
        <v>1193</v>
      </c>
      <c r="E189" s="9"/>
    </row>
    <row r="190" customFormat="false" ht="15" hidden="false" customHeight="false" outlineLevel="0" collapsed="false">
      <c r="A190" s="9" t="s">
        <v>4494</v>
      </c>
      <c r="B190" s="9" t="s">
        <v>4298</v>
      </c>
      <c r="C190" s="9" t="s">
        <v>14</v>
      </c>
      <c r="D190" s="9" t="s">
        <v>1193</v>
      </c>
      <c r="E190" s="10" t="s">
        <v>4225</v>
      </c>
    </row>
    <row r="191" customFormat="false" ht="15" hidden="false" customHeight="false" outlineLevel="0" collapsed="false">
      <c r="A191" s="9" t="s">
        <v>4495</v>
      </c>
      <c r="B191" s="9" t="s">
        <v>4496</v>
      </c>
      <c r="C191" s="9" t="s">
        <v>14</v>
      </c>
      <c r="D191" s="9" t="s">
        <v>1193</v>
      </c>
      <c r="E191" s="10" t="s">
        <v>4225</v>
      </c>
    </row>
    <row r="192" customFormat="false" ht="15" hidden="false" customHeight="false" outlineLevel="0" collapsed="false">
      <c r="A192" s="9" t="s">
        <v>4497</v>
      </c>
      <c r="B192" s="9" t="s">
        <v>4498</v>
      </c>
      <c r="C192" s="9" t="s">
        <v>14</v>
      </c>
      <c r="D192" s="9" t="s">
        <v>1196</v>
      </c>
      <c r="E192" s="9"/>
    </row>
    <row r="193" customFormat="false" ht="15" hidden="false" customHeight="false" outlineLevel="0" collapsed="false">
      <c r="A193" s="9" t="s">
        <v>4499</v>
      </c>
      <c r="B193" s="9" t="s">
        <v>4500</v>
      </c>
      <c r="C193" s="9" t="s">
        <v>14</v>
      </c>
      <c r="D193" s="9" t="s">
        <v>1196</v>
      </c>
      <c r="E193" s="9"/>
    </row>
    <row r="194" customFormat="false" ht="15" hidden="false" customHeight="false" outlineLevel="0" collapsed="false">
      <c r="A194" s="9" t="s">
        <v>4501</v>
      </c>
      <c r="B194" s="9" t="s">
        <v>4502</v>
      </c>
      <c r="C194" s="9" t="s">
        <v>14</v>
      </c>
      <c r="D194" s="9" t="s">
        <v>1196</v>
      </c>
      <c r="E194" s="9"/>
    </row>
    <row r="195" customFormat="false" ht="15" hidden="false" customHeight="false" outlineLevel="0" collapsed="false">
      <c r="A195" s="9" t="s">
        <v>4503</v>
      </c>
      <c r="B195" s="9" t="s">
        <v>4504</v>
      </c>
      <c r="C195" s="9" t="s">
        <v>14</v>
      </c>
      <c r="D195" s="9" t="s">
        <v>1196</v>
      </c>
      <c r="E195" s="10" t="s">
        <v>4225</v>
      </c>
    </row>
    <row r="196" customFormat="false" ht="15" hidden="false" customHeight="false" outlineLevel="0" collapsed="false">
      <c r="A196" s="9" t="s">
        <v>4505</v>
      </c>
      <c r="B196" s="9" t="s">
        <v>4298</v>
      </c>
      <c r="C196" s="9" t="s">
        <v>14</v>
      </c>
      <c r="D196" s="9" t="s">
        <v>1196</v>
      </c>
      <c r="E196" s="10" t="s">
        <v>4225</v>
      </c>
    </row>
    <row r="197" customFormat="false" ht="15" hidden="false" customHeight="false" outlineLevel="0" collapsed="false">
      <c r="A197" s="9" t="s">
        <v>4506</v>
      </c>
      <c r="B197" s="9" t="s">
        <v>4507</v>
      </c>
      <c r="C197" s="9" t="s">
        <v>14</v>
      </c>
      <c r="D197" s="9" t="s">
        <v>1196</v>
      </c>
      <c r="E197" s="10" t="s">
        <v>4225</v>
      </c>
    </row>
    <row r="198" customFormat="false" ht="15" hidden="false" customHeight="false" outlineLevel="0" collapsed="false">
      <c r="A198" s="9" t="s">
        <v>4508</v>
      </c>
      <c r="B198" s="9" t="s">
        <v>4509</v>
      </c>
      <c r="C198" s="9" t="s">
        <v>14</v>
      </c>
      <c r="D198" s="9" t="s">
        <v>4510</v>
      </c>
      <c r="E198" s="10" t="s">
        <v>4511</v>
      </c>
    </row>
    <row r="199" customFormat="false" ht="15" hidden="false" customHeight="false" outlineLevel="0" collapsed="false">
      <c r="A199" s="9" t="s">
        <v>4512</v>
      </c>
      <c r="B199" s="9" t="s">
        <v>4302</v>
      </c>
      <c r="C199" s="9" t="s">
        <v>14</v>
      </c>
      <c r="D199" s="9" t="s">
        <v>1201</v>
      </c>
      <c r="E199" s="9"/>
    </row>
    <row r="200" customFormat="false" ht="15" hidden="false" customHeight="false" outlineLevel="0" collapsed="false">
      <c r="A200" s="9" t="s">
        <v>4513</v>
      </c>
      <c r="B200" s="9" t="s">
        <v>4514</v>
      </c>
      <c r="C200" s="9" t="s">
        <v>14</v>
      </c>
      <c r="D200" s="9" t="s">
        <v>1205</v>
      </c>
      <c r="E200" s="9"/>
    </row>
    <row r="201" customFormat="false" ht="15" hidden="false" customHeight="false" outlineLevel="0" collapsed="false">
      <c r="A201" s="9" t="s">
        <v>4515</v>
      </c>
      <c r="B201" s="9" t="s">
        <v>4459</v>
      </c>
      <c r="C201" s="9" t="s">
        <v>14</v>
      </c>
      <c r="D201" s="9" t="s">
        <v>1206</v>
      </c>
      <c r="E201" s="9"/>
    </row>
    <row r="202" customFormat="false" ht="15" hidden="false" customHeight="false" outlineLevel="0" collapsed="false">
      <c r="A202" s="9" t="s">
        <v>4516</v>
      </c>
      <c r="B202" s="9" t="s">
        <v>4463</v>
      </c>
      <c r="C202" s="9" t="s">
        <v>14</v>
      </c>
      <c r="D202" s="9" t="s">
        <v>1208</v>
      </c>
      <c r="E202" s="9"/>
    </row>
    <row r="203" customFormat="false" ht="15" hidden="false" customHeight="false" outlineLevel="0" collapsed="false">
      <c r="A203" s="9" t="s">
        <v>4517</v>
      </c>
      <c r="B203" s="9" t="s">
        <v>4451</v>
      </c>
      <c r="C203" s="9" t="s">
        <v>14</v>
      </c>
      <c r="D203" s="9" t="s">
        <v>1210</v>
      </c>
      <c r="E203" s="9"/>
    </row>
    <row r="204" customFormat="false" ht="15" hidden="false" customHeight="false" outlineLevel="0" collapsed="false">
      <c r="A204" s="9" t="s">
        <v>4518</v>
      </c>
      <c r="B204" s="9" t="s">
        <v>4282</v>
      </c>
      <c r="C204" s="9" t="s">
        <v>14</v>
      </c>
      <c r="D204" s="9" t="s">
        <v>1212</v>
      </c>
      <c r="E204" s="9"/>
    </row>
    <row r="205" customFormat="false" ht="15" hidden="false" customHeight="false" outlineLevel="0" collapsed="false">
      <c r="A205" s="9" t="s">
        <v>4519</v>
      </c>
      <c r="B205" s="9" t="s">
        <v>4298</v>
      </c>
      <c r="C205" s="9" t="s">
        <v>14</v>
      </c>
      <c r="D205" s="9" t="s">
        <v>1217</v>
      </c>
      <c r="E205" s="10" t="s">
        <v>4225</v>
      </c>
    </row>
    <row r="206" customFormat="false" ht="15" hidden="false" customHeight="false" outlineLevel="0" collapsed="false">
      <c r="A206" s="9" t="s">
        <v>4520</v>
      </c>
      <c r="B206" s="9" t="s">
        <v>4338</v>
      </c>
      <c r="C206" s="9" t="s">
        <v>14</v>
      </c>
      <c r="D206" s="9" t="s">
        <v>1214</v>
      </c>
      <c r="E206" s="9"/>
    </row>
    <row r="207" customFormat="false" ht="15" hidden="false" customHeight="false" outlineLevel="0" collapsed="false">
      <c r="A207" s="9" t="s">
        <v>4521</v>
      </c>
      <c r="B207" s="9" t="s">
        <v>4363</v>
      </c>
      <c r="C207" s="9" t="s">
        <v>14</v>
      </c>
      <c r="D207" s="9" t="s">
        <v>1217</v>
      </c>
      <c r="E207" s="9"/>
    </row>
    <row r="208" customFormat="false" ht="15" hidden="false" customHeight="false" outlineLevel="0" collapsed="false">
      <c r="A208" s="9" t="s">
        <v>4522</v>
      </c>
      <c r="B208" s="9" t="s">
        <v>4302</v>
      </c>
      <c r="C208" s="9" t="s">
        <v>14</v>
      </c>
      <c r="D208" s="9" t="s">
        <v>1219</v>
      </c>
      <c r="E208" s="9"/>
    </row>
    <row r="209" customFormat="false" ht="15" hidden="false" customHeight="false" outlineLevel="0" collapsed="false">
      <c r="A209" s="9" t="s">
        <v>4523</v>
      </c>
      <c r="B209" s="9" t="s">
        <v>4282</v>
      </c>
      <c r="C209" s="9" t="s">
        <v>14</v>
      </c>
      <c r="D209" s="9" t="s">
        <v>1222</v>
      </c>
      <c r="E209" s="9"/>
    </row>
    <row r="210" customFormat="false" ht="15" hidden="false" customHeight="false" outlineLevel="0" collapsed="false">
      <c r="A210" s="9" t="s">
        <v>4524</v>
      </c>
      <c r="B210" s="9" t="s">
        <v>4449</v>
      </c>
      <c r="C210" s="9" t="s">
        <v>14</v>
      </c>
      <c r="D210" s="9" t="s">
        <v>1223</v>
      </c>
      <c r="E210" s="9"/>
    </row>
    <row r="211" customFormat="false" ht="15" hidden="false" customHeight="false" outlineLevel="0" collapsed="false">
      <c r="A211" s="9" t="s">
        <v>4525</v>
      </c>
      <c r="B211" s="9" t="s">
        <v>4526</v>
      </c>
      <c r="C211" s="9" t="s">
        <v>14</v>
      </c>
      <c r="D211" s="9" t="s">
        <v>1224</v>
      </c>
      <c r="E211" s="9"/>
    </row>
    <row r="212" customFormat="false" ht="15" hidden="false" customHeight="false" outlineLevel="0" collapsed="false">
      <c r="A212" s="9" t="s">
        <v>4527</v>
      </c>
      <c r="B212" s="9" t="s">
        <v>4334</v>
      </c>
      <c r="C212" s="9" t="s">
        <v>14</v>
      </c>
      <c r="D212" s="9" t="s">
        <v>1225</v>
      </c>
      <c r="E212" s="9"/>
    </row>
    <row r="213" customFormat="false" ht="15" hidden="false" customHeight="false" outlineLevel="0" collapsed="false">
      <c r="A213" s="9" t="s">
        <v>4528</v>
      </c>
      <c r="B213" s="9" t="s">
        <v>4453</v>
      </c>
      <c r="C213" s="9" t="s">
        <v>14</v>
      </c>
      <c r="D213" s="9" t="s">
        <v>1226</v>
      </c>
      <c r="E213" s="9"/>
    </row>
    <row r="214" customFormat="false" ht="15" hidden="false" customHeight="false" outlineLevel="0" collapsed="false">
      <c r="A214" s="9" t="s">
        <v>4529</v>
      </c>
      <c r="B214" s="9" t="s">
        <v>4298</v>
      </c>
      <c r="C214" s="9" t="s">
        <v>14</v>
      </c>
      <c r="D214" s="9" t="s">
        <v>1229</v>
      </c>
      <c r="E214" s="10" t="s">
        <v>4225</v>
      </c>
    </row>
    <row r="215" customFormat="false" ht="15" hidden="false" customHeight="false" outlineLevel="0" collapsed="false">
      <c r="A215" s="9" t="s">
        <v>4530</v>
      </c>
      <c r="B215" s="9" t="s">
        <v>4338</v>
      </c>
      <c r="C215" s="9" t="s">
        <v>14</v>
      </c>
      <c r="D215" s="9" t="s">
        <v>1227</v>
      </c>
      <c r="E215" s="9"/>
    </row>
    <row r="216" customFormat="false" ht="15" hidden="false" customHeight="false" outlineLevel="0" collapsed="false">
      <c r="A216" s="9" t="s">
        <v>4531</v>
      </c>
      <c r="B216" s="9" t="s">
        <v>4363</v>
      </c>
      <c r="C216" s="9" t="s">
        <v>14</v>
      </c>
      <c r="D216" s="9" t="s">
        <v>1229</v>
      </c>
      <c r="E216" s="9"/>
    </row>
    <row r="217" customFormat="false" ht="15" hidden="false" customHeight="false" outlineLevel="0" collapsed="false">
      <c r="A217" s="9" t="s">
        <v>4532</v>
      </c>
      <c r="B217" s="9" t="s">
        <v>4533</v>
      </c>
      <c r="C217" s="9" t="s">
        <v>14</v>
      </c>
      <c r="D217" s="9" t="s">
        <v>1231</v>
      </c>
      <c r="E217" s="9"/>
    </row>
    <row r="218" customFormat="false" ht="15" hidden="false" customHeight="false" outlineLevel="0" collapsed="false">
      <c r="A218" s="9" t="s">
        <v>4534</v>
      </c>
      <c r="B218" s="9" t="s">
        <v>4535</v>
      </c>
      <c r="C218" s="9" t="s">
        <v>14</v>
      </c>
      <c r="D218" s="9" t="s">
        <v>1231</v>
      </c>
      <c r="E218" s="9"/>
    </row>
    <row r="219" customFormat="false" ht="15" hidden="false" customHeight="false" outlineLevel="0" collapsed="false">
      <c r="A219" s="9" t="s">
        <v>4536</v>
      </c>
      <c r="B219" s="9" t="s">
        <v>4537</v>
      </c>
      <c r="C219" s="9" t="s">
        <v>14</v>
      </c>
      <c r="D219" s="9" t="s">
        <v>1231</v>
      </c>
      <c r="E219" s="9"/>
    </row>
    <row r="220" customFormat="false" ht="15" hidden="false" customHeight="false" outlineLevel="0" collapsed="false">
      <c r="A220" s="9" t="s">
        <v>4538</v>
      </c>
      <c r="B220" s="9" t="s">
        <v>4298</v>
      </c>
      <c r="C220" s="9" t="s">
        <v>14</v>
      </c>
      <c r="D220" s="9" t="s">
        <v>1231</v>
      </c>
      <c r="E220" s="10" t="s">
        <v>4225</v>
      </c>
    </row>
    <row r="221" customFormat="false" ht="15" hidden="false" customHeight="false" outlineLevel="0" collapsed="false">
      <c r="A221" s="9" t="s">
        <v>4539</v>
      </c>
      <c r="B221" s="9" t="s">
        <v>4540</v>
      </c>
      <c r="C221" s="9" t="s">
        <v>14</v>
      </c>
      <c r="D221" s="9" t="s">
        <v>1231</v>
      </c>
      <c r="E221" s="10" t="s">
        <v>4225</v>
      </c>
    </row>
    <row r="222" customFormat="false" ht="15" hidden="false" customHeight="false" outlineLevel="0" collapsed="false">
      <c r="A222" s="9" t="s">
        <v>4541</v>
      </c>
      <c r="B222" s="9" t="s">
        <v>4426</v>
      </c>
      <c r="C222" s="9" t="s">
        <v>14</v>
      </c>
      <c r="D222" s="9" t="s">
        <v>1236</v>
      </c>
      <c r="E222" s="9"/>
    </row>
    <row r="223" customFormat="false" ht="15" hidden="false" customHeight="false" outlineLevel="0" collapsed="false">
      <c r="A223" s="9" t="s">
        <v>4542</v>
      </c>
      <c r="B223" s="9" t="s">
        <v>4428</v>
      </c>
      <c r="C223" s="9" t="s">
        <v>14</v>
      </c>
      <c r="D223" s="9" t="s">
        <v>1236</v>
      </c>
      <c r="E223" s="9"/>
    </row>
    <row r="224" customFormat="false" ht="15" hidden="false" customHeight="false" outlineLevel="0" collapsed="false">
      <c r="A224" s="9" t="s">
        <v>4543</v>
      </c>
      <c r="B224" s="9" t="s">
        <v>4430</v>
      </c>
      <c r="C224" s="9" t="s">
        <v>14</v>
      </c>
      <c r="D224" s="9" t="s">
        <v>1236</v>
      </c>
      <c r="E224" s="9"/>
    </row>
    <row r="225" customFormat="false" ht="15" hidden="false" customHeight="false" outlineLevel="0" collapsed="false">
      <c r="A225" s="9" t="s">
        <v>4544</v>
      </c>
      <c r="B225" s="9" t="s">
        <v>4298</v>
      </c>
      <c r="C225" s="9" t="s">
        <v>14</v>
      </c>
      <c r="D225" s="9" t="s">
        <v>1236</v>
      </c>
      <c r="E225" s="10" t="s">
        <v>4225</v>
      </c>
    </row>
    <row r="226" customFormat="false" ht="15" hidden="false" customHeight="false" outlineLevel="0" collapsed="false">
      <c r="A226" s="9" t="s">
        <v>4545</v>
      </c>
      <c r="B226" s="9" t="s">
        <v>4546</v>
      </c>
      <c r="C226" s="10" t="s">
        <v>4196</v>
      </c>
      <c r="D226" s="9" t="s">
        <v>71</v>
      </c>
      <c r="E226" s="10" t="s">
        <v>4547</v>
      </c>
    </row>
    <row r="227" customFormat="false" ht="15" hidden="false" customHeight="false" outlineLevel="0" collapsed="false">
      <c r="A227" s="9" t="s">
        <v>4548</v>
      </c>
      <c r="B227" s="9" t="s">
        <v>4549</v>
      </c>
      <c r="C227" s="9" t="s">
        <v>14</v>
      </c>
      <c r="D227" s="9" t="s">
        <v>1239</v>
      </c>
      <c r="E227" s="9"/>
    </row>
    <row r="228" customFormat="false" ht="15" hidden="false" customHeight="false" outlineLevel="0" collapsed="false">
      <c r="A228" s="9" t="s">
        <v>4550</v>
      </c>
      <c r="B228" s="9" t="s">
        <v>4551</v>
      </c>
      <c r="C228" s="9" t="s">
        <v>14</v>
      </c>
      <c r="D228" s="9" t="s">
        <v>1239</v>
      </c>
      <c r="E228" s="10" t="s">
        <v>4225</v>
      </c>
    </row>
    <row r="229" customFormat="false" ht="15" hidden="false" customHeight="false" outlineLevel="0" collapsed="false">
      <c r="A229" s="9" t="s">
        <v>4552</v>
      </c>
      <c r="B229" s="9" t="s">
        <v>4553</v>
      </c>
      <c r="C229" s="9" t="s">
        <v>14</v>
      </c>
      <c r="D229" s="9" t="s">
        <v>1239</v>
      </c>
      <c r="E229" s="10" t="s">
        <v>4225</v>
      </c>
    </row>
    <row r="230" customFormat="false" ht="15" hidden="false" customHeight="false" outlineLevel="0" collapsed="false">
      <c r="A230" s="9" t="s">
        <v>4554</v>
      </c>
      <c r="B230" s="9" t="s">
        <v>4555</v>
      </c>
      <c r="C230" s="10" t="s">
        <v>4196</v>
      </c>
      <c r="D230" s="9" t="s">
        <v>71</v>
      </c>
      <c r="E230" s="10" t="s">
        <v>4556</v>
      </c>
    </row>
    <row r="231" customFormat="false" ht="15" hidden="false" customHeight="false" outlineLevel="0" collapsed="false">
      <c r="A231" s="9" t="s">
        <v>4557</v>
      </c>
      <c r="B231" s="9" t="s">
        <v>4558</v>
      </c>
      <c r="C231" s="10" t="s">
        <v>4196</v>
      </c>
      <c r="D231" s="9" t="s">
        <v>71</v>
      </c>
      <c r="E231" s="10" t="s">
        <v>4556</v>
      </c>
    </row>
    <row r="232" customFormat="false" ht="15" hidden="false" customHeight="false" outlineLevel="0" collapsed="false">
      <c r="A232" s="9" t="s">
        <v>4559</v>
      </c>
      <c r="B232" s="9" t="s">
        <v>4560</v>
      </c>
      <c r="C232" s="10" t="s">
        <v>4196</v>
      </c>
      <c r="D232" s="9" t="s">
        <v>71</v>
      </c>
      <c r="E232" s="10" t="s">
        <v>4556</v>
      </c>
    </row>
    <row r="233" customFormat="false" ht="15" hidden="false" customHeight="false" outlineLevel="0" collapsed="false">
      <c r="A233" s="9" t="s">
        <v>4561</v>
      </c>
      <c r="B233" s="9" t="s">
        <v>4562</v>
      </c>
      <c r="C233" s="10" t="s">
        <v>4196</v>
      </c>
      <c r="D233" s="9" t="s">
        <v>71</v>
      </c>
      <c r="E233" s="10" t="s">
        <v>4556</v>
      </c>
    </row>
    <row r="234" customFormat="false" ht="15" hidden="false" customHeight="false" outlineLevel="0" collapsed="false">
      <c r="A234" s="9" t="s">
        <v>4563</v>
      </c>
      <c r="B234" s="9" t="s">
        <v>4564</v>
      </c>
      <c r="C234" s="10" t="s">
        <v>4196</v>
      </c>
      <c r="D234" s="9" t="s">
        <v>71</v>
      </c>
      <c r="E234" s="10" t="s">
        <v>4556</v>
      </c>
    </row>
    <row r="235" customFormat="false" ht="15" hidden="false" customHeight="false" outlineLevel="0" collapsed="false">
      <c r="A235" s="9" t="s">
        <v>4565</v>
      </c>
      <c r="B235" s="9" t="s">
        <v>4566</v>
      </c>
      <c r="C235" s="10" t="s">
        <v>4196</v>
      </c>
      <c r="D235" s="9" t="s">
        <v>71</v>
      </c>
      <c r="E235" s="10" t="s">
        <v>4567</v>
      </c>
    </row>
    <row r="236" customFormat="false" ht="15" hidden="false" customHeight="false" outlineLevel="0" collapsed="false">
      <c r="A236" s="9" t="s">
        <v>4568</v>
      </c>
      <c r="B236" s="9" t="s">
        <v>4566</v>
      </c>
      <c r="C236" s="10" t="s">
        <v>4196</v>
      </c>
      <c r="D236" s="9" t="s">
        <v>71</v>
      </c>
      <c r="E236" s="10" t="s">
        <v>4567</v>
      </c>
    </row>
    <row r="237" customFormat="false" ht="15" hidden="false" customHeight="false" outlineLevel="0" collapsed="false">
      <c r="A237" s="9" t="s">
        <v>4569</v>
      </c>
      <c r="B237" s="9" t="s">
        <v>4566</v>
      </c>
      <c r="C237" s="10" t="s">
        <v>4196</v>
      </c>
      <c r="D237" s="9" t="s">
        <v>71</v>
      </c>
      <c r="E237" s="10" t="s">
        <v>4567</v>
      </c>
    </row>
    <row r="238" customFormat="false" ht="15" hidden="false" customHeight="false" outlineLevel="0" collapsed="false">
      <c r="A238" s="9" t="s">
        <v>4570</v>
      </c>
      <c r="B238" s="9" t="s">
        <v>4566</v>
      </c>
      <c r="C238" s="10" t="s">
        <v>4196</v>
      </c>
      <c r="D238" s="9" t="s">
        <v>71</v>
      </c>
      <c r="E238" s="10" t="s">
        <v>4567</v>
      </c>
    </row>
    <row r="239" customFormat="false" ht="15" hidden="false" customHeight="false" outlineLevel="0" collapsed="false">
      <c r="A239" s="9" t="s">
        <v>4571</v>
      </c>
      <c r="B239" s="9" t="s">
        <v>4572</v>
      </c>
      <c r="C239" s="10" t="s">
        <v>4196</v>
      </c>
      <c r="D239" s="9" t="s">
        <v>71</v>
      </c>
      <c r="E239" s="10" t="s">
        <v>4567</v>
      </c>
    </row>
    <row r="240" customFormat="false" ht="15" hidden="false" customHeight="false" outlineLevel="0" collapsed="false">
      <c r="A240" s="9" t="s">
        <v>4573</v>
      </c>
      <c r="B240" s="9" t="s">
        <v>4574</v>
      </c>
      <c r="C240" s="9" t="s">
        <v>6</v>
      </c>
      <c r="D240" s="9" t="s">
        <v>238</v>
      </c>
      <c r="E240" s="9"/>
    </row>
    <row r="241" customFormat="false" ht="15" hidden="false" customHeight="false" outlineLevel="0" collapsed="false">
      <c r="A241" s="9" t="s">
        <v>4575</v>
      </c>
      <c r="B241" s="9" t="s">
        <v>4576</v>
      </c>
      <c r="C241" s="9" t="s">
        <v>6</v>
      </c>
      <c r="D241" s="9" t="s">
        <v>245</v>
      </c>
      <c r="E241" s="9"/>
    </row>
    <row r="242" customFormat="false" ht="15" hidden="false" customHeight="false" outlineLevel="0" collapsed="false">
      <c r="A242" s="9" t="s">
        <v>4577</v>
      </c>
      <c r="B242" s="9" t="s">
        <v>4578</v>
      </c>
      <c r="C242" s="9" t="s">
        <v>6</v>
      </c>
      <c r="D242" s="9" t="s">
        <v>247</v>
      </c>
      <c r="E242" s="9"/>
    </row>
    <row r="243" customFormat="false" ht="15" hidden="false" customHeight="false" outlineLevel="0" collapsed="false">
      <c r="A243" s="9" t="s">
        <v>4579</v>
      </c>
      <c r="B243" s="9" t="s">
        <v>4580</v>
      </c>
      <c r="C243" s="9" t="s">
        <v>6</v>
      </c>
      <c r="D243" s="9" t="s">
        <v>250</v>
      </c>
      <c r="E243" s="9"/>
    </row>
    <row r="244" customFormat="false" ht="15" hidden="false" customHeight="false" outlineLevel="0" collapsed="false">
      <c r="A244" s="9" t="s">
        <v>4581</v>
      </c>
      <c r="B244" s="9" t="s">
        <v>4576</v>
      </c>
      <c r="C244" s="9" t="s">
        <v>6</v>
      </c>
      <c r="D244" s="9" t="s">
        <v>252</v>
      </c>
      <c r="E244" s="9"/>
    </row>
    <row r="245" customFormat="false" ht="15" hidden="false" customHeight="false" outlineLevel="0" collapsed="false">
      <c r="A245" s="9" t="s">
        <v>4582</v>
      </c>
      <c r="B245" s="9" t="s">
        <v>4583</v>
      </c>
      <c r="C245" s="9" t="s">
        <v>6</v>
      </c>
      <c r="D245" s="9" t="s">
        <v>252</v>
      </c>
      <c r="E245" s="9"/>
    </row>
    <row r="246" customFormat="false" ht="15" hidden="false" customHeight="false" outlineLevel="0" collapsed="false">
      <c r="A246" s="9" t="s">
        <v>4584</v>
      </c>
      <c r="B246" s="9" t="s">
        <v>4293</v>
      </c>
      <c r="C246" s="9" t="s">
        <v>6</v>
      </c>
      <c r="D246" s="9" t="s">
        <v>238</v>
      </c>
      <c r="E246" s="10" t="s">
        <v>4225</v>
      </c>
    </row>
    <row r="247" customFormat="false" ht="15" hidden="false" customHeight="false" outlineLevel="0" collapsed="false">
      <c r="A247" s="9" t="s">
        <v>4585</v>
      </c>
      <c r="B247" s="9" t="s">
        <v>4586</v>
      </c>
      <c r="C247" s="9" t="s">
        <v>6</v>
      </c>
      <c r="D247" s="9" t="s">
        <v>238</v>
      </c>
      <c r="E247" s="10" t="s">
        <v>4225</v>
      </c>
    </row>
    <row r="248" customFormat="false" ht="15" hidden="false" customHeight="false" outlineLevel="0" collapsed="false">
      <c r="A248" s="9" t="s">
        <v>4587</v>
      </c>
      <c r="B248" s="9" t="s">
        <v>4588</v>
      </c>
      <c r="C248" s="9" t="s">
        <v>14</v>
      </c>
      <c r="D248" s="9" t="s">
        <v>4589</v>
      </c>
      <c r="E248" s="10" t="s">
        <v>4590</v>
      </c>
    </row>
    <row r="249" customFormat="false" ht="15" hidden="false" customHeight="false" outlineLevel="0" collapsed="false">
      <c r="A249" s="9" t="s">
        <v>4591</v>
      </c>
      <c r="B249" s="9" t="s">
        <v>4592</v>
      </c>
      <c r="C249" s="9" t="s">
        <v>14</v>
      </c>
      <c r="D249" s="9" t="s">
        <v>1266</v>
      </c>
      <c r="E249" s="9"/>
    </row>
    <row r="250" customFormat="false" ht="15" hidden="false" customHeight="false" outlineLevel="0" collapsed="false">
      <c r="A250" s="9" t="s">
        <v>4593</v>
      </c>
      <c r="B250" s="9" t="s">
        <v>4594</v>
      </c>
      <c r="C250" s="10" t="s">
        <v>4266</v>
      </c>
      <c r="D250" s="9" t="s">
        <v>4595</v>
      </c>
      <c r="E250" s="9" t="s">
        <v>4596</v>
      </c>
    </row>
    <row r="251" customFormat="false" ht="15" hidden="false" customHeight="false" outlineLevel="0" collapsed="false">
      <c r="A251" s="9" t="s">
        <v>4597</v>
      </c>
      <c r="B251" s="9" t="s">
        <v>4598</v>
      </c>
      <c r="C251" s="9" t="s">
        <v>14</v>
      </c>
      <c r="D251" s="9" t="s">
        <v>1270</v>
      </c>
      <c r="E251" s="9"/>
    </row>
    <row r="252" customFormat="false" ht="15" hidden="false" customHeight="false" outlineLevel="0" collapsed="false">
      <c r="A252" s="9" t="s">
        <v>4599</v>
      </c>
      <c r="B252" s="9" t="s">
        <v>4600</v>
      </c>
      <c r="C252" s="9" t="s">
        <v>14</v>
      </c>
      <c r="D252" s="9" t="s">
        <v>1272</v>
      </c>
      <c r="E252" s="9"/>
    </row>
    <row r="253" customFormat="false" ht="15" hidden="false" customHeight="false" outlineLevel="0" collapsed="false">
      <c r="A253" s="9" t="s">
        <v>4601</v>
      </c>
      <c r="B253" s="9" t="s">
        <v>4602</v>
      </c>
      <c r="C253" s="9" t="s">
        <v>14</v>
      </c>
      <c r="D253" s="9" t="s">
        <v>1273</v>
      </c>
      <c r="E253" s="9"/>
    </row>
    <row r="254" customFormat="false" ht="15" hidden="false" customHeight="false" outlineLevel="0" collapsed="false">
      <c r="A254" s="9" t="s">
        <v>4603</v>
      </c>
      <c r="B254" s="9" t="s">
        <v>4604</v>
      </c>
      <c r="C254" s="9" t="s">
        <v>14</v>
      </c>
      <c r="D254" s="9" t="s">
        <v>1274</v>
      </c>
      <c r="E254" s="9"/>
    </row>
    <row r="255" customFormat="false" ht="15" hidden="false" customHeight="false" outlineLevel="0" collapsed="false">
      <c r="A255" s="9" t="s">
        <v>4605</v>
      </c>
      <c r="B255" s="9" t="s">
        <v>4483</v>
      </c>
      <c r="C255" s="9" t="s">
        <v>14</v>
      </c>
      <c r="D255" s="9" t="s">
        <v>1278</v>
      </c>
      <c r="E255" s="10" t="s">
        <v>4225</v>
      </c>
    </row>
    <row r="256" customFormat="false" ht="15" hidden="false" customHeight="false" outlineLevel="0" collapsed="false">
      <c r="A256" s="9" t="s">
        <v>4606</v>
      </c>
      <c r="B256" s="9" t="s">
        <v>4607</v>
      </c>
      <c r="C256" s="9" t="s">
        <v>14</v>
      </c>
      <c r="D256" s="9" t="s">
        <v>1278</v>
      </c>
      <c r="E256" s="10" t="s">
        <v>4225</v>
      </c>
    </row>
    <row r="257" customFormat="false" ht="15" hidden="false" customHeight="false" outlineLevel="0" collapsed="false">
      <c r="A257" s="9" t="s">
        <v>4608</v>
      </c>
      <c r="B257" s="9" t="s">
        <v>4388</v>
      </c>
      <c r="C257" s="9" t="s">
        <v>14</v>
      </c>
      <c r="D257" s="9" t="s">
        <v>1275</v>
      </c>
      <c r="E257" s="9"/>
    </row>
    <row r="258" customFormat="false" ht="15" hidden="false" customHeight="false" outlineLevel="0" collapsed="false">
      <c r="A258" s="9" t="s">
        <v>4609</v>
      </c>
      <c r="B258" s="9" t="s">
        <v>4610</v>
      </c>
      <c r="C258" s="9" t="s">
        <v>14</v>
      </c>
      <c r="D258" s="9" t="s">
        <v>1278</v>
      </c>
      <c r="E258" s="9"/>
    </row>
    <row r="259" customFormat="false" ht="15" hidden="false" customHeight="false" outlineLevel="0" collapsed="false">
      <c r="A259" s="9" t="s">
        <v>4611</v>
      </c>
      <c r="B259" s="9" t="s">
        <v>4612</v>
      </c>
      <c r="C259" s="9" t="s">
        <v>14</v>
      </c>
      <c r="D259" s="9" t="s">
        <v>1278</v>
      </c>
      <c r="E259" s="10" t="s">
        <v>4225</v>
      </c>
    </row>
    <row r="260" customFormat="false" ht="15" hidden="false" customHeight="false" outlineLevel="0" collapsed="false">
      <c r="A260" s="9" t="s">
        <v>4613</v>
      </c>
      <c r="B260" s="9" t="s">
        <v>73</v>
      </c>
      <c r="C260" s="9" t="s">
        <v>14</v>
      </c>
      <c r="D260" s="9" t="s">
        <v>1280</v>
      </c>
      <c r="E260" s="9"/>
    </row>
    <row r="261" customFormat="false" ht="15" hidden="false" customHeight="false" outlineLevel="0" collapsed="false">
      <c r="A261" s="9" t="s">
        <v>4614</v>
      </c>
      <c r="B261" s="9" t="s">
        <v>4498</v>
      </c>
      <c r="C261" s="9" t="s">
        <v>14</v>
      </c>
      <c r="D261" s="9" t="s">
        <v>1283</v>
      </c>
      <c r="E261" s="9"/>
    </row>
    <row r="262" customFormat="false" ht="15" hidden="false" customHeight="false" outlineLevel="0" collapsed="false">
      <c r="A262" s="9" t="s">
        <v>4615</v>
      </c>
      <c r="B262" s="9" t="s">
        <v>4616</v>
      </c>
      <c r="C262" s="9" t="s">
        <v>14</v>
      </c>
      <c r="D262" s="9" t="s">
        <v>1284</v>
      </c>
      <c r="E262" s="9"/>
    </row>
    <row r="263" customFormat="false" ht="15" hidden="false" customHeight="false" outlineLevel="0" collapsed="false">
      <c r="A263" s="9" t="s">
        <v>4617</v>
      </c>
      <c r="B263" s="9" t="s">
        <v>4618</v>
      </c>
      <c r="C263" s="9" t="s">
        <v>14</v>
      </c>
      <c r="D263" s="9" t="s">
        <v>1285</v>
      </c>
      <c r="E263" s="9"/>
    </row>
    <row r="264" customFormat="false" ht="15" hidden="false" customHeight="false" outlineLevel="0" collapsed="false">
      <c r="A264" s="9" t="s">
        <v>4619</v>
      </c>
      <c r="B264" s="9" t="s">
        <v>4620</v>
      </c>
      <c r="C264" s="9" t="s">
        <v>14</v>
      </c>
      <c r="D264" s="9" t="s">
        <v>1286</v>
      </c>
      <c r="E264" s="9"/>
    </row>
    <row r="265" customFormat="false" ht="15" hidden="false" customHeight="false" outlineLevel="0" collapsed="false">
      <c r="A265" s="9" t="s">
        <v>4621</v>
      </c>
      <c r="B265" s="9" t="s">
        <v>4622</v>
      </c>
      <c r="C265" s="9" t="s">
        <v>14</v>
      </c>
      <c r="D265" s="9" t="s">
        <v>1287</v>
      </c>
      <c r="E265" s="9"/>
    </row>
    <row r="266" customFormat="false" ht="15" hidden="false" customHeight="false" outlineLevel="0" collapsed="false">
      <c r="A266" s="9" t="s">
        <v>4623</v>
      </c>
      <c r="B266" s="9" t="s">
        <v>4298</v>
      </c>
      <c r="C266" s="9" t="s">
        <v>14</v>
      </c>
      <c r="D266" s="9" t="s">
        <v>1290</v>
      </c>
      <c r="E266" s="10" t="s">
        <v>4225</v>
      </c>
    </row>
    <row r="267" customFormat="false" ht="15" hidden="false" customHeight="false" outlineLevel="0" collapsed="false">
      <c r="A267" s="9" t="s">
        <v>4624</v>
      </c>
      <c r="B267" s="9" t="s">
        <v>4253</v>
      </c>
      <c r="C267" s="9" t="s">
        <v>14</v>
      </c>
      <c r="D267" s="9" t="s">
        <v>1288</v>
      </c>
      <c r="E267" s="9"/>
    </row>
    <row r="268" customFormat="false" ht="15" hidden="false" customHeight="false" outlineLevel="0" collapsed="false">
      <c r="A268" s="9" t="s">
        <v>4625</v>
      </c>
      <c r="B268" s="9" t="s">
        <v>4363</v>
      </c>
      <c r="C268" s="9" t="s">
        <v>14</v>
      </c>
      <c r="D268" s="9" t="s">
        <v>1290</v>
      </c>
      <c r="E268" s="9"/>
    </row>
    <row r="269" customFormat="false" ht="15" hidden="false" customHeight="false" outlineLevel="0" collapsed="false">
      <c r="A269" s="9" t="s">
        <v>4626</v>
      </c>
      <c r="B269" s="9" t="s">
        <v>4627</v>
      </c>
      <c r="C269" s="9" t="s">
        <v>14</v>
      </c>
      <c r="D269" s="9" t="s">
        <v>1290</v>
      </c>
      <c r="E269" s="10" t="s">
        <v>4225</v>
      </c>
    </row>
    <row r="270" customFormat="false" ht="15" hidden="false" customHeight="false" outlineLevel="0" collapsed="false">
      <c r="A270" s="9" t="s">
        <v>4628</v>
      </c>
      <c r="B270" s="9" t="s">
        <v>4612</v>
      </c>
      <c r="C270" s="9" t="s">
        <v>14</v>
      </c>
      <c r="D270" s="9" t="s">
        <v>1290</v>
      </c>
      <c r="E270" s="10" t="s">
        <v>4225</v>
      </c>
    </row>
    <row r="271" customFormat="false" ht="15" hidden="false" customHeight="false" outlineLevel="0" collapsed="false">
      <c r="A271" s="9" t="s">
        <v>4629</v>
      </c>
      <c r="B271" s="9" t="s">
        <v>4502</v>
      </c>
      <c r="C271" s="10" t="s">
        <v>4266</v>
      </c>
      <c r="D271" s="9" t="s">
        <v>4630</v>
      </c>
      <c r="E271" s="9" t="s">
        <v>4631</v>
      </c>
    </row>
    <row r="272" customFormat="false" ht="15" hidden="false" customHeight="false" outlineLevel="0" collapsed="false">
      <c r="A272" s="9" t="s">
        <v>4632</v>
      </c>
      <c r="B272" s="9" t="s">
        <v>4633</v>
      </c>
      <c r="C272" s="9" t="s">
        <v>14</v>
      </c>
      <c r="D272" s="9" t="s">
        <v>1292</v>
      </c>
      <c r="E272" s="9"/>
    </row>
    <row r="273" customFormat="false" ht="15" hidden="false" customHeight="false" outlineLevel="0" collapsed="false">
      <c r="A273" s="9" t="s">
        <v>4634</v>
      </c>
      <c r="B273" s="9" t="s">
        <v>4635</v>
      </c>
      <c r="C273" s="9" t="s">
        <v>14</v>
      </c>
      <c r="D273" s="9" t="s">
        <v>1295</v>
      </c>
      <c r="E273" s="9"/>
    </row>
    <row r="274" customFormat="false" ht="15" hidden="false" customHeight="false" outlineLevel="0" collapsed="false">
      <c r="A274" s="9" t="s">
        <v>4636</v>
      </c>
      <c r="B274" s="9" t="s">
        <v>4637</v>
      </c>
      <c r="C274" s="9" t="s">
        <v>14</v>
      </c>
      <c r="D274" s="9" t="s">
        <v>1296</v>
      </c>
      <c r="E274" s="9"/>
    </row>
    <row r="275" customFormat="false" ht="15" hidden="false" customHeight="false" outlineLevel="0" collapsed="false">
      <c r="A275" s="9" t="s">
        <v>4638</v>
      </c>
      <c r="B275" s="9" t="s">
        <v>4639</v>
      </c>
      <c r="C275" s="9" t="s">
        <v>14</v>
      </c>
      <c r="D275" s="9" t="s">
        <v>1297</v>
      </c>
      <c r="E275" s="9"/>
    </row>
    <row r="276" customFormat="false" ht="15" hidden="false" customHeight="false" outlineLevel="0" collapsed="false">
      <c r="A276" s="9" t="s">
        <v>4640</v>
      </c>
      <c r="B276" s="9" t="s">
        <v>4641</v>
      </c>
      <c r="C276" s="9" t="s">
        <v>14</v>
      </c>
      <c r="D276" s="9" t="s">
        <v>1298</v>
      </c>
      <c r="E276" s="9"/>
    </row>
    <row r="277" customFormat="false" ht="15" hidden="false" customHeight="false" outlineLevel="0" collapsed="false">
      <c r="A277" s="9" t="s">
        <v>4642</v>
      </c>
      <c r="B277" s="9" t="s">
        <v>4643</v>
      </c>
      <c r="C277" s="9" t="s">
        <v>14</v>
      </c>
      <c r="D277" s="9" t="s">
        <v>1299</v>
      </c>
      <c r="E277" s="9"/>
    </row>
    <row r="278" customFormat="false" ht="15" hidden="false" customHeight="false" outlineLevel="0" collapsed="false">
      <c r="A278" s="9" t="s">
        <v>4644</v>
      </c>
      <c r="B278" s="9" t="s">
        <v>4645</v>
      </c>
      <c r="C278" s="9" t="s">
        <v>14</v>
      </c>
      <c r="D278" s="9" t="s">
        <v>1301</v>
      </c>
      <c r="E278" s="9"/>
    </row>
    <row r="279" customFormat="false" ht="15" hidden="false" customHeight="false" outlineLevel="0" collapsed="false">
      <c r="A279" s="9" t="s">
        <v>4646</v>
      </c>
      <c r="B279" s="9" t="s">
        <v>4224</v>
      </c>
      <c r="C279" s="9" t="s">
        <v>14</v>
      </c>
      <c r="D279" s="9" t="s">
        <v>1301</v>
      </c>
      <c r="E279" s="10" t="s">
        <v>4225</v>
      </c>
    </row>
    <row r="280" customFormat="false" ht="15" hidden="false" customHeight="false" outlineLevel="0" collapsed="false">
      <c r="A280" s="9" t="s">
        <v>4647</v>
      </c>
      <c r="B280" s="9" t="s">
        <v>4648</v>
      </c>
      <c r="C280" s="9" t="s">
        <v>14</v>
      </c>
      <c r="D280" s="9" t="s">
        <v>1301</v>
      </c>
      <c r="E280" s="10" t="s">
        <v>4225</v>
      </c>
    </row>
    <row r="281" customFormat="false" ht="15" hidden="false" customHeight="false" outlineLevel="0" collapsed="false">
      <c r="A281" s="9" t="s">
        <v>4649</v>
      </c>
      <c r="B281" s="9" t="s">
        <v>4612</v>
      </c>
      <c r="C281" s="9" t="s">
        <v>14</v>
      </c>
      <c r="D281" s="9" t="s">
        <v>1301</v>
      </c>
      <c r="E281" s="10" t="s">
        <v>4225</v>
      </c>
    </row>
    <row r="282" customFormat="false" ht="15" hidden="false" customHeight="false" outlineLevel="0" collapsed="false">
      <c r="A282" s="9" t="s">
        <v>4650</v>
      </c>
      <c r="B282" s="9" t="s">
        <v>4338</v>
      </c>
      <c r="C282" s="10" t="s">
        <v>4266</v>
      </c>
      <c r="D282" s="9" t="s">
        <v>4651</v>
      </c>
      <c r="E282" s="9" t="s">
        <v>4652</v>
      </c>
    </row>
    <row r="283" customFormat="false" ht="15" hidden="false" customHeight="false" outlineLevel="0" collapsed="false">
      <c r="A283" s="9" t="s">
        <v>4653</v>
      </c>
      <c r="B283" s="9" t="s">
        <v>4326</v>
      </c>
      <c r="C283" s="10" t="s">
        <v>4266</v>
      </c>
      <c r="D283" s="9" t="s">
        <v>4654</v>
      </c>
      <c r="E283" s="9" t="s">
        <v>4655</v>
      </c>
    </row>
    <row r="284" customFormat="false" ht="15" hidden="false" customHeight="false" outlineLevel="0" collapsed="false">
      <c r="A284" s="9" t="s">
        <v>4656</v>
      </c>
      <c r="B284" s="9" t="s">
        <v>4363</v>
      </c>
      <c r="C284" s="10" t="s">
        <v>4266</v>
      </c>
      <c r="D284" s="9" t="s">
        <v>4657</v>
      </c>
      <c r="E284" s="9" t="s">
        <v>4658</v>
      </c>
    </row>
    <row r="285" customFormat="false" ht="15" hidden="false" customHeight="false" outlineLevel="0" collapsed="false">
      <c r="A285" s="9" t="s">
        <v>4659</v>
      </c>
      <c r="B285" s="9" t="s">
        <v>4330</v>
      </c>
      <c r="C285" s="10" t="s">
        <v>4266</v>
      </c>
      <c r="D285" s="9" t="s">
        <v>4660</v>
      </c>
      <c r="E285" s="9" t="s">
        <v>4661</v>
      </c>
    </row>
    <row r="286" customFormat="false" ht="15" hidden="false" customHeight="false" outlineLevel="0" collapsed="false">
      <c r="A286" s="9" t="s">
        <v>4662</v>
      </c>
      <c r="B286" s="9" t="s">
        <v>4357</v>
      </c>
      <c r="C286" s="10" t="s">
        <v>4266</v>
      </c>
      <c r="D286" s="9" t="s">
        <v>4663</v>
      </c>
      <c r="E286" s="9" t="s">
        <v>4664</v>
      </c>
    </row>
    <row r="287" customFormat="false" ht="15" hidden="false" customHeight="false" outlineLevel="0" collapsed="false">
      <c r="A287" s="9" t="s">
        <v>4665</v>
      </c>
      <c r="B287" s="9" t="s">
        <v>4666</v>
      </c>
      <c r="C287" s="10" t="s">
        <v>4266</v>
      </c>
      <c r="D287" s="9" t="s">
        <v>4667</v>
      </c>
      <c r="E287" s="9" t="s">
        <v>4668</v>
      </c>
    </row>
    <row r="288" customFormat="false" ht="15" hidden="false" customHeight="false" outlineLevel="0" collapsed="false">
      <c r="A288" s="9" t="s">
        <v>4669</v>
      </c>
      <c r="B288" s="9" t="s">
        <v>4253</v>
      </c>
      <c r="C288" s="10" t="s">
        <v>4196</v>
      </c>
      <c r="D288" s="9" t="s">
        <v>71</v>
      </c>
      <c r="E288" s="9" t="s">
        <v>4670</v>
      </c>
    </row>
    <row r="289" customFormat="false" ht="15" hidden="false" customHeight="false" outlineLevel="0" collapsed="false">
      <c r="A289" s="9" t="s">
        <v>4671</v>
      </c>
      <c r="B289" s="9" t="s">
        <v>4610</v>
      </c>
      <c r="C289" s="10" t="s">
        <v>4196</v>
      </c>
      <c r="D289" s="9" t="s">
        <v>71</v>
      </c>
      <c r="E289" s="9" t="s">
        <v>4672</v>
      </c>
    </row>
    <row r="290" customFormat="false" ht="15" hidden="false" customHeight="false" outlineLevel="0" collapsed="false">
      <c r="A290" s="9" t="s">
        <v>4673</v>
      </c>
      <c r="B290" s="9" t="s">
        <v>4224</v>
      </c>
      <c r="C290" s="10" t="s">
        <v>4266</v>
      </c>
      <c r="D290" s="9" t="s">
        <v>4651</v>
      </c>
      <c r="E290" s="10" t="s">
        <v>4225</v>
      </c>
    </row>
    <row r="291" customFormat="false" ht="15" hidden="false" customHeight="false" outlineLevel="0" collapsed="false">
      <c r="A291" s="9" t="s">
        <v>4674</v>
      </c>
      <c r="B291" s="9" t="s">
        <v>4675</v>
      </c>
      <c r="C291" s="10" t="s">
        <v>4266</v>
      </c>
      <c r="D291" s="9" t="s">
        <v>4651</v>
      </c>
      <c r="E291" s="10" t="s">
        <v>4225</v>
      </c>
    </row>
    <row r="292" customFormat="false" ht="15" hidden="false" customHeight="false" outlineLevel="0" collapsed="false">
      <c r="A292" s="9" t="s">
        <v>4676</v>
      </c>
      <c r="B292" s="9" t="s">
        <v>4612</v>
      </c>
      <c r="C292" s="10" t="s">
        <v>4266</v>
      </c>
      <c r="D292" s="9" t="s">
        <v>4651</v>
      </c>
      <c r="E292" s="10" t="s">
        <v>4225</v>
      </c>
    </row>
    <row r="293" customFormat="false" ht="15" hidden="false" customHeight="false" outlineLevel="0" collapsed="false">
      <c r="A293" s="9" t="s">
        <v>4677</v>
      </c>
      <c r="B293" s="9" t="s">
        <v>262</v>
      </c>
      <c r="C293" s="9" t="s">
        <v>14</v>
      </c>
      <c r="D293" s="9" t="s">
        <v>1303</v>
      </c>
      <c r="E293" s="9"/>
    </row>
    <row r="294" customFormat="false" ht="15" hidden="false" customHeight="false" outlineLevel="0" collapsed="false">
      <c r="A294" s="9" t="s">
        <v>4678</v>
      </c>
      <c r="B294" s="9" t="s">
        <v>4679</v>
      </c>
      <c r="C294" s="9" t="s">
        <v>14</v>
      </c>
      <c r="D294" s="9" t="s">
        <v>1306</v>
      </c>
      <c r="E294" s="9"/>
    </row>
    <row r="295" customFormat="false" ht="15" hidden="false" customHeight="false" outlineLevel="0" collapsed="false">
      <c r="A295" s="9" t="s">
        <v>4680</v>
      </c>
      <c r="B295" s="9" t="s">
        <v>4681</v>
      </c>
      <c r="C295" s="9" t="s">
        <v>14</v>
      </c>
      <c r="D295" s="9" t="s">
        <v>1307</v>
      </c>
      <c r="E295" s="9"/>
    </row>
    <row r="296" customFormat="false" ht="15" hidden="false" customHeight="false" outlineLevel="0" collapsed="false">
      <c r="A296" s="9" t="s">
        <v>4682</v>
      </c>
      <c r="B296" s="9" t="s">
        <v>4287</v>
      </c>
      <c r="C296" s="9" t="s">
        <v>14</v>
      </c>
      <c r="D296" s="9" t="s">
        <v>1308</v>
      </c>
      <c r="E296" s="9"/>
    </row>
    <row r="297" customFormat="false" ht="15" hidden="false" customHeight="false" outlineLevel="0" collapsed="false">
      <c r="A297" s="9" t="s">
        <v>4683</v>
      </c>
      <c r="B297" s="9" t="s">
        <v>4684</v>
      </c>
      <c r="C297" s="9" t="s">
        <v>14</v>
      </c>
      <c r="D297" s="9" t="s">
        <v>1309</v>
      </c>
      <c r="E297" s="9"/>
    </row>
    <row r="298" customFormat="false" ht="15" hidden="false" customHeight="false" outlineLevel="0" collapsed="false">
      <c r="A298" s="9" t="s">
        <v>4685</v>
      </c>
      <c r="B298" s="9" t="s">
        <v>4686</v>
      </c>
      <c r="C298" s="9" t="s">
        <v>14</v>
      </c>
      <c r="D298" s="9" t="s">
        <v>1310</v>
      </c>
      <c r="E298" s="9"/>
    </row>
    <row r="299" customFormat="false" ht="15" hidden="false" customHeight="false" outlineLevel="0" collapsed="false">
      <c r="A299" s="9" t="s">
        <v>4687</v>
      </c>
      <c r="B299" s="9" t="s">
        <v>4298</v>
      </c>
      <c r="C299" s="9" t="s">
        <v>14</v>
      </c>
      <c r="D299" s="9" t="s">
        <v>1313</v>
      </c>
      <c r="E299" s="10" t="s">
        <v>4225</v>
      </c>
    </row>
    <row r="300" customFormat="false" ht="15" hidden="false" customHeight="false" outlineLevel="0" collapsed="false">
      <c r="A300" s="9" t="s">
        <v>4688</v>
      </c>
      <c r="B300" s="9" t="s">
        <v>4689</v>
      </c>
      <c r="C300" s="9" t="s">
        <v>14</v>
      </c>
      <c r="D300" s="9" t="s">
        <v>1313</v>
      </c>
      <c r="E300" s="10" t="s">
        <v>4225</v>
      </c>
    </row>
    <row r="301" customFormat="false" ht="15" hidden="false" customHeight="false" outlineLevel="0" collapsed="false">
      <c r="A301" s="9" t="s">
        <v>4690</v>
      </c>
      <c r="B301" s="9" t="s">
        <v>4691</v>
      </c>
      <c r="C301" s="9" t="s">
        <v>14</v>
      </c>
      <c r="D301" s="9" t="s">
        <v>1311</v>
      </c>
      <c r="E301" s="9"/>
    </row>
    <row r="302" customFormat="false" ht="15" hidden="false" customHeight="false" outlineLevel="0" collapsed="false">
      <c r="A302" s="9" t="s">
        <v>4692</v>
      </c>
      <c r="B302" s="9" t="s">
        <v>4693</v>
      </c>
      <c r="C302" s="9" t="s">
        <v>14</v>
      </c>
      <c r="D302" s="9" t="s">
        <v>1313</v>
      </c>
      <c r="E302" s="9"/>
    </row>
    <row r="303" customFormat="false" ht="15" hidden="false" customHeight="false" outlineLevel="0" collapsed="false">
      <c r="A303" s="9" t="s">
        <v>4694</v>
      </c>
      <c r="B303" s="9" t="s">
        <v>4612</v>
      </c>
      <c r="C303" s="9" t="s">
        <v>14</v>
      </c>
      <c r="D303" s="9" t="s">
        <v>1313</v>
      </c>
      <c r="E303" s="10" t="s">
        <v>4225</v>
      </c>
    </row>
    <row r="304" customFormat="false" ht="15" hidden="false" customHeight="false" outlineLevel="0" collapsed="false">
      <c r="A304" s="9" t="s">
        <v>4695</v>
      </c>
      <c r="B304" s="9" t="s">
        <v>4696</v>
      </c>
      <c r="C304" s="9" t="s">
        <v>14</v>
      </c>
      <c r="D304" s="9" t="s">
        <v>4697</v>
      </c>
      <c r="E304" s="10" t="s">
        <v>4698</v>
      </c>
    </row>
    <row r="305" customFormat="false" ht="15" hidden="false" customHeight="false" outlineLevel="0" collapsed="false">
      <c r="A305" s="9" t="s">
        <v>4699</v>
      </c>
      <c r="B305" s="9" t="s">
        <v>4700</v>
      </c>
      <c r="C305" s="9" t="s">
        <v>14</v>
      </c>
      <c r="D305" s="9" t="s">
        <v>1315</v>
      </c>
      <c r="E305" s="9"/>
    </row>
    <row r="306" customFormat="false" ht="15" hidden="false" customHeight="false" outlineLevel="0" collapsed="false">
      <c r="A306" s="9" t="s">
        <v>4701</v>
      </c>
      <c r="B306" s="9" t="s">
        <v>4702</v>
      </c>
      <c r="C306" s="9" t="s">
        <v>14</v>
      </c>
      <c r="D306" s="9" t="s">
        <v>1315</v>
      </c>
      <c r="E306" s="9"/>
    </row>
    <row r="307" customFormat="false" ht="15" hidden="false" customHeight="false" outlineLevel="0" collapsed="false">
      <c r="A307" s="9" t="s">
        <v>4703</v>
      </c>
      <c r="B307" s="9" t="s">
        <v>4574</v>
      </c>
      <c r="C307" s="9" t="s">
        <v>14</v>
      </c>
      <c r="D307" s="9" t="s">
        <v>1315</v>
      </c>
      <c r="E307" s="9"/>
    </row>
    <row r="308" customFormat="false" ht="15" hidden="false" customHeight="false" outlineLevel="0" collapsed="false">
      <c r="A308" s="9" t="s">
        <v>4704</v>
      </c>
      <c r="B308" s="9" t="s">
        <v>4298</v>
      </c>
      <c r="C308" s="9" t="s">
        <v>14</v>
      </c>
      <c r="D308" s="9" t="s">
        <v>1315</v>
      </c>
      <c r="E308" s="10" t="s">
        <v>4225</v>
      </c>
    </row>
    <row r="309" customFormat="false" ht="15" hidden="false" customHeight="false" outlineLevel="0" collapsed="false">
      <c r="A309" s="9" t="s">
        <v>4705</v>
      </c>
      <c r="B309" s="9" t="s">
        <v>4706</v>
      </c>
      <c r="C309" s="9" t="s">
        <v>14</v>
      </c>
      <c r="D309" s="9" t="s">
        <v>1315</v>
      </c>
      <c r="E309" s="10" t="s">
        <v>4225</v>
      </c>
    </row>
    <row r="310" customFormat="false" ht="15" hidden="false" customHeight="false" outlineLevel="0" collapsed="false">
      <c r="A310" s="9" t="s">
        <v>4707</v>
      </c>
      <c r="B310" s="9" t="s">
        <v>4708</v>
      </c>
      <c r="C310" s="9" t="s">
        <v>14</v>
      </c>
      <c r="D310" s="9" t="s">
        <v>1319</v>
      </c>
      <c r="E310" s="9"/>
    </row>
    <row r="311" customFormat="false" ht="15" hidden="false" customHeight="false" outlineLevel="0" collapsed="false">
      <c r="A311" s="9" t="s">
        <v>4709</v>
      </c>
      <c r="B311" s="9" t="s">
        <v>4710</v>
      </c>
      <c r="C311" s="9" t="s">
        <v>14</v>
      </c>
      <c r="D311" s="9" t="s">
        <v>1322</v>
      </c>
      <c r="E311" s="9"/>
    </row>
    <row r="312" customFormat="false" ht="15" hidden="false" customHeight="false" outlineLevel="0" collapsed="false">
      <c r="A312" s="9" t="s">
        <v>4711</v>
      </c>
      <c r="B312" s="9" t="s">
        <v>4712</v>
      </c>
      <c r="C312" s="9" t="s">
        <v>14</v>
      </c>
      <c r="D312" s="9" t="s">
        <v>1319</v>
      </c>
      <c r="E312" s="9"/>
    </row>
    <row r="313" customFormat="false" ht="15" hidden="false" customHeight="false" outlineLevel="0" collapsed="false">
      <c r="A313" s="9" t="s">
        <v>4713</v>
      </c>
      <c r="B313" s="9" t="s">
        <v>4714</v>
      </c>
      <c r="C313" s="9" t="s">
        <v>14</v>
      </c>
      <c r="D313" s="9" t="s">
        <v>1322</v>
      </c>
      <c r="E313" s="9"/>
    </row>
    <row r="314" customFormat="false" ht="15" hidden="false" customHeight="false" outlineLevel="0" collapsed="false">
      <c r="A314" s="9" t="s">
        <v>4715</v>
      </c>
      <c r="B314" s="9" t="s">
        <v>4576</v>
      </c>
      <c r="C314" s="9" t="s">
        <v>14</v>
      </c>
      <c r="D314" s="9" t="s">
        <v>1319</v>
      </c>
      <c r="E314" s="9"/>
    </row>
    <row r="315" customFormat="false" ht="15" hidden="false" customHeight="false" outlineLevel="0" collapsed="false">
      <c r="A315" s="9" t="s">
        <v>4716</v>
      </c>
      <c r="B315" s="9" t="s">
        <v>4576</v>
      </c>
      <c r="C315" s="9" t="s">
        <v>14</v>
      </c>
      <c r="D315" s="9" t="s">
        <v>1322</v>
      </c>
      <c r="E315" s="9"/>
    </row>
    <row r="316" customFormat="false" ht="15" hidden="false" customHeight="false" outlineLevel="0" collapsed="false">
      <c r="A316" s="9" t="s">
        <v>4717</v>
      </c>
      <c r="B316" s="9" t="s">
        <v>4298</v>
      </c>
      <c r="C316" s="9" t="s">
        <v>14</v>
      </c>
      <c r="D316" s="9" t="s">
        <v>1322</v>
      </c>
      <c r="E316" s="10" t="s">
        <v>4225</v>
      </c>
    </row>
    <row r="317" customFormat="false" ht="15" hidden="false" customHeight="false" outlineLevel="0" collapsed="false">
      <c r="A317" s="9" t="s">
        <v>4718</v>
      </c>
      <c r="B317" s="9" t="s">
        <v>4706</v>
      </c>
      <c r="C317" s="9" t="s">
        <v>14</v>
      </c>
      <c r="D317" s="9" t="s">
        <v>1322</v>
      </c>
      <c r="E317" s="10" t="s">
        <v>4225</v>
      </c>
    </row>
    <row r="318" customFormat="false" ht="15" hidden="false" customHeight="false" outlineLevel="0" collapsed="false">
      <c r="A318" s="9" t="s">
        <v>4719</v>
      </c>
      <c r="B318" s="9" t="s">
        <v>4720</v>
      </c>
      <c r="C318" s="9" t="s">
        <v>14</v>
      </c>
      <c r="D318" s="9" t="s">
        <v>1322</v>
      </c>
      <c r="E318" s="10" t="s">
        <v>4225</v>
      </c>
    </row>
    <row r="319" customFormat="false" ht="15" hidden="false" customHeight="false" outlineLevel="0" collapsed="false">
      <c r="A319" s="9" t="s">
        <v>4721</v>
      </c>
      <c r="B319" s="9" t="s">
        <v>4580</v>
      </c>
      <c r="C319" s="9" t="s">
        <v>14</v>
      </c>
      <c r="D319" s="9" t="s">
        <v>1324</v>
      </c>
      <c r="E319" s="9"/>
    </row>
    <row r="320" customFormat="false" ht="15" hidden="false" customHeight="false" outlineLevel="0" collapsed="false">
      <c r="A320" s="9" t="s">
        <v>4722</v>
      </c>
      <c r="B320" s="9" t="s">
        <v>4723</v>
      </c>
      <c r="C320" s="9" t="s">
        <v>14</v>
      </c>
      <c r="D320" s="9" t="s">
        <v>1327</v>
      </c>
      <c r="E320" s="9"/>
    </row>
    <row r="321" customFormat="false" ht="15" hidden="false" customHeight="false" outlineLevel="0" collapsed="false">
      <c r="A321" s="9" t="s">
        <v>4724</v>
      </c>
      <c r="B321" s="9" t="s">
        <v>4580</v>
      </c>
      <c r="C321" s="9" t="s">
        <v>14</v>
      </c>
      <c r="D321" s="9" t="s">
        <v>1324</v>
      </c>
      <c r="E321" s="9"/>
    </row>
    <row r="322" customFormat="false" ht="15" hidden="false" customHeight="false" outlineLevel="0" collapsed="false">
      <c r="A322" s="9" t="s">
        <v>4725</v>
      </c>
      <c r="B322" s="9" t="s">
        <v>4726</v>
      </c>
      <c r="C322" s="9" t="s">
        <v>14</v>
      </c>
      <c r="D322" s="9" t="s">
        <v>1327</v>
      </c>
      <c r="E322" s="9"/>
    </row>
    <row r="323" customFormat="false" ht="15" hidden="false" customHeight="false" outlineLevel="0" collapsed="false">
      <c r="A323" s="9" t="s">
        <v>4727</v>
      </c>
      <c r="B323" s="9" t="s">
        <v>4580</v>
      </c>
      <c r="C323" s="9" t="s">
        <v>14</v>
      </c>
      <c r="D323" s="9" t="s">
        <v>1324</v>
      </c>
      <c r="E323" s="9"/>
    </row>
    <row r="324" customFormat="false" ht="15" hidden="false" customHeight="false" outlineLevel="0" collapsed="false">
      <c r="A324" s="9" t="s">
        <v>4728</v>
      </c>
      <c r="B324" s="9" t="s">
        <v>4729</v>
      </c>
      <c r="C324" s="9" t="s">
        <v>14</v>
      </c>
      <c r="D324" s="9" t="s">
        <v>1327</v>
      </c>
      <c r="E324" s="9"/>
    </row>
    <row r="325" customFormat="false" ht="15" hidden="false" customHeight="false" outlineLevel="0" collapsed="false">
      <c r="A325" s="9" t="s">
        <v>4730</v>
      </c>
      <c r="B325" s="9" t="s">
        <v>4298</v>
      </c>
      <c r="C325" s="9" t="s">
        <v>14</v>
      </c>
      <c r="D325" s="9" t="s">
        <v>1327</v>
      </c>
      <c r="E325" s="10" t="s">
        <v>4225</v>
      </c>
    </row>
    <row r="326" customFormat="false" ht="15" hidden="false" customHeight="false" outlineLevel="0" collapsed="false">
      <c r="A326" s="9" t="s">
        <v>4731</v>
      </c>
      <c r="B326" s="9" t="s">
        <v>4732</v>
      </c>
      <c r="C326" s="9" t="s">
        <v>14</v>
      </c>
      <c r="D326" s="9" t="s">
        <v>1327</v>
      </c>
      <c r="E326" s="10" t="s">
        <v>4225</v>
      </c>
    </row>
    <row r="327" customFormat="false" ht="15" hidden="false" customHeight="false" outlineLevel="0" collapsed="false">
      <c r="A327" s="9" t="s">
        <v>4733</v>
      </c>
      <c r="B327" s="9" t="s">
        <v>4706</v>
      </c>
      <c r="C327" s="9" t="s">
        <v>14</v>
      </c>
      <c r="D327" s="9" t="s">
        <v>1327</v>
      </c>
      <c r="E327" s="10" t="s">
        <v>4225</v>
      </c>
    </row>
    <row r="328" customFormat="false" ht="15" hidden="false" customHeight="false" outlineLevel="0" collapsed="false">
      <c r="A328" s="9" t="s">
        <v>4734</v>
      </c>
      <c r="B328" s="9" t="s">
        <v>4502</v>
      </c>
      <c r="C328" s="9" t="s">
        <v>14</v>
      </c>
      <c r="D328" s="9" t="s">
        <v>1328</v>
      </c>
      <c r="E328" s="9"/>
    </row>
    <row r="329" customFormat="false" ht="15" hidden="false" customHeight="false" outlineLevel="0" collapsed="false">
      <c r="A329" s="9" t="s">
        <v>4735</v>
      </c>
      <c r="B329" s="9" t="s">
        <v>4616</v>
      </c>
      <c r="C329" s="9" t="s">
        <v>14</v>
      </c>
      <c r="D329" s="9" t="s">
        <v>1328</v>
      </c>
      <c r="E329" s="9"/>
    </row>
    <row r="330" customFormat="false" ht="15" hidden="false" customHeight="false" outlineLevel="0" collapsed="false">
      <c r="A330" s="9" t="s">
        <v>4736</v>
      </c>
      <c r="B330" s="9" t="s">
        <v>4620</v>
      </c>
      <c r="C330" s="9" t="s">
        <v>14</v>
      </c>
      <c r="D330" s="9" t="s">
        <v>1328</v>
      </c>
      <c r="E330" s="9"/>
    </row>
    <row r="331" customFormat="false" ht="15" hidden="false" customHeight="false" outlineLevel="0" collapsed="false">
      <c r="A331" s="9" t="s">
        <v>4737</v>
      </c>
      <c r="B331" s="9" t="s">
        <v>4298</v>
      </c>
      <c r="C331" s="9" t="s">
        <v>14</v>
      </c>
      <c r="D331" s="9" t="s">
        <v>1328</v>
      </c>
      <c r="E331" s="10" t="s">
        <v>4225</v>
      </c>
    </row>
    <row r="332" customFormat="false" ht="15" hidden="false" customHeight="false" outlineLevel="0" collapsed="false">
      <c r="A332" s="9" t="s">
        <v>4738</v>
      </c>
      <c r="B332" s="9" t="s">
        <v>4739</v>
      </c>
      <c r="C332" s="9" t="s">
        <v>14</v>
      </c>
      <c r="D332" s="9" t="s">
        <v>1328</v>
      </c>
      <c r="E332" s="10" t="s">
        <v>4225</v>
      </c>
    </row>
    <row r="333" customFormat="false" ht="15" hidden="false" customHeight="false" outlineLevel="0" collapsed="false">
      <c r="A333" s="9" t="s">
        <v>4740</v>
      </c>
      <c r="B333" s="9" t="s">
        <v>4706</v>
      </c>
      <c r="C333" s="9" t="s">
        <v>14</v>
      </c>
      <c r="D333" s="9" t="s">
        <v>1328</v>
      </c>
      <c r="E333" s="10" t="s">
        <v>4225</v>
      </c>
    </row>
    <row r="334" customFormat="false" ht="15" hidden="false" customHeight="false" outlineLevel="0" collapsed="false">
      <c r="A334" s="9" t="s">
        <v>4741</v>
      </c>
      <c r="B334" s="9" t="s">
        <v>4742</v>
      </c>
      <c r="C334" s="9" t="s">
        <v>14</v>
      </c>
      <c r="D334" s="9" t="s">
        <v>4743</v>
      </c>
      <c r="E334" s="10" t="s">
        <v>4424</v>
      </c>
    </row>
    <row r="335" customFormat="false" ht="15" hidden="false" customHeight="false" outlineLevel="0" collapsed="false">
      <c r="A335" s="9" t="s">
        <v>4744</v>
      </c>
      <c r="B335" s="9" t="s">
        <v>4745</v>
      </c>
      <c r="C335" s="9" t="s">
        <v>14</v>
      </c>
      <c r="D335" s="9" t="s">
        <v>1331</v>
      </c>
      <c r="E335" s="9"/>
    </row>
    <row r="336" customFormat="false" ht="15" hidden="false" customHeight="false" outlineLevel="0" collapsed="false">
      <c r="A336" s="9" t="s">
        <v>4746</v>
      </c>
      <c r="B336" s="9" t="s">
        <v>4745</v>
      </c>
      <c r="C336" s="9" t="s">
        <v>14</v>
      </c>
      <c r="D336" s="9" t="s">
        <v>1336</v>
      </c>
      <c r="E336" s="9"/>
    </row>
    <row r="337" customFormat="false" ht="15" hidden="false" customHeight="false" outlineLevel="0" collapsed="false">
      <c r="A337" s="9" t="s">
        <v>4747</v>
      </c>
      <c r="B337" s="9" t="s">
        <v>4748</v>
      </c>
      <c r="C337" s="9" t="s">
        <v>14</v>
      </c>
      <c r="D337" s="9" t="s">
        <v>1337</v>
      </c>
      <c r="E337" s="9"/>
    </row>
    <row r="338" customFormat="false" ht="15" hidden="false" customHeight="false" outlineLevel="0" collapsed="false">
      <c r="A338" s="9" t="s">
        <v>4749</v>
      </c>
      <c r="B338" s="9" t="s">
        <v>4238</v>
      </c>
      <c r="C338" s="9" t="s">
        <v>14</v>
      </c>
      <c r="D338" s="9" t="s">
        <v>1340</v>
      </c>
      <c r="E338" s="9"/>
    </row>
    <row r="339" customFormat="false" ht="15" hidden="false" customHeight="false" outlineLevel="0" collapsed="false">
      <c r="A339" s="9" t="s">
        <v>4750</v>
      </c>
      <c r="B339" s="9" t="s">
        <v>4751</v>
      </c>
      <c r="C339" s="9" t="s">
        <v>14</v>
      </c>
      <c r="D339" s="9" t="s">
        <v>1341</v>
      </c>
      <c r="E339" s="9"/>
    </row>
    <row r="340" customFormat="false" ht="15" hidden="false" customHeight="false" outlineLevel="0" collapsed="false">
      <c r="A340" s="9" t="s">
        <v>4752</v>
      </c>
      <c r="B340" s="9" t="s">
        <v>4753</v>
      </c>
      <c r="C340" s="9" t="s">
        <v>14</v>
      </c>
      <c r="D340" s="9" t="s">
        <v>1344</v>
      </c>
      <c r="E340" s="9"/>
    </row>
    <row r="341" customFormat="false" ht="15" hidden="false" customHeight="false" outlineLevel="0" collapsed="false">
      <c r="A341" s="9" t="s">
        <v>4754</v>
      </c>
      <c r="B341" s="9" t="s">
        <v>4755</v>
      </c>
      <c r="C341" s="9" t="s">
        <v>14</v>
      </c>
      <c r="D341" s="9" t="s">
        <v>1345</v>
      </c>
      <c r="E341" s="9"/>
    </row>
    <row r="342" customFormat="false" ht="15" hidden="false" customHeight="false" outlineLevel="0" collapsed="false">
      <c r="A342" s="9" t="s">
        <v>4756</v>
      </c>
      <c r="B342" s="9" t="s">
        <v>4757</v>
      </c>
      <c r="C342" s="9" t="s">
        <v>14</v>
      </c>
      <c r="D342" s="9" t="s">
        <v>1348</v>
      </c>
      <c r="E342" s="9"/>
    </row>
    <row r="343" customFormat="false" ht="15" hidden="false" customHeight="false" outlineLevel="0" collapsed="false">
      <c r="A343" s="9" t="s">
        <v>4758</v>
      </c>
      <c r="B343" s="9" t="s">
        <v>4759</v>
      </c>
      <c r="C343" s="9" t="s">
        <v>14</v>
      </c>
      <c r="D343" s="9" t="s">
        <v>1349</v>
      </c>
      <c r="E343" s="9"/>
    </row>
    <row r="344" customFormat="false" ht="15" hidden="false" customHeight="false" outlineLevel="0" collapsed="false">
      <c r="A344" s="9" t="s">
        <v>4760</v>
      </c>
      <c r="B344" s="9" t="s">
        <v>4761</v>
      </c>
      <c r="C344" s="9" t="s">
        <v>14</v>
      </c>
      <c r="D344" s="9" t="s">
        <v>1352</v>
      </c>
      <c r="E344" s="9"/>
    </row>
    <row r="345" customFormat="false" ht="15" hidden="false" customHeight="false" outlineLevel="0" collapsed="false">
      <c r="A345" s="9" t="s">
        <v>4762</v>
      </c>
      <c r="B345" s="9" t="s">
        <v>4298</v>
      </c>
      <c r="C345" s="9" t="s">
        <v>14</v>
      </c>
      <c r="D345" s="9" t="s">
        <v>4763</v>
      </c>
      <c r="E345" s="10" t="s">
        <v>4225</v>
      </c>
    </row>
    <row r="346" customFormat="false" ht="15" hidden="false" customHeight="false" outlineLevel="0" collapsed="false">
      <c r="A346" s="9" t="s">
        <v>4764</v>
      </c>
      <c r="B346" s="9" t="s">
        <v>4765</v>
      </c>
      <c r="C346" s="9" t="s">
        <v>14</v>
      </c>
      <c r="D346" s="9" t="s">
        <v>4763</v>
      </c>
      <c r="E346" s="10" t="s">
        <v>4225</v>
      </c>
    </row>
    <row r="347" customFormat="false" ht="15" hidden="false" customHeight="false" outlineLevel="0" collapsed="false">
      <c r="A347" s="9" t="s">
        <v>4766</v>
      </c>
      <c r="B347" s="9" t="s">
        <v>4280</v>
      </c>
      <c r="C347" s="9" t="s">
        <v>14</v>
      </c>
      <c r="D347" s="9" t="s">
        <v>4763</v>
      </c>
      <c r="E347" s="10" t="s">
        <v>4225</v>
      </c>
    </row>
    <row r="348" customFormat="false" ht="15" hidden="false" customHeight="false" outlineLevel="0" collapsed="false">
      <c r="A348" s="9" t="s">
        <v>4767</v>
      </c>
      <c r="B348" s="9" t="s">
        <v>4768</v>
      </c>
      <c r="C348" s="9" t="s">
        <v>14</v>
      </c>
      <c r="D348" s="9" t="s">
        <v>4769</v>
      </c>
      <c r="E348" s="10" t="s">
        <v>4424</v>
      </c>
    </row>
    <row r="349" customFormat="false" ht="15" hidden="false" customHeight="false" outlineLevel="0" collapsed="false">
      <c r="A349" s="9" t="s">
        <v>4770</v>
      </c>
      <c r="B349" s="9" t="s">
        <v>4330</v>
      </c>
      <c r="C349" s="9" t="s">
        <v>14</v>
      </c>
      <c r="D349" s="9" t="s">
        <v>1353</v>
      </c>
      <c r="E349" s="9"/>
    </row>
    <row r="350" customFormat="false" ht="15" hidden="false" customHeight="false" outlineLevel="0" collapsed="false">
      <c r="A350" s="9" t="s">
        <v>4771</v>
      </c>
      <c r="B350" s="9" t="s">
        <v>4772</v>
      </c>
      <c r="C350" s="9" t="s">
        <v>14</v>
      </c>
      <c r="D350" s="9" t="s">
        <v>1356</v>
      </c>
      <c r="E350" s="9"/>
    </row>
    <row r="351" customFormat="false" ht="15" hidden="false" customHeight="false" outlineLevel="0" collapsed="false">
      <c r="A351" s="9" t="s">
        <v>4773</v>
      </c>
      <c r="B351" s="9" t="s">
        <v>4666</v>
      </c>
      <c r="C351" s="9" t="s">
        <v>14</v>
      </c>
      <c r="D351" s="9" t="s">
        <v>1357</v>
      </c>
      <c r="E351" s="9"/>
    </row>
    <row r="352" customFormat="false" ht="15" hidden="false" customHeight="false" outlineLevel="0" collapsed="false">
      <c r="A352" s="9" t="s">
        <v>4774</v>
      </c>
      <c r="B352" s="9" t="s">
        <v>4775</v>
      </c>
      <c r="C352" s="9" t="s">
        <v>14</v>
      </c>
      <c r="D352" s="9" t="s">
        <v>1360</v>
      </c>
      <c r="E352" s="9"/>
    </row>
    <row r="353" customFormat="false" ht="15" hidden="false" customHeight="false" outlineLevel="0" collapsed="false">
      <c r="A353" s="9" t="s">
        <v>4776</v>
      </c>
      <c r="B353" s="9" t="s">
        <v>4367</v>
      </c>
      <c r="C353" s="9" t="s">
        <v>14</v>
      </c>
      <c r="D353" s="9" t="s">
        <v>1361</v>
      </c>
      <c r="E353" s="9"/>
    </row>
    <row r="354" customFormat="false" ht="15" hidden="false" customHeight="false" outlineLevel="0" collapsed="false">
      <c r="A354" s="9" t="s">
        <v>4777</v>
      </c>
      <c r="B354" s="9" t="s">
        <v>4778</v>
      </c>
      <c r="C354" s="9" t="s">
        <v>14</v>
      </c>
      <c r="D354" s="9" t="s">
        <v>1364</v>
      </c>
      <c r="E354" s="9"/>
    </row>
    <row r="355" customFormat="false" ht="15" hidden="false" customHeight="false" outlineLevel="0" collapsed="false">
      <c r="A355" s="9" t="s">
        <v>4779</v>
      </c>
      <c r="B355" s="9" t="s">
        <v>4324</v>
      </c>
      <c r="C355" s="9" t="s">
        <v>14</v>
      </c>
      <c r="D355" s="9" t="s">
        <v>1365</v>
      </c>
      <c r="E355" s="9"/>
    </row>
    <row r="356" customFormat="false" ht="15" hidden="false" customHeight="false" outlineLevel="0" collapsed="false">
      <c r="A356" s="9" t="s">
        <v>4780</v>
      </c>
      <c r="B356" s="9" t="s">
        <v>4781</v>
      </c>
      <c r="C356" s="9" t="s">
        <v>14</v>
      </c>
      <c r="D356" s="9" t="s">
        <v>1368</v>
      </c>
      <c r="E356" s="9"/>
    </row>
    <row r="357" customFormat="false" ht="15" hidden="false" customHeight="false" outlineLevel="0" collapsed="false">
      <c r="A357" s="9" t="s">
        <v>4782</v>
      </c>
      <c r="B357" s="9" t="s">
        <v>4367</v>
      </c>
      <c r="C357" s="9" t="s">
        <v>14</v>
      </c>
      <c r="D357" s="9" t="s">
        <v>1369</v>
      </c>
      <c r="E357" s="9"/>
    </row>
    <row r="358" customFormat="false" ht="15" hidden="false" customHeight="false" outlineLevel="0" collapsed="false">
      <c r="A358" s="9" t="s">
        <v>4783</v>
      </c>
      <c r="B358" s="9" t="s">
        <v>4784</v>
      </c>
      <c r="C358" s="9" t="s">
        <v>14</v>
      </c>
      <c r="D358" s="9" t="s">
        <v>1372</v>
      </c>
      <c r="E358" s="9"/>
    </row>
    <row r="359" customFormat="false" ht="15" hidden="false" customHeight="false" outlineLevel="0" collapsed="false">
      <c r="A359" s="9" t="s">
        <v>4785</v>
      </c>
      <c r="B359" s="9" t="s">
        <v>4298</v>
      </c>
      <c r="C359" s="9" t="s">
        <v>14</v>
      </c>
      <c r="D359" s="9" t="s">
        <v>4786</v>
      </c>
      <c r="E359" s="10" t="s">
        <v>4225</v>
      </c>
    </row>
    <row r="360" customFormat="false" ht="15" hidden="false" customHeight="false" outlineLevel="0" collapsed="false">
      <c r="A360" s="9" t="s">
        <v>4787</v>
      </c>
      <c r="B360" s="9" t="s">
        <v>4788</v>
      </c>
      <c r="C360" s="9" t="s">
        <v>14</v>
      </c>
      <c r="D360" s="9" t="s">
        <v>4786</v>
      </c>
      <c r="E360" s="10" t="s">
        <v>4225</v>
      </c>
    </row>
    <row r="361" customFormat="false" ht="15" hidden="false" customHeight="false" outlineLevel="0" collapsed="false">
      <c r="A361" s="9" t="s">
        <v>4789</v>
      </c>
      <c r="B361" s="9" t="s">
        <v>4280</v>
      </c>
      <c r="C361" s="9" t="s">
        <v>14</v>
      </c>
      <c r="D361" s="9" t="s">
        <v>4786</v>
      </c>
      <c r="E361" s="10" t="s">
        <v>4225</v>
      </c>
    </row>
    <row r="362" customFormat="false" ht="15" hidden="false" customHeight="false" outlineLevel="0" collapsed="false">
      <c r="A362" s="9" t="s">
        <v>4790</v>
      </c>
      <c r="B362" s="9" t="s">
        <v>4334</v>
      </c>
      <c r="C362" s="9" t="s">
        <v>14</v>
      </c>
      <c r="D362" s="9" t="s">
        <v>1373</v>
      </c>
      <c r="E362" s="9"/>
    </row>
    <row r="363" customFormat="false" ht="15" hidden="false" customHeight="false" outlineLevel="0" collapsed="false">
      <c r="A363" s="9" t="s">
        <v>4791</v>
      </c>
      <c r="B363" s="9" t="s">
        <v>4792</v>
      </c>
      <c r="C363" s="9" t="s">
        <v>14</v>
      </c>
      <c r="D363" s="9" t="s">
        <v>1373</v>
      </c>
      <c r="E363" s="9"/>
    </row>
    <row r="364" customFormat="false" ht="15" hidden="false" customHeight="false" outlineLevel="0" collapsed="false">
      <c r="A364" s="9" t="s">
        <v>4793</v>
      </c>
      <c r="B364" s="9" t="s">
        <v>4282</v>
      </c>
      <c r="C364" s="9" t="s">
        <v>14</v>
      </c>
      <c r="D364" s="9" t="s">
        <v>1373</v>
      </c>
      <c r="E364" s="9"/>
    </row>
    <row r="365" customFormat="false" ht="15" hidden="false" customHeight="false" outlineLevel="0" collapsed="false">
      <c r="A365" s="9" t="s">
        <v>4794</v>
      </c>
      <c r="B365" s="9" t="s">
        <v>4298</v>
      </c>
      <c r="C365" s="9" t="s">
        <v>14</v>
      </c>
      <c r="D365" s="9" t="s">
        <v>1373</v>
      </c>
      <c r="E365" s="10" t="s">
        <v>4225</v>
      </c>
    </row>
    <row r="366" customFormat="false" ht="15" hidden="false" customHeight="false" outlineLevel="0" collapsed="false">
      <c r="A366" s="9" t="s">
        <v>4795</v>
      </c>
      <c r="B366" s="9" t="s">
        <v>4449</v>
      </c>
      <c r="C366" s="9" t="s">
        <v>14</v>
      </c>
      <c r="D366" s="9" t="s">
        <v>1376</v>
      </c>
      <c r="E366" s="9"/>
    </row>
    <row r="367" customFormat="false" ht="15" hidden="false" customHeight="false" outlineLevel="0" collapsed="false">
      <c r="A367" s="9" t="s">
        <v>4796</v>
      </c>
      <c r="B367" s="9" t="s">
        <v>4334</v>
      </c>
      <c r="C367" s="9" t="s">
        <v>14</v>
      </c>
      <c r="D367" s="9" t="s">
        <v>1376</v>
      </c>
      <c r="E367" s="9"/>
    </row>
    <row r="368" customFormat="false" ht="15" hidden="false" customHeight="false" outlineLevel="0" collapsed="false">
      <c r="A368" s="9" t="s">
        <v>4797</v>
      </c>
      <c r="B368" s="9" t="s">
        <v>4451</v>
      </c>
      <c r="C368" s="9" t="s">
        <v>14</v>
      </c>
      <c r="D368" s="9" t="s">
        <v>1376</v>
      </c>
      <c r="E368" s="9"/>
    </row>
    <row r="369" customFormat="false" ht="15" hidden="false" customHeight="false" outlineLevel="0" collapsed="false">
      <c r="A369" s="9" t="s">
        <v>4798</v>
      </c>
      <c r="B369" s="9" t="s">
        <v>4298</v>
      </c>
      <c r="C369" s="9" t="s">
        <v>14</v>
      </c>
      <c r="D369" s="9" t="s">
        <v>1376</v>
      </c>
      <c r="E369" s="10" t="s">
        <v>4225</v>
      </c>
    </row>
    <row r="370" customFormat="false" ht="15" hidden="false" customHeight="false" outlineLevel="0" collapsed="false">
      <c r="A370" s="9" t="s">
        <v>4799</v>
      </c>
      <c r="B370" s="9" t="s">
        <v>4312</v>
      </c>
      <c r="C370" s="9" t="s">
        <v>14</v>
      </c>
      <c r="D370" s="9" t="s">
        <v>1246</v>
      </c>
      <c r="E370" s="9"/>
    </row>
    <row r="371" customFormat="false" ht="15" hidden="false" customHeight="false" outlineLevel="0" collapsed="false">
      <c r="A371" s="9" t="s">
        <v>4800</v>
      </c>
      <c r="B371" s="9" t="s">
        <v>4312</v>
      </c>
      <c r="C371" s="9" t="s">
        <v>14</v>
      </c>
      <c r="D371" s="9" t="s">
        <v>1252</v>
      </c>
      <c r="E371" s="9"/>
    </row>
    <row r="372" customFormat="false" ht="15" hidden="false" customHeight="false" outlineLevel="0" collapsed="false">
      <c r="A372" s="9" t="s">
        <v>4801</v>
      </c>
      <c r="B372" s="9" t="s">
        <v>4310</v>
      </c>
      <c r="C372" s="9" t="s">
        <v>14</v>
      </c>
      <c r="D372" s="9" t="s">
        <v>1255</v>
      </c>
      <c r="E372" s="9"/>
    </row>
    <row r="373" customFormat="false" ht="15" hidden="false" customHeight="false" outlineLevel="0" collapsed="false">
      <c r="A373" s="9" t="s">
        <v>4802</v>
      </c>
      <c r="B373" s="9" t="s">
        <v>4307</v>
      </c>
      <c r="C373" s="9" t="s">
        <v>14</v>
      </c>
      <c r="D373" s="9" t="s">
        <v>1259</v>
      </c>
      <c r="E373" s="9"/>
    </row>
    <row r="374" customFormat="false" ht="15" hidden="false" customHeight="false" outlineLevel="0" collapsed="false">
      <c r="A374" s="9" t="s">
        <v>4803</v>
      </c>
      <c r="B374" s="9" t="s">
        <v>4310</v>
      </c>
      <c r="C374" s="9" t="s">
        <v>14</v>
      </c>
      <c r="D374" s="9" t="s">
        <v>1263</v>
      </c>
      <c r="E374" s="9"/>
    </row>
    <row r="375" customFormat="false" ht="15" hidden="false" customHeight="false" outlineLevel="0" collapsed="false">
      <c r="A375" s="9" t="s">
        <v>4804</v>
      </c>
      <c r="B375" s="9" t="s">
        <v>4298</v>
      </c>
      <c r="C375" s="9" t="s">
        <v>14</v>
      </c>
      <c r="D375" s="9" t="s">
        <v>4805</v>
      </c>
      <c r="E375" s="10" t="s">
        <v>4225</v>
      </c>
    </row>
    <row r="376" customFormat="false" ht="15" hidden="false" customHeight="false" outlineLevel="0" collapsed="false">
      <c r="A376" s="9" t="s">
        <v>4806</v>
      </c>
      <c r="B376" s="9" t="s">
        <v>4807</v>
      </c>
      <c r="C376" s="9" t="s">
        <v>14</v>
      </c>
      <c r="D376" s="9" t="s">
        <v>4805</v>
      </c>
      <c r="E376" s="10" t="s">
        <v>4225</v>
      </c>
    </row>
    <row r="377" customFormat="false" ht="15" hidden="false" customHeight="false" outlineLevel="0" collapsed="false">
      <c r="A377" s="9" t="s">
        <v>4808</v>
      </c>
      <c r="B377" s="9" t="s">
        <v>4809</v>
      </c>
      <c r="C377" s="9" t="s">
        <v>6</v>
      </c>
      <c r="D377" s="9" t="s">
        <v>256</v>
      </c>
      <c r="E377" s="10" t="s">
        <v>4225</v>
      </c>
    </row>
    <row r="378" customFormat="false" ht="15" hidden="false" customHeight="false" outlineLevel="0" collapsed="false">
      <c r="A378" s="9" t="s">
        <v>4810</v>
      </c>
      <c r="B378" s="9" t="s">
        <v>4811</v>
      </c>
      <c r="C378" s="9" t="s">
        <v>6</v>
      </c>
      <c r="D378" s="9" t="s">
        <v>256</v>
      </c>
      <c r="E378" s="9"/>
    </row>
    <row r="379" customFormat="false" ht="15" hidden="false" customHeight="false" outlineLevel="0" collapsed="false">
      <c r="A379" s="9" t="s">
        <v>4812</v>
      </c>
      <c r="B379" s="9" t="s">
        <v>4224</v>
      </c>
      <c r="C379" s="9" t="s">
        <v>6</v>
      </c>
      <c r="D379" s="9" t="s">
        <v>256</v>
      </c>
      <c r="E379" s="10" t="s">
        <v>4225</v>
      </c>
    </row>
    <row r="380" customFormat="false" ht="15" hidden="false" customHeight="false" outlineLevel="0" collapsed="false">
      <c r="A380" s="9" t="s">
        <v>4813</v>
      </c>
      <c r="B380" s="9" t="s">
        <v>4814</v>
      </c>
      <c r="C380" s="9" t="s">
        <v>6</v>
      </c>
      <c r="D380" s="9" t="s">
        <v>256</v>
      </c>
      <c r="E380" s="10" t="s">
        <v>4225</v>
      </c>
    </row>
    <row r="381" customFormat="false" ht="15" hidden="false" customHeight="false" outlineLevel="0" collapsed="false">
      <c r="A381" s="9" t="s">
        <v>4815</v>
      </c>
      <c r="B381" s="9" t="s">
        <v>4612</v>
      </c>
      <c r="C381" s="9" t="s">
        <v>6</v>
      </c>
      <c r="D381" s="9" t="s">
        <v>256</v>
      </c>
      <c r="E381" s="10" t="s">
        <v>4225</v>
      </c>
    </row>
    <row r="382" customFormat="false" ht="15" hidden="false" customHeight="false" outlineLevel="0" collapsed="false">
      <c r="A382" s="9" t="s">
        <v>4816</v>
      </c>
      <c r="B382" s="9" t="s">
        <v>4817</v>
      </c>
      <c r="C382" s="9" t="s">
        <v>6</v>
      </c>
      <c r="D382" s="9" t="s">
        <v>266</v>
      </c>
      <c r="E382" s="9"/>
    </row>
    <row r="383" customFormat="false" ht="15" hidden="false" customHeight="false" outlineLevel="0" collapsed="false">
      <c r="A383" s="9" t="s">
        <v>4818</v>
      </c>
      <c r="B383" s="9" t="s">
        <v>4224</v>
      </c>
      <c r="C383" s="9" t="s">
        <v>6</v>
      </c>
      <c r="D383" s="9" t="s">
        <v>266</v>
      </c>
      <c r="E383" s="10" t="s">
        <v>4225</v>
      </c>
    </row>
    <row r="384" customFormat="false" ht="15" hidden="false" customHeight="false" outlineLevel="0" collapsed="false">
      <c r="A384" s="9" t="s">
        <v>4819</v>
      </c>
      <c r="B384" s="9" t="s">
        <v>4820</v>
      </c>
      <c r="C384" s="9" t="s">
        <v>6</v>
      </c>
      <c r="D384" s="9" t="s">
        <v>266</v>
      </c>
      <c r="E384" s="10" t="s">
        <v>4225</v>
      </c>
    </row>
    <row r="385" customFormat="false" ht="15" hidden="false" customHeight="false" outlineLevel="0" collapsed="false">
      <c r="A385" s="9" t="s">
        <v>4821</v>
      </c>
      <c r="B385" s="9" t="s">
        <v>4612</v>
      </c>
      <c r="C385" s="9" t="s">
        <v>6</v>
      </c>
      <c r="D385" s="9" t="s">
        <v>266</v>
      </c>
      <c r="E385" s="10" t="s">
        <v>4225</v>
      </c>
    </row>
    <row r="386" customFormat="false" ht="15" hidden="false" customHeight="false" outlineLevel="0" collapsed="false">
      <c r="A386" s="9" t="s">
        <v>4822</v>
      </c>
      <c r="B386" s="9" t="s">
        <v>4823</v>
      </c>
      <c r="C386" s="9" t="s">
        <v>14</v>
      </c>
      <c r="D386" s="9" t="s">
        <v>1134</v>
      </c>
      <c r="E386" s="9"/>
    </row>
    <row r="387" customFormat="false" ht="15" hidden="false" customHeight="false" outlineLevel="0" collapsed="false">
      <c r="A387" s="9" t="s">
        <v>4824</v>
      </c>
      <c r="B387" s="9" t="s">
        <v>4461</v>
      </c>
      <c r="C387" s="9" t="s">
        <v>14</v>
      </c>
      <c r="D387" s="9" t="s">
        <v>1139</v>
      </c>
      <c r="E387" s="9"/>
    </row>
    <row r="388" customFormat="false" ht="15" hidden="false" customHeight="false" outlineLevel="0" collapsed="false">
      <c r="A388" s="9" t="s">
        <v>4825</v>
      </c>
      <c r="B388" s="9" t="s">
        <v>4388</v>
      </c>
      <c r="C388" s="9" t="s">
        <v>14</v>
      </c>
      <c r="D388" s="9" t="s">
        <v>1142</v>
      </c>
      <c r="E388" s="9"/>
    </row>
    <row r="389" customFormat="false" ht="15" hidden="false" customHeight="false" outlineLevel="0" collapsed="false">
      <c r="A389" s="9" t="s">
        <v>4826</v>
      </c>
      <c r="B389" s="9" t="s">
        <v>4551</v>
      </c>
      <c r="C389" s="9" t="s">
        <v>14</v>
      </c>
      <c r="D389" s="9" t="s">
        <v>1142</v>
      </c>
      <c r="E389" s="10" t="s">
        <v>4225</v>
      </c>
    </row>
    <row r="390" customFormat="false" ht="15" hidden="false" customHeight="false" outlineLevel="0" collapsed="false">
      <c r="A390" s="9" t="s">
        <v>4827</v>
      </c>
      <c r="B390" s="9" t="s">
        <v>4828</v>
      </c>
      <c r="C390" s="9" t="s">
        <v>14</v>
      </c>
      <c r="D390" s="9" t="s">
        <v>1142</v>
      </c>
      <c r="E390" s="10" t="s">
        <v>4225</v>
      </c>
    </row>
    <row r="391" customFormat="false" ht="15" hidden="false" customHeight="false" outlineLevel="0" collapsed="false">
      <c r="A391" s="9" t="s">
        <v>4829</v>
      </c>
      <c r="B391" s="9" t="s">
        <v>4830</v>
      </c>
      <c r="C391" s="9" t="s">
        <v>14</v>
      </c>
      <c r="D391" s="9" t="s">
        <v>4831</v>
      </c>
      <c r="E391" s="10" t="s">
        <v>4832</v>
      </c>
    </row>
    <row r="392" customFormat="false" ht="15" hidden="false" customHeight="false" outlineLevel="0" collapsed="false">
      <c r="A392" s="9" t="s">
        <v>4833</v>
      </c>
      <c r="B392" s="9" t="s">
        <v>4555</v>
      </c>
      <c r="C392" s="10" t="s">
        <v>4196</v>
      </c>
      <c r="D392" s="9" t="s">
        <v>71</v>
      </c>
      <c r="E392" s="10" t="s">
        <v>4834</v>
      </c>
    </row>
    <row r="393" customFormat="false" ht="15" hidden="false" customHeight="false" outlineLevel="0" collapsed="false">
      <c r="A393" s="9" t="s">
        <v>4835</v>
      </c>
      <c r="B393" s="9" t="s">
        <v>4558</v>
      </c>
      <c r="C393" s="10" t="s">
        <v>4196</v>
      </c>
      <c r="D393" s="9" t="s">
        <v>71</v>
      </c>
      <c r="E393" s="10" t="s">
        <v>4834</v>
      </c>
    </row>
    <row r="394" customFormat="false" ht="15" hidden="false" customHeight="false" outlineLevel="0" collapsed="false">
      <c r="A394" s="9" t="s">
        <v>4836</v>
      </c>
      <c r="B394" s="9" t="s">
        <v>4302</v>
      </c>
      <c r="C394" s="9" t="s">
        <v>14</v>
      </c>
      <c r="D394" s="9" t="s">
        <v>1380</v>
      </c>
      <c r="E394" s="9"/>
    </row>
    <row r="395" customFormat="false" ht="15" hidden="false" customHeight="false" outlineLevel="0" collapsed="false">
      <c r="A395" s="9" t="s">
        <v>4837</v>
      </c>
      <c r="B395" s="9" t="s">
        <v>4451</v>
      </c>
      <c r="C395" s="9" t="s">
        <v>14</v>
      </c>
      <c r="D395" s="9" t="s">
        <v>1385</v>
      </c>
      <c r="E395" s="9"/>
    </row>
    <row r="396" customFormat="false" ht="15" hidden="false" customHeight="false" outlineLevel="0" collapsed="false">
      <c r="A396" s="9" t="s">
        <v>4838</v>
      </c>
      <c r="B396" s="9" t="s">
        <v>4463</v>
      </c>
      <c r="C396" s="9" t="s">
        <v>14</v>
      </c>
      <c r="D396" s="9" t="s">
        <v>1386</v>
      </c>
      <c r="E396" s="9"/>
    </row>
    <row r="397" customFormat="false" ht="15" hidden="false" customHeight="false" outlineLevel="0" collapsed="false">
      <c r="A397" s="9" t="s">
        <v>4839</v>
      </c>
      <c r="B397" s="9" t="s">
        <v>4385</v>
      </c>
      <c r="C397" s="9" t="s">
        <v>14</v>
      </c>
      <c r="D397" s="9" t="s">
        <v>1387</v>
      </c>
      <c r="E397" s="9"/>
    </row>
    <row r="398" customFormat="false" ht="15" hidden="false" customHeight="false" outlineLevel="0" collapsed="false">
      <c r="A398" s="9" t="s">
        <v>4840</v>
      </c>
      <c r="B398" s="9" t="s">
        <v>4459</v>
      </c>
      <c r="C398" s="9" t="s">
        <v>14</v>
      </c>
      <c r="D398" s="9" t="s">
        <v>1388</v>
      </c>
      <c r="E398" s="9"/>
    </row>
    <row r="399" customFormat="false" ht="15" hidden="false" customHeight="false" outlineLevel="0" collapsed="false">
      <c r="A399" s="9" t="s">
        <v>4841</v>
      </c>
      <c r="B399" s="9" t="s">
        <v>4338</v>
      </c>
      <c r="C399" s="9" t="s">
        <v>14</v>
      </c>
      <c r="D399" s="9" t="s">
        <v>1389</v>
      </c>
      <c r="E399" s="9"/>
    </row>
    <row r="400" customFormat="false" ht="15" hidden="false" customHeight="false" outlineLevel="0" collapsed="false">
      <c r="A400" s="9" t="s">
        <v>4842</v>
      </c>
      <c r="B400" s="9" t="s">
        <v>4302</v>
      </c>
      <c r="C400" s="9" t="s">
        <v>14</v>
      </c>
      <c r="D400" s="9" t="s">
        <v>1380</v>
      </c>
      <c r="E400" s="9"/>
    </row>
    <row r="401" customFormat="false" ht="15" hidden="false" customHeight="false" outlineLevel="0" collapsed="false">
      <c r="A401" s="9" t="s">
        <v>4843</v>
      </c>
      <c r="B401" s="9" t="s">
        <v>4449</v>
      </c>
      <c r="C401" s="9" t="s">
        <v>14</v>
      </c>
      <c r="D401" s="9" t="s">
        <v>1385</v>
      </c>
      <c r="E401" s="9"/>
    </row>
    <row r="402" customFormat="false" ht="15" hidden="false" customHeight="false" outlineLevel="0" collapsed="false">
      <c r="A402" s="9" t="s">
        <v>4844</v>
      </c>
      <c r="B402" s="9" t="s">
        <v>4451</v>
      </c>
      <c r="C402" s="9" t="s">
        <v>14</v>
      </c>
      <c r="D402" s="9" t="s">
        <v>1386</v>
      </c>
      <c r="E402" s="9"/>
    </row>
    <row r="403" customFormat="false" ht="15" hidden="false" customHeight="false" outlineLevel="0" collapsed="false">
      <c r="A403" s="9" t="s">
        <v>4845</v>
      </c>
      <c r="B403" s="9" t="s">
        <v>4461</v>
      </c>
      <c r="C403" s="9" t="s">
        <v>14</v>
      </c>
      <c r="D403" s="9" t="s">
        <v>1387</v>
      </c>
      <c r="E403" s="9"/>
    </row>
    <row r="404" customFormat="false" ht="15" hidden="false" customHeight="false" outlineLevel="0" collapsed="false">
      <c r="A404" s="9" t="s">
        <v>4846</v>
      </c>
      <c r="B404" s="9" t="s">
        <v>4461</v>
      </c>
      <c r="C404" s="9" t="s">
        <v>14</v>
      </c>
      <c r="D404" s="9" t="s">
        <v>1388</v>
      </c>
      <c r="E404" s="9"/>
    </row>
    <row r="405" customFormat="false" ht="15" hidden="false" customHeight="false" outlineLevel="0" collapsed="false">
      <c r="A405" s="9" t="s">
        <v>4847</v>
      </c>
      <c r="B405" s="9" t="s">
        <v>4463</v>
      </c>
      <c r="C405" s="9" t="s">
        <v>14</v>
      </c>
      <c r="D405" s="9" t="s">
        <v>1389</v>
      </c>
      <c r="E405" s="9"/>
    </row>
    <row r="406" customFormat="false" ht="15" hidden="false" customHeight="false" outlineLevel="0" collapsed="false">
      <c r="A406" s="9" t="s">
        <v>4848</v>
      </c>
      <c r="B406" s="9" t="s">
        <v>4302</v>
      </c>
      <c r="C406" s="9" t="s">
        <v>14</v>
      </c>
      <c r="D406" s="9" t="s">
        <v>1380</v>
      </c>
      <c r="E406" s="9"/>
    </row>
    <row r="407" customFormat="false" ht="15" hidden="false" customHeight="false" outlineLevel="0" collapsed="false">
      <c r="A407" s="9" t="s">
        <v>4849</v>
      </c>
      <c r="B407" s="9" t="s">
        <v>4463</v>
      </c>
      <c r="C407" s="9" t="s">
        <v>14</v>
      </c>
      <c r="D407" s="9" t="s">
        <v>1385</v>
      </c>
      <c r="E407" s="9"/>
    </row>
    <row r="408" customFormat="false" ht="15" hidden="false" customHeight="false" outlineLevel="0" collapsed="false">
      <c r="A408" s="9" t="s">
        <v>4850</v>
      </c>
      <c r="B408" s="9" t="s">
        <v>4338</v>
      </c>
      <c r="C408" s="9" t="s">
        <v>14</v>
      </c>
      <c r="D408" s="9" t="s">
        <v>1386</v>
      </c>
      <c r="E408" s="9"/>
    </row>
    <row r="409" customFormat="false" ht="15" hidden="false" customHeight="false" outlineLevel="0" collapsed="false">
      <c r="A409" s="9" t="s">
        <v>4851</v>
      </c>
      <c r="B409" s="9" t="s">
        <v>4253</v>
      </c>
      <c r="C409" s="9" t="s">
        <v>14</v>
      </c>
      <c r="D409" s="9" t="s">
        <v>1387</v>
      </c>
      <c r="E409" s="9"/>
    </row>
    <row r="410" customFormat="false" ht="15" hidden="false" customHeight="false" outlineLevel="0" collapsed="false">
      <c r="A410" s="9" t="s">
        <v>4852</v>
      </c>
      <c r="B410" s="9" t="s">
        <v>4853</v>
      </c>
      <c r="C410" s="9" t="s">
        <v>14</v>
      </c>
      <c r="D410" s="9" t="s">
        <v>1388</v>
      </c>
      <c r="E410" s="9"/>
    </row>
    <row r="411" customFormat="false" ht="15" hidden="false" customHeight="false" outlineLevel="0" collapsed="false">
      <c r="A411" s="9" t="s">
        <v>4854</v>
      </c>
      <c r="B411" s="9" t="s">
        <v>4691</v>
      </c>
      <c r="C411" s="9" t="s">
        <v>14</v>
      </c>
      <c r="D411" s="9" t="s">
        <v>1389</v>
      </c>
      <c r="E411" s="9"/>
    </row>
    <row r="412" customFormat="false" ht="15" hidden="false" customHeight="false" outlineLevel="0" collapsed="false">
      <c r="A412" s="9" t="s">
        <v>4855</v>
      </c>
      <c r="B412" s="9" t="s">
        <v>4298</v>
      </c>
      <c r="C412" s="9" t="s">
        <v>14</v>
      </c>
      <c r="D412" s="9" t="s">
        <v>1389</v>
      </c>
      <c r="E412" s="10" t="s">
        <v>4225</v>
      </c>
    </row>
    <row r="413" customFormat="false" ht="15" hidden="false" customHeight="false" outlineLevel="0" collapsed="false">
      <c r="A413" s="9" t="s">
        <v>4856</v>
      </c>
      <c r="B413" s="9" t="s">
        <v>4857</v>
      </c>
      <c r="C413" s="9" t="s">
        <v>14</v>
      </c>
      <c r="D413" s="9" t="s">
        <v>1389</v>
      </c>
      <c r="E413" s="10" t="s">
        <v>4225</v>
      </c>
    </row>
    <row r="414" customFormat="false" ht="15" hidden="false" customHeight="false" outlineLevel="0" collapsed="false">
      <c r="A414" s="9" t="s">
        <v>4858</v>
      </c>
      <c r="B414" s="9" t="s">
        <v>4302</v>
      </c>
      <c r="C414" s="9" t="s">
        <v>14</v>
      </c>
      <c r="D414" s="9" t="s">
        <v>1390</v>
      </c>
      <c r="E414" s="9"/>
    </row>
    <row r="415" customFormat="false" ht="15" hidden="false" customHeight="false" outlineLevel="0" collapsed="false">
      <c r="A415" s="9" t="s">
        <v>4859</v>
      </c>
      <c r="B415" s="9" t="s">
        <v>262</v>
      </c>
      <c r="C415" s="9" t="s">
        <v>14</v>
      </c>
      <c r="D415" s="9" t="s">
        <v>1395</v>
      </c>
      <c r="E415" s="9"/>
    </row>
    <row r="416" customFormat="false" ht="15" hidden="false" customHeight="false" outlineLevel="0" collapsed="false">
      <c r="A416" s="9" t="s">
        <v>4860</v>
      </c>
      <c r="B416" s="9" t="s">
        <v>4702</v>
      </c>
      <c r="C416" s="9" t="s">
        <v>14</v>
      </c>
      <c r="D416" s="9" t="s">
        <v>1396</v>
      </c>
      <c r="E416" s="9"/>
    </row>
    <row r="417" customFormat="false" ht="15" hidden="false" customHeight="false" outlineLevel="0" collapsed="false">
      <c r="A417" s="9" t="s">
        <v>4861</v>
      </c>
      <c r="B417" s="9" t="s">
        <v>4862</v>
      </c>
      <c r="C417" s="9" t="s">
        <v>14</v>
      </c>
      <c r="D417" s="9" t="s">
        <v>1397</v>
      </c>
      <c r="E417" s="9"/>
    </row>
    <row r="418" customFormat="false" ht="15" hidden="false" customHeight="false" outlineLevel="0" collapsed="false">
      <c r="A418" s="9" t="s">
        <v>4863</v>
      </c>
      <c r="B418" s="9" t="s">
        <v>4500</v>
      </c>
      <c r="C418" s="9" t="s">
        <v>14</v>
      </c>
      <c r="D418" s="9" t="s">
        <v>1398</v>
      </c>
      <c r="E418" s="9"/>
    </row>
    <row r="419" customFormat="false" ht="15" hidden="false" customHeight="false" outlineLevel="0" collapsed="false">
      <c r="A419" s="9" t="s">
        <v>4864</v>
      </c>
      <c r="B419" s="9" t="s">
        <v>4865</v>
      </c>
      <c r="C419" s="9" t="s">
        <v>14</v>
      </c>
      <c r="D419" s="9" t="s">
        <v>1399</v>
      </c>
      <c r="E419" s="9"/>
    </row>
    <row r="420" customFormat="false" ht="15" hidden="false" customHeight="false" outlineLevel="0" collapsed="false">
      <c r="A420" s="9" t="s">
        <v>4866</v>
      </c>
      <c r="B420" s="9" t="s">
        <v>4302</v>
      </c>
      <c r="C420" s="9" t="s">
        <v>14</v>
      </c>
      <c r="D420" s="9" t="s">
        <v>1390</v>
      </c>
      <c r="E420" s="9"/>
    </row>
    <row r="421" customFormat="false" ht="15" hidden="false" customHeight="false" outlineLevel="0" collapsed="false">
      <c r="A421" s="9" t="s">
        <v>4867</v>
      </c>
      <c r="B421" s="9" t="s">
        <v>4363</v>
      </c>
      <c r="C421" s="9" t="s">
        <v>14</v>
      </c>
      <c r="D421" s="9" t="s">
        <v>1395</v>
      </c>
      <c r="E421" s="9"/>
    </row>
    <row r="422" customFormat="false" ht="15" hidden="false" customHeight="false" outlineLevel="0" collapsed="false">
      <c r="A422" s="9" t="s">
        <v>4868</v>
      </c>
      <c r="B422" s="9" t="s">
        <v>73</v>
      </c>
      <c r="C422" s="9" t="s">
        <v>14</v>
      </c>
      <c r="D422" s="9" t="s">
        <v>1396</v>
      </c>
      <c r="E422" s="9"/>
    </row>
    <row r="423" customFormat="false" ht="15" hidden="false" customHeight="false" outlineLevel="0" collapsed="false">
      <c r="A423" s="9" t="s">
        <v>4869</v>
      </c>
      <c r="B423" s="9" t="s">
        <v>4357</v>
      </c>
      <c r="C423" s="9" t="s">
        <v>14</v>
      </c>
      <c r="D423" s="9" t="s">
        <v>1397</v>
      </c>
      <c r="E423" s="9"/>
    </row>
    <row r="424" customFormat="false" ht="15" hidden="false" customHeight="false" outlineLevel="0" collapsed="false">
      <c r="A424" s="9" t="s">
        <v>4870</v>
      </c>
      <c r="B424" s="9" t="s">
        <v>262</v>
      </c>
      <c r="C424" s="9" t="s">
        <v>14</v>
      </c>
      <c r="D424" s="9" t="s">
        <v>1398</v>
      </c>
      <c r="E424" s="9"/>
    </row>
    <row r="425" customFormat="false" ht="15" hidden="false" customHeight="false" outlineLevel="0" collapsed="false">
      <c r="A425" s="9" t="s">
        <v>4871</v>
      </c>
      <c r="B425" s="9" t="s">
        <v>4872</v>
      </c>
      <c r="C425" s="9" t="s">
        <v>14</v>
      </c>
      <c r="D425" s="9" t="s">
        <v>1399</v>
      </c>
      <c r="E425" s="9"/>
    </row>
    <row r="426" customFormat="false" ht="15" hidden="false" customHeight="false" outlineLevel="0" collapsed="false">
      <c r="A426" s="9" t="s">
        <v>4873</v>
      </c>
      <c r="B426" s="9" t="s">
        <v>4302</v>
      </c>
      <c r="C426" s="9" t="s">
        <v>14</v>
      </c>
      <c r="D426" s="9" t="s">
        <v>1390</v>
      </c>
      <c r="E426" s="9"/>
    </row>
    <row r="427" customFormat="false" ht="15" hidden="false" customHeight="false" outlineLevel="0" collapsed="false">
      <c r="A427" s="9" t="s">
        <v>4874</v>
      </c>
      <c r="B427" s="9" t="s">
        <v>4500</v>
      </c>
      <c r="C427" s="9" t="s">
        <v>14</v>
      </c>
      <c r="D427" s="9" t="s">
        <v>1395</v>
      </c>
      <c r="E427" s="9"/>
    </row>
    <row r="428" customFormat="false" ht="15" hidden="false" customHeight="false" outlineLevel="0" collapsed="false">
      <c r="A428" s="9" t="s">
        <v>4875</v>
      </c>
      <c r="B428" s="9" t="s">
        <v>4700</v>
      </c>
      <c r="C428" s="9" t="s">
        <v>14</v>
      </c>
      <c r="D428" s="9" t="s">
        <v>1396</v>
      </c>
      <c r="E428" s="9"/>
    </row>
    <row r="429" customFormat="false" ht="15" hidden="false" customHeight="false" outlineLevel="0" collapsed="false">
      <c r="A429" s="9" t="s">
        <v>4876</v>
      </c>
      <c r="B429" s="9" t="s">
        <v>4233</v>
      </c>
      <c r="C429" s="9" t="s">
        <v>14</v>
      </c>
      <c r="D429" s="9" t="s">
        <v>1397</v>
      </c>
      <c r="E429" s="9"/>
    </row>
    <row r="430" customFormat="false" ht="15" hidden="false" customHeight="false" outlineLevel="0" collapsed="false">
      <c r="A430" s="9" t="s">
        <v>4877</v>
      </c>
      <c r="B430" s="9" t="s">
        <v>4817</v>
      </c>
      <c r="C430" s="9" t="s">
        <v>14</v>
      </c>
      <c r="D430" s="9" t="s">
        <v>1398</v>
      </c>
      <c r="E430" s="9"/>
    </row>
    <row r="431" customFormat="false" ht="15" hidden="false" customHeight="false" outlineLevel="0" collapsed="false">
      <c r="A431" s="9" t="s">
        <v>4878</v>
      </c>
      <c r="B431" s="9" t="s">
        <v>4879</v>
      </c>
      <c r="C431" s="9" t="s">
        <v>14</v>
      </c>
      <c r="D431" s="9" t="s">
        <v>1399</v>
      </c>
      <c r="E431" s="9"/>
    </row>
    <row r="432" customFormat="false" ht="15" hidden="false" customHeight="false" outlineLevel="0" collapsed="false">
      <c r="A432" s="9" t="s">
        <v>4880</v>
      </c>
      <c r="B432" s="9" t="s">
        <v>4881</v>
      </c>
      <c r="C432" s="9" t="s">
        <v>14</v>
      </c>
      <c r="D432" s="9" t="s">
        <v>1399</v>
      </c>
      <c r="E432" s="10" t="s">
        <v>4225</v>
      </c>
    </row>
    <row r="433" customFormat="false" ht="15" hidden="false" customHeight="false" outlineLevel="0" collapsed="false">
      <c r="A433" s="9" t="s">
        <v>4882</v>
      </c>
      <c r="B433" s="9" t="s">
        <v>4483</v>
      </c>
      <c r="C433" s="9" t="s">
        <v>14</v>
      </c>
      <c r="D433" s="9" t="s">
        <v>1399</v>
      </c>
      <c r="E433" s="10" t="s">
        <v>4225</v>
      </c>
    </row>
    <row r="434" customFormat="false" ht="15" hidden="false" customHeight="false" outlineLevel="0" collapsed="false">
      <c r="A434" s="9" t="s">
        <v>4883</v>
      </c>
      <c r="B434" s="9" t="s">
        <v>4884</v>
      </c>
      <c r="C434" s="9" t="s">
        <v>14</v>
      </c>
      <c r="D434" s="9" t="s">
        <v>1399</v>
      </c>
      <c r="E434" s="10" t="s">
        <v>4225</v>
      </c>
    </row>
    <row r="435" customFormat="false" ht="15" hidden="false" customHeight="false" outlineLevel="0" collapsed="false">
      <c r="A435" s="9" t="s">
        <v>4885</v>
      </c>
      <c r="B435" s="9" t="s">
        <v>4357</v>
      </c>
      <c r="C435" s="9" t="s">
        <v>6</v>
      </c>
      <c r="D435" s="9" t="s">
        <v>270</v>
      </c>
      <c r="E435" s="9"/>
    </row>
    <row r="436" customFormat="false" ht="15" hidden="false" customHeight="false" outlineLevel="0" collapsed="false">
      <c r="A436" s="9" t="s">
        <v>4886</v>
      </c>
      <c r="B436" s="9" t="s">
        <v>4879</v>
      </c>
      <c r="C436" s="9" t="s">
        <v>6</v>
      </c>
      <c r="D436" s="9" t="s">
        <v>277</v>
      </c>
      <c r="E436" s="9"/>
    </row>
    <row r="437" customFormat="false" ht="15" hidden="false" customHeight="false" outlineLevel="0" collapsed="false">
      <c r="A437" s="9" t="s">
        <v>4887</v>
      </c>
      <c r="B437" s="9" t="s">
        <v>4583</v>
      </c>
      <c r="C437" s="9" t="s">
        <v>6</v>
      </c>
      <c r="D437" s="9" t="s">
        <v>279</v>
      </c>
      <c r="E437" s="9"/>
    </row>
    <row r="438" customFormat="false" ht="15" hidden="false" customHeight="false" outlineLevel="0" collapsed="false">
      <c r="A438" s="9" t="s">
        <v>4888</v>
      </c>
      <c r="B438" s="9" t="s">
        <v>4889</v>
      </c>
      <c r="C438" s="9" t="s">
        <v>6</v>
      </c>
      <c r="D438" s="9" t="s">
        <v>281</v>
      </c>
      <c r="E438" s="9"/>
    </row>
    <row r="439" customFormat="false" ht="15" hidden="false" customHeight="false" outlineLevel="0" collapsed="false">
      <c r="A439" s="9" t="s">
        <v>4890</v>
      </c>
      <c r="B439" s="9" t="s">
        <v>4578</v>
      </c>
      <c r="C439" s="9" t="s">
        <v>6</v>
      </c>
      <c r="D439" s="9" t="s">
        <v>283</v>
      </c>
      <c r="E439" s="9"/>
    </row>
    <row r="440" customFormat="false" ht="15" hidden="false" customHeight="false" outlineLevel="0" collapsed="false">
      <c r="A440" s="9" t="s">
        <v>4891</v>
      </c>
      <c r="B440" s="9" t="s">
        <v>4224</v>
      </c>
      <c r="C440" s="9" t="s">
        <v>6</v>
      </c>
      <c r="D440" s="9" t="s">
        <v>270</v>
      </c>
      <c r="E440" s="10" t="s">
        <v>4225</v>
      </c>
    </row>
    <row r="441" customFormat="false" ht="15" hidden="false" customHeight="false" outlineLevel="0" collapsed="false">
      <c r="A441" s="9" t="s">
        <v>4892</v>
      </c>
      <c r="B441" s="9" t="s">
        <v>4893</v>
      </c>
      <c r="C441" s="9" t="s">
        <v>6</v>
      </c>
      <c r="D441" s="9" t="s">
        <v>270</v>
      </c>
      <c r="E441" s="10" t="s">
        <v>4225</v>
      </c>
    </row>
    <row r="442" customFormat="false" ht="15" hidden="false" customHeight="false" outlineLevel="0" collapsed="false">
      <c r="A442" s="9" t="s">
        <v>4894</v>
      </c>
      <c r="B442" s="9" t="s">
        <v>4302</v>
      </c>
      <c r="C442" s="9" t="s">
        <v>14</v>
      </c>
      <c r="D442" s="9" t="s">
        <v>1400</v>
      </c>
      <c r="E442" s="9"/>
    </row>
    <row r="443" customFormat="false" ht="15" hidden="false" customHeight="false" outlineLevel="0" collapsed="false">
      <c r="A443" s="9" t="s">
        <v>4895</v>
      </c>
      <c r="B443" s="9" t="s">
        <v>4298</v>
      </c>
      <c r="C443" s="9" t="s">
        <v>14</v>
      </c>
      <c r="D443" s="9" t="s">
        <v>1400</v>
      </c>
      <c r="E443" s="10" t="s">
        <v>4225</v>
      </c>
    </row>
    <row r="444" customFormat="false" ht="15" hidden="false" customHeight="false" outlineLevel="0" collapsed="false">
      <c r="A444" s="9" t="s">
        <v>4896</v>
      </c>
      <c r="B444" s="9" t="s">
        <v>4897</v>
      </c>
      <c r="C444" s="9" t="s">
        <v>14</v>
      </c>
      <c r="D444" s="9" t="s">
        <v>1400</v>
      </c>
      <c r="E444" s="10" t="s">
        <v>4225</v>
      </c>
    </row>
    <row r="445" customFormat="false" ht="15" hidden="false" customHeight="false" outlineLevel="0" collapsed="false">
      <c r="A445" s="9" t="s">
        <v>4898</v>
      </c>
      <c r="B445" s="9" t="s">
        <v>4899</v>
      </c>
      <c r="C445" s="10" t="s">
        <v>4900</v>
      </c>
      <c r="D445" s="9" t="s">
        <v>4901</v>
      </c>
      <c r="E445" s="10" t="s">
        <v>4902</v>
      </c>
    </row>
    <row r="446" customFormat="false" ht="15" hidden="false" customHeight="false" outlineLevel="0" collapsed="false">
      <c r="A446" s="9" t="s">
        <v>4903</v>
      </c>
      <c r="B446" s="9" t="s">
        <v>4904</v>
      </c>
      <c r="C446" s="10" t="s">
        <v>4900</v>
      </c>
      <c r="D446" s="9" t="s">
        <v>4901</v>
      </c>
      <c r="E446" s="10" t="s">
        <v>4902</v>
      </c>
    </row>
    <row r="447" customFormat="false" ht="15" hidden="false" customHeight="false" outlineLevel="0" collapsed="false">
      <c r="A447" s="9" t="s">
        <v>4905</v>
      </c>
      <c r="B447" s="9" t="s">
        <v>4906</v>
      </c>
      <c r="C447" s="10" t="s">
        <v>4900</v>
      </c>
      <c r="D447" s="9" t="s">
        <v>4901</v>
      </c>
      <c r="E447" s="10" t="s">
        <v>4902</v>
      </c>
    </row>
    <row r="448" customFormat="false" ht="15" hidden="false" customHeight="false" outlineLevel="0" collapsed="false">
      <c r="A448" s="9" t="s">
        <v>4907</v>
      </c>
      <c r="B448" s="9" t="s">
        <v>4908</v>
      </c>
      <c r="C448" s="10" t="s">
        <v>4900</v>
      </c>
      <c r="D448" s="9" t="s">
        <v>4901</v>
      </c>
      <c r="E448" s="10" t="s">
        <v>4902</v>
      </c>
    </row>
    <row r="449" customFormat="false" ht="15" hidden="false" customHeight="false" outlineLevel="0" collapsed="false">
      <c r="A449" s="9" t="s">
        <v>4909</v>
      </c>
      <c r="B449" s="9" t="s">
        <v>4910</v>
      </c>
      <c r="C449" s="10" t="s">
        <v>4900</v>
      </c>
      <c r="D449" s="9" t="s">
        <v>4901</v>
      </c>
      <c r="E449" s="10" t="s">
        <v>4902</v>
      </c>
    </row>
    <row r="450" customFormat="false" ht="15" hidden="false" customHeight="false" outlineLevel="0" collapsed="false">
      <c r="A450" s="9" t="s">
        <v>4911</v>
      </c>
      <c r="B450" s="9" t="s">
        <v>4912</v>
      </c>
      <c r="C450" s="10" t="s">
        <v>4900</v>
      </c>
      <c r="D450" s="9" t="s">
        <v>4901</v>
      </c>
      <c r="E450" s="10" t="s">
        <v>4902</v>
      </c>
    </row>
    <row r="451" customFormat="false" ht="15" hidden="false" customHeight="false" outlineLevel="0" collapsed="false">
      <c r="A451" s="9" t="s">
        <v>4913</v>
      </c>
      <c r="B451" s="9" t="s">
        <v>4276</v>
      </c>
      <c r="C451" s="10" t="s">
        <v>4900</v>
      </c>
      <c r="D451" s="9" t="s">
        <v>4901</v>
      </c>
      <c r="E451" s="10" t="s">
        <v>4902</v>
      </c>
    </row>
    <row r="452" customFormat="false" ht="15" hidden="false" customHeight="false" outlineLevel="0" collapsed="false">
      <c r="A452" s="9" t="s">
        <v>4914</v>
      </c>
      <c r="B452" s="9" t="s">
        <v>4915</v>
      </c>
      <c r="C452" s="10" t="s">
        <v>4900</v>
      </c>
      <c r="D452" s="9" t="s">
        <v>4901</v>
      </c>
      <c r="E452" s="10" t="s">
        <v>4902</v>
      </c>
    </row>
    <row r="453" customFormat="false" ht="15" hidden="false" customHeight="false" outlineLevel="0" collapsed="false">
      <c r="A453" s="9" t="s">
        <v>4916</v>
      </c>
      <c r="B453" s="9" t="s">
        <v>4280</v>
      </c>
      <c r="C453" s="10" t="s">
        <v>4900</v>
      </c>
      <c r="D453" s="9" t="s">
        <v>4901</v>
      </c>
      <c r="E453" s="10" t="s">
        <v>4902</v>
      </c>
    </row>
    <row r="454" customFormat="false" ht="15" hidden="false" customHeight="false" outlineLevel="0" collapsed="false">
      <c r="A454" s="9" t="s">
        <v>4917</v>
      </c>
      <c r="B454" s="9" t="s">
        <v>4918</v>
      </c>
      <c r="C454" s="10" t="s">
        <v>4196</v>
      </c>
      <c r="D454" s="9" t="s">
        <v>71</v>
      </c>
      <c r="E454" s="9" t="s">
        <v>4919</v>
      </c>
    </row>
    <row r="455" customFormat="false" ht="15" hidden="false" customHeight="false" outlineLevel="0" collapsed="false">
      <c r="A455" s="9" t="s">
        <v>4920</v>
      </c>
      <c r="B455" s="9" t="s">
        <v>4921</v>
      </c>
      <c r="C455" s="10" t="s">
        <v>4196</v>
      </c>
      <c r="D455" s="9" t="s">
        <v>71</v>
      </c>
      <c r="E455" s="9" t="s">
        <v>4922</v>
      </c>
    </row>
    <row r="456" customFormat="false" ht="15" hidden="false" customHeight="false" outlineLevel="0" collapsed="false">
      <c r="A456" s="9" t="s">
        <v>4923</v>
      </c>
      <c r="B456" s="9" t="s">
        <v>4924</v>
      </c>
      <c r="C456" s="10" t="s">
        <v>4196</v>
      </c>
      <c r="D456" s="9" t="s">
        <v>71</v>
      </c>
      <c r="E456" s="9" t="s">
        <v>4922</v>
      </c>
    </row>
    <row r="457" customFormat="false" ht="15" hidden="false" customHeight="false" outlineLevel="0" collapsed="false">
      <c r="A457" s="9" t="s">
        <v>4925</v>
      </c>
      <c r="B457" s="9" t="s">
        <v>4926</v>
      </c>
      <c r="C457" s="10" t="s">
        <v>4196</v>
      </c>
      <c r="D457" s="9" t="s">
        <v>71</v>
      </c>
      <c r="E457" s="9" t="s">
        <v>4922</v>
      </c>
    </row>
    <row r="458" customFormat="false" ht="15" hidden="false" customHeight="false" outlineLevel="0" collapsed="false">
      <c r="A458" s="9" t="s">
        <v>4927</v>
      </c>
      <c r="B458" s="9" t="s">
        <v>4928</v>
      </c>
      <c r="C458" s="10" t="s">
        <v>4196</v>
      </c>
      <c r="D458" s="9" t="s">
        <v>71</v>
      </c>
      <c r="E458" s="10" t="s">
        <v>4929</v>
      </c>
    </row>
    <row r="459" customFormat="false" ht="15" hidden="false" customHeight="false" outlineLevel="0" collapsed="false">
      <c r="A459" s="9" t="s">
        <v>4930</v>
      </c>
      <c r="B459" s="9" t="s">
        <v>4931</v>
      </c>
      <c r="C459" s="9" t="s">
        <v>6</v>
      </c>
      <c r="D459" s="9" t="s">
        <v>285</v>
      </c>
      <c r="E459" s="9"/>
    </row>
    <row r="460" customFormat="false" ht="15" hidden="false" customHeight="false" outlineLevel="0" collapsed="false">
      <c r="A460" s="9" t="s">
        <v>4932</v>
      </c>
      <c r="B460" s="9" t="s">
        <v>4933</v>
      </c>
      <c r="C460" s="9" t="s">
        <v>6</v>
      </c>
      <c r="D460" s="9" t="s">
        <v>292</v>
      </c>
      <c r="E460" s="9"/>
    </row>
    <row r="461" customFormat="false" ht="15" hidden="false" customHeight="false" outlineLevel="0" collapsed="false">
      <c r="A461" s="9" t="s">
        <v>4934</v>
      </c>
      <c r="B461" s="9" t="s">
        <v>4935</v>
      </c>
      <c r="C461" s="9" t="s">
        <v>6</v>
      </c>
      <c r="D461" s="9" t="s">
        <v>295</v>
      </c>
      <c r="E461" s="9"/>
    </row>
    <row r="462" customFormat="false" ht="15" hidden="false" customHeight="false" outlineLevel="0" collapsed="false">
      <c r="A462" s="9" t="s">
        <v>4936</v>
      </c>
      <c r="B462" s="9" t="s">
        <v>4224</v>
      </c>
      <c r="C462" s="9" t="s">
        <v>6</v>
      </c>
      <c r="D462" s="9" t="s">
        <v>285</v>
      </c>
      <c r="E462" s="10" t="s">
        <v>4225</v>
      </c>
    </row>
    <row r="463" customFormat="false" ht="15" hidden="false" customHeight="false" outlineLevel="0" collapsed="false">
      <c r="A463" s="9" t="s">
        <v>4937</v>
      </c>
      <c r="B463" s="9" t="s">
        <v>4938</v>
      </c>
      <c r="C463" s="9" t="s">
        <v>6</v>
      </c>
      <c r="D463" s="9" t="s">
        <v>285</v>
      </c>
      <c r="E463" s="10" t="s">
        <v>4225</v>
      </c>
    </row>
    <row r="464" customFormat="false" ht="15" hidden="false" customHeight="false" outlineLevel="0" collapsed="false">
      <c r="A464" s="9" t="s">
        <v>4939</v>
      </c>
      <c r="B464" s="9" t="s">
        <v>4940</v>
      </c>
      <c r="C464" s="10" t="s">
        <v>4266</v>
      </c>
      <c r="D464" s="9" t="s">
        <v>4941</v>
      </c>
      <c r="E464" s="9" t="s">
        <v>4942</v>
      </c>
    </row>
    <row r="465" customFormat="false" ht="15" hidden="false" customHeight="false" outlineLevel="0" collapsed="false">
      <c r="A465" s="9" t="s">
        <v>4943</v>
      </c>
      <c r="B465" s="9" t="s">
        <v>4944</v>
      </c>
      <c r="C465" s="10" t="s">
        <v>4266</v>
      </c>
      <c r="D465" s="9" t="s">
        <v>4941</v>
      </c>
      <c r="E465" s="9" t="s">
        <v>4942</v>
      </c>
    </row>
    <row r="466" customFormat="false" ht="15" hidden="false" customHeight="false" outlineLevel="0" collapsed="false">
      <c r="A466" s="9" t="s">
        <v>4945</v>
      </c>
      <c r="B466" s="9" t="s">
        <v>4931</v>
      </c>
      <c r="C466" s="10" t="s">
        <v>4266</v>
      </c>
      <c r="D466" s="9" t="s">
        <v>4941</v>
      </c>
      <c r="E466" s="9" t="s">
        <v>4942</v>
      </c>
    </row>
    <row r="467" customFormat="false" ht="15" hidden="false" customHeight="false" outlineLevel="0" collapsed="false">
      <c r="A467" s="9" t="s">
        <v>4946</v>
      </c>
      <c r="B467" s="9" t="s">
        <v>4276</v>
      </c>
      <c r="C467" s="10" t="s">
        <v>4266</v>
      </c>
      <c r="D467" s="9" t="s">
        <v>4941</v>
      </c>
      <c r="E467" s="9" t="s">
        <v>4942</v>
      </c>
    </row>
    <row r="468" customFormat="false" ht="15" hidden="false" customHeight="false" outlineLevel="0" collapsed="false">
      <c r="A468" s="9" t="s">
        <v>4947</v>
      </c>
      <c r="B468" s="9" t="s">
        <v>4948</v>
      </c>
      <c r="C468" s="10" t="s">
        <v>4266</v>
      </c>
      <c r="D468" s="9" t="s">
        <v>4941</v>
      </c>
      <c r="E468" s="9" t="s">
        <v>4942</v>
      </c>
    </row>
    <row r="469" customFormat="false" ht="15" hidden="false" customHeight="false" outlineLevel="0" collapsed="false">
      <c r="A469" s="9" t="s">
        <v>4949</v>
      </c>
      <c r="B469" s="9" t="s">
        <v>4950</v>
      </c>
      <c r="C469" s="9" t="s">
        <v>6</v>
      </c>
      <c r="D469" s="9" t="s">
        <v>297</v>
      </c>
      <c r="E469" s="9"/>
    </row>
    <row r="470" customFormat="false" ht="15" hidden="false" customHeight="false" outlineLevel="0" collapsed="false">
      <c r="A470" s="9" t="s">
        <v>4951</v>
      </c>
      <c r="B470" s="9" t="s">
        <v>4212</v>
      </c>
      <c r="C470" s="9" t="s">
        <v>6</v>
      </c>
      <c r="D470" s="9" t="s">
        <v>297</v>
      </c>
      <c r="E470" s="10" t="s">
        <v>4225</v>
      </c>
    </row>
    <row r="471" customFormat="false" ht="15" hidden="false" customHeight="false" outlineLevel="0" collapsed="false">
      <c r="A471" s="9" t="s">
        <v>4952</v>
      </c>
      <c r="B471" s="9" t="s">
        <v>4224</v>
      </c>
      <c r="C471" s="9" t="s">
        <v>6</v>
      </c>
      <c r="D471" s="9" t="s">
        <v>297</v>
      </c>
      <c r="E471" s="10" t="s">
        <v>4225</v>
      </c>
    </row>
    <row r="472" customFormat="false" ht="15" hidden="false" customHeight="false" outlineLevel="0" collapsed="false">
      <c r="A472" s="9" t="s">
        <v>4953</v>
      </c>
      <c r="B472" s="9" t="s">
        <v>4954</v>
      </c>
      <c r="C472" s="9" t="s">
        <v>6</v>
      </c>
      <c r="D472" s="9" t="s">
        <v>297</v>
      </c>
      <c r="E472" s="10" t="s">
        <v>4225</v>
      </c>
    </row>
    <row r="473" customFormat="false" ht="15" hidden="false" customHeight="false" outlineLevel="0" collapsed="false">
      <c r="A473" s="9" t="s">
        <v>4955</v>
      </c>
      <c r="B473" s="9" t="s">
        <v>4956</v>
      </c>
      <c r="C473" s="9" t="s">
        <v>14</v>
      </c>
      <c r="D473" s="9" t="s">
        <v>4957</v>
      </c>
      <c r="E473" s="10" t="s">
        <v>4958</v>
      </c>
    </row>
    <row r="474" customFormat="false" ht="15" hidden="false" customHeight="false" outlineLevel="0" collapsed="false">
      <c r="A474" s="9" t="s">
        <v>1406</v>
      </c>
      <c r="B474" s="9" t="s">
        <v>4537</v>
      </c>
      <c r="C474" s="9" t="s">
        <v>14</v>
      </c>
      <c r="D474" s="9" t="s">
        <v>1404</v>
      </c>
      <c r="E474" s="9"/>
    </row>
    <row r="475" customFormat="false" ht="15" hidden="false" customHeight="false" outlineLevel="0" collapsed="false">
      <c r="A475" s="9" t="s">
        <v>1410</v>
      </c>
      <c r="B475" s="9" t="s">
        <v>4430</v>
      </c>
      <c r="C475" s="9" t="s">
        <v>14</v>
      </c>
      <c r="D475" s="9" t="s">
        <v>1408</v>
      </c>
      <c r="E475" s="9"/>
    </row>
    <row r="476" customFormat="false" ht="15" hidden="false" customHeight="false" outlineLevel="0" collapsed="false">
      <c r="A476" s="9" t="s">
        <v>1416</v>
      </c>
      <c r="B476" s="9" t="s">
        <v>4428</v>
      </c>
      <c r="C476" s="9" t="s">
        <v>14</v>
      </c>
      <c r="D476" s="9" t="s">
        <v>1414</v>
      </c>
      <c r="E476" s="9"/>
    </row>
    <row r="477" customFormat="false" ht="15" hidden="false" customHeight="false" outlineLevel="0" collapsed="false">
      <c r="A477" s="9" t="s">
        <v>1419</v>
      </c>
      <c r="B477" s="9" t="s">
        <v>4435</v>
      </c>
      <c r="C477" s="9" t="s">
        <v>14</v>
      </c>
      <c r="D477" s="9" t="s">
        <v>1417</v>
      </c>
      <c r="E477" s="9"/>
    </row>
    <row r="478" customFormat="false" ht="15" hidden="false" customHeight="false" outlineLevel="0" collapsed="false">
      <c r="A478" s="9" t="s">
        <v>1422</v>
      </c>
      <c r="B478" s="9" t="s">
        <v>4435</v>
      </c>
      <c r="C478" s="9" t="s">
        <v>14</v>
      </c>
      <c r="D478" s="9" t="s">
        <v>1420</v>
      </c>
      <c r="E478" s="9"/>
    </row>
    <row r="479" customFormat="false" ht="15" hidden="false" customHeight="false" outlineLevel="0" collapsed="false">
      <c r="A479" s="9" t="s">
        <v>1413</v>
      </c>
      <c r="B479" s="9" t="s">
        <v>4451</v>
      </c>
      <c r="C479" s="9" t="s">
        <v>14</v>
      </c>
      <c r="D479" s="9" t="s">
        <v>1411</v>
      </c>
      <c r="E479" s="9"/>
    </row>
    <row r="480" customFormat="false" ht="15" hidden="false" customHeight="false" outlineLevel="0" collapsed="false">
      <c r="A480" s="9" t="s">
        <v>1425</v>
      </c>
      <c r="B480" s="9" t="s">
        <v>4533</v>
      </c>
      <c r="C480" s="9" t="s">
        <v>14</v>
      </c>
      <c r="D480" s="9" t="s">
        <v>1423</v>
      </c>
      <c r="E480" s="9"/>
    </row>
    <row r="481" customFormat="false" ht="15" hidden="false" customHeight="false" outlineLevel="0" collapsed="false">
      <c r="A481" s="9" t="s">
        <v>1428</v>
      </c>
      <c r="B481" s="9" t="s">
        <v>4426</v>
      </c>
      <c r="C481" s="9" t="s">
        <v>14</v>
      </c>
      <c r="D481" s="9" t="s">
        <v>1426</v>
      </c>
      <c r="E481" s="9"/>
    </row>
    <row r="482" customFormat="false" ht="15" hidden="false" customHeight="false" outlineLevel="0" collapsed="false">
      <c r="A482" s="9" t="s">
        <v>1434</v>
      </c>
      <c r="B482" s="9" t="s">
        <v>4426</v>
      </c>
      <c r="C482" s="9" t="s">
        <v>14</v>
      </c>
      <c r="D482" s="9" t="s">
        <v>1432</v>
      </c>
      <c r="E482" s="9"/>
    </row>
    <row r="483" customFormat="false" ht="15" hidden="false" customHeight="false" outlineLevel="0" collapsed="false">
      <c r="A483" s="9" t="s">
        <v>1437</v>
      </c>
      <c r="B483" s="9" t="s">
        <v>4433</v>
      </c>
      <c r="C483" s="9" t="s">
        <v>14</v>
      </c>
      <c r="D483" s="9" t="s">
        <v>1435</v>
      </c>
      <c r="E483" s="9"/>
    </row>
    <row r="484" customFormat="false" ht="15" hidden="false" customHeight="false" outlineLevel="0" collapsed="false">
      <c r="A484" s="9" t="s">
        <v>1440</v>
      </c>
      <c r="B484" s="9" t="s">
        <v>4433</v>
      </c>
      <c r="C484" s="9" t="s">
        <v>14</v>
      </c>
      <c r="D484" s="9" t="s">
        <v>1438</v>
      </c>
      <c r="E484" s="9"/>
    </row>
    <row r="485" customFormat="false" ht="15" hidden="false" customHeight="false" outlineLevel="0" collapsed="false">
      <c r="A485" s="9" t="s">
        <v>1431</v>
      </c>
      <c r="B485" s="9" t="s">
        <v>4449</v>
      </c>
      <c r="C485" s="9" t="s">
        <v>14</v>
      </c>
      <c r="D485" s="9" t="s">
        <v>1429</v>
      </c>
      <c r="E485" s="9"/>
    </row>
    <row r="486" customFormat="false" ht="15" hidden="false" customHeight="false" outlineLevel="0" collapsed="false">
      <c r="A486" s="9" t="s">
        <v>1443</v>
      </c>
      <c r="B486" s="9" t="s">
        <v>4535</v>
      </c>
      <c r="C486" s="9" t="s">
        <v>14</v>
      </c>
      <c r="D486" s="9" t="s">
        <v>1441</v>
      </c>
      <c r="E486" s="9"/>
    </row>
    <row r="487" customFormat="false" ht="15" hidden="false" customHeight="false" outlineLevel="0" collapsed="false">
      <c r="A487" s="9" t="s">
        <v>1446</v>
      </c>
      <c r="B487" s="9" t="s">
        <v>4428</v>
      </c>
      <c r="C487" s="9" t="s">
        <v>14</v>
      </c>
      <c r="D487" s="9" t="s">
        <v>1444</v>
      </c>
      <c r="E487" s="9"/>
    </row>
    <row r="488" customFormat="false" ht="15" hidden="false" customHeight="false" outlineLevel="0" collapsed="false">
      <c r="A488" s="9" t="s">
        <v>1452</v>
      </c>
      <c r="B488" s="9" t="s">
        <v>4426</v>
      </c>
      <c r="C488" s="9" t="s">
        <v>14</v>
      </c>
      <c r="D488" s="9" t="s">
        <v>1450</v>
      </c>
      <c r="E488" s="9"/>
    </row>
    <row r="489" customFormat="false" ht="15" hidden="false" customHeight="false" outlineLevel="0" collapsed="false">
      <c r="A489" s="9" t="s">
        <v>1455</v>
      </c>
      <c r="B489" s="9" t="s">
        <v>4433</v>
      </c>
      <c r="C489" s="9" t="s">
        <v>14</v>
      </c>
      <c r="D489" s="9" t="s">
        <v>1453</v>
      </c>
      <c r="E489" s="9"/>
    </row>
    <row r="490" customFormat="false" ht="15" hidden="false" customHeight="false" outlineLevel="0" collapsed="false">
      <c r="A490" s="9" t="s">
        <v>1458</v>
      </c>
      <c r="B490" s="9" t="s">
        <v>4433</v>
      </c>
      <c r="C490" s="9" t="s">
        <v>14</v>
      </c>
      <c r="D490" s="9" t="s">
        <v>1456</v>
      </c>
      <c r="E490" s="9"/>
    </row>
    <row r="491" customFormat="false" ht="15" hidden="false" customHeight="false" outlineLevel="0" collapsed="false">
      <c r="A491" s="9" t="s">
        <v>1449</v>
      </c>
      <c r="B491" s="9" t="s">
        <v>4334</v>
      </c>
      <c r="C491" s="9" t="s">
        <v>14</v>
      </c>
      <c r="D491" s="9" t="s">
        <v>1447</v>
      </c>
      <c r="E491" s="9"/>
    </row>
    <row r="492" customFormat="false" ht="15" hidden="false" customHeight="false" outlineLevel="0" collapsed="false">
      <c r="A492" s="9" t="s">
        <v>4959</v>
      </c>
      <c r="B492" s="9" t="s">
        <v>4960</v>
      </c>
      <c r="C492" s="10" t="s">
        <v>4196</v>
      </c>
      <c r="D492" s="9" t="s">
        <v>71</v>
      </c>
      <c r="E492" s="10" t="s">
        <v>4424</v>
      </c>
    </row>
    <row r="493" customFormat="false" ht="15" hidden="false" customHeight="false" outlineLevel="0" collapsed="false">
      <c r="A493" s="9" t="s">
        <v>4961</v>
      </c>
      <c r="B493" s="9" t="s">
        <v>4962</v>
      </c>
      <c r="C493" s="10" t="s">
        <v>4900</v>
      </c>
      <c r="D493" s="9" t="s">
        <v>4963</v>
      </c>
      <c r="E493" s="10" t="s">
        <v>4964</v>
      </c>
    </row>
    <row r="494" customFormat="false" ht="15" hidden="false" customHeight="false" outlineLevel="0" collapsed="false">
      <c r="A494" s="9" t="s">
        <v>4965</v>
      </c>
      <c r="B494" s="9" t="s">
        <v>4966</v>
      </c>
      <c r="C494" s="10" t="s">
        <v>4900</v>
      </c>
      <c r="D494" s="9" t="s">
        <v>4963</v>
      </c>
      <c r="E494" s="10" t="s">
        <v>4964</v>
      </c>
    </row>
    <row r="495" customFormat="false" ht="15" hidden="false" customHeight="false" outlineLevel="0" collapsed="false">
      <c r="A495" s="9" t="s">
        <v>4967</v>
      </c>
      <c r="B495" s="9" t="s">
        <v>4968</v>
      </c>
      <c r="C495" s="10" t="s">
        <v>4900</v>
      </c>
      <c r="D495" s="9" t="s">
        <v>4963</v>
      </c>
      <c r="E495" s="10" t="s">
        <v>4964</v>
      </c>
    </row>
    <row r="496" customFormat="false" ht="15" hidden="false" customHeight="false" outlineLevel="0" collapsed="false">
      <c r="A496" s="9" t="s">
        <v>4969</v>
      </c>
      <c r="B496" s="9" t="s">
        <v>4463</v>
      </c>
      <c r="C496" s="10" t="s">
        <v>4900</v>
      </c>
      <c r="D496" s="9" t="s">
        <v>4963</v>
      </c>
      <c r="E496" s="10" t="s">
        <v>4964</v>
      </c>
    </row>
    <row r="497" customFormat="false" ht="15" hidden="false" customHeight="false" outlineLevel="0" collapsed="false">
      <c r="A497" s="9" t="s">
        <v>4970</v>
      </c>
      <c r="B497" s="9" t="s">
        <v>4971</v>
      </c>
      <c r="C497" s="10" t="s">
        <v>4900</v>
      </c>
      <c r="D497" s="9" t="s">
        <v>4963</v>
      </c>
      <c r="E497" s="10" t="s">
        <v>4964</v>
      </c>
    </row>
    <row r="498" customFormat="false" ht="15" hidden="false" customHeight="false" outlineLevel="0" collapsed="false">
      <c r="A498" s="9" t="s">
        <v>4972</v>
      </c>
      <c r="B498" s="9" t="s">
        <v>4973</v>
      </c>
      <c r="C498" s="10" t="s">
        <v>4900</v>
      </c>
      <c r="D498" s="9" t="s">
        <v>4963</v>
      </c>
      <c r="E498" s="10" t="s">
        <v>4964</v>
      </c>
    </row>
    <row r="499" customFormat="false" ht="15" hidden="false" customHeight="false" outlineLevel="0" collapsed="false">
      <c r="A499" s="9" t="s">
        <v>4974</v>
      </c>
      <c r="B499" s="9" t="s">
        <v>4772</v>
      </c>
      <c r="C499" s="10" t="s">
        <v>4900</v>
      </c>
      <c r="D499" s="9" t="s">
        <v>4963</v>
      </c>
      <c r="E499" s="10" t="s">
        <v>4964</v>
      </c>
    </row>
    <row r="500" customFormat="false" ht="15" hidden="false" customHeight="false" outlineLevel="0" collapsed="false">
      <c r="A500" s="9" t="s">
        <v>4975</v>
      </c>
      <c r="B500" s="9" t="s">
        <v>4976</v>
      </c>
      <c r="C500" s="10" t="s">
        <v>4900</v>
      </c>
      <c r="D500" s="9" t="s">
        <v>4963</v>
      </c>
      <c r="E500" s="10" t="s">
        <v>4964</v>
      </c>
    </row>
    <row r="501" customFormat="false" ht="15" hidden="false" customHeight="false" outlineLevel="0" collapsed="false">
      <c r="A501" s="9" t="s">
        <v>4977</v>
      </c>
      <c r="B501" s="9" t="s">
        <v>4253</v>
      </c>
      <c r="C501" s="10" t="s">
        <v>4900</v>
      </c>
      <c r="D501" s="9" t="s">
        <v>4963</v>
      </c>
      <c r="E501" s="10" t="s">
        <v>4964</v>
      </c>
    </row>
    <row r="502" customFormat="false" ht="15" hidden="false" customHeight="false" outlineLevel="0" collapsed="false">
      <c r="A502" s="9" t="s">
        <v>4978</v>
      </c>
      <c r="B502" s="9" t="s">
        <v>4385</v>
      </c>
      <c r="C502" s="10" t="s">
        <v>4900</v>
      </c>
      <c r="D502" s="9" t="s">
        <v>4963</v>
      </c>
      <c r="E502" s="10" t="s">
        <v>4964</v>
      </c>
    </row>
    <row r="503" customFormat="false" ht="15" hidden="false" customHeight="false" outlineLevel="0" collapsed="false">
      <c r="A503" s="9" t="s">
        <v>4979</v>
      </c>
      <c r="B503" s="9" t="s">
        <v>4388</v>
      </c>
      <c r="C503" s="10" t="s">
        <v>4900</v>
      </c>
      <c r="D503" s="9" t="s">
        <v>4963</v>
      </c>
      <c r="E503" s="10" t="s">
        <v>4964</v>
      </c>
    </row>
    <row r="504" customFormat="false" ht="15" hidden="false" customHeight="false" outlineLevel="0" collapsed="false">
      <c r="A504" s="9" t="s">
        <v>4980</v>
      </c>
      <c r="B504" s="9" t="s">
        <v>4298</v>
      </c>
      <c r="C504" s="10" t="s">
        <v>4900</v>
      </c>
      <c r="D504" s="9" t="s">
        <v>4963</v>
      </c>
      <c r="E504" s="10" t="s">
        <v>4964</v>
      </c>
    </row>
    <row r="505" customFormat="false" ht="15" hidden="false" customHeight="false" outlineLevel="0" collapsed="false">
      <c r="A505" s="9" t="s">
        <v>4981</v>
      </c>
      <c r="B505" s="9" t="s">
        <v>4276</v>
      </c>
      <c r="C505" s="10" t="s">
        <v>4900</v>
      </c>
      <c r="D505" s="9" t="s">
        <v>4963</v>
      </c>
      <c r="E505" s="10" t="s">
        <v>4964</v>
      </c>
    </row>
    <row r="506" customFormat="false" ht="15" hidden="false" customHeight="false" outlineLevel="0" collapsed="false">
      <c r="A506" s="9" t="s">
        <v>4982</v>
      </c>
      <c r="B506" s="9" t="s">
        <v>4983</v>
      </c>
      <c r="C506" s="10" t="s">
        <v>4900</v>
      </c>
      <c r="D506" s="9" t="s">
        <v>4963</v>
      </c>
      <c r="E506" s="10" t="s">
        <v>4964</v>
      </c>
    </row>
    <row r="507" customFormat="false" ht="15" hidden="false" customHeight="false" outlineLevel="0" collapsed="false">
      <c r="A507" s="9" t="s">
        <v>4984</v>
      </c>
      <c r="B507" s="9" t="s">
        <v>4280</v>
      </c>
      <c r="C507" s="10" t="s">
        <v>4900</v>
      </c>
      <c r="D507" s="9" t="s">
        <v>4963</v>
      </c>
      <c r="E507" s="10" t="s">
        <v>4964</v>
      </c>
    </row>
    <row r="508" customFormat="false" ht="15" hidden="false" customHeight="false" outlineLevel="0" collapsed="false">
      <c r="A508" s="9" t="s">
        <v>4985</v>
      </c>
      <c r="B508" s="9" t="s">
        <v>4986</v>
      </c>
      <c r="C508" s="10" t="s">
        <v>4900</v>
      </c>
      <c r="D508" s="9" t="s">
        <v>4963</v>
      </c>
      <c r="E508" s="10" t="s">
        <v>4964</v>
      </c>
    </row>
    <row r="509" customFormat="false" ht="15" hidden="false" customHeight="false" outlineLevel="0" collapsed="false">
      <c r="A509" s="9" t="s">
        <v>4987</v>
      </c>
      <c r="B509" s="9" t="s">
        <v>4988</v>
      </c>
      <c r="C509" s="10" t="s">
        <v>4900</v>
      </c>
      <c r="D509" s="9" t="s">
        <v>4963</v>
      </c>
      <c r="E509" s="10" t="s">
        <v>4964</v>
      </c>
    </row>
    <row r="510" customFormat="false" ht="15" hidden="false" customHeight="false" outlineLevel="0" collapsed="false">
      <c r="A510" s="9" t="s">
        <v>4989</v>
      </c>
      <c r="B510" s="9" t="s">
        <v>4990</v>
      </c>
      <c r="C510" s="10" t="s">
        <v>4900</v>
      </c>
      <c r="D510" s="9" t="s">
        <v>4963</v>
      </c>
      <c r="E510" s="10" t="s">
        <v>4964</v>
      </c>
    </row>
    <row r="511" customFormat="false" ht="15" hidden="false" customHeight="false" outlineLevel="0" collapsed="false">
      <c r="A511" s="9" t="s">
        <v>4991</v>
      </c>
      <c r="B511" s="9" t="s">
        <v>4992</v>
      </c>
      <c r="C511" s="10" t="s">
        <v>4900</v>
      </c>
      <c r="D511" s="9" t="s">
        <v>4963</v>
      </c>
      <c r="E511" s="10" t="s">
        <v>4964</v>
      </c>
    </row>
    <row r="512" customFormat="false" ht="15" hidden="false" customHeight="false" outlineLevel="0" collapsed="false">
      <c r="A512" s="9" t="s">
        <v>4993</v>
      </c>
      <c r="B512" s="9" t="s">
        <v>4994</v>
      </c>
      <c r="C512" s="10" t="s">
        <v>4900</v>
      </c>
      <c r="D512" s="9" t="s">
        <v>4963</v>
      </c>
      <c r="E512" s="10" t="s">
        <v>4964</v>
      </c>
    </row>
    <row r="513" customFormat="false" ht="15" hidden="false" customHeight="false" outlineLevel="0" collapsed="false">
      <c r="A513" s="9" t="s">
        <v>4995</v>
      </c>
      <c r="B513" s="9" t="s">
        <v>4996</v>
      </c>
      <c r="C513" s="10" t="s">
        <v>4900</v>
      </c>
      <c r="D513" s="9" t="s">
        <v>4963</v>
      </c>
      <c r="E513" s="10" t="s">
        <v>4964</v>
      </c>
    </row>
    <row r="514" customFormat="false" ht="15" hidden="false" customHeight="false" outlineLevel="0" collapsed="false">
      <c r="A514" s="9" t="s">
        <v>4997</v>
      </c>
      <c r="B514" s="9" t="s">
        <v>4998</v>
      </c>
      <c r="C514" s="10" t="s">
        <v>4900</v>
      </c>
      <c r="D514" s="9" t="s">
        <v>4999</v>
      </c>
      <c r="E514" s="10" t="s">
        <v>4964</v>
      </c>
    </row>
    <row r="515" customFormat="false" ht="15" hidden="false" customHeight="false" outlineLevel="0" collapsed="false">
      <c r="A515" s="9" t="s">
        <v>5000</v>
      </c>
      <c r="B515" s="9" t="s">
        <v>5001</v>
      </c>
      <c r="C515" s="10" t="s">
        <v>4900</v>
      </c>
      <c r="D515" s="9" t="s">
        <v>4999</v>
      </c>
      <c r="E515" s="10" t="s">
        <v>4964</v>
      </c>
    </row>
    <row r="516" customFormat="false" ht="15" hidden="false" customHeight="false" outlineLevel="0" collapsed="false">
      <c r="A516" s="9" t="s">
        <v>5002</v>
      </c>
      <c r="B516" s="9" t="s">
        <v>5003</v>
      </c>
      <c r="C516" s="10" t="s">
        <v>4900</v>
      </c>
      <c r="D516" s="9" t="s">
        <v>4999</v>
      </c>
      <c r="E516" s="10" t="s">
        <v>4964</v>
      </c>
    </row>
    <row r="517" customFormat="false" ht="15" hidden="false" customHeight="false" outlineLevel="0" collapsed="false">
      <c r="A517" s="9" t="s">
        <v>5004</v>
      </c>
      <c r="B517" s="9" t="s">
        <v>5005</v>
      </c>
      <c r="C517" s="10" t="s">
        <v>4900</v>
      </c>
      <c r="D517" s="9" t="s">
        <v>4999</v>
      </c>
      <c r="E517" s="10" t="s">
        <v>4964</v>
      </c>
    </row>
    <row r="518" customFormat="false" ht="15" hidden="false" customHeight="false" outlineLevel="0" collapsed="false">
      <c r="A518" s="9" t="s">
        <v>5006</v>
      </c>
      <c r="B518" s="9" t="s">
        <v>5007</v>
      </c>
      <c r="C518" s="10" t="s">
        <v>4900</v>
      </c>
      <c r="D518" s="9" t="s">
        <v>4999</v>
      </c>
      <c r="E518" s="10" t="s">
        <v>4964</v>
      </c>
    </row>
    <row r="519" customFormat="false" ht="15" hidden="false" customHeight="false" outlineLevel="0" collapsed="false">
      <c r="A519" s="9" t="s">
        <v>5008</v>
      </c>
      <c r="B519" s="9" t="s">
        <v>5009</v>
      </c>
      <c r="C519" s="10" t="s">
        <v>4900</v>
      </c>
      <c r="D519" s="9" t="s">
        <v>4999</v>
      </c>
      <c r="E519" s="10" t="s">
        <v>4964</v>
      </c>
    </row>
    <row r="520" customFormat="false" ht="15" hidden="false" customHeight="false" outlineLevel="0" collapsed="false">
      <c r="A520" s="9" t="s">
        <v>5010</v>
      </c>
      <c r="B520" s="9" t="s">
        <v>5011</v>
      </c>
      <c r="C520" s="10" t="s">
        <v>4900</v>
      </c>
      <c r="D520" s="9" t="s">
        <v>4999</v>
      </c>
      <c r="E520" s="10" t="s">
        <v>4964</v>
      </c>
    </row>
    <row r="521" customFormat="false" ht="15" hidden="false" customHeight="false" outlineLevel="0" collapsed="false">
      <c r="A521" s="9" t="s">
        <v>5012</v>
      </c>
      <c r="B521" s="9" t="s">
        <v>5013</v>
      </c>
      <c r="C521" s="10" t="s">
        <v>4900</v>
      </c>
      <c r="D521" s="9" t="s">
        <v>4999</v>
      </c>
      <c r="E521" s="10" t="s">
        <v>4964</v>
      </c>
    </row>
    <row r="522" customFormat="false" ht="15" hidden="false" customHeight="false" outlineLevel="0" collapsed="false">
      <c r="A522" s="9" t="s">
        <v>5014</v>
      </c>
      <c r="B522" s="9" t="s">
        <v>5015</v>
      </c>
      <c r="C522" s="10" t="s">
        <v>4900</v>
      </c>
      <c r="D522" s="9" t="s">
        <v>4999</v>
      </c>
      <c r="E522" s="10" t="s">
        <v>4964</v>
      </c>
    </row>
    <row r="523" customFormat="false" ht="15" hidden="false" customHeight="false" outlineLevel="0" collapsed="false">
      <c r="A523" s="9" t="s">
        <v>5016</v>
      </c>
      <c r="B523" s="9" t="s">
        <v>5017</v>
      </c>
      <c r="C523" s="10" t="s">
        <v>4900</v>
      </c>
      <c r="D523" s="9" t="s">
        <v>4999</v>
      </c>
      <c r="E523" s="10" t="s">
        <v>4964</v>
      </c>
    </row>
    <row r="524" customFormat="false" ht="15" hidden="false" customHeight="false" outlineLevel="0" collapsed="false">
      <c r="A524" s="9" t="s">
        <v>5018</v>
      </c>
      <c r="B524" s="9" t="s">
        <v>5019</v>
      </c>
      <c r="C524" s="10" t="s">
        <v>4900</v>
      </c>
      <c r="D524" s="9" t="s">
        <v>4999</v>
      </c>
      <c r="E524" s="10" t="s">
        <v>4964</v>
      </c>
    </row>
    <row r="525" customFormat="false" ht="15" hidden="false" customHeight="false" outlineLevel="0" collapsed="false">
      <c r="A525" s="9" t="s">
        <v>5020</v>
      </c>
      <c r="B525" s="9" t="s">
        <v>5021</v>
      </c>
      <c r="C525" s="10" t="s">
        <v>4900</v>
      </c>
      <c r="D525" s="9" t="s">
        <v>4999</v>
      </c>
      <c r="E525" s="10" t="s">
        <v>4964</v>
      </c>
    </row>
    <row r="526" customFormat="false" ht="15" hidden="false" customHeight="false" outlineLevel="0" collapsed="false">
      <c r="A526" s="9" t="s">
        <v>5022</v>
      </c>
      <c r="B526" s="9" t="s">
        <v>5023</v>
      </c>
      <c r="C526" s="10" t="s">
        <v>4900</v>
      </c>
      <c r="D526" s="9" t="s">
        <v>4999</v>
      </c>
      <c r="E526" s="10" t="s">
        <v>4964</v>
      </c>
    </row>
    <row r="527" customFormat="false" ht="15" hidden="false" customHeight="false" outlineLevel="0" collapsed="false">
      <c r="A527" s="9" t="s">
        <v>5024</v>
      </c>
      <c r="B527" s="9" t="s">
        <v>5025</v>
      </c>
      <c r="C527" s="10" t="s">
        <v>4900</v>
      </c>
      <c r="D527" s="9" t="s">
        <v>4999</v>
      </c>
      <c r="E527" s="10" t="s">
        <v>4964</v>
      </c>
    </row>
    <row r="528" customFormat="false" ht="15" hidden="false" customHeight="false" outlineLevel="0" collapsed="false">
      <c r="A528" s="9" t="s">
        <v>5026</v>
      </c>
      <c r="B528" s="9" t="s">
        <v>5027</v>
      </c>
      <c r="C528" s="10" t="s">
        <v>4900</v>
      </c>
      <c r="D528" s="9" t="s">
        <v>4999</v>
      </c>
      <c r="E528" s="10" t="s">
        <v>4964</v>
      </c>
    </row>
    <row r="529" customFormat="false" ht="15" hidden="false" customHeight="false" outlineLevel="0" collapsed="false">
      <c r="A529" s="9" t="s">
        <v>5028</v>
      </c>
      <c r="B529" s="9" t="s">
        <v>5029</v>
      </c>
      <c r="C529" s="10" t="s">
        <v>4900</v>
      </c>
      <c r="D529" s="9" t="s">
        <v>4999</v>
      </c>
      <c r="E529" s="10" t="s">
        <v>4964</v>
      </c>
    </row>
    <row r="530" customFormat="false" ht="15" hidden="false" customHeight="false" outlineLevel="0" collapsed="false">
      <c r="A530" s="9" t="s">
        <v>5030</v>
      </c>
      <c r="B530" s="9" t="s">
        <v>4483</v>
      </c>
      <c r="C530" s="10" t="s">
        <v>4900</v>
      </c>
      <c r="D530" s="9" t="s">
        <v>4999</v>
      </c>
      <c r="E530" s="10" t="s">
        <v>4964</v>
      </c>
    </row>
    <row r="531" customFormat="false" ht="15" hidden="false" customHeight="false" outlineLevel="0" collapsed="false">
      <c r="A531" s="9" t="s">
        <v>5031</v>
      </c>
      <c r="B531" s="9" t="s">
        <v>4280</v>
      </c>
      <c r="C531" s="10" t="s">
        <v>4900</v>
      </c>
      <c r="D531" s="9" t="s">
        <v>4999</v>
      </c>
      <c r="E531" s="10" t="s">
        <v>4964</v>
      </c>
    </row>
    <row r="532" customFormat="false" ht="15" hidden="false" customHeight="false" outlineLevel="0" collapsed="false">
      <c r="A532" s="9" t="s">
        <v>5032</v>
      </c>
      <c r="B532" s="9" t="s">
        <v>5033</v>
      </c>
      <c r="C532" s="10" t="s">
        <v>4900</v>
      </c>
      <c r="D532" s="9" t="s">
        <v>5034</v>
      </c>
      <c r="E532" s="10" t="s">
        <v>4964</v>
      </c>
    </row>
    <row r="533" customFormat="false" ht="15" hidden="false" customHeight="false" outlineLevel="0" collapsed="false">
      <c r="A533" s="9" t="s">
        <v>5035</v>
      </c>
      <c r="B533" s="9" t="s">
        <v>4641</v>
      </c>
      <c r="C533" s="10" t="s">
        <v>4900</v>
      </c>
      <c r="D533" s="9" t="s">
        <v>5034</v>
      </c>
      <c r="E533" s="10" t="s">
        <v>4964</v>
      </c>
    </row>
    <row r="534" customFormat="false" ht="15" hidden="false" customHeight="false" outlineLevel="0" collapsed="false">
      <c r="A534" s="9" t="s">
        <v>5036</v>
      </c>
      <c r="B534" s="9" t="s">
        <v>5037</v>
      </c>
      <c r="C534" s="10" t="s">
        <v>4900</v>
      </c>
      <c r="D534" s="9" t="s">
        <v>5034</v>
      </c>
      <c r="E534" s="10" t="s">
        <v>4964</v>
      </c>
    </row>
    <row r="535" customFormat="false" ht="15" hidden="false" customHeight="false" outlineLevel="0" collapsed="false">
      <c r="A535" s="9" t="s">
        <v>5038</v>
      </c>
      <c r="B535" s="9" t="s">
        <v>4298</v>
      </c>
      <c r="C535" s="10" t="s">
        <v>4900</v>
      </c>
      <c r="D535" s="9" t="s">
        <v>5034</v>
      </c>
      <c r="E535" s="10" t="s">
        <v>4964</v>
      </c>
    </row>
    <row r="536" customFormat="false" ht="15" hidden="false" customHeight="false" outlineLevel="0" collapsed="false">
      <c r="A536" s="9" t="s">
        <v>5039</v>
      </c>
      <c r="B536" s="9" t="s">
        <v>4574</v>
      </c>
      <c r="C536" s="10" t="s">
        <v>4900</v>
      </c>
      <c r="D536" s="9" t="s">
        <v>5034</v>
      </c>
      <c r="E536" s="10" t="s">
        <v>4964</v>
      </c>
    </row>
    <row r="537" customFormat="false" ht="15" hidden="false" customHeight="false" outlineLevel="0" collapsed="false">
      <c r="A537" s="9" t="s">
        <v>5040</v>
      </c>
      <c r="B537" s="9" t="s">
        <v>4702</v>
      </c>
      <c r="C537" s="10" t="s">
        <v>4900</v>
      </c>
      <c r="D537" s="9" t="s">
        <v>5034</v>
      </c>
      <c r="E537" s="10" t="s">
        <v>4964</v>
      </c>
    </row>
    <row r="538" customFormat="false" ht="15" hidden="false" customHeight="false" outlineLevel="0" collapsed="false">
      <c r="A538" s="9" t="s">
        <v>5041</v>
      </c>
      <c r="B538" s="9" t="s">
        <v>5042</v>
      </c>
      <c r="C538" s="10" t="s">
        <v>4900</v>
      </c>
      <c r="D538" s="9" t="s">
        <v>5034</v>
      </c>
      <c r="E538" s="10" t="s">
        <v>4964</v>
      </c>
    </row>
    <row r="539" customFormat="false" ht="15" hidden="false" customHeight="false" outlineLevel="0" collapsed="false">
      <c r="A539" s="9" t="s">
        <v>5043</v>
      </c>
      <c r="B539" s="9" t="s">
        <v>4298</v>
      </c>
      <c r="C539" s="10" t="s">
        <v>4900</v>
      </c>
      <c r="D539" s="9" t="s">
        <v>5034</v>
      </c>
      <c r="E539" s="10" t="s">
        <v>4964</v>
      </c>
    </row>
    <row r="540" customFormat="false" ht="15" hidden="false" customHeight="false" outlineLevel="0" collapsed="false">
      <c r="A540" s="9" t="s">
        <v>5044</v>
      </c>
      <c r="B540" s="9" t="s">
        <v>5045</v>
      </c>
      <c r="C540" s="10" t="s">
        <v>4900</v>
      </c>
      <c r="D540" s="9" t="s">
        <v>5034</v>
      </c>
      <c r="E540" s="10" t="s">
        <v>4964</v>
      </c>
    </row>
    <row r="541" customFormat="false" ht="15" hidden="false" customHeight="false" outlineLevel="0" collapsed="false">
      <c r="A541" s="9" t="s">
        <v>5046</v>
      </c>
      <c r="B541" s="9" t="s">
        <v>4298</v>
      </c>
      <c r="C541" s="10" t="s">
        <v>4900</v>
      </c>
      <c r="D541" s="9" t="s">
        <v>5034</v>
      </c>
      <c r="E541" s="10" t="s">
        <v>4964</v>
      </c>
    </row>
    <row r="542" customFormat="false" ht="15" hidden="false" customHeight="false" outlineLevel="0" collapsed="false">
      <c r="A542" s="9" t="s">
        <v>5047</v>
      </c>
      <c r="B542" s="9" t="s">
        <v>4334</v>
      </c>
      <c r="C542" s="10" t="s">
        <v>4900</v>
      </c>
      <c r="D542" s="9" t="s">
        <v>5034</v>
      </c>
      <c r="E542" s="10" t="s">
        <v>4964</v>
      </c>
    </row>
    <row r="543" customFormat="false" ht="15" hidden="false" customHeight="false" outlineLevel="0" collapsed="false">
      <c r="A543" s="9" t="s">
        <v>5048</v>
      </c>
      <c r="B543" s="9" t="s">
        <v>4792</v>
      </c>
      <c r="C543" s="10" t="s">
        <v>4900</v>
      </c>
      <c r="D543" s="9" t="s">
        <v>5034</v>
      </c>
      <c r="E543" s="10" t="s">
        <v>4964</v>
      </c>
    </row>
    <row r="544" customFormat="false" ht="15" hidden="false" customHeight="false" outlineLevel="0" collapsed="false">
      <c r="A544" s="9" t="s">
        <v>5049</v>
      </c>
      <c r="B544" s="9" t="s">
        <v>4282</v>
      </c>
      <c r="C544" s="10" t="s">
        <v>4900</v>
      </c>
      <c r="D544" s="9" t="s">
        <v>5034</v>
      </c>
      <c r="E544" s="10" t="s">
        <v>4964</v>
      </c>
    </row>
    <row r="545" customFormat="false" ht="15" hidden="false" customHeight="false" outlineLevel="0" collapsed="false">
      <c r="A545" s="9" t="s">
        <v>5050</v>
      </c>
      <c r="B545" s="9" t="s">
        <v>4483</v>
      </c>
      <c r="C545" s="10" t="s">
        <v>4900</v>
      </c>
      <c r="D545" s="9" t="s">
        <v>5034</v>
      </c>
      <c r="E545" s="10" t="s">
        <v>4964</v>
      </c>
    </row>
    <row r="546" customFormat="false" ht="15" hidden="false" customHeight="false" outlineLevel="0" collapsed="false">
      <c r="A546" s="9" t="s">
        <v>5051</v>
      </c>
      <c r="B546" s="9" t="s">
        <v>5052</v>
      </c>
      <c r="C546" s="10" t="s">
        <v>4900</v>
      </c>
      <c r="D546" s="9" t="s">
        <v>5034</v>
      </c>
      <c r="E546" s="10" t="s">
        <v>4964</v>
      </c>
    </row>
    <row r="547" customFormat="false" ht="15" hidden="false" customHeight="false" outlineLevel="0" collapsed="false">
      <c r="A547" s="9" t="s">
        <v>5053</v>
      </c>
      <c r="B547" s="9" t="s">
        <v>5054</v>
      </c>
      <c r="C547" s="9" t="s">
        <v>14</v>
      </c>
      <c r="D547" s="9" t="s">
        <v>5055</v>
      </c>
      <c r="E547" s="10" t="s">
        <v>4424</v>
      </c>
    </row>
    <row r="548" customFormat="false" ht="15" hidden="false" customHeight="false" outlineLevel="0" collapsed="false">
      <c r="A548" s="9" t="s">
        <v>5056</v>
      </c>
      <c r="B548" s="9" t="s">
        <v>5057</v>
      </c>
      <c r="C548" s="9" t="s">
        <v>14</v>
      </c>
      <c r="D548" s="9" t="s">
        <v>1459</v>
      </c>
      <c r="E548" s="9"/>
    </row>
    <row r="549" customFormat="false" ht="15" hidden="false" customHeight="false" outlineLevel="0" collapsed="false">
      <c r="A549" s="9" t="s">
        <v>5058</v>
      </c>
      <c r="B549" s="9" t="s">
        <v>4334</v>
      </c>
      <c r="C549" s="9" t="s">
        <v>14</v>
      </c>
      <c r="D549" s="9" t="s">
        <v>1464</v>
      </c>
      <c r="E549" s="9"/>
    </row>
    <row r="550" customFormat="false" ht="15" hidden="false" customHeight="false" outlineLevel="0" collapsed="false">
      <c r="A550" s="9" t="s">
        <v>5059</v>
      </c>
      <c r="B550" s="9" t="s">
        <v>4823</v>
      </c>
      <c r="C550" s="9" t="s">
        <v>14</v>
      </c>
      <c r="D550" s="9" t="s">
        <v>1466</v>
      </c>
      <c r="E550" s="9"/>
    </row>
    <row r="551" customFormat="false" ht="15" hidden="false" customHeight="false" outlineLevel="0" collapsed="false">
      <c r="A551" s="9" t="s">
        <v>5060</v>
      </c>
      <c r="B551" s="9" t="s">
        <v>4451</v>
      </c>
      <c r="C551" s="9" t="s">
        <v>14</v>
      </c>
      <c r="D551" s="9" t="s">
        <v>1468</v>
      </c>
      <c r="E551" s="9"/>
    </row>
    <row r="552" customFormat="false" ht="15" hidden="false" customHeight="false" outlineLevel="0" collapsed="false">
      <c r="A552" s="9" t="s">
        <v>5061</v>
      </c>
      <c r="B552" s="9" t="s">
        <v>4385</v>
      </c>
      <c r="C552" s="9" t="s">
        <v>14</v>
      </c>
      <c r="D552" s="9" t="s">
        <v>1470</v>
      </c>
      <c r="E552" s="9"/>
    </row>
    <row r="553" customFormat="false" ht="15" hidden="false" customHeight="false" outlineLevel="0" collapsed="false">
      <c r="A553" s="9" t="s">
        <v>5062</v>
      </c>
      <c r="B553" s="9" t="s">
        <v>4643</v>
      </c>
      <c r="C553" s="9" t="s">
        <v>14</v>
      </c>
      <c r="D553" s="9" t="s">
        <v>1472</v>
      </c>
      <c r="E553" s="9"/>
    </row>
    <row r="554" customFormat="false" ht="15" hidden="false" customHeight="false" outlineLevel="0" collapsed="false">
      <c r="A554" s="9" t="s">
        <v>5063</v>
      </c>
      <c r="B554" s="9" t="s">
        <v>4449</v>
      </c>
      <c r="C554" s="9" t="s">
        <v>14</v>
      </c>
      <c r="D554" s="9" t="s">
        <v>1475</v>
      </c>
      <c r="E554" s="9"/>
    </row>
    <row r="555" customFormat="false" ht="15" hidden="false" customHeight="false" outlineLevel="0" collapsed="false">
      <c r="A555" s="9" t="s">
        <v>5064</v>
      </c>
      <c r="B555" s="9" t="s">
        <v>4823</v>
      </c>
      <c r="C555" s="9" t="s">
        <v>14</v>
      </c>
      <c r="D555" s="9" t="s">
        <v>1476</v>
      </c>
      <c r="E555" s="9"/>
    </row>
    <row r="556" customFormat="false" ht="15" hidden="false" customHeight="false" outlineLevel="0" collapsed="false">
      <c r="A556" s="9" t="s">
        <v>5065</v>
      </c>
      <c r="B556" s="9" t="s">
        <v>4451</v>
      </c>
      <c r="C556" s="9" t="s">
        <v>14</v>
      </c>
      <c r="D556" s="9" t="s">
        <v>1477</v>
      </c>
      <c r="E556" s="9"/>
    </row>
    <row r="557" customFormat="false" ht="15" hidden="false" customHeight="false" outlineLevel="0" collapsed="false">
      <c r="A557" s="9" t="s">
        <v>5066</v>
      </c>
      <c r="B557" s="9" t="s">
        <v>4385</v>
      </c>
      <c r="C557" s="9" t="s">
        <v>14</v>
      </c>
      <c r="D557" s="9" t="s">
        <v>1478</v>
      </c>
      <c r="E557" s="9"/>
    </row>
    <row r="558" customFormat="false" ht="15" hidden="false" customHeight="false" outlineLevel="0" collapsed="false">
      <c r="A558" s="9" t="s">
        <v>5067</v>
      </c>
      <c r="B558" s="9" t="s">
        <v>4463</v>
      </c>
      <c r="C558" s="9" t="s">
        <v>14</v>
      </c>
      <c r="D558" s="9" t="s">
        <v>1479</v>
      </c>
      <c r="E558" s="9"/>
    </row>
    <row r="559" customFormat="false" ht="15" hidden="false" customHeight="false" outlineLevel="0" collapsed="false">
      <c r="A559" s="9" t="s">
        <v>5068</v>
      </c>
      <c r="B559" s="9" t="s">
        <v>4253</v>
      </c>
      <c r="C559" s="9" t="s">
        <v>14</v>
      </c>
      <c r="D559" s="9" t="s">
        <v>1482</v>
      </c>
      <c r="E559" s="9"/>
    </row>
    <row r="560" customFormat="false" ht="15" hidden="false" customHeight="false" outlineLevel="0" collapsed="false">
      <c r="A560" s="9" t="s">
        <v>5069</v>
      </c>
      <c r="B560" s="9" t="s">
        <v>4792</v>
      </c>
      <c r="C560" s="9" t="s">
        <v>14</v>
      </c>
      <c r="D560" s="9" t="s">
        <v>1483</v>
      </c>
      <c r="E560" s="9"/>
    </row>
    <row r="561" customFormat="false" ht="15" hidden="false" customHeight="false" outlineLevel="0" collapsed="false">
      <c r="A561" s="9" t="s">
        <v>5070</v>
      </c>
      <c r="B561" s="9" t="s">
        <v>4385</v>
      </c>
      <c r="C561" s="9" t="s">
        <v>14</v>
      </c>
      <c r="D561" s="9" t="s">
        <v>1484</v>
      </c>
      <c r="E561" s="9"/>
    </row>
    <row r="562" customFormat="false" ht="15" hidden="false" customHeight="false" outlineLevel="0" collapsed="false">
      <c r="A562" s="9" t="s">
        <v>5071</v>
      </c>
      <c r="B562" s="9" t="s">
        <v>4338</v>
      </c>
      <c r="C562" s="9" t="s">
        <v>14</v>
      </c>
      <c r="D562" s="9" t="s">
        <v>1485</v>
      </c>
      <c r="E562" s="9"/>
    </row>
    <row r="563" customFormat="false" ht="15" hidden="false" customHeight="false" outlineLevel="0" collapsed="false">
      <c r="A563" s="9" t="s">
        <v>5072</v>
      </c>
      <c r="B563" s="9" t="s">
        <v>4334</v>
      </c>
      <c r="C563" s="9" t="s">
        <v>14</v>
      </c>
      <c r="D563" s="9" t="s">
        <v>1486</v>
      </c>
      <c r="E563" s="9"/>
    </row>
    <row r="564" customFormat="false" ht="15" hidden="false" customHeight="false" outlineLevel="0" collapsed="false">
      <c r="A564" s="9" t="s">
        <v>5073</v>
      </c>
      <c r="B564" s="9" t="s">
        <v>4338</v>
      </c>
      <c r="C564" s="9" t="s">
        <v>14</v>
      </c>
      <c r="D564" s="9" t="s">
        <v>1489</v>
      </c>
      <c r="E564" s="9"/>
    </row>
    <row r="565" customFormat="false" ht="15" hidden="false" customHeight="false" outlineLevel="0" collapsed="false">
      <c r="A565" s="9" t="s">
        <v>5074</v>
      </c>
      <c r="B565" s="9" t="s">
        <v>4385</v>
      </c>
      <c r="C565" s="9" t="s">
        <v>14</v>
      </c>
      <c r="D565" s="9" t="s">
        <v>1490</v>
      </c>
      <c r="E565" s="9"/>
    </row>
    <row r="566" customFormat="false" ht="15" hidden="false" customHeight="false" outlineLevel="0" collapsed="false">
      <c r="A566" s="9" t="s">
        <v>5075</v>
      </c>
      <c r="B566" s="9" t="s">
        <v>4338</v>
      </c>
      <c r="C566" s="9" t="s">
        <v>14</v>
      </c>
      <c r="D566" s="9" t="s">
        <v>1491</v>
      </c>
      <c r="E566" s="9"/>
    </row>
    <row r="567" customFormat="false" ht="15" hidden="false" customHeight="false" outlineLevel="0" collapsed="false">
      <c r="A567" s="9" t="s">
        <v>5076</v>
      </c>
      <c r="B567" s="9" t="s">
        <v>4253</v>
      </c>
      <c r="C567" s="9" t="s">
        <v>14</v>
      </c>
      <c r="D567" s="9" t="s">
        <v>1492</v>
      </c>
      <c r="E567" s="9"/>
    </row>
    <row r="568" customFormat="false" ht="15" hidden="false" customHeight="false" outlineLevel="0" collapsed="false">
      <c r="A568" s="9" t="s">
        <v>5077</v>
      </c>
      <c r="B568" s="9" t="s">
        <v>4461</v>
      </c>
      <c r="C568" s="9" t="s">
        <v>14</v>
      </c>
      <c r="D568" s="9" t="s">
        <v>1493</v>
      </c>
      <c r="E568" s="9"/>
    </row>
    <row r="569" customFormat="false" ht="15" hidden="false" customHeight="false" outlineLevel="0" collapsed="false">
      <c r="A569" s="9" t="s">
        <v>5078</v>
      </c>
      <c r="B569" s="9" t="s">
        <v>4853</v>
      </c>
      <c r="C569" s="9" t="s">
        <v>14</v>
      </c>
      <c r="D569" s="9" t="s">
        <v>1496</v>
      </c>
      <c r="E569" s="9"/>
    </row>
    <row r="570" customFormat="false" ht="15" hidden="false" customHeight="false" outlineLevel="0" collapsed="false">
      <c r="A570" s="9" t="s">
        <v>5079</v>
      </c>
      <c r="B570" s="9" t="s">
        <v>4792</v>
      </c>
      <c r="C570" s="9" t="s">
        <v>14</v>
      </c>
      <c r="D570" s="9" t="s">
        <v>1497</v>
      </c>
      <c r="E570" s="9"/>
    </row>
    <row r="571" customFormat="false" ht="15" hidden="false" customHeight="false" outlineLevel="0" collapsed="false">
      <c r="A571" s="9" t="s">
        <v>5080</v>
      </c>
      <c r="B571" s="9" t="s">
        <v>4463</v>
      </c>
      <c r="C571" s="9" t="s">
        <v>14</v>
      </c>
      <c r="D571" s="9" t="s">
        <v>1498</v>
      </c>
      <c r="E571" s="9"/>
    </row>
    <row r="572" customFormat="false" ht="15" hidden="false" customHeight="false" outlineLevel="0" collapsed="false">
      <c r="A572" s="9" t="s">
        <v>5081</v>
      </c>
      <c r="B572" s="9" t="s">
        <v>4466</v>
      </c>
      <c r="C572" s="9" t="s">
        <v>14</v>
      </c>
      <c r="D572" s="9" t="s">
        <v>1499</v>
      </c>
      <c r="E572" s="9"/>
    </row>
    <row r="573" customFormat="false" ht="15" hidden="false" customHeight="false" outlineLevel="0" collapsed="false">
      <c r="A573" s="9" t="s">
        <v>5082</v>
      </c>
      <c r="B573" s="9" t="s">
        <v>4298</v>
      </c>
      <c r="C573" s="9" t="s">
        <v>14</v>
      </c>
      <c r="D573" s="9" t="s">
        <v>5083</v>
      </c>
      <c r="E573" s="10" t="s">
        <v>4225</v>
      </c>
    </row>
    <row r="574" customFormat="false" ht="15" hidden="false" customHeight="false" outlineLevel="0" collapsed="false">
      <c r="A574" s="9" t="s">
        <v>5084</v>
      </c>
      <c r="B574" s="9" t="s">
        <v>4706</v>
      </c>
      <c r="C574" s="9" t="s">
        <v>14</v>
      </c>
      <c r="D574" s="9" t="s">
        <v>5083</v>
      </c>
      <c r="E574" s="10" t="s">
        <v>4225</v>
      </c>
    </row>
    <row r="575" customFormat="false" ht="15" hidden="false" customHeight="false" outlineLevel="0" collapsed="false">
      <c r="A575" s="9" t="s">
        <v>5085</v>
      </c>
      <c r="B575" s="9" t="s">
        <v>5086</v>
      </c>
      <c r="C575" s="9" t="s">
        <v>6</v>
      </c>
      <c r="D575" s="9" t="s">
        <v>302</v>
      </c>
      <c r="E575" s="9"/>
    </row>
    <row r="576" customFormat="false" ht="15" hidden="false" customHeight="false" outlineLevel="0" collapsed="false">
      <c r="A576" s="9" t="s">
        <v>5087</v>
      </c>
      <c r="B576" s="9" t="s">
        <v>4224</v>
      </c>
      <c r="C576" s="9" t="s">
        <v>6</v>
      </c>
      <c r="D576" s="9" t="s">
        <v>302</v>
      </c>
      <c r="E576" s="10" t="s">
        <v>4225</v>
      </c>
    </row>
    <row r="577" customFormat="false" ht="15" hidden="false" customHeight="false" outlineLevel="0" collapsed="false">
      <c r="A577" s="9" t="s">
        <v>5088</v>
      </c>
      <c r="B577" s="9" t="s">
        <v>5089</v>
      </c>
      <c r="C577" s="9" t="s">
        <v>6</v>
      </c>
      <c r="D577" s="9" t="s">
        <v>302</v>
      </c>
      <c r="E577" s="10" t="s">
        <v>4225</v>
      </c>
    </row>
    <row r="578" customFormat="false" ht="15" hidden="false" customHeight="false" outlineLevel="0" collapsed="false">
      <c r="A578" s="9" t="s">
        <v>5090</v>
      </c>
      <c r="B578" s="9" t="s">
        <v>4612</v>
      </c>
      <c r="C578" s="9" t="s">
        <v>6</v>
      </c>
      <c r="D578" s="9" t="s">
        <v>302</v>
      </c>
      <c r="E578" s="10" t="s">
        <v>4225</v>
      </c>
    </row>
    <row r="579" customFormat="false" ht="15" hidden="false" customHeight="false" outlineLevel="0" collapsed="false">
      <c r="A579" s="9" t="s">
        <v>5091</v>
      </c>
      <c r="B579" s="9" t="s">
        <v>5092</v>
      </c>
      <c r="C579" s="9" t="s">
        <v>6</v>
      </c>
      <c r="D579" s="9" t="s">
        <v>310</v>
      </c>
      <c r="E579" s="9"/>
    </row>
    <row r="580" customFormat="false" ht="15" hidden="false" customHeight="false" outlineLevel="0" collapsed="false">
      <c r="A580" s="9" t="s">
        <v>5093</v>
      </c>
      <c r="B580" s="9" t="s">
        <v>4224</v>
      </c>
      <c r="C580" s="9" t="s">
        <v>6</v>
      </c>
      <c r="D580" s="9" t="s">
        <v>310</v>
      </c>
      <c r="E580" s="10" t="s">
        <v>4225</v>
      </c>
    </row>
    <row r="581" customFormat="false" ht="15" hidden="false" customHeight="false" outlineLevel="0" collapsed="false">
      <c r="A581" s="9" t="s">
        <v>5094</v>
      </c>
      <c r="B581" s="9" t="s">
        <v>5095</v>
      </c>
      <c r="C581" s="9" t="s">
        <v>6</v>
      </c>
      <c r="D581" s="9" t="s">
        <v>310</v>
      </c>
      <c r="E581" s="10" t="s">
        <v>4225</v>
      </c>
    </row>
    <row r="582" customFormat="false" ht="15" hidden="false" customHeight="false" outlineLevel="0" collapsed="false">
      <c r="A582" s="9" t="s">
        <v>5096</v>
      </c>
      <c r="B582" s="9" t="s">
        <v>4612</v>
      </c>
      <c r="C582" s="9" t="s">
        <v>6</v>
      </c>
      <c r="D582" s="9" t="s">
        <v>310</v>
      </c>
      <c r="E582" s="10" t="s">
        <v>4225</v>
      </c>
    </row>
    <row r="583" customFormat="false" ht="15" hidden="false" customHeight="false" outlineLevel="0" collapsed="false">
      <c r="A583" s="9" t="s">
        <v>5097</v>
      </c>
      <c r="B583" s="9" t="s">
        <v>4862</v>
      </c>
      <c r="C583" s="9" t="s">
        <v>6</v>
      </c>
      <c r="D583" s="9" t="s">
        <v>316</v>
      </c>
      <c r="E583" s="9"/>
    </row>
    <row r="584" customFormat="false" ht="15" hidden="false" customHeight="false" outlineLevel="0" collapsed="false">
      <c r="A584" s="9" t="s">
        <v>5098</v>
      </c>
      <c r="B584" s="9" t="s">
        <v>4224</v>
      </c>
      <c r="C584" s="9" t="s">
        <v>6</v>
      </c>
      <c r="D584" s="9" t="s">
        <v>316</v>
      </c>
      <c r="E584" s="10" t="s">
        <v>4225</v>
      </c>
    </row>
    <row r="585" customFormat="false" ht="15" hidden="false" customHeight="false" outlineLevel="0" collapsed="false">
      <c r="A585" s="9" t="s">
        <v>5099</v>
      </c>
      <c r="B585" s="9" t="s">
        <v>5100</v>
      </c>
      <c r="C585" s="9" t="s">
        <v>6</v>
      </c>
      <c r="D585" s="9" t="s">
        <v>316</v>
      </c>
      <c r="E585" s="10" t="s">
        <v>4225</v>
      </c>
    </row>
    <row r="586" customFormat="false" ht="15" hidden="false" customHeight="false" outlineLevel="0" collapsed="false">
      <c r="A586" s="9" t="s">
        <v>5101</v>
      </c>
      <c r="B586" s="9" t="s">
        <v>4612</v>
      </c>
      <c r="C586" s="9" t="s">
        <v>6</v>
      </c>
      <c r="D586" s="9" t="s">
        <v>316</v>
      </c>
      <c r="E586" s="10" t="s">
        <v>4225</v>
      </c>
    </row>
    <row r="587" customFormat="false" ht="15" hidden="false" customHeight="false" outlineLevel="0" collapsed="false">
      <c r="A587" s="9" t="s">
        <v>5102</v>
      </c>
      <c r="B587" s="9" t="s">
        <v>4338</v>
      </c>
      <c r="C587" s="9" t="s">
        <v>14</v>
      </c>
      <c r="D587" s="9" t="s">
        <v>1500</v>
      </c>
      <c r="E587" s="9"/>
    </row>
    <row r="588" customFormat="false" ht="15" hidden="false" customHeight="false" outlineLevel="0" collapsed="false">
      <c r="A588" s="9" t="s">
        <v>5103</v>
      </c>
      <c r="B588" s="9" t="s">
        <v>4461</v>
      </c>
      <c r="C588" s="9" t="s">
        <v>14</v>
      </c>
      <c r="D588" s="9" t="s">
        <v>1500</v>
      </c>
      <c r="E588" s="9"/>
    </row>
    <row r="589" customFormat="false" ht="15" hidden="false" customHeight="false" outlineLevel="0" collapsed="false">
      <c r="A589" s="9" t="s">
        <v>5104</v>
      </c>
      <c r="B589" s="9" t="s">
        <v>4853</v>
      </c>
      <c r="C589" s="9" t="s">
        <v>14</v>
      </c>
      <c r="D589" s="9" t="s">
        <v>1500</v>
      </c>
      <c r="E589" s="9"/>
    </row>
    <row r="590" customFormat="false" ht="15" hidden="false" customHeight="false" outlineLevel="0" collapsed="false">
      <c r="A590" s="9" t="s">
        <v>5105</v>
      </c>
      <c r="B590" s="9" t="s">
        <v>4298</v>
      </c>
      <c r="C590" s="9" t="s">
        <v>14</v>
      </c>
      <c r="D590" s="9" t="s">
        <v>1500</v>
      </c>
      <c r="E590" s="10" t="s">
        <v>4225</v>
      </c>
    </row>
    <row r="591" customFormat="false" ht="15" hidden="false" customHeight="false" outlineLevel="0" collapsed="false">
      <c r="A591" s="9" t="s">
        <v>5106</v>
      </c>
      <c r="B591" s="9" t="s">
        <v>5107</v>
      </c>
      <c r="C591" s="9" t="s">
        <v>14</v>
      </c>
      <c r="D591" s="9" t="s">
        <v>1500</v>
      </c>
      <c r="E591" s="10" t="s">
        <v>4225</v>
      </c>
    </row>
    <row r="592" customFormat="false" ht="15" hidden="false" customHeight="false" outlineLevel="0" collapsed="false">
      <c r="A592" s="9" t="s">
        <v>5108</v>
      </c>
      <c r="B592" s="9" t="s">
        <v>4706</v>
      </c>
      <c r="C592" s="9" t="s">
        <v>14</v>
      </c>
      <c r="D592" s="9" t="s">
        <v>1500</v>
      </c>
      <c r="E592" s="10" t="s">
        <v>4225</v>
      </c>
    </row>
    <row r="593" customFormat="false" ht="15" hidden="false" customHeight="false" outlineLevel="0" collapsed="false">
      <c r="A593" s="9" t="s">
        <v>5109</v>
      </c>
      <c r="B593" s="9" t="s">
        <v>4233</v>
      </c>
      <c r="C593" s="10" t="s">
        <v>5110</v>
      </c>
      <c r="D593" s="9" t="s">
        <v>5111</v>
      </c>
      <c r="E593" s="10" t="s">
        <v>5112</v>
      </c>
    </row>
    <row r="594" customFormat="false" ht="15" hidden="false" customHeight="false" outlineLevel="0" collapsed="false">
      <c r="A594" s="9" t="s">
        <v>5113</v>
      </c>
      <c r="B594" s="9" t="s">
        <v>4224</v>
      </c>
      <c r="C594" s="10" t="s">
        <v>5110</v>
      </c>
      <c r="D594" s="9" t="s">
        <v>5111</v>
      </c>
      <c r="E594" s="10" t="s">
        <v>5114</v>
      </c>
    </row>
    <row r="595" customFormat="false" ht="15" hidden="false" customHeight="false" outlineLevel="0" collapsed="false">
      <c r="A595" s="9" t="s">
        <v>5115</v>
      </c>
      <c r="B595" s="9" t="s">
        <v>5116</v>
      </c>
      <c r="C595" s="10" t="s">
        <v>5110</v>
      </c>
      <c r="D595" s="9" t="s">
        <v>5111</v>
      </c>
      <c r="E595" s="10" t="s">
        <v>5114</v>
      </c>
    </row>
    <row r="596" customFormat="false" ht="15" hidden="false" customHeight="false" outlineLevel="0" collapsed="false">
      <c r="A596" s="9" t="s">
        <v>5117</v>
      </c>
      <c r="B596" s="9" t="s">
        <v>4612</v>
      </c>
      <c r="C596" s="10" t="s">
        <v>5110</v>
      </c>
      <c r="D596" s="9" t="s">
        <v>5111</v>
      </c>
      <c r="E596" s="10" t="s">
        <v>5114</v>
      </c>
    </row>
    <row r="597" customFormat="false" ht="15" hidden="false" customHeight="false" outlineLevel="0" collapsed="false">
      <c r="A597" s="9" t="s">
        <v>5118</v>
      </c>
      <c r="B597" s="9" t="s">
        <v>5119</v>
      </c>
      <c r="C597" s="9" t="s">
        <v>6</v>
      </c>
      <c r="D597" s="9" t="s">
        <v>321</v>
      </c>
      <c r="E597" s="9"/>
    </row>
    <row r="598" customFormat="false" ht="15" hidden="false" customHeight="false" outlineLevel="0" collapsed="false">
      <c r="A598" s="9" t="s">
        <v>5120</v>
      </c>
      <c r="B598" s="9" t="s">
        <v>5121</v>
      </c>
      <c r="C598" s="9" t="s">
        <v>6</v>
      </c>
      <c r="D598" s="9" t="s">
        <v>321</v>
      </c>
      <c r="E598" s="9"/>
    </row>
    <row r="599" customFormat="false" ht="15" hidden="false" customHeight="false" outlineLevel="0" collapsed="false">
      <c r="A599" s="9" t="s">
        <v>5122</v>
      </c>
      <c r="B599" s="9" t="s">
        <v>4224</v>
      </c>
      <c r="C599" s="9" t="s">
        <v>6</v>
      </c>
      <c r="D599" s="9" t="s">
        <v>321</v>
      </c>
      <c r="E599" s="10" t="s">
        <v>4225</v>
      </c>
    </row>
    <row r="600" customFormat="false" ht="15" hidden="false" customHeight="false" outlineLevel="0" collapsed="false">
      <c r="A600" s="9" t="s">
        <v>5123</v>
      </c>
      <c r="B600" s="9" t="s">
        <v>5124</v>
      </c>
      <c r="C600" s="9" t="s">
        <v>6</v>
      </c>
      <c r="D600" s="9" t="s">
        <v>321</v>
      </c>
      <c r="E600" s="10" t="s">
        <v>4225</v>
      </c>
    </row>
    <row r="601" customFormat="false" ht="15" hidden="false" customHeight="false" outlineLevel="0" collapsed="false">
      <c r="A601" s="9" t="s">
        <v>5125</v>
      </c>
      <c r="B601" s="9" t="s">
        <v>5126</v>
      </c>
      <c r="C601" s="9" t="s">
        <v>6</v>
      </c>
      <c r="D601" s="9" t="s">
        <v>328</v>
      </c>
      <c r="E601" s="9"/>
    </row>
    <row r="602" customFormat="false" ht="15" hidden="false" customHeight="false" outlineLevel="0" collapsed="false">
      <c r="A602" s="9" t="s">
        <v>5127</v>
      </c>
      <c r="B602" s="9" t="s">
        <v>5128</v>
      </c>
      <c r="C602" s="9" t="s">
        <v>6</v>
      </c>
      <c r="D602" s="9" t="s">
        <v>328</v>
      </c>
      <c r="E602" s="9"/>
    </row>
    <row r="603" customFormat="false" ht="15" hidden="false" customHeight="false" outlineLevel="0" collapsed="false">
      <c r="A603" s="9" t="s">
        <v>5129</v>
      </c>
      <c r="B603" s="9" t="s">
        <v>5130</v>
      </c>
      <c r="C603" s="9" t="s">
        <v>6</v>
      </c>
      <c r="D603" s="9" t="s">
        <v>328</v>
      </c>
      <c r="E603" s="9"/>
    </row>
    <row r="604" customFormat="false" ht="15" hidden="false" customHeight="false" outlineLevel="0" collapsed="false">
      <c r="A604" s="9" t="s">
        <v>5131</v>
      </c>
      <c r="B604" s="9" t="s">
        <v>4224</v>
      </c>
      <c r="C604" s="9" t="s">
        <v>6</v>
      </c>
      <c r="D604" s="9" t="s">
        <v>328</v>
      </c>
      <c r="E604" s="10" t="s">
        <v>4225</v>
      </c>
    </row>
    <row r="605" customFormat="false" ht="15" hidden="false" customHeight="false" outlineLevel="0" collapsed="false">
      <c r="A605" s="9" t="s">
        <v>5132</v>
      </c>
      <c r="B605" s="9" t="s">
        <v>4820</v>
      </c>
      <c r="C605" s="9" t="s">
        <v>6</v>
      </c>
      <c r="D605" s="9" t="s">
        <v>328</v>
      </c>
      <c r="E605" s="10" t="s">
        <v>4225</v>
      </c>
    </row>
    <row r="606" customFormat="false" ht="15" hidden="false" customHeight="false" outlineLevel="0" collapsed="false">
      <c r="A606" s="9" t="s">
        <v>5133</v>
      </c>
      <c r="B606" s="9" t="s">
        <v>5134</v>
      </c>
      <c r="C606" s="10" t="s">
        <v>4266</v>
      </c>
      <c r="D606" s="9" t="s">
        <v>5135</v>
      </c>
      <c r="E606" s="9" t="s">
        <v>5136</v>
      </c>
    </row>
    <row r="607" customFormat="false" ht="15" hidden="false" customHeight="false" outlineLevel="0" collapsed="false">
      <c r="A607" s="9" t="s">
        <v>5137</v>
      </c>
      <c r="B607" s="9" t="s">
        <v>4276</v>
      </c>
      <c r="C607" s="10" t="s">
        <v>4266</v>
      </c>
      <c r="D607" s="9" t="s">
        <v>5135</v>
      </c>
      <c r="E607" s="9" t="s">
        <v>5136</v>
      </c>
    </row>
    <row r="608" customFormat="false" ht="15" hidden="false" customHeight="false" outlineLevel="0" collapsed="false">
      <c r="A608" s="9" t="s">
        <v>5138</v>
      </c>
      <c r="B608" s="9" t="s">
        <v>5139</v>
      </c>
      <c r="C608" s="10" t="s">
        <v>4196</v>
      </c>
      <c r="D608" s="9" t="s">
        <v>71</v>
      </c>
      <c r="E608" s="10" t="s">
        <v>5140</v>
      </c>
    </row>
    <row r="609" customFormat="false" ht="15" hidden="false" customHeight="false" outlineLevel="0" collapsed="false">
      <c r="A609" s="9" t="s">
        <v>5141</v>
      </c>
      <c r="B609" s="9" t="s">
        <v>5142</v>
      </c>
      <c r="C609" s="10" t="s">
        <v>4196</v>
      </c>
      <c r="D609" s="9" t="s">
        <v>71</v>
      </c>
      <c r="E609" s="10" t="s">
        <v>5143</v>
      </c>
    </row>
    <row r="610" customFormat="false" ht="15" hidden="false" customHeight="false" outlineLevel="0" collapsed="false">
      <c r="A610" s="9" t="s">
        <v>5144</v>
      </c>
      <c r="B610" s="9" t="s">
        <v>5145</v>
      </c>
      <c r="C610" s="9" t="s">
        <v>6</v>
      </c>
      <c r="D610" s="10" t="s">
        <v>5146</v>
      </c>
      <c r="E610" s="10" t="s">
        <v>5147</v>
      </c>
    </row>
    <row r="611" customFormat="false" ht="15" hidden="false" customHeight="false" outlineLevel="0" collapsed="false">
      <c r="A611" s="9" t="s">
        <v>5148</v>
      </c>
      <c r="B611" s="9" t="s">
        <v>4120</v>
      </c>
      <c r="C611" s="10" t="s">
        <v>5110</v>
      </c>
      <c r="D611" s="9" t="s">
        <v>5149</v>
      </c>
      <c r="E611" s="9" t="s">
        <v>5150</v>
      </c>
    </row>
    <row r="612" customFormat="false" ht="15" hidden="false" customHeight="false" outlineLevel="0" collapsed="false">
      <c r="A612" s="9" t="s">
        <v>5151</v>
      </c>
      <c r="B612" s="9" t="s">
        <v>4931</v>
      </c>
      <c r="C612" s="10" t="s">
        <v>5110</v>
      </c>
      <c r="D612" s="9" t="s">
        <v>285</v>
      </c>
      <c r="E612" s="9" t="s">
        <v>5152</v>
      </c>
    </row>
    <row r="613" customFormat="false" ht="15" hidden="false" customHeight="false" outlineLevel="0" collapsed="false">
      <c r="A613" s="9" t="s">
        <v>5153</v>
      </c>
      <c r="B613" s="9" t="s">
        <v>5154</v>
      </c>
      <c r="C613" s="9" t="s">
        <v>14</v>
      </c>
      <c r="D613" s="9" t="s">
        <v>1762</v>
      </c>
      <c r="E613" s="9"/>
    </row>
    <row r="614" customFormat="false" ht="15" hidden="false" customHeight="false" outlineLevel="0" collapsed="false">
      <c r="A614" s="9" t="s">
        <v>5155</v>
      </c>
      <c r="B614" s="9" t="s">
        <v>5156</v>
      </c>
      <c r="C614" s="9" t="s">
        <v>14</v>
      </c>
      <c r="D614" s="9" t="s">
        <v>1768</v>
      </c>
      <c r="E614" s="9"/>
    </row>
    <row r="615" customFormat="false" ht="15" hidden="false" customHeight="false" outlineLevel="0" collapsed="false">
      <c r="A615" s="9" t="s">
        <v>5157</v>
      </c>
      <c r="B615" s="9" t="s">
        <v>5158</v>
      </c>
      <c r="C615" s="10" t="s">
        <v>4266</v>
      </c>
      <c r="D615" s="9" t="s">
        <v>5159</v>
      </c>
      <c r="E615" s="9" t="s">
        <v>5160</v>
      </c>
    </row>
    <row r="616" customFormat="false" ht="15" hidden="false" customHeight="false" outlineLevel="0" collapsed="false">
      <c r="A616" s="9" t="s">
        <v>5161</v>
      </c>
      <c r="B616" s="9" t="s">
        <v>4933</v>
      </c>
      <c r="C616" s="10" t="s">
        <v>5110</v>
      </c>
      <c r="D616" s="9" t="s">
        <v>292</v>
      </c>
      <c r="E616" s="9" t="s">
        <v>5162</v>
      </c>
    </row>
    <row r="617" customFormat="false" ht="15" hidden="false" customHeight="false" outlineLevel="0" collapsed="false">
      <c r="A617" s="9" t="s">
        <v>5163</v>
      </c>
      <c r="B617" s="9" t="s">
        <v>5164</v>
      </c>
      <c r="C617" s="10" t="s">
        <v>5110</v>
      </c>
      <c r="D617" s="9" t="s">
        <v>285</v>
      </c>
      <c r="E617" s="10" t="s">
        <v>5114</v>
      </c>
    </row>
    <row r="618" customFormat="false" ht="15" hidden="false" customHeight="false" outlineLevel="0" collapsed="false">
      <c r="A618" s="9" t="s">
        <v>5165</v>
      </c>
      <c r="B618" s="9" t="s">
        <v>5166</v>
      </c>
      <c r="C618" s="10" t="s">
        <v>5110</v>
      </c>
      <c r="D618" s="9" t="s">
        <v>285</v>
      </c>
      <c r="E618" s="10" t="s">
        <v>5114</v>
      </c>
    </row>
    <row r="619" customFormat="false" ht="15" hidden="false" customHeight="false" outlineLevel="0" collapsed="false">
      <c r="A619" s="9" t="s">
        <v>5167</v>
      </c>
      <c r="B619" s="9" t="s">
        <v>5168</v>
      </c>
      <c r="C619" s="9" t="s">
        <v>6</v>
      </c>
      <c r="D619" s="9" t="s">
        <v>334</v>
      </c>
      <c r="E619" s="9"/>
    </row>
    <row r="620" customFormat="false" ht="15" hidden="false" customHeight="false" outlineLevel="0" collapsed="false">
      <c r="A620" s="9" t="s">
        <v>5169</v>
      </c>
      <c r="B620" s="9" t="s">
        <v>4224</v>
      </c>
      <c r="C620" s="9" t="s">
        <v>6</v>
      </c>
      <c r="D620" s="9" t="s">
        <v>334</v>
      </c>
      <c r="E620" s="10" t="s">
        <v>4225</v>
      </c>
    </row>
    <row r="621" customFormat="false" ht="15" hidden="false" customHeight="false" outlineLevel="0" collapsed="false">
      <c r="A621" s="9" t="s">
        <v>5170</v>
      </c>
      <c r="B621" s="9" t="s">
        <v>5171</v>
      </c>
      <c r="C621" s="9" t="s">
        <v>6</v>
      </c>
      <c r="D621" s="9" t="s">
        <v>334</v>
      </c>
      <c r="E621" s="10" t="s">
        <v>4225</v>
      </c>
    </row>
    <row r="622" customFormat="false" ht="15" hidden="false" customHeight="false" outlineLevel="0" collapsed="false">
      <c r="A622" s="9" t="s">
        <v>5172</v>
      </c>
      <c r="B622" s="9" t="s">
        <v>5173</v>
      </c>
      <c r="C622" s="10" t="s">
        <v>5110</v>
      </c>
      <c r="D622" s="9" t="s">
        <v>339</v>
      </c>
      <c r="E622" s="10" t="s">
        <v>5174</v>
      </c>
    </row>
    <row r="623" customFormat="false" ht="15" hidden="false" customHeight="false" outlineLevel="0" collapsed="false">
      <c r="A623" s="9" t="s">
        <v>5175</v>
      </c>
      <c r="B623" s="9" t="s">
        <v>4224</v>
      </c>
      <c r="C623" s="10" t="s">
        <v>5110</v>
      </c>
      <c r="D623" s="9" t="s">
        <v>339</v>
      </c>
      <c r="E623" s="10" t="s">
        <v>5114</v>
      </c>
    </row>
    <row r="624" customFormat="false" ht="15" hidden="false" customHeight="false" outlineLevel="0" collapsed="false">
      <c r="A624" s="9" t="s">
        <v>5176</v>
      </c>
      <c r="B624" s="9" t="s">
        <v>5171</v>
      </c>
      <c r="C624" s="10" t="s">
        <v>5110</v>
      </c>
      <c r="D624" s="9" t="s">
        <v>339</v>
      </c>
      <c r="E624" s="10" t="s">
        <v>5114</v>
      </c>
    </row>
    <row r="625" customFormat="false" ht="15" hidden="false" customHeight="false" outlineLevel="0" collapsed="false">
      <c r="A625" s="9" t="s">
        <v>5177</v>
      </c>
      <c r="B625" s="9" t="s">
        <v>5178</v>
      </c>
      <c r="C625" s="9" t="s">
        <v>6</v>
      </c>
      <c r="D625" s="9" t="s">
        <v>346</v>
      </c>
      <c r="E625" s="9"/>
    </row>
    <row r="626" customFormat="false" ht="15" hidden="false" customHeight="false" outlineLevel="0" collapsed="false">
      <c r="A626" s="9" t="s">
        <v>5179</v>
      </c>
      <c r="B626" s="9" t="s">
        <v>4224</v>
      </c>
      <c r="C626" s="9" t="s">
        <v>6</v>
      </c>
      <c r="D626" s="9" t="s">
        <v>346</v>
      </c>
      <c r="E626" s="10" t="s">
        <v>4225</v>
      </c>
    </row>
    <row r="627" customFormat="false" ht="15" hidden="false" customHeight="false" outlineLevel="0" collapsed="false">
      <c r="A627" s="9" t="s">
        <v>5180</v>
      </c>
      <c r="B627" s="9" t="s">
        <v>5181</v>
      </c>
      <c r="C627" s="9" t="s">
        <v>6</v>
      </c>
      <c r="D627" s="9" t="s">
        <v>346</v>
      </c>
      <c r="E627" s="10" t="s">
        <v>4225</v>
      </c>
    </row>
    <row r="628" customFormat="false" ht="15" hidden="false" customHeight="false" outlineLevel="0" collapsed="false">
      <c r="A628" s="9" t="s">
        <v>5182</v>
      </c>
      <c r="B628" s="9" t="s">
        <v>5183</v>
      </c>
      <c r="C628" s="10" t="s">
        <v>4196</v>
      </c>
      <c r="D628" s="9" t="s">
        <v>71</v>
      </c>
      <c r="E628" s="10" t="s">
        <v>5184</v>
      </c>
    </row>
    <row r="629" customFormat="false" ht="15" hidden="false" customHeight="false" outlineLevel="0" collapsed="false">
      <c r="A629" s="9" t="s">
        <v>5185</v>
      </c>
      <c r="B629" s="9" t="s">
        <v>5186</v>
      </c>
      <c r="C629" s="10" t="s">
        <v>4196</v>
      </c>
      <c r="D629" s="9" t="s">
        <v>71</v>
      </c>
      <c r="E629" s="10" t="s">
        <v>5184</v>
      </c>
    </row>
    <row r="630" customFormat="false" ht="15" hidden="false" customHeight="false" outlineLevel="0" collapsed="false">
      <c r="A630" s="9" t="s">
        <v>5187</v>
      </c>
      <c r="B630" s="9" t="s">
        <v>5188</v>
      </c>
      <c r="C630" s="10" t="s">
        <v>4196</v>
      </c>
      <c r="D630" s="9" t="s">
        <v>71</v>
      </c>
      <c r="E630" s="10" t="s">
        <v>5184</v>
      </c>
    </row>
    <row r="631" customFormat="false" ht="15" hidden="false" customHeight="false" outlineLevel="0" collapsed="false">
      <c r="A631" s="9" t="s">
        <v>5189</v>
      </c>
      <c r="B631" s="9" t="s">
        <v>5190</v>
      </c>
      <c r="C631" s="10" t="s">
        <v>4196</v>
      </c>
      <c r="D631" s="9" t="s">
        <v>71</v>
      </c>
      <c r="E631" s="10" t="s">
        <v>5191</v>
      </c>
    </row>
    <row r="632" customFormat="false" ht="15" hidden="false" customHeight="false" outlineLevel="0" collapsed="false">
      <c r="A632" s="9" t="s">
        <v>5192</v>
      </c>
      <c r="B632" s="9" t="s">
        <v>4302</v>
      </c>
      <c r="C632" s="10" t="s">
        <v>5110</v>
      </c>
      <c r="D632" s="9" t="s">
        <v>71</v>
      </c>
      <c r="E632" s="9" t="s">
        <v>5193</v>
      </c>
    </row>
    <row r="633" customFormat="false" ht="15" hidden="false" customHeight="false" outlineLevel="0" collapsed="false">
      <c r="A633" s="9" t="s">
        <v>5194</v>
      </c>
      <c r="B633" s="9" t="s">
        <v>4357</v>
      </c>
      <c r="C633" s="10" t="s">
        <v>5110</v>
      </c>
      <c r="D633" s="9" t="s">
        <v>5195</v>
      </c>
      <c r="E633" s="10" t="s">
        <v>5196</v>
      </c>
    </row>
    <row r="634" customFormat="false" ht="15" hidden="false" customHeight="false" outlineLevel="0" collapsed="false">
      <c r="A634" s="9" t="s">
        <v>5197</v>
      </c>
      <c r="B634" s="9" t="s">
        <v>4879</v>
      </c>
      <c r="C634" s="10" t="s">
        <v>5110</v>
      </c>
      <c r="D634" s="9" t="s">
        <v>5198</v>
      </c>
      <c r="E634" s="10" t="s">
        <v>5196</v>
      </c>
    </row>
    <row r="635" customFormat="false" ht="15" hidden="false" customHeight="false" outlineLevel="0" collapsed="false">
      <c r="A635" s="9" t="s">
        <v>5199</v>
      </c>
      <c r="B635" s="9" t="s">
        <v>4583</v>
      </c>
      <c r="C635" s="10" t="s">
        <v>5110</v>
      </c>
      <c r="D635" s="9" t="s">
        <v>5200</v>
      </c>
      <c r="E635" s="10" t="s">
        <v>5196</v>
      </c>
    </row>
    <row r="636" customFormat="false" ht="15" hidden="false" customHeight="false" outlineLevel="0" collapsed="false">
      <c r="A636" s="9" t="s">
        <v>5201</v>
      </c>
      <c r="B636" s="9" t="s">
        <v>4889</v>
      </c>
      <c r="C636" s="10" t="s">
        <v>5110</v>
      </c>
      <c r="D636" s="9" t="s">
        <v>5202</v>
      </c>
      <c r="E636" s="10" t="s">
        <v>5196</v>
      </c>
    </row>
    <row r="637" customFormat="false" ht="15" hidden="false" customHeight="false" outlineLevel="0" collapsed="false">
      <c r="A637" s="9" t="s">
        <v>5203</v>
      </c>
      <c r="B637" s="9" t="s">
        <v>4578</v>
      </c>
      <c r="C637" s="10" t="s">
        <v>5110</v>
      </c>
      <c r="D637" s="9" t="s">
        <v>5204</v>
      </c>
      <c r="E637" s="10" t="s">
        <v>5196</v>
      </c>
    </row>
    <row r="638" customFormat="false" ht="15" hidden="false" customHeight="false" outlineLevel="0" collapsed="false">
      <c r="A638" s="9" t="s">
        <v>5205</v>
      </c>
      <c r="B638" s="9" t="s">
        <v>4224</v>
      </c>
      <c r="C638" s="10" t="s">
        <v>5110</v>
      </c>
      <c r="D638" s="9" t="s">
        <v>5206</v>
      </c>
      <c r="E638" s="10" t="s">
        <v>5114</v>
      </c>
    </row>
    <row r="639" customFormat="false" ht="15" hidden="false" customHeight="false" outlineLevel="0" collapsed="false">
      <c r="A639" s="9" t="s">
        <v>5207</v>
      </c>
      <c r="B639" s="9" t="s">
        <v>5208</v>
      </c>
      <c r="C639" s="10" t="s">
        <v>5110</v>
      </c>
      <c r="D639" s="9" t="s">
        <v>5206</v>
      </c>
      <c r="E639" s="10" t="s">
        <v>5114</v>
      </c>
    </row>
    <row r="640" customFormat="false" ht="15" hidden="false" customHeight="false" outlineLevel="0" collapsed="false">
      <c r="A640" s="9" t="s">
        <v>5209</v>
      </c>
      <c r="B640" s="9" t="s">
        <v>5210</v>
      </c>
      <c r="C640" s="10" t="s">
        <v>4196</v>
      </c>
      <c r="D640" s="9" t="s">
        <v>71</v>
      </c>
      <c r="E640" s="10" t="s">
        <v>5211</v>
      </c>
    </row>
    <row r="641" customFormat="false" ht="15" hidden="false" customHeight="false" outlineLevel="0" collapsed="false">
      <c r="A641" s="9" t="s">
        <v>5212</v>
      </c>
      <c r="B641" s="9" t="s">
        <v>5213</v>
      </c>
      <c r="C641" s="9" t="s">
        <v>14</v>
      </c>
      <c r="D641" s="9" t="s">
        <v>1504</v>
      </c>
      <c r="E641" s="9"/>
    </row>
    <row r="642" customFormat="false" ht="15" hidden="false" customHeight="false" outlineLevel="0" collapsed="false">
      <c r="A642" s="9" t="s">
        <v>5214</v>
      </c>
      <c r="B642" s="9" t="s">
        <v>5215</v>
      </c>
      <c r="C642" s="10" t="s">
        <v>4196</v>
      </c>
      <c r="D642" s="9" t="s">
        <v>71</v>
      </c>
      <c r="E642" s="10" t="s">
        <v>5216</v>
      </c>
    </row>
    <row r="643" customFormat="false" ht="15" hidden="false" customHeight="false" outlineLevel="0" collapsed="false">
      <c r="A643" s="9" t="s">
        <v>5217</v>
      </c>
      <c r="B643" s="9" t="s">
        <v>5213</v>
      </c>
      <c r="C643" s="10" t="s">
        <v>4196</v>
      </c>
      <c r="D643" s="9" t="s">
        <v>71</v>
      </c>
      <c r="E643" s="10" t="s">
        <v>5216</v>
      </c>
    </row>
    <row r="644" customFormat="false" ht="15" hidden="false" customHeight="false" outlineLevel="0" collapsed="false">
      <c r="A644" s="9" t="s">
        <v>5218</v>
      </c>
      <c r="B644" s="9" t="s">
        <v>4551</v>
      </c>
      <c r="C644" s="9" t="s">
        <v>14</v>
      </c>
      <c r="D644" s="9" t="s">
        <v>1504</v>
      </c>
      <c r="E644" s="10" t="s">
        <v>4225</v>
      </c>
    </row>
    <row r="645" customFormat="false" ht="15" hidden="false" customHeight="false" outlineLevel="0" collapsed="false">
      <c r="A645" s="9" t="s">
        <v>5219</v>
      </c>
      <c r="B645" s="9" t="s">
        <v>5220</v>
      </c>
      <c r="C645" s="9" t="s">
        <v>14</v>
      </c>
      <c r="D645" s="9" t="s">
        <v>1504</v>
      </c>
      <c r="E645" s="10" t="s">
        <v>4225</v>
      </c>
    </row>
    <row r="646" customFormat="false" ht="15" hidden="false" customHeight="false" outlineLevel="0" collapsed="false">
      <c r="A646" s="9" t="s">
        <v>5221</v>
      </c>
      <c r="B646" s="9" t="s">
        <v>5222</v>
      </c>
      <c r="C646" s="9" t="s">
        <v>6</v>
      </c>
      <c r="D646" s="9" t="s">
        <v>352</v>
      </c>
      <c r="E646" s="9"/>
    </row>
    <row r="647" customFormat="false" ht="15" hidden="false" customHeight="false" outlineLevel="0" collapsed="false">
      <c r="A647" s="9" t="s">
        <v>5223</v>
      </c>
      <c r="B647" s="9" t="s">
        <v>411</v>
      </c>
      <c r="C647" s="9" t="s">
        <v>14</v>
      </c>
      <c r="D647" s="9" t="s">
        <v>1511</v>
      </c>
      <c r="E647" s="9"/>
    </row>
    <row r="648" customFormat="false" ht="15" hidden="false" customHeight="false" outlineLevel="0" collapsed="false">
      <c r="A648" s="9" t="s">
        <v>5224</v>
      </c>
      <c r="B648" s="9" t="s">
        <v>1213</v>
      </c>
      <c r="C648" s="9" t="s">
        <v>14</v>
      </c>
      <c r="D648" s="9" t="s">
        <v>1515</v>
      </c>
      <c r="E648" s="9"/>
    </row>
    <row r="649" customFormat="false" ht="15" hidden="false" customHeight="false" outlineLevel="0" collapsed="false">
      <c r="A649" s="9" t="s">
        <v>5225</v>
      </c>
      <c r="B649" s="9" t="s">
        <v>4921</v>
      </c>
      <c r="C649" s="10" t="s">
        <v>4196</v>
      </c>
      <c r="D649" s="9" t="s">
        <v>71</v>
      </c>
      <c r="E649" s="9" t="s">
        <v>5226</v>
      </c>
    </row>
    <row r="650" customFormat="false" ht="15" hidden="false" customHeight="false" outlineLevel="0" collapsed="false">
      <c r="A650" s="9" t="s">
        <v>5227</v>
      </c>
      <c r="B650" s="9" t="s">
        <v>5228</v>
      </c>
      <c r="C650" s="9" t="s">
        <v>6</v>
      </c>
      <c r="D650" s="9" t="s">
        <v>352</v>
      </c>
      <c r="E650" s="10" t="s">
        <v>4225</v>
      </c>
    </row>
    <row r="651" customFormat="false" ht="15" hidden="false" customHeight="false" outlineLevel="0" collapsed="false">
      <c r="A651" s="9" t="s">
        <v>5229</v>
      </c>
      <c r="B651" s="9" t="s">
        <v>5230</v>
      </c>
      <c r="C651" s="9" t="s">
        <v>6</v>
      </c>
      <c r="D651" s="9" t="s">
        <v>352</v>
      </c>
      <c r="E651" s="10" t="s">
        <v>4225</v>
      </c>
    </row>
    <row r="652" customFormat="false" ht="15" hidden="false" customHeight="false" outlineLevel="0" collapsed="false">
      <c r="A652" s="9" t="s">
        <v>5231</v>
      </c>
      <c r="B652" s="9" t="s">
        <v>5232</v>
      </c>
      <c r="C652" s="9" t="s">
        <v>6</v>
      </c>
      <c r="D652" s="9" t="s">
        <v>358</v>
      </c>
      <c r="E652" s="9"/>
    </row>
    <row r="653" customFormat="false" ht="15" hidden="false" customHeight="false" outlineLevel="0" collapsed="false">
      <c r="A653" s="9" t="s">
        <v>5233</v>
      </c>
      <c r="B653" s="9" t="s">
        <v>1207</v>
      </c>
      <c r="C653" s="9" t="s">
        <v>6</v>
      </c>
      <c r="D653" s="9" t="s">
        <v>366</v>
      </c>
      <c r="E653" s="9"/>
    </row>
    <row r="654" customFormat="false" ht="15" hidden="false" customHeight="false" outlineLevel="0" collapsed="false">
      <c r="A654" s="9" t="s">
        <v>5234</v>
      </c>
      <c r="B654" s="9" t="s">
        <v>5235</v>
      </c>
      <c r="C654" s="9" t="s">
        <v>6</v>
      </c>
      <c r="D654" s="9" t="s">
        <v>370</v>
      </c>
      <c r="E654" s="9"/>
    </row>
    <row r="655" customFormat="false" ht="15" hidden="false" customHeight="false" outlineLevel="0" collapsed="false">
      <c r="A655" s="9" t="s">
        <v>5236</v>
      </c>
      <c r="B655" s="9" t="s">
        <v>5237</v>
      </c>
      <c r="C655" s="10" t="s">
        <v>4266</v>
      </c>
      <c r="D655" s="9" t="s">
        <v>5238</v>
      </c>
      <c r="E655" s="9" t="s">
        <v>5239</v>
      </c>
    </row>
    <row r="656" customFormat="false" ht="15" hidden="false" customHeight="false" outlineLevel="0" collapsed="false">
      <c r="A656" s="9" t="s">
        <v>5240</v>
      </c>
      <c r="B656" s="9" t="s">
        <v>4224</v>
      </c>
      <c r="C656" s="9" t="s">
        <v>6</v>
      </c>
      <c r="D656" s="9" t="s">
        <v>358</v>
      </c>
      <c r="E656" s="10" t="s">
        <v>4225</v>
      </c>
    </row>
    <row r="657" customFormat="false" ht="15" hidden="false" customHeight="false" outlineLevel="0" collapsed="false">
      <c r="A657" s="9" t="s">
        <v>5241</v>
      </c>
      <c r="B657" s="9" t="s">
        <v>5242</v>
      </c>
      <c r="C657" s="9" t="s">
        <v>6</v>
      </c>
      <c r="D657" s="9" t="s">
        <v>358</v>
      </c>
      <c r="E657" s="10" t="s">
        <v>4225</v>
      </c>
    </row>
    <row r="658" customFormat="false" ht="15" hidden="false" customHeight="false" outlineLevel="0" collapsed="false">
      <c r="A658" s="9" t="s">
        <v>5243</v>
      </c>
      <c r="B658" s="9" t="s">
        <v>4862</v>
      </c>
      <c r="C658" s="9" t="s">
        <v>6</v>
      </c>
      <c r="D658" s="9" t="s">
        <v>373</v>
      </c>
      <c r="E658" s="9"/>
    </row>
    <row r="659" customFormat="false" ht="15" hidden="false" customHeight="false" outlineLevel="0" collapsed="false">
      <c r="A659" s="9" t="s">
        <v>5244</v>
      </c>
      <c r="B659" s="9" t="s">
        <v>4287</v>
      </c>
      <c r="C659" s="9" t="s">
        <v>6</v>
      </c>
      <c r="D659" s="9" t="s">
        <v>378</v>
      </c>
      <c r="E659" s="9"/>
    </row>
    <row r="660" customFormat="false" ht="15" hidden="false" customHeight="false" outlineLevel="0" collapsed="false">
      <c r="A660" s="9" t="s">
        <v>5245</v>
      </c>
      <c r="B660" s="9" t="s">
        <v>411</v>
      </c>
      <c r="C660" s="9" t="s">
        <v>6</v>
      </c>
      <c r="D660" s="9" t="s">
        <v>386</v>
      </c>
      <c r="E660" s="9"/>
    </row>
    <row r="661" customFormat="false" ht="15" hidden="false" customHeight="false" outlineLevel="0" collapsed="false">
      <c r="A661" s="9" t="s">
        <v>5246</v>
      </c>
      <c r="B661" s="9" t="s">
        <v>5235</v>
      </c>
      <c r="C661" s="9" t="s">
        <v>6</v>
      </c>
      <c r="D661" s="9" t="s">
        <v>389</v>
      </c>
      <c r="E661" s="9"/>
    </row>
    <row r="662" customFormat="false" ht="15" hidden="false" customHeight="false" outlineLevel="0" collapsed="false">
      <c r="A662" s="9" t="s">
        <v>5247</v>
      </c>
      <c r="B662" s="9" t="s">
        <v>4921</v>
      </c>
      <c r="C662" s="10" t="s">
        <v>4196</v>
      </c>
      <c r="D662" s="9" t="s">
        <v>71</v>
      </c>
      <c r="E662" s="9" t="s">
        <v>5248</v>
      </c>
    </row>
    <row r="663" customFormat="false" ht="15" hidden="false" customHeight="false" outlineLevel="0" collapsed="false">
      <c r="A663" s="9" t="s">
        <v>5249</v>
      </c>
      <c r="B663" s="9" t="s">
        <v>4293</v>
      </c>
      <c r="C663" s="9" t="s">
        <v>6</v>
      </c>
      <c r="D663" s="9" t="s">
        <v>378</v>
      </c>
      <c r="E663" s="10" t="s">
        <v>4225</v>
      </c>
    </row>
    <row r="664" customFormat="false" ht="15" hidden="false" customHeight="false" outlineLevel="0" collapsed="false">
      <c r="A664" s="9" t="s">
        <v>5250</v>
      </c>
      <c r="B664" s="9" t="s">
        <v>5251</v>
      </c>
      <c r="C664" s="9" t="s">
        <v>6</v>
      </c>
      <c r="D664" s="9" t="s">
        <v>378</v>
      </c>
      <c r="E664" s="10" t="s">
        <v>4225</v>
      </c>
    </row>
    <row r="665" customFormat="false" ht="15" hidden="false" customHeight="false" outlineLevel="0" collapsed="false">
      <c r="A665" s="9" t="s">
        <v>5252</v>
      </c>
      <c r="B665" s="9" t="s">
        <v>4578</v>
      </c>
      <c r="C665" s="9" t="s">
        <v>6</v>
      </c>
      <c r="D665" s="9" t="s">
        <v>392</v>
      </c>
      <c r="E665" s="9"/>
    </row>
    <row r="666" customFormat="false" ht="15" hidden="false" customHeight="false" outlineLevel="0" collapsed="false">
      <c r="A666" s="9" t="s">
        <v>5253</v>
      </c>
      <c r="B666" s="9" t="s">
        <v>423</v>
      </c>
      <c r="C666" s="9" t="s">
        <v>6</v>
      </c>
      <c r="D666" s="9" t="s">
        <v>397</v>
      </c>
      <c r="E666" s="9"/>
    </row>
    <row r="667" customFormat="false" ht="15" hidden="false" customHeight="false" outlineLevel="0" collapsed="false">
      <c r="A667" s="9" t="s">
        <v>5254</v>
      </c>
      <c r="B667" s="9" t="s">
        <v>5255</v>
      </c>
      <c r="C667" s="9" t="s">
        <v>6</v>
      </c>
      <c r="D667" s="9" t="s">
        <v>399</v>
      </c>
      <c r="E667" s="9"/>
    </row>
    <row r="668" customFormat="false" ht="15" hidden="false" customHeight="false" outlineLevel="0" collapsed="false">
      <c r="A668" s="9" t="s">
        <v>5256</v>
      </c>
      <c r="B668" s="9" t="s">
        <v>4921</v>
      </c>
      <c r="C668" s="10" t="s">
        <v>4196</v>
      </c>
      <c r="D668" s="9" t="s">
        <v>71</v>
      </c>
      <c r="E668" s="9" t="s">
        <v>5248</v>
      </c>
    </row>
    <row r="669" customFormat="false" ht="15" hidden="false" customHeight="false" outlineLevel="0" collapsed="false">
      <c r="A669" s="9" t="s">
        <v>5257</v>
      </c>
      <c r="B669" s="9" t="s">
        <v>4293</v>
      </c>
      <c r="C669" s="9" t="s">
        <v>6</v>
      </c>
      <c r="D669" s="9" t="s">
        <v>392</v>
      </c>
      <c r="E669" s="10" t="s">
        <v>4225</v>
      </c>
    </row>
    <row r="670" customFormat="false" ht="15" hidden="false" customHeight="false" outlineLevel="0" collapsed="false">
      <c r="A670" s="9" t="s">
        <v>5258</v>
      </c>
      <c r="B670" s="9" t="s">
        <v>5259</v>
      </c>
      <c r="C670" s="9" t="s">
        <v>6</v>
      </c>
      <c r="D670" s="9" t="s">
        <v>392</v>
      </c>
      <c r="E670" s="10" t="s">
        <v>4225</v>
      </c>
    </row>
    <row r="671" customFormat="false" ht="15" hidden="false" customHeight="false" outlineLevel="0" collapsed="false">
      <c r="A671" s="9" t="s">
        <v>5260</v>
      </c>
      <c r="B671" s="9" t="s">
        <v>4330</v>
      </c>
      <c r="C671" s="9" t="s">
        <v>6</v>
      </c>
      <c r="D671" s="9" t="s">
        <v>402</v>
      </c>
      <c r="E671" s="9"/>
    </row>
    <row r="672" customFormat="false" ht="15" hidden="false" customHeight="false" outlineLevel="0" collapsed="false">
      <c r="A672" s="9" t="s">
        <v>5261</v>
      </c>
      <c r="B672" s="9" t="s">
        <v>5262</v>
      </c>
      <c r="C672" s="9" t="s">
        <v>6</v>
      </c>
      <c r="D672" s="9" t="s">
        <v>392</v>
      </c>
      <c r="E672" s="10" t="s">
        <v>4225</v>
      </c>
    </row>
    <row r="673" customFormat="false" ht="15" hidden="false" customHeight="false" outlineLevel="0" collapsed="false">
      <c r="A673" s="9" t="s">
        <v>5263</v>
      </c>
      <c r="B673" s="9" t="s">
        <v>5264</v>
      </c>
      <c r="C673" s="9" t="s">
        <v>6</v>
      </c>
      <c r="D673" s="9" t="s">
        <v>407</v>
      </c>
      <c r="E673" s="9"/>
    </row>
    <row r="674" customFormat="false" ht="15" hidden="false" customHeight="false" outlineLevel="0" collapsed="false">
      <c r="A674" s="9" t="s">
        <v>5265</v>
      </c>
      <c r="B674" s="9" t="s">
        <v>411</v>
      </c>
      <c r="C674" s="9" t="s">
        <v>6</v>
      </c>
      <c r="D674" s="9" t="s">
        <v>414</v>
      </c>
      <c r="E674" s="9"/>
    </row>
    <row r="675" customFormat="false" ht="15" hidden="false" customHeight="false" outlineLevel="0" collapsed="false">
      <c r="A675" s="9" t="s">
        <v>5266</v>
      </c>
      <c r="B675" s="9" t="s">
        <v>1211</v>
      </c>
      <c r="C675" s="9" t="s">
        <v>6</v>
      </c>
      <c r="D675" s="9" t="s">
        <v>417</v>
      </c>
      <c r="E675" s="9"/>
    </row>
    <row r="676" customFormat="false" ht="15" hidden="false" customHeight="false" outlineLevel="0" collapsed="false">
      <c r="A676" s="9" t="s">
        <v>5267</v>
      </c>
      <c r="B676" s="9" t="s">
        <v>4921</v>
      </c>
      <c r="C676" s="10" t="s">
        <v>4196</v>
      </c>
      <c r="D676" s="9" t="s">
        <v>71</v>
      </c>
      <c r="E676" s="9" t="s">
        <v>5248</v>
      </c>
    </row>
    <row r="677" customFormat="false" ht="15" hidden="false" customHeight="false" outlineLevel="0" collapsed="false">
      <c r="A677" s="9" t="s">
        <v>5268</v>
      </c>
      <c r="B677" s="9" t="s">
        <v>4293</v>
      </c>
      <c r="C677" s="9" t="s">
        <v>6</v>
      </c>
      <c r="D677" s="9" t="s">
        <v>407</v>
      </c>
      <c r="E677" s="10" t="s">
        <v>4225</v>
      </c>
    </row>
    <row r="678" customFormat="false" ht="15" hidden="false" customHeight="false" outlineLevel="0" collapsed="false">
      <c r="A678" s="9" t="s">
        <v>5269</v>
      </c>
      <c r="B678" s="9" t="s">
        <v>5270</v>
      </c>
      <c r="C678" s="9" t="s">
        <v>6</v>
      </c>
      <c r="D678" s="9" t="s">
        <v>407</v>
      </c>
      <c r="E678" s="10" t="s">
        <v>4225</v>
      </c>
    </row>
    <row r="679" customFormat="false" ht="15" hidden="false" customHeight="false" outlineLevel="0" collapsed="false">
      <c r="A679" s="9" t="s">
        <v>5271</v>
      </c>
      <c r="B679" s="9" t="s">
        <v>4576</v>
      </c>
      <c r="C679" s="9" t="s">
        <v>6</v>
      </c>
      <c r="D679" s="9" t="s">
        <v>419</v>
      </c>
      <c r="E679" s="9"/>
    </row>
    <row r="680" customFormat="false" ht="15" hidden="false" customHeight="false" outlineLevel="0" collapsed="false">
      <c r="A680" s="9" t="s">
        <v>5272</v>
      </c>
      <c r="B680" s="9" t="s">
        <v>4576</v>
      </c>
      <c r="C680" s="9" t="s">
        <v>6</v>
      </c>
      <c r="D680" s="9" t="s">
        <v>419</v>
      </c>
      <c r="E680" s="9"/>
    </row>
    <row r="681" customFormat="false" ht="15" hidden="false" customHeight="false" outlineLevel="0" collapsed="false">
      <c r="A681" s="9" t="s">
        <v>5273</v>
      </c>
      <c r="B681" s="9" t="s">
        <v>4583</v>
      </c>
      <c r="C681" s="9" t="s">
        <v>14</v>
      </c>
      <c r="D681" s="9" t="s">
        <v>1519</v>
      </c>
      <c r="E681" s="9"/>
    </row>
    <row r="682" customFormat="false" ht="15" hidden="false" customHeight="false" outlineLevel="0" collapsed="false">
      <c r="A682" s="9" t="s">
        <v>5274</v>
      </c>
      <c r="B682" s="9" t="s">
        <v>423</v>
      </c>
      <c r="C682" s="9" t="s">
        <v>6</v>
      </c>
      <c r="D682" s="9" t="s">
        <v>427</v>
      </c>
      <c r="E682" s="9"/>
    </row>
    <row r="683" customFormat="false" ht="15" hidden="false" customHeight="false" outlineLevel="0" collapsed="false">
      <c r="A683" s="9" t="s">
        <v>5275</v>
      </c>
      <c r="B683" s="9" t="s">
        <v>5235</v>
      </c>
      <c r="C683" s="9" t="s">
        <v>14</v>
      </c>
      <c r="D683" s="9" t="s">
        <v>1522</v>
      </c>
      <c r="E683" s="9"/>
    </row>
    <row r="684" customFormat="false" ht="15" hidden="false" customHeight="false" outlineLevel="0" collapsed="false">
      <c r="A684" s="9" t="s">
        <v>5276</v>
      </c>
      <c r="B684" s="9" t="s">
        <v>4921</v>
      </c>
      <c r="C684" s="10" t="s">
        <v>4196</v>
      </c>
      <c r="D684" s="9" t="s">
        <v>71</v>
      </c>
      <c r="E684" s="9" t="s">
        <v>5248</v>
      </c>
    </row>
    <row r="685" customFormat="false" ht="15" hidden="false" customHeight="false" outlineLevel="0" collapsed="false">
      <c r="A685" s="9" t="s">
        <v>5277</v>
      </c>
      <c r="B685" s="9" t="s">
        <v>5228</v>
      </c>
      <c r="C685" s="9" t="s">
        <v>6</v>
      </c>
      <c r="D685" s="9" t="s">
        <v>419</v>
      </c>
      <c r="E685" s="10" t="s">
        <v>4225</v>
      </c>
    </row>
    <row r="686" customFormat="false" ht="15" hidden="false" customHeight="false" outlineLevel="0" collapsed="false">
      <c r="A686" s="9" t="s">
        <v>5278</v>
      </c>
      <c r="B686" s="9" t="s">
        <v>5279</v>
      </c>
      <c r="C686" s="9" t="s">
        <v>6</v>
      </c>
      <c r="D686" s="9" t="s">
        <v>419</v>
      </c>
      <c r="E686" s="10" t="s">
        <v>4225</v>
      </c>
    </row>
    <row r="687" customFormat="false" ht="15" hidden="false" customHeight="false" outlineLevel="0" collapsed="false">
      <c r="A687" s="9" t="s">
        <v>5280</v>
      </c>
      <c r="B687" s="9" t="s">
        <v>4489</v>
      </c>
      <c r="C687" s="9" t="s">
        <v>6</v>
      </c>
      <c r="D687" s="9" t="s">
        <v>430</v>
      </c>
      <c r="E687" s="9"/>
    </row>
    <row r="688" customFormat="false" ht="15" hidden="false" customHeight="false" outlineLevel="0" collapsed="false">
      <c r="A688" s="9" t="s">
        <v>5281</v>
      </c>
      <c r="B688" s="9" t="s">
        <v>5282</v>
      </c>
      <c r="C688" s="9" t="s">
        <v>6</v>
      </c>
      <c r="D688" s="9" t="s">
        <v>582</v>
      </c>
      <c r="E688" s="9"/>
    </row>
    <row r="689" customFormat="false" ht="15" hidden="false" customHeight="false" outlineLevel="0" collapsed="false">
      <c r="A689" s="9" t="s">
        <v>5283</v>
      </c>
      <c r="B689" s="9" t="s">
        <v>5284</v>
      </c>
      <c r="C689" s="9" t="s">
        <v>6</v>
      </c>
      <c r="D689" s="9" t="s">
        <v>596</v>
      </c>
      <c r="E689" s="9"/>
    </row>
    <row r="690" customFormat="false" ht="15" hidden="false" customHeight="false" outlineLevel="0" collapsed="false">
      <c r="A690" s="9" t="s">
        <v>5285</v>
      </c>
      <c r="B690" s="9" t="s">
        <v>5286</v>
      </c>
      <c r="C690" s="10" t="s">
        <v>4196</v>
      </c>
      <c r="D690" s="9" t="s">
        <v>71</v>
      </c>
      <c r="E690" s="10" t="s">
        <v>5287</v>
      </c>
    </row>
    <row r="691" customFormat="false" ht="15" hidden="false" customHeight="false" outlineLevel="0" collapsed="false">
      <c r="A691" s="9" t="s">
        <v>5288</v>
      </c>
      <c r="B691" s="9" t="s">
        <v>4302</v>
      </c>
      <c r="C691" s="9" t="s">
        <v>14</v>
      </c>
      <c r="D691" s="9" t="s">
        <v>1525</v>
      </c>
      <c r="E691" s="9"/>
    </row>
    <row r="692" customFormat="false" ht="15" hidden="false" customHeight="false" outlineLevel="0" collapsed="false">
      <c r="A692" s="9" t="s">
        <v>5289</v>
      </c>
      <c r="B692" s="9" t="s">
        <v>4576</v>
      </c>
      <c r="C692" s="9" t="s">
        <v>14</v>
      </c>
      <c r="D692" s="9" t="s">
        <v>1528</v>
      </c>
      <c r="E692" s="9"/>
    </row>
    <row r="693" customFormat="false" ht="15" hidden="false" customHeight="false" outlineLevel="0" collapsed="false">
      <c r="A693" s="9" t="s">
        <v>5290</v>
      </c>
      <c r="B693" s="9" t="s">
        <v>4502</v>
      </c>
      <c r="C693" s="9" t="s">
        <v>14</v>
      </c>
      <c r="D693" s="9" t="s">
        <v>1530</v>
      </c>
      <c r="E693" s="9"/>
    </row>
    <row r="694" customFormat="false" ht="15" hidden="false" customHeight="false" outlineLevel="0" collapsed="false">
      <c r="A694" s="9" t="s">
        <v>5291</v>
      </c>
      <c r="B694" s="9" t="s">
        <v>4620</v>
      </c>
      <c r="C694" s="9" t="s">
        <v>14</v>
      </c>
      <c r="D694" s="9" t="s">
        <v>1531</v>
      </c>
      <c r="E694" s="9"/>
    </row>
    <row r="695" customFormat="false" ht="15" hidden="false" customHeight="false" outlineLevel="0" collapsed="false">
      <c r="A695" s="9" t="s">
        <v>5292</v>
      </c>
      <c r="B695" s="9" t="s">
        <v>5237</v>
      </c>
      <c r="C695" s="9" t="s">
        <v>14</v>
      </c>
      <c r="D695" s="9" t="s">
        <v>1532</v>
      </c>
      <c r="E695" s="9"/>
    </row>
    <row r="696" customFormat="false" ht="15" hidden="false" customHeight="false" outlineLevel="0" collapsed="false">
      <c r="A696" s="9" t="s">
        <v>5293</v>
      </c>
      <c r="B696" s="9" t="s">
        <v>5294</v>
      </c>
      <c r="C696" s="9" t="s">
        <v>14</v>
      </c>
      <c r="D696" s="9" t="s">
        <v>1533</v>
      </c>
      <c r="E696" s="9"/>
    </row>
    <row r="697" customFormat="false" ht="15" hidden="false" customHeight="false" outlineLevel="0" collapsed="false">
      <c r="A697" s="9" t="s">
        <v>5295</v>
      </c>
      <c r="B697" s="9" t="s">
        <v>4253</v>
      </c>
      <c r="C697" s="9" t="s">
        <v>14</v>
      </c>
      <c r="D697" s="9" t="s">
        <v>1534</v>
      </c>
      <c r="E697" s="9"/>
    </row>
    <row r="698" customFormat="false" ht="15" hidden="false" customHeight="false" outlineLevel="0" collapsed="false">
      <c r="A698" s="9" t="s">
        <v>5296</v>
      </c>
      <c r="B698" s="9" t="s">
        <v>4363</v>
      </c>
      <c r="C698" s="9" t="s">
        <v>14</v>
      </c>
      <c r="D698" s="9" t="s">
        <v>1536</v>
      </c>
      <c r="E698" s="9"/>
    </row>
    <row r="699" customFormat="false" ht="15" hidden="false" customHeight="false" outlineLevel="0" collapsed="false">
      <c r="A699" s="9" t="s">
        <v>5297</v>
      </c>
      <c r="B699" s="9" t="s">
        <v>4298</v>
      </c>
      <c r="C699" s="9" t="s">
        <v>14</v>
      </c>
      <c r="D699" s="9" t="s">
        <v>1536</v>
      </c>
      <c r="E699" s="10" t="s">
        <v>4225</v>
      </c>
    </row>
    <row r="700" customFormat="false" ht="15" hidden="false" customHeight="false" outlineLevel="0" collapsed="false">
      <c r="A700" s="9" t="s">
        <v>5298</v>
      </c>
      <c r="B700" s="9" t="s">
        <v>5299</v>
      </c>
      <c r="C700" s="9" t="s">
        <v>14</v>
      </c>
      <c r="D700" s="9" t="s">
        <v>1536</v>
      </c>
      <c r="E700" s="10" t="s">
        <v>4225</v>
      </c>
    </row>
    <row r="701" customFormat="false" ht="15" hidden="false" customHeight="false" outlineLevel="0" collapsed="false">
      <c r="A701" s="9" t="s">
        <v>5300</v>
      </c>
      <c r="B701" s="9" t="s">
        <v>4823</v>
      </c>
      <c r="C701" s="9" t="s">
        <v>14</v>
      </c>
      <c r="D701" s="9" t="s">
        <v>1538</v>
      </c>
      <c r="E701" s="9"/>
    </row>
    <row r="702" customFormat="false" ht="15" hidden="false" customHeight="false" outlineLevel="0" collapsed="false">
      <c r="A702" s="9" t="s">
        <v>5301</v>
      </c>
      <c r="B702" s="9" t="s">
        <v>4823</v>
      </c>
      <c r="C702" s="9" t="s">
        <v>14</v>
      </c>
      <c r="D702" s="9" t="s">
        <v>1538</v>
      </c>
      <c r="E702" s="9"/>
    </row>
    <row r="703" customFormat="false" ht="15" hidden="false" customHeight="false" outlineLevel="0" collapsed="false">
      <c r="A703" s="9" t="s">
        <v>5302</v>
      </c>
      <c r="B703" s="9" t="s">
        <v>4461</v>
      </c>
      <c r="C703" s="9" t="s">
        <v>14</v>
      </c>
      <c r="D703" s="9" t="s">
        <v>1538</v>
      </c>
      <c r="E703" s="9"/>
    </row>
    <row r="704" customFormat="false" ht="15" hidden="false" customHeight="false" outlineLevel="0" collapsed="false">
      <c r="A704" s="9" t="s">
        <v>5303</v>
      </c>
      <c r="B704" s="9" t="s">
        <v>4298</v>
      </c>
      <c r="C704" s="9" t="s">
        <v>14</v>
      </c>
      <c r="D704" s="9" t="s">
        <v>1538</v>
      </c>
      <c r="E704" s="10" t="s">
        <v>4225</v>
      </c>
    </row>
    <row r="705" customFormat="false" ht="15" hidden="false" customHeight="false" outlineLevel="0" collapsed="false">
      <c r="A705" s="9" t="s">
        <v>5304</v>
      </c>
      <c r="B705" s="9" t="s">
        <v>5305</v>
      </c>
      <c r="C705" s="9" t="s">
        <v>14</v>
      </c>
      <c r="D705" s="9" t="s">
        <v>1538</v>
      </c>
      <c r="E705" s="10" t="s">
        <v>4225</v>
      </c>
    </row>
    <row r="706" customFormat="false" ht="15" hidden="false" customHeight="false" outlineLevel="0" collapsed="false">
      <c r="A706" s="9" t="s">
        <v>5306</v>
      </c>
      <c r="B706" s="9" t="s">
        <v>4921</v>
      </c>
      <c r="C706" s="10" t="s">
        <v>4196</v>
      </c>
      <c r="D706" s="9" t="s">
        <v>71</v>
      </c>
      <c r="E706" s="9" t="s">
        <v>5307</v>
      </c>
    </row>
    <row r="707" customFormat="false" ht="15" hidden="false" customHeight="false" outlineLevel="0" collapsed="false">
      <c r="A707" s="9" t="s">
        <v>5308</v>
      </c>
      <c r="B707" s="9" t="s">
        <v>4924</v>
      </c>
      <c r="C707" s="10" t="s">
        <v>4196</v>
      </c>
      <c r="D707" s="9" t="s">
        <v>71</v>
      </c>
      <c r="E707" s="9" t="s">
        <v>5307</v>
      </c>
    </row>
    <row r="708" customFormat="false" ht="15" hidden="false" customHeight="false" outlineLevel="0" collapsed="false">
      <c r="A708" s="9" t="s">
        <v>5309</v>
      </c>
      <c r="B708" s="9" t="s">
        <v>5310</v>
      </c>
      <c r="C708" s="10" t="s">
        <v>4196</v>
      </c>
      <c r="D708" s="9" t="s">
        <v>71</v>
      </c>
      <c r="E708" s="9" t="s">
        <v>5307</v>
      </c>
    </row>
    <row r="709" customFormat="false" ht="15" hidden="false" customHeight="false" outlineLevel="0" collapsed="false">
      <c r="A709" s="9" t="s">
        <v>5311</v>
      </c>
      <c r="B709" s="9" t="s">
        <v>5312</v>
      </c>
      <c r="C709" s="10" t="s">
        <v>4266</v>
      </c>
      <c r="D709" s="9" t="s">
        <v>5313</v>
      </c>
      <c r="E709" s="9" t="s">
        <v>5314</v>
      </c>
    </row>
    <row r="710" customFormat="false" ht="15" hidden="false" customHeight="false" outlineLevel="0" collapsed="false">
      <c r="A710" s="9" t="s">
        <v>5315</v>
      </c>
      <c r="B710" s="9" t="s">
        <v>5316</v>
      </c>
      <c r="C710" s="9" t="s">
        <v>14</v>
      </c>
      <c r="D710" s="9" t="s">
        <v>1543</v>
      </c>
      <c r="E710" s="9"/>
    </row>
    <row r="711" customFormat="false" ht="15" hidden="false" customHeight="false" outlineLevel="0" collapsed="false">
      <c r="A711" s="9" t="s">
        <v>5317</v>
      </c>
      <c r="B711" s="9" t="s">
        <v>5318</v>
      </c>
      <c r="C711" s="9" t="s">
        <v>14</v>
      </c>
      <c r="D711" s="9" t="s">
        <v>1548</v>
      </c>
      <c r="E711" s="9"/>
    </row>
    <row r="712" customFormat="false" ht="15" hidden="false" customHeight="false" outlineLevel="0" collapsed="false">
      <c r="A712" s="9" t="s">
        <v>5319</v>
      </c>
      <c r="B712" s="9" t="s">
        <v>5320</v>
      </c>
      <c r="C712" s="9" t="s">
        <v>14</v>
      </c>
      <c r="D712" s="9" t="s">
        <v>1549</v>
      </c>
      <c r="E712" s="9"/>
    </row>
    <row r="713" customFormat="false" ht="15" hidden="false" customHeight="false" outlineLevel="0" collapsed="false">
      <c r="A713" s="9" t="s">
        <v>5321</v>
      </c>
      <c r="B713" s="9" t="s">
        <v>5322</v>
      </c>
      <c r="C713" s="9" t="s">
        <v>14</v>
      </c>
      <c r="D713" s="9" t="s">
        <v>1550</v>
      </c>
      <c r="E713" s="9"/>
    </row>
    <row r="714" customFormat="false" ht="15" hidden="false" customHeight="false" outlineLevel="0" collapsed="false">
      <c r="A714" s="9" t="s">
        <v>5323</v>
      </c>
      <c r="B714" s="9" t="s">
        <v>5324</v>
      </c>
      <c r="C714" s="9" t="s">
        <v>14</v>
      </c>
      <c r="D714" s="9" t="s">
        <v>1551</v>
      </c>
      <c r="E714" s="9"/>
    </row>
    <row r="715" customFormat="false" ht="15" hidden="false" customHeight="false" outlineLevel="0" collapsed="false">
      <c r="A715" s="9" t="s">
        <v>5325</v>
      </c>
      <c r="B715" s="9" t="s">
        <v>4388</v>
      </c>
      <c r="C715" s="9" t="s">
        <v>14</v>
      </c>
      <c r="D715" s="9" t="s">
        <v>1552</v>
      </c>
      <c r="E715" s="9"/>
    </row>
    <row r="716" customFormat="false" ht="15" hidden="false" customHeight="false" outlineLevel="0" collapsed="false">
      <c r="A716" s="9" t="s">
        <v>5326</v>
      </c>
      <c r="B716" s="9" t="s">
        <v>4693</v>
      </c>
      <c r="C716" s="9" t="s">
        <v>14</v>
      </c>
      <c r="D716" s="9" t="s">
        <v>1555</v>
      </c>
      <c r="E716" s="9"/>
    </row>
    <row r="717" customFormat="false" ht="15" hidden="false" customHeight="false" outlineLevel="0" collapsed="false">
      <c r="A717" s="9" t="s">
        <v>5327</v>
      </c>
      <c r="B717" s="9" t="s">
        <v>4298</v>
      </c>
      <c r="C717" s="9" t="s">
        <v>14</v>
      </c>
      <c r="D717" s="9" t="s">
        <v>1555</v>
      </c>
      <c r="E717" s="10" t="s">
        <v>4225</v>
      </c>
    </row>
    <row r="718" customFormat="false" ht="15" hidden="false" customHeight="false" outlineLevel="0" collapsed="false">
      <c r="A718" s="9" t="s">
        <v>5328</v>
      </c>
      <c r="B718" s="9" t="s">
        <v>5329</v>
      </c>
      <c r="C718" s="9" t="s">
        <v>14</v>
      </c>
      <c r="D718" s="9" t="s">
        <v>1555</v>
      </c>
      <c r="E718" s="10" t="s">
        <v>4225</v>
      </c>
    </row>
    <row r="719" customFormat="false" ht="15" hidden="false" customHeight="false" outlineLevel="0" collapsed="false">
      <c r="A719" s="9" t="s">
        <v>5330</v>
      </c>
      <c r="B719" s="9" t="s">
        <v>5331</v>
      </c>
      <c r="C719" s="9" t="s">
        <v>6</v>
      </c>
      <c r="D719" s="9" t="s">
        <v>433</v>
      </c>
      <c r="E719" s="9"/>
    </row>
    <row r="720" customFormat="false" ht="15" hidden="false" customHeight="false" outlineLevel="0" collapsed="false">
      <c r="A720" s="9" t="s">
        <v>5332</v>
      </c>
      <c r="B720" s="9" t="s">
        <v>4224</v>
      </c>
      <c r="C720" s="9" t="s">
        <v>6</v>
      </c>
      <c r="D720" s="9" t="s">
        <v>433</v>
      </c>
      <c r="E720" s="10" t="s">
        <v>4225</v>
      </c>
    </row>
    <row r="721" customFormat="false" ht="15" hidden="false" customHeight="false" outlineLevel="0" collapsed="false">
      <c r="A721" s="9" t="s">
        <v>5333</v>
      </c>
      <c r="B721" s="9" t="s">
        <v>5334</v>
      </c>
      <c r="C721" s="9" t="s">
        <v>6</v>
      </c>
      <c r="D721" s="9" t="s">
        <v>433</v>
      </c>
      <c r="E721" s="10" t="s">
        <v>4225</v>
      </c>
    </row>
    <row r="722" customFormat="false" ht="15" hidden="false" customHeight="false" outlineLevel="0" collapsed="false">
      <c r="A722" s="9" t="s">
        <v>5335</v>
      </c>
      <c r="B722" s="9" t="s">
        <v>5173</v>
      </c>
      <c r="C722" s="10" t="s">
        <v>5110</v>
      </c>
      <c r="D722" s="9" t="s">
        <v>339</v>
      </c>
      <c r="E722" s="10" t="s">
        <v>5174</v>
      </c>
    </row>
    <row r="723" customFormat="false" ht="15" hidden="false" customHeight="false" outlineLevel="0" collapsed="false">
      <c r="A723" s="9" t="s">
        <v>5336</v>
      </c>
      <c r="B723" s="9" t="s">
        <v>4224</v>
      </c>
      <c r="C723" s="10" t="s">
        <v>5110</v>
      </c>
      <c r="D723" s="9" t="s">
        <v>339</v>
      </c>
      <c r="E723" s="10" t="s">
        <v>5114</v>
      </c>
    </row>
    <row r="724" customFormat="false" ht="15" hidden="false" customHeight="false" outlineLevel="0" collapsed="false">
      <c r="A724" s="9" t="s">
        <v>5337</v>
      </c>
      <c r="B724" s="9" t="s">
        <v>5171</v>
      </c>
      <c r="C724" s="10" t="s">
        <v>5110</v>
      </c>
      <c r="D724" s="9" t="s">
        <v>339</v>
      </c>
      <c r="E724" s="10" t="s">
        <v>5114</v>
      </c>
    </row>
    <row r="725" customFormat="false" ht="15" hidden="false" customHeight="false" outlineLevel="0" collapsed="false">
      <c r="A725" s="9" t="s">
        <v>5338</v>
      </c>
      <c r="B725" s="9" t="s">
        <v>5339</v>
      </c>
      <c r="C725" s="9" t="s">
        <v>6</v>
      </c>
      <c r="D725" s="9" t="s">
        <v>439</v>
      </c>
      <c r="E725" s="9"/>
    </row>
    <row r="726" customFormat="false" ht="15" hidden="false" customHeight="false" outlineLevel="0" collapsed="false">
      <c r="A726" s="9" t="s">
        <v>5340</v>
      </c>
      <c r="B726" s="9" t="s">
        <v>4224</v>
      </c>
      <c r="C726" s="9" t="s">
        <v>6</v>
      </c>
      <c r="D726" s="9" t="s">
        <v>439</v>
      </c>
      <c r="E726" s="10" t="s">
        <v>4225</v>
      </c>
    </row>
    <row r="727" customFormat="false" ht="15" hidden="false" customHeight="false" outlineLevel="0" collapsed="false">
      <c r="A727" s="9" t="s">
        <v>5341</v>
      </c>
      <c r="B727" s="9" t="s">
        <v>5342</v>
      </c>
      <c r="C727" s="9" t="s">
        <v>6</v>
      </c>
      <c r="D727" s="9" t="s">
        <v>439</v>
      </c>
      <c r="E727" s="10" t="s">
        <v>4225</v>
      </c>
    </row>
    <row r="728" customFormat="false" ht="15" hidden="false" customHeight="false" outlineLevel="0" collapsed="false">
      <c r="A728" s="9" t="s">
        <v>5343</v>
      </c>
      <c r="B728" s="9" t="s">
        <v>5344</v>
      </c>
      <c r="C728" s="9" t="s">
        <v>6</v>
      </c>
      <c r="D728" s="9" t="s">
        <v>443</v>
      </c>
      <c r="E728" s="9"/>
    </row>
    <row r="729" customFormat="false" ht="15" hidden="false" customHeight="false" outlineLevel="0" collapsed="false">
      <c r="A729" s="9" t="s">
        <v>5345</v>
      </c>
      <c r="B729" s="9" t="s">
        <v>4224</v>
      </c>
      <c r="C729" s="9" t="s">
        <v>6</v>
      </c>
      <c r="D729" s="9" t="s">
        <v>443</v>
      </c>
      <c r="E729" s="10" t="s">
        <v>4225</v>
      </c>
    </row>
    <row r="730" customFormat="false" ht="15" hidden="false" customHeight="false" outlineLevel="0" collapsed="false">
      <c r="A730" s="9" t="s">
        <v>5346</v>
      </c>
      <c r="B730" s="9" t="s">
        <v>5347</v>
      </c>
      <c r="C730" s="9" t="s">
        <v>6</v>
      </c>
      <c r="D730" s="9" t="s">
        <v>443</v>
      </c>
      <c r="E730" s="10" t="s">
        <v>4225</v>
      </c>
    </row>
    <row r="731" customFormat="false" ht="15" hidden="false" customHeight="false" outlineLevel="0" collapsed="false">
      <c r="A731" s="9" t="s">
        <v>5348</v>
      </c>
      <c r="B731" s="9" t="s">
        <v>5349</v>
      </c>
      <c r="C731" s="10" t="s">
        <v>4196</v>
      </c>
      <c r="D731" s="9" t="s">
        <v>71</v>
      </c>
      <c r="E731" s="10" t="s">
        <v>5350</v>
      </c>
    </row>
    <row r="732" customFormat="false" ht="15" hidden="false" customHeight="false" outlineLevel="0" collapsed="false">
      <c r="A732" s="9" t="s">
        <v>5351</v>
      </c>
      <c r="B732" s="9" t="s">
        <v>4248</v>
      </c>
      <c r="C732" s="9" t="s">
        <v>6</v>
      </c>
      <c r="D732" s="9" t="s">
        <v>447</v>
      </c>
      <c r="E732" s="9"/>
    </row>
    <row r="733" customFormat="false" ht="15" hidden="false" customHeight="false" outlineLevel="0" collapsed="false">
      <c r="A733" s="9" t="s">
        <v>5352</v>
      </c>
      <c r="B733" s="9" t="s">
        <v>4618</v>
      </c>
      <c r="C733" s="9" t="s">
        <v>6</v>
      </c>
      <c r="D733" s="9" t="s">
        <v>447</v>
      </c>
      <c r="E733" s="9"/>
    </row>
    <row r="734" customFormat="false" ht="15" hidden="false" customHeight="false" outlineLevel="0" collapsed="false">
      <c r="A734" s="9" t="s">
        <v>5353</v>
      </c>
      <c r="B734" s="9" t="s">
        <v>4620</v>
      </c>
      <c r="C734" s="9" t="s">
        <v>6</v>
      </c>
      <c r="D734" s="9" t="s">
        <v>447</v>
      </c>
      <c r="E734" s="9"/>
    </row>
    <row r="735" customFormat="false" ht="15" hidden="false" customHeight="false" outlineLevel="0" collapsed="false">
      <c r="A735" s="9" t="s">
        <v>5354</v>
      </c>
      <c r="B735" s="9" t="s">
        <v>4224</v>
      </c>
      <c r="C735" s="9" t="s">
        <v>6</v>
      </c>
      <c r="D735" s="9" t="s">
        <v>447</v>
      </c>
      <c r="E735" s="10" t="s">
        <v>4225</v>
      </c>
    </row>
    <row r="736" customFormat="false" ht="15" hidden="false" customHeight="false" outlineLevel="0" collapsed="false">
      <c r="A736" s="9" t="s">
        <v>5355</v>
      </c>
      <c r="B736" s="9" t="s">
        <v>5356</v>
      </c>
      <c r="C736" s="9" t="s">
        <v>6</v>
      </c>
      <c r="D736" s="9" t="s">
        <v>447</v>
      </c>
      <c r="E736" s="10" t="s">
        <v>4225</v>
      </c>
    </row>
    <row r="737" customFormat="false" ht="15" hidden="false" customHeight="false" outlineLevel="0" collapsed="false">
      <c r="A737" s="9" t="s">
        <v>5357</v>
      </c>
      <c r="B737" s="9" t="s">
        <v>5358</v>
      </c>
      <c r="C737" s="9" t="s">
        <v>6</v>
      </c>
      <c r="D737" s="9" t="s">
        <v>452</v>
      </c>
      <c r="E737" s="9"/>
    </row>
    <row r="738" customFormat="false" ht="15" hidden="false" customHeight="false" outlineLevel="0" collapsed="false">
      <c r="A738" s="9" t="s">
        <v>5359</v>
      </c>
      <c r="B738" s="9" t="s">
        <v>5360</v>
      </c>
      <c r="C738" s="10" t="s">
        <v>4266</v>
      </c>
      <c r="D738" s="9" t="s">
        <v>5361</v>
      </c>
      <c r="E738" s="9" t="s">
        <v>5362</v>
      </c>
    </row>
    <row r="739" customFormat="false" ht="15" hidden="false" customHeight="false" outlineLevel="0" collapsed="false">
      <c r="A739" s="9" t="s">
        <v>5363</v>
      </c>
      <c r="B739" s="9" t="s">
        <v>4224</v>
      </c>
      <c r="C739" s="10" t="s">
        <v>4266</v>
      </c>
      <c r="D739" s="9" t="s">
        <v>5361</v>
      </c>
      <c r="E739" s="9" t="s">
        <v>5362</v>
      </c>
    </row>
    <row r="740" customFormat="false" ht="15" hidden="false" customHeight="false" outlineLevel="0" collapsed="false">
      <c r="A740" s="9" t="s">
        <v>5364</v>
      </c>
      <c r="B740" s="9" t="s">
        <v>5365</v>
      </c>
      <c r="C740" s="10" t="s">
        <v>4266</v>
      </c>
      <c r="D740" s="9" t="s">
        <v>5361</v>
      </c>
      <c r="E740" s="9" t="s">
        <v>5362</v>
      </c>
    </row>
    <row r="741" customFormat="false" ht="15" hidden="false" customHeight="false" outlineLevel="0" collapsed="false">
      <c r="A741" s="9" t="s">
        <v>5366</v>
      </c>
      <c r="B741" s="9" t="s">
        <v>4618</v>
      </c>
      <c r="C741" s="9" t="s">
        <v>6</v>
      </c>
      <c r="D741" s="9" t="s">
        <v>459</v>
      </c>
      <c r="E741" s="9"/>
    </row>
    <row r="742" customFormat="false" ht="15" hidden="false" customHeight="false" outlineLevel="0" collapsed="false">
      <c r="A742" s="9" t="s">
        <v>5367</v>
      </c>
      <c r="B742" s="9" t="s">
        <v>4293</v>
      </c>
      <c r="C742" s="9" t="s">
        <v>6</v>
      </c>
      <c r="D742" s="9" t="s">
        <v>459</v>
      </c>
      <c r="E742" s="10" t="s">
        <v>4225</v>
      </c>
    </row>
    <row r="743" customFormat="false" ht="15" hidden="false" customHeight="false" outlineLevel="0" collapsed="false">
      <c r="A743" s="9" t="s">
        <v>5368</v>
      </c>
      <c r="B743" s="9" t="s">
        <v>5369</v>
      </c>
      <c r="C743" s="9" t="s">
        <v>6</v>
      </c>
      <c r="D743" s="9" t="s">
        <v>459</v>
      </c>
      <c r="E743" s="10" t="s">
        <v>4225</v>
      </c>
    </row>
    <row r="744" customFormat="false" ht="15" hidden="false" customHeight="false" outlineLevel="0" collapsed="false">
      <c r="A744" s="9" t="s">
        <v>5370</v>
      </c>
      <c r="B744" s="9" t="s">
        <v>4498</v>
      </c>
      <c r="C744" s="9" t="s">
        <v>14</v>
      </c>
      <c r="D744" s="9" t="s">
        <v>1557</v>
      </c>
      <c r="E744" s="9"/>
    </row>
    <row r="745" customFormat="false" ht="15" hidden="false" customHeight="false" outlineLevel="0" collapsed="false">
      <c r="A745" s="9" t="s">
        <v>5371</v>
      </c>
      <c r="B745" s="9" t="s">
        <v>4500</v>
      </c>
      <c r="C745" s="9" t="s">
        <v>14</v>
      </c>
      <c r="D745" s="9" t="s">
        <v>1557</v>
      </c>
      <c r="E745" s="9"/>
    </row>
    <row r="746" customFormat="false" ht="15" hidden="false" customHeight="false" outlineLevel="0" collapsed="false">
      <c r="A746" s="9" t="s">
        <v>5372</v>
      </c>
      <c r="B746" s="9" t="s">
        <v>4576</v>
      </c>
      <c r="C746" s="9" t="s">
        <v>14</v>
      </c>
      <c r="D746" s="9" t="s">
        <v>1557</v>
      </c>
      <c r="E746" s="9"/>
    </row>
    <row r="747" customFormat="false" ht="15" hidden="false" customHeight="false" outlineLevel="0" collapsed="false">
      <c r="A747" s="9" t="s">
        <v>5373</v>
      </c>
      <c r="B747" s="9" t="s">
        <v>4298</v>
      </c>
      <c r="C747" s="9" t="s">
        <v>14</v>
      </c>
      <c r="D747" s="9" t="s">
        <v>1557</v>
      </c>
      <c r="E747" s="10" t="s">
        <v>4225</v>
      </c>
    </row>
    <row r="748" customFormat="false" ht="15" hidden="false" customHeight="false" outlineLevel="0" collapsed="false">
      <c r="A748" s="9" t="s">
        <v>5374</v>
      </c>
      <c r="B748" s="9" t="s">
        <v>5222</v>
      </c>
      <c r="C748" s="9" t="s">
        <v>6</v>
      </c>
      <c r="D748" s="9" t="s">
        <v>465</v>
      </c>
      <c r="E748" s="9"/>
    </row>
    <row r="749" customFormat="false" ht="15" hidden="false" customHeight="false" outlineLevel="0" collapsed="false">
      <c r="A749" s="9" t="s">
        <v>5375</v>
      </c>
      <c r="B749" s="9" t="s">
        <v>4224</v>
      </c>
      <c r="C749" s="9" t="s">
        <v>6</v>
      </c>
      <c r="D749" s="9" t="s">
        <v>465</v>
      </c>
      <c r="E749" s="10" t="s">
        <v>4225</v>
      </c>
    </row>
    <row r="750" customFormat="false" ht="15" hidden="false" customHeight="false" outlineLevel="0" collapsed="false">
      <c r="A750" s="9" t="s">
        <v>5376</v>
      </c>
      <c r="B750" s="9" t="s">
        <v>5377</v>
      </c>
      <c r="C750" s="9" t="s">
        <v>6</v>
      </c>
      <c r="D750" s="9" t="s">
        <v>465</v>
      </c>
      <c r="E750" s="10" t="s">
        <v>4225</v>
      </c>
    </row>
    <row r="751" customFormat="false" ht="15" hidden="false" customHeight="false" outlineLevel="0" collapsed="false">
      <c r="A751" s="9" t="s">
        <v>5378</v>
      </c>
      <c r="B751" s="9" t="s">
        <v>4933</v>
      </c>
      <c r="C751" s="9" t="s">
        <v>6</v>
      </c>
      <c r="D751" s="9" t="s">
        <v>470</v>
      </c>
      <c r="E751" s="9"/>
    </row>
    <row r="752" customFormat="false" ht="15" hidden="false" customHeight="false" outlineLevel="0" collapsed="false">
      <c r="A752" s="9" t="s">
        <v>5379</v>
      </c>
      <c r="B752" s="9" t="s">
        <v>4224</v>
      </c>
      <c r="C752" s="9" t="s">
        <v>6</v>
      </c>
      <c r="D752" s="9" t="s">
        <v>470</v>
      </c>
      <c r="E752" s="10" t="s">
        <v>4225</v>
      </c>
    </row>
    <row r="753" customFormat="false" ht="15" hidden="false" customHeight="false" outlineLevel="0" collapsed="false">
      <c r="A753" s="9" t="s">
        <v>5380</v>
      </c>
      <c r="B753" s="9" t="s">
        <v>5381</v>
      </c>
      <c r="C753" s="9" t="s">
        <v>6</v>
      </c>
      <c r="D753" s="9" t="s">
        <v>470</v>
      </c>
      <c r="E753" s="10" t="s">
        <v>4225</v>
      </c>
    </row>
    <row r="754" customFormat="false" ht="15" hidden="false" customHeight="false" outlineLevel="0" collapsed="false">
      <c r="A754" s="9" t="s">
        <v>5382</v>
      </c>
      <c r="B754" s="9" t="s">
        <v>5383</v>
      </c>
      <c r="C754" s="10" t="s">
        <v>4196</v>
      </c>
      <c r="D754" s="9" t="s">
        <v>71</v>
      </c>
      <c r="E754" s="10" t="s">
        <v>5384</v>
      </c>
    </row>
    <row r="755" customFormat="false" ht="15" hidden="false" customHeight="false" outlineLevel="0" collapsed="false">
      <c r="A755" s="9" t="s">
        <v>5385</v>
      </c>
      <c r="B755" s="9" t="s">
        <v>5386</v>
      </c>
      <c r="C755" s="10" t="s">
        <v>4196</v>
      </c>
      <c r="D755" s="9" t="s">
        <v>71</v>
      </c>
      <c r="E755" s="10" t="s">
        <v>5387</v>
      </c>
    </row>
    <row r="756" customFormat="false" ht="15" hidden="false" customHeight="false" outlineLevel="0" collapsed="false">
      <c r="A756" s="9" t="s">
        <v>5388</v>
      </c>
      <c r="B756" s="9" t="s">
        <v>5389</v>
      </c>
      <c r="C756" s="10" t="s">
        <v>4196</v>
      </c>
      <c r="D756" s="9" t="s">
        <v>71</v>
      </c>
      <c r="E756" s="10" t="s">
        <v>4424</v>
      </c>
    </row>
    <row r="757" customFormat="false" ht="15" hidden="false" customHeight="false" outlineLevel="0" collapsed="false">
      <c r="A757" s="9" t="s">
        <v>5390</v>
      </c>
      <c r="B757" s="9" t="s">
        <v>4666</v>
      </c>
      <c r="C757" s="9" t="s">
        <v>6</v>
      </c>
      <c r="D757" s="9" t="s">
        <v>475</v>
      </c>
      <c r="E757" s="9"/>
    </row>
    <row r="758" customFormat="false" ht="15" hidden="false" customHeight="false" outlineLevel="0" collapsed="false">
      <c r="A758" s="9" t="s">
        <v>5391</v>
      </c>
      <c r="B758" s="9" t="s">
        <v>4224</v>
      </c>
      <c r="C758" s="9" t="s">
        <v>6</v>
      </c>
      <c r="D758" s="9" t="s">
        <v>475</v>
      </c>
      <c r="E758" s="10" t="s">
        <v>4225</v>
      </c>
    </row>
    <row r="759" customFormat="false" ht="15" hidden="false" customHeight="false" outlineLevel="0" collapsed="false">
      <c r="A759" s="9" t="s">
        <v>5392</v>
      </c>
      <c r="B759" s="9" t="s">
        <v>5393</v>
      </c>
      <c r="C759" s="9" t="s">
        <v>6</v>
      </c>
      <c r="D759" s="9" t="s">
        <v>475</v>
      </c>
      <c r="E759" s="10" t="s">
        <v>4225</v>
      </c>
    </row>
    <row r="760" customFormat="false" ht="15" hidden="false" customHeight="false" outlineLevel="0" collapsed="false">
      <c r="A760" s="9" t="s">
        <v>5394</v>
      </c>
      <c r="B760" s="9" t="s">
        <v>4612</v>
      </c>
      <c r="C760" s="9" t="s">
        <v>6</v>
      </c>
      <c r="D760" s="9" t="s">
        <v>475</v>
      </c>
      <c r="E760" s="10" t="s">
        <v>4225</v>
      </c>
    </row>
    <row r="761" customFormat="false" ht="15" hidden="false" customHeight="false" outlineLevel="0" collapsed="false">
      <c r="A761" s="9" t="s">
        <v>5395</v>
      </c>
      <c r="B761" s="9" t="s">
        <v>5396</v>
      </c>
      <c r="C761" s="10" t="s">
        <v>4266</v>
      </c>
      <c r="D761" s="10" t="s">
        <v>5397</v>
      </c>
      <c r="E761" s="9" t="s">
        <v>5398</v>
      </c>
    </row>
    <row r="762" customFormat="false" ht="15" hidden="false" customHeight="false" outlineLevel="0" collapsed="false">
      <c r="A762" s="9" t="s">
        <v>5399</v>
      </c>
      <c r="B762" s="9" t="s">
        <v>5400</v>
      </c>
      <c r="C762" s="10" t="s">
        <v>4266</v>
      </c>
      <c r="D762" s="10" t="s">
        <v>5397</v>
      </c>
      <c r="E762" s="9" t="s">
        <v>5398</v>
      </c>
    </row>
    <row r="763" customFormat="false" ht="15" hidden="false" customHeight="false" outlineLevel="0" collapsed="false">
      <c r="A763" s="9" t="s">
        <v>5401</v>
      </c>
      <c r="B763" s="9" t="s">
        <v>5402</v>
      </c>
      <c r="C763" s="10" t="s">
        <v>4266</v>
      </c>
      <c r="D763" s="10" t="s">
        <v>5397</v>
      </c>
      <c r="E763" s="9" t="s">
        <v>5398</v>
      </c>
    </row>
    <row r="764" customFormat="false" ht="15" hidden="false" customHeight="false" outlineLevel="0" collapsed="false">
      <c r="A764" s="9" t="s">
        <v>5403</v>
      </c>
      <c r="B764" s="9" t="s">
        <v>4276</v>
      </c>
      <c r="C764" s="10" t="s">
        <v>4266</v>
      </c>
      <c r="D764" s="10" t="s">
        <v>5397</v>
      </c>
      <c r="E764" s="9" t="s">
        <v>5398</v>
      </c>
    </row>
    <row r="765" customFormat="false" ht="15" hidden="false" customHeight="false" outlineLevel="0" collapsed="false">
      <c r="A765" s="9" t="s">
        <v>5404</v>
      </c>
      <c r="B765" s="9" t="s">
        <v>5405</v>
      </c>
      <c r="C765" s="10" t="s">
        <v>4266</v>
      </c>
      <c r="D765" s="10" t="s">
        <v>5397</v>
      </c>
      <c r="E765" s="9" t="s">
        <v>5398</v>
      </c>
    </row>
    <row r="766" customFormat="false" ht="15" hidden="false" customHeight="false" outlineLevel="0" collapsed="false">
      <c r="A766" s="9" t="s">
        <v>5406</v>
      </c>
      <c r="B766" s="9" t="s">
        <v>4612</v>
      </c>
      <c r="C766" s="10" t="s">
        <v>4266</v>
      </c>
      <c r="D766" s="10" t="s">
        <v>5397</v>
      </c>
      <c r="E766" s="9" t="s">
        <v>5398</v>
      </c>
    </row>
    <row r="767" customFormat="false" ht="15" hidden="false" customHeight="false" outlineLevel="0" collapsed="false">
      <c r="A767" s="9" t="s">
        <v>5407</v>
      </c>
      <c r="B767" s="9" t="s">
        <v>5408</v>
      </c>
      <c r="C767" s="9" t="s">
        <v>6</v>
      </c>
      <c r="D767" s="9" t="s">
        <v>480</v>
      </c>
      <c r="E767" s="9"/>
    </row>
    <row r="768" customFormat="false" ht="15" hidden="false" customHeight="false" outlineLevel="0" collapsed="false">
      <c r="A768" s="9" t="s">
        <v>5409</v>
      </c>
      <c r="B768" s="9" t="s">
        <v>4224</v>
      </c>
      <c r="C768" s="9" t="s">
        <v>6</v>
      </c>
      <c r="D768" s="9" t="s">
        <v>480</v>
      </c>
      <c r="E768" s="10" t="s">
        <v>4225</v>
      </c>
    </row>
    <row r="769" customFormat="false" ht="15" hidden="false" customHeight="false" outlineLevel="0" collapsed="false">
      <c r="A769" s="9" t="s">
        <v>5410</v>
      </c>
      <c r="B769" s="9" t="s">
        <v>5411</v>
      </c>
      <c r="C769" s="9" t="s">
        <v>6</v>
      </c>
      <c r="D769" s="9" t="s">
        <v>480</v>
      </c>
      <c r="E769" s="10" t="s">
        <v>4225</v>
      </c>
    </row>
    <row r="770" customFormat="false" ht="15" hidden="false" customHeight="false" outlineLevel="0" collapsed="false">
      <c r="A770" s="9" t="s">
        <v>5412</v>
      </c>
      <c r="B770" s="9" t="s">
        <v>5173</v>
      </c>
      <c r="C770" s="9" t="s">
        <v>6</v>
      </c>
      <c r="D770" s="9" t="s">
        <v>339</v>
      </c>
      <c r="E770" s="9"/>
    </row>
    <row r="771" customFormat="false" ht="15" hidden="false" customHeight="false" outlineLevel="0" collapsed="false">
      <c r="A771" s="9" t="s">
        <v>5413</v>
      </c>
      <c r="B771" s="9" t="s">
        <v>4592</v>
      </c>
      <c r="C771" s="9" t="s">
        <v>6</v>
      </c>
      <c r="D771" s="9" t="s">
        <v>339</v>
      </c>
      <c r="E771" s="9"/>
    </row>
    <row r="772" customFormat="false" ht="15" hidden="false" customHeight="false" outlineLevel="0" collapsed="false">
      <c r="A772" s="9" t="s">
        <v>5414</v>
      </c>
      <c r="B772" s="9" t="s">
        <v>5173</v>
      </c>
      <c r="C772" s="9" t="s">
        <v>6</v>
      </c>
      <c r="D772" s="9" t="s">
        <v>339</v>
      </c>
      <c r="E772" s="9"/>
    </row>
    <row r="773" customFormat="false" ht="15" hidden="false" customHeight="false" outlineLevel="0" collapsed="false">
      <c r="A773" s="9" t="s">
        <v>5415</v>
      </c>
      <c r="B773" s="9" t="s">
        <v>4224</v>
      </c>
      <c r="C773" s="9" t="s">
        <v>6</v>
      </c>
      <c r="D773" s="9" t="s">
        <v>339</v>
      </c>
      <c r="E773" s="10" t="s">
        <v>4225</v>
      </c>
    </row>
    <row r="774" customFormat="false" ht="15" hidden="false" customHeight="false" outlineLevel="0" collapsed="false">
      <c r="A774" s="9" t="s">
        <v>5416</v>
      </c>
      <c r="B774" s="9" t="s">
        <v>5417</v>
      </c>
      <c r="C774" s="9" t="s">
        <v>6</v>
      </c>
      <c r="D774" s="9" t="s">
        <v>339</v>
      </c>
      <c r="E774" s="10" t="s">
        <v>4225</v>
      </c>
    </row>
    <row r="775" customFormat="false" ht="15" hidden="false" customHeight="false" outlineLevel="0" collapsed="false">
      <c r="A775" s="9" t="s">
        <v>5418</v>
      </c>
      <c r="B775" s="9" t="s">
        <v>4612</v>
      </c>
      <c r="C775" s="9" t="s">
        <v>6</v>
      </c>
      <c r="D775" s="9" t="s">
        <v>339</v>
      </c>
      <c r="E775" s="10" t="s">
        <v>4225</v>
      </c>
    </row>
    <row r="776" customFormat="false" ht="15" hidden="false" customHeight="false" outlineLevel="0" collapsed="false">
      <c r="A776" s="9" t="s">
        <v>5419</v>
      </c>
      <c r="B776" s="9" t="s">
        <v>5119</v>
      </c>
      <c r="C776" s="10" t="s">
        <v>5110</v>
      </c>
      <c r="D776" s="9" t="s">
        <v>5420</v>
      </c>
      <c r="E776" s="10" t="s">
        <v>5421</v>
      </c>
    </row>
    <row r="777" customFormat="false" ht="15" hidden="false" customHeight="false" outlineLevel="0" collapsed="false">
      <c r="A777" s="9" t="s">
        <v>5422</v>
      </c>
      <c r="B777" s="9" t="s">
        <v>5126</v>
      </c>
      <c r="C777" s="10" t="s">
        <v>5110</v>
      </c>
      <c r="D777" s="9" t="s">
        <v>5423</v>
      </c>
      <c r="E777" s="10" t="s">
        <v>5424</v>
      </c>
    </row>
    <row r="778" customFormat="false" ht="15" hidden="false" customHeight="false" outlineLevel="0" collapsed="false">
      <c r="A778" s="9" t="s">
        <v>5425</v>
      </c>
      <c r="B778" s="9" t="s">
        <v>4224</v>
      </c>
      <c r="C778" s="10" t="s">
        <v>5110</v>
      </c>
      <c r="D778" s="9" t="s">
        <v>5426</v>
      </c>
      <c r="E778" s="10" t="s">
        <v>5114</v>
      </c>
    </row>
    <row r="779" customFormat="false" ht="15" hidden="false" customHeight="false" outlineLevel="0" collapsed="false">
      <c r="A779" s="9" t="s">
        <v>5427</v>
      </c>
      <c r="B779" s="9" t="s">
        <v>5428</v>
      </c>
      <c r="C779" s="10" t="s">
        <v>5110</v>
      </c>
      <c r="D779" s="9" t="s">
        <v>5426</v>
      </c>
      <c r="E779" s="10" t="s">
        <v>5429</v>
      </c>
    </row>
    <row r="780" customFormat="false" ht="15" hidden="false" customHeight="false" outlineLevel="0" collapsed="false">
      <c r="A780" s="9" t="s">
        <v>5430</v>
      </c>
      <c r="B780" s="9" t="s">
        <v>5431</v>
      </c>
      <c r="C780" s="10" t="s">
        <v>4196</v>
      </c>
      <c r="D780" s="9" t="s">
        <v>71</v>
      </c>
      <c r="E780" s="10" t="s">
        <v>5432</v>
      </c>
    </row>
    <row r="781" customFormat="false" ht="15" hidden="false" customHeight="false" outlineLevel="0" collapsed="false">
      <c r="A781" s="9" t="s">
        <v>5433</v>
      </c>
      <c r="B781" s="9" t="s">
        <v>5434</v>
      </c>
      <c r="C781" s="10" t="s">
        <v>4196</v>
      </c>
      <c r="D781" s="9" t="s">
        <v>71</v>
      </c>
      <c r="E781" s="10" t="s">
        <v>5435</v>
      </c>
    </row>
    <row r="782" customFormat="false" ht="15" hidden="false" customHeight="false" outlineLevel="0" collapsed="false">
      <c r="A782" s="9" t="s">
        <v>5436</v>
      </c>
      <c r="B782" s="9" t="s">
        <v>5437</v>
      </c>
      <c r="C782" s="10" t="s">
        <v>4196</v>
      </c>
      <c r="D782" s="9" t="s">
        <v>71</v>
      </c>
      <c r="E782" s="10" t="s">
        <v>5438</v>
      </c>
    </row>
    <row r="783" customFormat="false" ht="15" hidden="false" customHeight="false" outlineLevel="0" collapsed="false">
      <c r="A783" s="9" t="s">
        <v>5439</v>
      </c>
      <c r="B783" s="9" t="s">
        <v>5440</v>
      </c>
      <c r="C783" s="10" t="s">
        <v>4900</v>
      </c>
      <c r="D783" s="9" t="s">
        <v>5441</v>
      </c>
      <c r="E783" s="10" t="s">
        <v>5442</v>
      </c>
    </row>
    <row r="784" customFormat="false" ht="15" hidden="false" customHeight="false" outlineLevel="0" collapsed="false">
      <c r="A784" s="9" t="s">
        <v>5443</v>
      </c>
      <c r="B784" s="9" t="s">
        <v>5444</v>
      </c>
      <c r="C784" s="10" t="s">
        <v>4900</v>
      </c>
      <c r="D784" s="9" t="s">
        <v>5441</v>
      </c>
      <c r="E784" s="10" t="s">
        <v>5442</v>
      </c>
    </row>
    <row r="785" customFormat="false" ht="15" hidden="false" customHeight="false" outlineLevel="0" collapsed="false">
      <c r="A785" s="9" t="s">
        <v>5445</v>
      </c>
      <c r="B785" s="9" t="s">
        <v>5446</v>
      </c>
      <c r="C785" s="10" t="s">
        <v>4900</v>
      </c>
      <c r="D785" s="9" t="s">
        <v>5441</v>
      </c>
      <c r="E785" s="10" t="s">
        <v>5442</v>
      </c>
    </row>
    <row r="786" customFormat="false" ht="15" hidden="false" customHeight="false" outlineLevel="0" collapsed="false">
      <c r="A786" s="9" t="s">
        <v>5447</v>
      </c>
      <c r="B786" s="9" t="s">
        <v>5448</v>
      </c>
      <c r="C786" s="10" t="s">
        <v>4900</v>
      </c>
      <c r="D786" s="9" t="s">
        <v>5441</v>
      </c>
      <c r="E786" s="10" t="s">
        <v>5442</v>
      </c>
    </row>
    <row r="787" customFormat="false" ht="15" hidden="false" customHeight="false" outlineLevel="0" collapsed="false">
      <c r="A787" s="9" t="s">
        <v>5449</v>
      </c>
      <c r="B787" s="9" t="s">
        <v>5450</v>
      </c>
      <c r="C787" s="10" t="s">
        <v>4900</v>
      </c>
      <c r="D787" s="9" t="s">
        <v>5441</v>
      </c>
      <c r="E787" s="10" t="s">
        <v>5442</v>
      </c>
    </row>
    <row r="788" customFormat="false" ht="15" hidden="false" customHeight="false" outlineLevel="0" collapsed="false">
      <c r="A788" s="9" t="s">
        <v>5451</v>
      </c>
      <c r="B788" s="9" t="s">
        <v>5452</v>
      </c>
      <c r="C788" s="10" t="s">
        <v>4900</v>
      </c>
      <c r="D788" s="9" t="s">
        <v>5441</v>
      </c>
      <c r="E788" s="10" t="s">
        <v>5442</v>
      </c>
    </row>
    <row r="789" customFormat="false" ht="15" hidden="false" customHeight="false" outlineLevel="0" collapsed="false">
      <c r="A789" s="9" t="s">
        <v>5453</v>
      </c>
      <c r="B789" s="9" t="s">
        <v>5454</v>
      </c>
      <c r="C789" s="10" t="s">
        <v>4900</v>
      </c>
      <c r="D789" s="9" t="s">
        <v>5441</v>
      </c>
      <c r="E789" s="10" t="s">
        <v>5442</v>
      </c>
    </row>
    <row r="790" customFormat="false" ht="15" hidden="false" customHeight="false" outlineLevel="0" collapsed="false">
      <c r="A790" s="9" t="s">
        <v>5455</v>
      </c>
      <c r="B790" s="9" t="s">
        <v>5456</v>
      </c>
      <c r="C790" s="10" t="s">
        <v>4900</v>
      </c>
      <c r="D790" s="9" t="s">
        <v>5441</v>
      </c>
      <c r="E790" s="10" t="s">
        <v>5442</v>
      </c>
    </row>
    <row r="791" customFormat="false" ht="15" hidden="false" customHeight="false" outlineLevel="0" collapsed="false">
      <c r="A791" s="9" t="s">
        <v>5457</v>
      </c>
      <c r="B791" s="9" t="s">
        <v>5458</v>
      </c>
      <c r="C791" s="10" t="s">
        <v>4900</v>
      </c>
      <c r="D791" s="9" t="s">
        <v>5441</v>
      </c>
      <c r="E791" s="10" t="s">
        <v>5442</v>
      </c>
    </row>
    <row r="792" customFormat="false" ht="15" hidden="false" customHeight="false" outlineLevel="0" collapsed="false">
      <c r="A792" s="9" t="s">
        <v>5459</v>
      </c>
      <c r="B792" s="9" t="s">
        <v>5460</v>
      </c>
      <c r="C792" s="10" t="s">
        <v>4900</v>
      </c>
      <c r="D792" s="9" t="s">
        <v>5441</v>
      </c>
      <c r="E792" s="10" t="s">
        <v>5442</v>
      </c>
    </row>
    <row r="793" customFormat="false" ht="15" hidden="false" customHeight="false" outlineLevel="0" collapsed="false">
      <c r="A793" s="9" t="s">
        <v>5461</v>
      </c>
      <c r="B793" s="9" t="s">
        <v>4276</v>
      </c>
      <c r="C793" s="10" t="s">
        <v>4900</v>
      </c>
      <c r="D793" s="9" t="s">
        <v>5441</v>
      </c>
      <c r="E793" s="10" t="s">
        <v>5442</v>
      </c>
    </row>
    <row r="794" customFormat="false" ht="15" hidden="false" customHeight="false" outlineLevel="0" collapsed="false">
      <c r="A794" s="9" t="s">
        <v>5462</v>
      </c>
      <c r="B794" s="9" t="s">
        <v>4280</v>
      </c>
      <c r="C794" s="10" t="s">
        <v>4900</v>
      </c>
      <c r="D794" s="9" t="s">
        <v>5441</v>
      </c>
      <c r="E794" s="10" t="s">
        <v>5442</v>
      </c>
    </row>
    <row r="795" customFormat="false" ht="15" hidden="false" customHeight="false" outlineLevel="0" collapsed="false">
      <c r="A795" s="9" t="s">
        <v>5463</v>
      </c>
      <c r="B795" s="9" t="s">
        <v>4449</v>
      </c>
      <c r="C795" s="10" t="s">
        <v>4900</v>
      </c>
      <c r="D795" s="9" t="s">
        <v>5464</v>
      </c>
      <c r="E795" s="10" t="s">
        <v>4902</v>
      </c>
    </row>
    <row r="796" customFormat="false" ht="15" hidden="false" customHeight="false" outlineLevel="0" collapsed="false">
      <c r="A796" s="9" t="s">
        <v>5465</v>
      </c>
      <c r="B796" s="9" t="s">
        <v>4334</v>
      </c>
      <c r="C796" s="10" t="s">
        <v>4900</v>
      </c>
      <c r="D796" s="9" t="s">
        <v>5464</v>
      </c>
      <c r="E796" s="10" t="s">
        <v>4902</v>
      </c>
    </row>
    <row r="797" customFormat="false" ht="15" hidden="false" customHeight="false" outlineLevel="0" collapsed="false">
      <c r="A797" s="9" t="s">
        <v>5466</v>
      </c>
      <c r="B797" s="9" t="s">
        <v>4451</v>
      </c>
      <c r="C797" s="10" t="s">
        <v>4900</v>
      </c>
      <c r="D797" s="9" t="s">
        <v>5464</v>
      </c>
      <c r="E797" s="10" t="s">
        <v>4902</v>
      </c>
    </row>
    <row r="798" customFormat="false" ht="15" hidden="false" customHeight="false" outlineLevel="0" collapsed="false">
      <c r="A798" s="9" t="s">
        <v>5467</v>
      </c>
      <c r="B798" s="9" t="s">
        <v>4483</v>
      </c>
      <c r="C798" s="10" t="s">
        <v>4900</v>
      </c>
      <c r="D798" s="9" t="s">
        <v>5464</v>
      </c>
      <c r="E798" s="10" t="s">
        <v>4902</v>
      </c>
    </row>
    <row r="799" customFormat="false" ht="15" hidden="false" customHeight="false" outlineLevel="0" collapsed="false">
      <c r="A799" s="9" t="s">
        <v>5468</v>
      </c>
      <c r="B799" s="9" t="s">
        <v>4253</v>
      </c>
      <c r="C799" s="9" t="s">
        <v>14</v>
      </c>
      <c r="D799" s="9" t="s">
        <v>1561</v>
      </c>
      <c r="E799" s="9"/>
    </row>
    <row r="800" customFormat="false" ht="15" hidden="false" customHeight="false" outlineLevel="0" collapsed="false">
      <c r="A800" s="9" t="s">
        <v>5469</v>
      </c>
      <c r="B800" s="9" t="s">
        <v>4385</v>
      </c>
      <c r="C800" s="9" t="s">
        <v>14</v>
      </c>
      <c r="D800" s="9" t="s">
        <v>1561</v>
      </c>
      <c r="E800" s="9"/>
    </row>
    <row r="801" customFormat="false" ht="15" hidden="false" customHeight="false" outlineLevel="0" collapsed="false">
      <c r="A801" s="9" t="s">
        <v>5470</v>
      </c>
      <c r="B801" s="9" t="s">
        <v>4326</v>
      </c>
      <c r="C801" s="9" t="s">
        <v>14</v>
      </c>
      <c r="D801" s="9" t="s">
        <v>1561</v>
      </c>
      <c r="E801" s="9"/>
    </row>
    <row r="802" customFormat="false" ht="15" hidden="false" customHeight="false" outlineLevel="0" collapsed="false">
      <c r="A802" s="9" t="s">
        <v>5471</v>
      </c>
      <c r="B802" s="9" t="s">
        <v>4298</v>
      </c>
      <c r="C802" s="9" t="s">
        <v>14</v>
      </c>
      <c r="D802" s="9" t="s">
        <v>1561</v>
      </c>
      <c r="E802" s="10" t="s">
        <v>4225</v>
      </c>
    </row>
    <row r="803" customFormat="false" ht="15" hidden="false" customHeight="false" outlineLevel="0" collapsed="false">
      <c r="A803" s="9" t="s">
        <v>5472</v>
      </c>
      <c r="B803" s="9" t="s">
        <v>5473</v>
      </c>
      <c r="C803" s="9" t="s">
        <v>14</v>
      </c>
      <c r="D803" s="9" t="s">
        <v>1561</v>
      </c>
      <c r="E803" s="10" t="s">
        <v>4225</v>
      </c>
    </row>
    <row r="804" customFormat="false" ht="15" hidden="false" customHeight="false" outlineLevel="0" collapsed="false">
      <c r="A804" s="9" t="s">
        <v>5474</v>
      </c>
      <c r="B804" s="9" t="s">
        <v>5475</v>
      </c>
      <c r="C804" s="10" t="s">
        <v>4900</v>
      </c>
      <c r="D804" s="9" t="s">
        <v>5476</v>
      </c>
      <c r="E804" s="10" t="s">
        <v>4902</v>
      </c>
    </row>
    <row r="805" customFormat="false" ht="15" hidden="false" customHeight="false" outlineLevel="0" collapsed="false">
      <c r="A805" s="9" t="s">
        <v>5477</v>
      </c>
      <c r="B805" s="9" t="s">
        <v>4693</v>
      </c>
      <c r="C805" s="10" t="s">
        <v>4900</v>
      </c>
      <c r="D805" s="9" t="s">
        <v>5476</v>
      </c>
      <c r="E805" s="10" t="s">
        <v>4902</v>
      </c>
    </row>
    <row r="806" customFormat="false" ht="15" hidden="false" customHeight="false" outlineLevel="0" collapsed="false">
      <c r="A806" s="9" t="s">
        <v>5478</v>
      </c>
      <c r="B806" s="9" t="s">
        <v>4357</v>
      </c>
      <c r="C806" s="10" t="s">
        <v>4900</v>
      </c>
      <c r="D806" s="9" t="s">
        <v>5476</v>
      </c>
      <c r="E806" s="10" t="s">
        <v>4902</v>
      </c>
    </row>
    <row r="807" customFormat="false" ht="15" hidden="false" customHeight="false" outlineLevel="0" collapsed="false">
      <c r="A807" s="9" t="s">
        <v>5479</v>
      </c>
      <c r="B807" s="9" t="s">
        <v>4298</v>
      </c>
      <c r="C807" s="10" t="s">
        <v>4900</v>
      </c>
      <c r="D807" s="9" t="s">
        <v>5476</v>
      </c>
      <c r="E807" s="10" t="s">
        <v>4902</v>
      </c>
    </row>
    <row r="808" customFormat="false" ht="15" hidden="false" customHeight="false" outlineLevel="0" collapsed="false">
      <c r="A808" s="9" t="s">
        <v>5480</v>
      </c>
      <c r="B808" s="9" t="s">
        <v>5481</v>
      </c>
      <c r="C808" s="10" t="s">
        <v>4900</v>
      </c>
      <c r="D808" s="9" t="s">
        <v>5476</v>
      </c>
      <c r="E808" s="10" t="s">
        <v>4902</v>
      </c>
    </row>
    <row r="809" customFormat="false" ht="15" hidden="false" customHeight="false" outlineLevel="0" collapsed="false">
      <c r="A809" s="9" t="s">
        <v>5482</v>
      </c>
      <c r="B809" s="9" t="s">
        <v>5483</v>
      </c>
      <c r="C809" s="9" t="s">
        <v>14</v>
      </c>
      <c r="D809" s="9" t="s">
        <v>5484</v>
      </c>
      <c r="E809" s="10" t="s">
        <v>5485</v>
      </c>
    </row>
    <row r="810" customFormat="false" ht="15" hidden="false" customHeight="false" outlineLevel="0" collapsed="false">
      <c r="A810" s="9" t="s">
        <v>5486</v>
      </c>
      <c r="B810" s="9" t="s">
        <v>4253</v>
      </c>
      <c r="C810" s="9" t="s">
        <v>14</v>
      </c>
      <c r="D810" s="9" t="s">
        <v>1566</v>
      </c>
      <c r="E810" s="9"/>
    </row>
    <row r="811" customFormat="false" ht="15" hidden="false" customHeight="false" outlineLevel="0" collapsed="false">
      <c r="A811" s="9" t="s">
        <v>5487</v>
      </c>
      <c r="B811" s="9" t="s">
        <v>4463</v>
      </c>
      <c r="C811" s="9" t="s">
        <v>14</v>
      </c>
      <c r="D811" s="9" t="s">
        <v>1571</v>
      </c>
      <c r="E811" s="9"/>
    </row>
    <row r="812" customFormat="false" ht="15" hidden="false" customHeight="false" outlineLevel="0" collapsed="false">
      <c r="A812" s="9" t="s">
        <v>5488</v>
      </c>
      <c r="B812" s="9" t="s">
        <v>4449</v>
      </c>
      <c r="C812" s="9" t="s">
        <v>14</v>
      </c>
      <c r="D812" s="9" t="s">
        <v>1572</v>
      </c>
      <c r="E812" s="9"/>
    </row>
    <row r="813" customFormat="false" ht="15" hidden="false" customHeight="false" outlineLevel="0" collapsed="false">
      <c r="A813" s="9" t="s">
        <v>5489</v>
      </c>
      <c r="B813" s="9" t="s">
        <v>4792</v>
      </c>
      <c r="C813" s="9" t="s">
        <v>14</v>
      </c>
      <c r="D813" s="9" t="s">
        <v>1573</v>
      </c>
      <c r="E813" s="9"/>
    </row>
    <row r="814" customFormat="false" ht="15" hidden="false" customHeight="false" outlineLevel="0" collapsed="false">
      <c r="A814" s="9" t="s">
        <v>5490</v>
      </c>
      <c r="B814" s="9" t="s">
        <v>4302</v>
      </c>
      <c r="C814" s="9" t="s">
        <v>14</v>
      </c>
      <c r="D814" s="9" t="s">
        <v>1574</v>
      </c>
      <c r="E814" s="9"/>
    </row>
    <row r="815" customFormat="false" ht="15" hidden="false" customHeight="false" outlineLevel="0" collapsed="false">
      <c r="A815" s="9" t="s">
        <v>5491</v>
      </c>
      <c r="B815" s="9" t="s">
        <v>4302</v>
      </c>
      <c r="C815" s="9" t="s">
        <v>14</v>
      </c>
      <c r="D815" s="9" t="s">
        <v>1575</v>
      </c>
      <c r="E815" s="9"/>
    </row>
    <row r="816" customFormat="false" ht="15" hidden="false" customHeight="false" outlineLevel="0" collapsed="false">
      <c r="A816" s="9" t="s">
        <v>5492</v>
      </c>
      <c r="B816" s="9" t="s">
        <v>4385</v>
      </c>
      <c r="C816" s="9" t="s">
        <v>14</v>
      </c>
      <c r="D816" s="9" t="s">
        <v>1576</v>
      </c>
      <c r="E816" s="9"/>
    </row>
    <row r="817" customFormat="false" ht="15" hidden="false" customHeight="false" outlineLevel="0" collapsed="false">
      <c r="A817" s="9" t="s">
        <v>5493</v>
      </c>
      <c r="B817" s="9" t="s">
        <v>4466</v>
      </c>
      <c r="C817" s="9" t="s">
        <v>14</v>
      </c>
      <c r="D817" s="9" t="s">
        <v>1580</v>
      </c>
      <c r="E817" s="9"/>
    </row>
    <row r="818" customFormat="false" ht="15" hidden="false" customHeight="false" outlineLevel="0" collapsed="false">
      <c r="A818" s="9" t="s">
        <v>5494</v>
      </c>
      <c r="B818" s="9" t="s">
        <v>4459</v>
      </c>
      <c r="C818" s="9" t="s">
        <v>14</v>
      </c>
      <c r="D818" s="9" t="s">
        <v>1581</v>
      </c>
      <c r="E818" s="9"/>
    </row>
    <row r="819" customFormat="false" ht="15" hidden="false" customHeight="false" outlineLevel="0" collapsed="false">
      <c r="A819" s="9" t="s">
        <v>5495</v>
      </c>
      <c r="B819" s="9" t="s">
        <v>4461</v>
      </c>
      <c r="C819" s="9" t="s">
        <v>14</v>
      </c>
      <c r="D819" s="9" t="s">
        <v>1582</v>
      </c>
      <c r="E819" s="9"/>
    </row>
    <row r="820" customFormat="false" ht="15" hidden="false" customHeight="false" outlineLevel="0" collapsed="false">
      <c r="A820" s="9" t="s">
        <v>5496</v>
      </c>
      <c r="B820" s="9" t="s">
        <v>4282</v>
      </c>
      <c r="C820" s="9" t="s">
        <v>14</v>
      </c>
      <c r="D820" s="9" t="s">
        <v>1583</v>
      </c>
      <c r="E820" s="9"/>
    </row>
    <row r="821" customFormat="false" ht="15" hidden="false" customHeight="false" outlineLevel="0" collapsed="false">
      <c r="A821" s="9" t="s">
        <v>5497</v>
      </c>
      <c r="B821" s="9" t="s">
        <v>4334</v>
      </c>
      <c r="C821" s="9" t="s">
        <v>14</v>
      </c>
      <c r="D821" s="9" t="s">
        <v>1584</v>
      </c>
      <c r="E821" s="9"/>
    </row>
    <row r="822" customFormat="false" ht="15" hidden="false" customHeight="false" outlineLevel="0" collapsed="false">
      <c r="A822" s="9" t="s">
        <v>5498</v>
      </c>
      <c r="B822" s="9" t="s">
        <v>4302</v>
      </c>
      <c r="C822" s="9" t="s">
        <v>14</v>
      </c>
      <c r="D822" s="9" t="s">
        <v>1585</v>
      </c>
      <c r="E822" s="9"/>
    </row>
    <row r="823" customFormat="false" ht="15" hidden="false" customHeight="false" outlineLevel="0" collapsed="false">
      <c r="A823" s="9" t="s">
        <v>5499</v>
      </c>
      <c r="B823" s="9" t="s">
        <v>4792</v>
      </c>
      <c r="C823" s="9" t="s">
        <v>14</v>
      </c>
      <c r="D823" s="9" t="s">
        <v>1588</v>
      </c>
      <c r="E823" s="9"/>
    </row>
    <row r="824" customFormat="false" ht="15" hidden="false" customHeight="false" outlineLevel="0" collapsed="false">
      <c r="A824" s="9" t="s">
        <v>5500</v>
      </c>
      <c r="B824" s="9" t="s">
        <v>4461</v>
      </c>
      <c r="C824" s="9" t="s">
        <v>14</v>
      </c>
      <c r="D824" s="9" t="s">
        <v>1589</v>
      </c>
      <c r="E824" s="9"/>
    </row>
    <row r="825" customFormat="false" ht="15" hidden="false" customHeight="false" outlineLevel="0" collapsed="false">
      <c r="A825" s="9" t="s">
        <v>5501</v>
      </c>
      <c r="B825" s="9" t="s">
        <v>4459</v>
      </c>
      <c r="C825" s="9" t="s">
        <v>14</v>
      </c>
      <c r="D825" s="9" t="s">
        <v>1590</v>
      </c>
      <c r="E825" s="9"/>
    </row>
    <row r="826" customFormat="false" ht="15" hidden="false" customHeight="false" outlineLevel="0" collapsed="false">
      <c r="A826" s="9" t="s">
        <v>5502</v>
      </c>
      <c r="B826" s="9" t="s">
        <v>4338</v>
      </c>
      <c r="C826" s="9" t="s">
        <v>14</v>
      </c>
      <c r="D826" s="9" t="s">
        <v>1591</v>
      </c>
      <c r="E826" s="9"/>
    </row>
    <row r="827" customFormat="false" ht="15" hidden="false" customHeight="false" outlineLevel="0" collapsed="false">
      <c r="A827" s="9" t="s">
        <v>5503</v>
      </c>
      <c r="B827" s="9" t="s">
        <v>4459</v>
      </c>
      <c r="C827" s="9" t="s">
        <v>14</v>
      </c>
      <c r="D827" s="9" t="s">
        <v>1592</v>
      </c>
      <c r="E827" s="9"/>
    </row>
    <row r="828" customFormat="false" ht="15" hidden="false" customHeight="false" outlineLevel="0" collapsed="false">
      <c r="A828" s="9" t="s">
        <v>5504</v>
      </c>
      <c r="B828" s="9" t="s">
        <v>4302</v>
      </c>
      <c r="C828" s="9" t="s">
        <v>14</v>
      </c>
      <c r="D828" s="9" t="s">
        <v>1593</v>
      </c>
      <c r="E828" s="9"/>
    </row>
    <row r="829" customFormat="false" ht="15" hidden="false" customHeight="false" outlineLevel="0" collapsed="false">
      <c r="A829" s="9" t="s">
        <v>5505</v>
      </c>
      <c r="B829" s="9" t="s">
        <v>4302</v>
      </c>
      <c r="C829" s="9" t="s">
        <v>14</v>
      </c>
      <c r="D829" s="9" t="s">
        <v>1596</v>
      </c>
      <c r="E829" s="9"/>
    </row>
    <row r="830" customFormat="false" ht="15" hidden="false" customHeight="false" outlineLevel="0" collapsed="false">
      <c r="A830" s="9" t="s">
        <v>5506</v>
      </c>
      <c r="B830" s="9" t="s">
        <v>4302</v>
      </c>
      <c r="C830" s="9" t="s">
        <v>14</v>
      </c>
      <c r="D830" s="9" t="s">
        <v>1597</v>
      </c>
      <c r="E830" s="9"/>
    </row>
    <row r="831" customFormat="false" ht="15" hidden="false" customHeight="false" outlineLevel="0" collapsed="false">
      <c r="A831" s="9" t="s">
        <v>5507</v>
      </c>
      <c r="B831" s="9" t="s">
        <v>4792</v>
      </c>
      <c r="C831" s="9" t="s">
        <v>14</v>
      </c>
      <c r="D831" s="9" t="s">
        <v>1598</v>
      </c>
      <c r="E831" s="9"/>
    </row>
    <row r="832" customFormat="false" ht="15" hidden="false" customHeight="false" outlineLevel="0" collapsed="false">
      <c r="A832" s="9" t="s">
        <v>5508</v>
      </c>
      <c r="B832" s="9" t="s">
        <v>4334</v>
      </c>
      <c r="C832" s="9" t="s">
        <v>14</v>
      </c>
      <c r="D832" s="9" t="s">
        <v>1599</v>
      </c>
      <c r="E832" s="9"/>
    </row>
    <row r="833" customFormat="false" ht="15" hidden="false" customHeight="false" outlineLevel="0" collapsed="false">
      <c r="A833" s="9" t="s">
        <v>5509</v>
      </c>
      <c r="B833" s="9" t="s">
        <v>4282</v>
      </c>
      <c r="C833" s="9" t="s">
        <v>14</v>
      </c>
      <c r="D833" s="9" t="s">
        <v>1600</v>
      </c>
      <c r="E833" s="9"/>
    </row>
    <row r="834" customFormat="false" ht="15" hidden="false" customHeight="false" outlineLevel="0" collapsed="false">
      <c r="A834" s="9" t="s">
        <v>5510</v>
      </c>
      <c r="B834" s="9" t="s">
        <v>4298</v>
      </c>
      <c r="C834" s="9" t="s">
        <v>14</v>
      </c>
      <c r="D834" s="9" t="s">
        <v>5511</v>
      </c>
      <c r="E834" s="10" t="s">
        <v>4225</v>
      </c>
    </row>
    <row r="835" customFormat="false" ht="15" hidden="false" customHeight="false" outlineLevel="0" collapsed="false">
      <c r="A835" s="9" t="s">
        <v>5512</v>
      </c>
      <c r="B835" s="9" t="s">
        <v>4706</v>
      </c>
      <c r="C835" s="9" t="s">
        <v>14</v>
      </c>
      <c r="D835" s="9" t="s">
        <v>5511</v>
      </c>
      <c r="E835" s="10" t="s">
        <v>4225</v>
      </c>
    </row>
    <row r="836" customFormat="false" ht="15" hidden="false" customHeight="false" outlineLevel="0" collapsed="false">
      <c r="A836" s="9" t="s">
        <v>490</v>
      </c>
      <c r="B836" s="9" t="s">
        <v>4282</v>
      </c>
      <c r="C836" s="9" t="s">
        <v>6</v>
      </c>
      <c r="D836" s="9" t="s">
        <v>485</v>
      </c>
      <c r="E836" s="9"/>
    </row>
    <row r="837" customFormat="false" ht="15" hidden="false" customHeight="false" outlineLevel="0" collapsed="false">
      <c r="A837" s="9" t="s">
        <v>494</v>
      </c>
      <c r="B837" s="9" t="s">
        <v>4253</v>
      </c>
      <c r="C837" s="9" t="s">
        <v>6</v>
      </c>
      <c r="D837" s="9" t="s">
        <v>492</v>
      </c>
      <c r="E837" s="9"/>
    </row>
    <row r="838" customFormat="false" ht="15" hidden="false" customHeight="false" outlineLevel="0" collapsed="false">
      <c r="A838" s="9" t="s">
        <v>499</v>
      </c>
      <c r="B838" s="9" t="s">
        <v>5513</v>
      </c>
      <c r="C838" s="9" t="s">
        <v>6</v>
      </c>
      <c r="D838" s="9" t="s">
        <v>496</v>
      </c>
      <c r="E838" s="9"/>
    </row>
    <row r="839" customFormat="false" ht="15" hidden="false" customHeight="false" outlineLevel="0" collapsed="false">
      <c r="A839" s="9" t="s">
        <v>504</v>
      </c>
      <c r="B839" s="9" t="s">
        <v>4576</v>
      </c>
      <c r="C839" s="9" t="s">
        <v>6</v>
      </c>
      <c r="D839" s="9" t="s">
        <v>501</v>
      </c>
      <c r="E839" s="9"/>
    </row>
    <row r="840" customFormat="false" ht="15" hidden="false" customHeight="false" outlineLevel="0" collapsed="false">
      <c r="A840" s="9" t="s">
        <v>5514</v>
      </c>
      <c r="B840" s="9" t="s">
        <v>4224</v>
      </c>
      <c r="C840" s="9" t="s">
        <v>6</v>
      </c>
      <c r="D840" s="10" t="s">
        <v>5515</v>
      </c>
      <c r="E840" s="10" t="s">
        <v>4225</v>
      </c>
    </row>
    <row r="841" customFormat="false" ht="15" hidden="false" customHeight="false" outlineLevel="0" collapsed="false">
      <c r="A841" s="9" t="s">
        <v>5516</v>
      </c>
      <c r="B841" s="9" t="s">
        <v>5517</v>
      </c>
      <c r="C841" s="9" t="s">
        <v>6</v>
      </c>
      <c r="D841" s="10" t="s">
        <v>5515</v>
      </c>
      <c r="E841" s="10" t="s">
        <v>4225</v>
      </c>
    </row>
    <row r="842" customFormat="false" ht="15" hidden="false" customHeight="false" outlineLevel="0" collapsed="false">
      <c r="A842" s="9" t="s">
        <v>5518</v>
      </c>
      <c r="B842" s="9" t="s">
        <v>4612</v>
      </c>
      <c r="C842" s="9" t="s">
        <v>6</v>
      </c>
      <c r="D842" s="10" t="s">
        <v>5515</v>
      </c>
      <c r="E842" s="10" t="s">
        <v>4225</v>
      </c>
    </row>
    <row r="843" customFormat="false" ht="15" hidden="false" customHeight="false" outlineLevel="0" collapsed="false">
      <c r="A843" s="9" t="s">
        <v>5519</v>
      </c>
      <c r="B843" s="9" t="s">
        <v>4202</v>
      </c>
      <c r="C843" s="9" t="s">
        <v>14</v>
      </c>
      <c r="D843" s="9" t="s">
        <v>1601</v>
      </c>
      <c r="E843" s="9"/>
    </row>
    <row r="844" customFormat="false" ht="15" hidden="false" customHeight="false" outlineLevel="0" collapsed="false">
      <c r="A844" s="9" t="s">
        <v>5520</v>
      </c>
      <c r="B844" s="9" t="s">
        <v>4574</v>
      </c>
      <c r="C844" s="9" t="s">
        <v>14</v>
      </c>
      <c r="D844" s="9" t="s">
        <v>1601</v>
      </c>
      <c r="E844" s="9"/>
    </row>
    <row r="845" customFormat="false" ht="15" hidden="false" customHeight="false" outlineLevel="0" collapsed="false">
      <c r="A845" s="9" t="s">
        <v>5521</v>
      </c>
      <c r="B845" s="9" t="s">
        <v>5522</v>
      </c>
      <c r="C845" s="9" t="s">
        <v>14</v>
      </c>
      <c r="D845" s="9" t="s">
        <v>1601</v>
      </c>
      <c r="E845" s="9"/>
    </row>
    <row r="846" customFormat="false" ht="15" hidden="false" customHeight="false" outlineLevel="0" collapsed="false">
      <c r="A846" s="9" t="s">
        <v>5523</v>
      </c>
      <c r="B846" s="9" t="s">
        <v>4483</v>
      </c>
      <c r="C846" s="9" t="s">
        <v>14</v>
      </c>
      <c r="D846" s="9" t="s">
        <v>1601</v>
      </c>
      <c r="E846" s="10" t="s">
        <v>4225</v>
      </c>
    </row>
    <row r="847" customFormat="false" ht="15" hidden="false" customHeight="false" outlineLevel="0" collapsed="false">
      <c r="A847" s="9" t="s">
        <v>5524</v>
      </c>
      <c r="B847" s="9" t="s">
        <v>5525</v>
      </c>
      <c r="C847" s="9" t="s">
        <v>14</v>
      </c>
      <c r="D847" s="9" t="s">
        <v>1601</v>
      </c>
      <c r="E847" s="10" t="s">
        <v>4225</v>
      </c>
    </row>
    <row r="848" customFormat="false" ht="15" hidden="false" customHeight="false" outlineLevel="0" collapsed="false">
      <c r="A848" s="9" t="s">
        <v>5526</v>
      </c>
      <c r="B848" s="9" t="s">
        <v>4334</v>
      </c>
      <c r="C848" s="9" t="s">
        <v>14</v>
      </c>
      <c r="D848" s="9" t="s">
        <v>1614</v>
      </c>
      <c r="E848" s="9"/>
    </row>
    <row r="849" customFormat="false" ht="15" hidden="false" customHeight="false" outlineLevel="0" collapsed="false">
      <c r="A849" s="9" t="s">
        <v>5527</v>
      </c>
      <c r="B849" s="9" t="s">
        <v>4298</v>
      </c>
      <c r="C849" s="9" t="s">
        <v>14</v>
      </c>
      <c r="D849" s="9" t="s">
        <v>1614</v>
      </c>
      <c r="E849" s="10" t="s">
        <v>4225</v>
      </c>
    </row>
    <row r="850" customFormat="false" ht="15" hidden="false" customHeight="false" outlineLevel="0" collapsed="false">
      <c r="A850" s="9" t="s">
        <v>5528</v>
      </c>
      <c r="B850" s="9" t="s">
        <v>4461</v>
      </c>
      <c r="C850" s="9" t="s">
        <v>14</v>
      </c>
      <c r="D850" s="9" t="s">
        <v>1617</v>
      </c>
      <c r="E850" s="9"/>
    </row>
    <row r="851" customFormat="false" ht="15" hidden="false" customHeight="false" outlineLevel="0" collapsed="false">
      <c r="A851" s="9" t="s">
        <v>5529</v>
      </c>
      <c r="B851" s="9" t="s">
        <v>4298</v>
      </c>
      <c r="C851" s="9" t="s">
        <v>14</v>
      </c>
      <c r="D851" s="9" t="s">
        <v>1617</v>
      </c>
      <c r="E851" s="10" t="s">
        <v>4225</v>
      </c>
    </row>
    <row r="852" customFormat="false" ht="15" hidden="false" customHeight="false" outlineLevel="0" collapsed="false">
      <c r="A852" s="9" t="s">
        <v>5530</v>
      </c>
      <c r="B852" s="9" t="s">
        <v>5531</v>
      </c>
      <c r="C852" s="9" t="s">
        <v>14</v>
      </c>
      <c r="D852" s="9" t="s">
        <v>1617</v>
      </c>
      <c r="E852" s="10" t="s">
        <v>4225</v>
      </c>
    </row>
    <row r="853" customFormat="false" ht="15" hidden="false" customHeight="false" outlineLevel="0" collapsed="false">
      <c r="A853" s="9" t="s">
        <v>5532</v>
      </c>
      <c r="B853" s="9" t="s">
        <v>5533</v>
      </c>
      <c r="C853" s="10" t="s">
        <v>4196</v>
      </c>
      <c r="D853" s="9" t="s">
        <v>71</v>
      </c>
      <c r="E853" s="10" t="s">
        <v>5534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5535</v>
      </c>
      <c r="B1" s="0" t="s">
        <v>5536</v>
      </c>
      <c r="C1" s="0" t="s">
        <v>5537</v>
      </c>
      <c r="D1" s="0" t="s">
        <v>5538</v>
      </c>
    </row>
    <row r="2" customFormat="false" ht="15" hidden="false" customHeight="false" outlineLevel="0" collapsed="false">
      <c r="A2" s="0" t="s">
        <v>6</v>
      </c>
      <c r="B2" s="0" t="s">
        <v>66</v>
      </c>
      <c r="C2" s="0" t="s">
        <v>5539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66</v>
      </c>
      <c r="C3" s="0" t="s">
        <v>5540</v>
      </c>
    </row>
    <row r="4" customFormat="false" ht="15" hidden="false" customHeight="false" outlineLevel="0" collapsed="false">
      <c r="A4" s="0" t="s">
        <v>6</v>
      </c>
      <c r="B4" s="0" t="s">
        <v>66</v>
      </c>
      <c r="C4" s="0" t="s">
        <v>5541</v>
      </c>
    </row>
    <row r="5" customFormat="false" ht="15" hidden="false" customHeight="false" outlineLevel="0" collapsed="false">
      <c r="A5" s="0" t="s">
        <v>6</v>
      </c>
      <c r="B5" s="0" t="s">
        <v>82</v>
      </c>
      <c r="C5" s="0" t="s">
        <v>5539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82</v>
      </c>
      <c r="C6" s="0" t="s">
        <v>5540</v>
      </c>
    </row>
    <row r="7" customFormat="false" ht="15" hidden="false" customHeight="false" outlineLevel="0" collapsed="false">
      <c r="A7" s="0" t="s">
        <v>6</v>
      </c>
      <c r="B7" s="0" t="s">
        <v>82</v>
      </c>
      <c r="C7" s="0" t="s">
        <v>5541</v>
      </c>
    </row>
    <row r="8" customFormat="false" ht="15" hidden="false" customHeight="false" outlineLevel="0" collapsed="false">
      <c r="A8" s="0" t="s">
        <v>6</v>
      </c>
      <c r="B8" s="0" t="s">
        <v>90</v>
      </c>
      <c r="C8" s="0" t="s">
        <v>5539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90</v>
      </c>
      <c r="C9" s="0" t="s">
        <v>5540</v>
      </c>
    </row>
    <row r="10" customFormat="false" ht="15" hidden="false" customHeight="false" outlineLevel="0" collapsed="false">
      <c r="A10" s="0" t="s">
        <v>6</v>
      </c>
      <c r="B10" s="0" t="s">
        <v>90</v>
      </c>
      <c r="C10" s="0" t="s">
        <v>5541</v>
      </c>
    </row>
    <row r="11" customFormat="false" ht="15" hidden="false" customHeight="false" outlineLevel="0" collapsed="false">
      <c r="A11" s="0" t="s">
        <v>6</v>
      </c>
      <c r="B11" s="0" t="s">
        <v>96</v>
      </c>
      <c r="C11" s="0" t="s">
        <v>5539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96</v>
      </c>
      <c r="C12" s="0" t="s">
        <v>5540</v>
      </c>
    </row>
    <row r="13" customFormat="false" ht="15" hidden="false" customHeight="false" outlineLevel="0" collapsed="false">
      <c r="A13" s="0" t="s">
        <v>6</v>
      </c>
      <c r="B13" s="0" t="s">
        <v>96</v>
      </c>
      <c r="C13" s="0" t="s">
        <v>5541</v>
      </c>
    </row>
    <row r="14" customFormat="false" ht="15" hidden="false" customHeight="false" outlineLevel="0" collapsed="false">
      <c r="A14" s="0" t="s">
        <v>6</v>
      </c>
      <c r="B14" s="0" t="s">
        <v>104</v>
      </c>
      <c r="C14" s="0" t="s">
        <v>5539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104</v>
      </c>
      <c r="C15" s="0" t="s">
        <v>5540</v>
      </c>
    </row>
    <row r="16" customFormat="false" ht="15" hidden="false" customHeight="false" outlineLevel="0" collapsed="false">
      <c r="A16" s="0" t="s">
        <v>6</v>
      </c>
      <c r="B16" s="0" t="s">
        <v>104</v>
      </c>
      <c r="C16" s="0" t="s">
        <v>5541</v>
      </c>
    </row>
    <row r="17" customFormat="false" ht="15" hidden="false" customHeight="false" outlineLevel="0" collapsed="false">
      <c r="A17" s="0" t="s">
        <v>6</v>
      </c>
      <c r="B17" s="0" t="s">
        <v>111</v>
      </c>
      <c r="C17" s="0" t="s">
        <v>5539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111</v>
      </c>
      <c r="C18" s="0" t="s">
        <v>5540</v>
      </c>
    </row>
    <row r="19" customFormat="false" ht="15" hidden="false" customHeight="false" outlineLevel="0" collapsed="false">
      <c r="A19" s="0" t="s">
        <v>6</v>
      </c>
      <c r="B19" s="0" t="s">
        <v>111</v>
      </c>
      <c r="C19" s="0" t="s">
        <v>5541</v>
      </c>
    </row>
    <row r="20" customFormat="false" ht="15" hidden="false" customHeight="false" outlineLevel="0" collapsed="false">
      <c r="A20" s="0" t="s">
        <v>6</v>
      </c>
      <c r="B20" s="0" t="s">
        <v>118</v>
      </c>
      <c r="C20" s="0" t="s">
        <v>5539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118</v>
      </c>
      <c r="C21" s="0" t="s">
        <v>5540</v>
      </c>
    </row>
    <row r="22" customFormat="false" ht="15" hidden="false" customHeight="false" outlineLevel="0" collapsed="false">
      <c r="A22" s="0" t="s">
        <v>6</v>
      </c>
      <c r="B22" s="0" t="s">
        <v>118</v>
      </c>
      <c r="C22" s="0" t="s">
        <v>5541</v>
      </c>
    </row>
    <row r="23" customFormat="false" ht="15" hidden="false" customHeight="false" outlineLevel="0" collapsed="false">
      <c r="A23" s="0" t="s">
        <v>6</v>
      </c>
      <c r="B23" s="0" t="s">
        <v>125</v>
      </c>
      <c r="C23" s="0" t="s">
        <v>5539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125</v>
      </c>
      <c r="C24" s="0" t="s">
        <v>5540</v>
      </c>
    </row>
    <row r="25" customFormat="false" ht="15" hidden="false" customHeight="false" outlineLevel="0" collapsed="false">
      <c r="A25" s="0" t="s">
        <v>6</v>
      </c>
      <c r="B25" s="0" t="s">
        <v>125</v>
      </c>
      <c r="C25" s="0" t="s">
        <v>5541</v>
      </c>
    </row>
    <row r="26" customFormat="false" ht="15" hidden="false" customHeight="false" outlineLevel="0" collapsed="false">
      <c r="A26" s="0" t="s">
        <v>6</v>
      </c>
      <c r="B26" s="0" t="s">
        <v>135</v>
      </c>
      <c r="C26" s="0" t="s">
        <v>5539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135</v>
      </c>
      <c r="C27" s="0" t="s">
        <v>5540</v>
      </c>
    </row>
    <row r="28" customFormat="false" ht="15" hidden="false" customHeight="false" outlineLevel="0" collapsed="false">
      <c r="A28" s="0" t="s">
        <v>6</v>
      </c>
      <c r="B28" s="0" t="s">
        <v>135</v>
      </c>
      <c r="C28" s="0" t="s">
        <v>5541</v>
      </c>
    </row>
    <row r="29" customFormat="false" ht="15" hidden="false" customHeight="false" outlineLevel="0" collapsed="false">
      <c r="A29" s="0" t="s">
        <v>6</v>
      </c>
      <c r="B29" s="0" t="s">
        <v>144</v>
      </c>
      <c r="C29" s="0" t="s">
        <v>5539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144</v>
      </c>
      <c r="C30" s="0" t="s">
        <v>5540</v>
      </c>
    </row>
    <row r="31" customFormat="false" ht="15" hidden="false" customHeight="false" outlineLevel="0" collapsed="false">
      <c r="A31" s="0" t="s">
        <v>6</v>
      </c>
      <c r="B31" s="0" t="s">
        <v>144</v>
      </c>
      <c r="C31" s="0" t="s">
        <v>5541</v>
      </c>
    </row>
    <row r="32" customFormat="false" ht="15" hidden="false" customHeight="false" outlineLevel="0" collapsed="false">
      <c r="A32" s="0" t="s">
        <v>6</v>
      </c>
      <c r="B32" s="0" t="s">
        <v>150</v>
      </c>
      <c r="C32" s="0" t="s">
        <v>5539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150</v>
      </c>
      <c r="C33" s="0" t="s">
        <v>5540</v>
      </c>
    </row>
    <row r="34" customFormat="false" ht="15" hidden="false" customHeight="false" outlineLevel="0" collapsed="false">
      <c r="A34" s="0" t="s">
        <v>6</v>
      </c>
      <c r="B34" s="0" t="s">
        <v>150</v>
      </c>
      <c r="C34" s="0" t="s">
        <v>5541</v>
      </c>
    </row>
    <row r="35" customFormat="false" ht="15" hidden="false" customHeight="false" outlineLevel="0" collapsed="false">
      <c r="A35" s="0" t="s">
        <v>6</v>
      </c>
      <c r="B35" s="0" t="s">
        <v>158</v>
      </c>
      <c r="C35" s="0" t="s">
        <v>5539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158</v>
      </c>
      <c r="C36" s="0" t="s">
        <v>5540</v>
      </c>
    </row>
    <row r="37" customFormat="false" ht="15" hidden="false" customHeight="false" outlineLevel="0" collapsed="false">
      <c r="A37" s="0" t="s">
        <v>6</v>
      </c>
      <c r="B37" s="0" t="s">
        <v>158</v>
      </c>
      <c r="C37" s="0" t="s">
        <v>5541</v>
      </c>
    </row>
    <row r="38" customFormat="false" ht="15" hidden="false" customHeight="false" outlineLevel="0" collapsed="false">
      <c r="A38" s="0" t="s">
        <v>6</v>
      </c>
      <c r="B38" s="0" t="s">
        <v>163</v>
      </c>
      <c r="C38" s="0" t="s">
        <v>5539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163</v>
      </c>
      <c r="C39" s="0" t="s">
        <v>5540</v>
      </c>
    </row>
    <row r="40" customFormat="false" ht="15" hidden="false" customHeight="false" outlineLevel="0" collapsed="false">
      <c r="A40" s="0" t="s">
        <v>6</v>
      </c>
      <c r="B40" s="0" t="s">
        <v>163</v>
      </c>
      <c r="C40" s="0" t="s">
        <v>5541</v>
      </c>
    </row>
    <row r="41" customFormat="false" ht="15" hidden="false" customHeight="false" outlineLevel="0" collapsed="false">
      <c r="A41" s="0" t="s">
        <v>6</v>
      </c>
      <c r="B41" s="0" t="s">
        <v>172</v>
      </c>
      <c r="C41" s="0" t="s">
        <v>5539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172</v>
      </c>
      <c r="C42" s="0" t="s">
        <v>5540</v>
      </c>
    </row>
    <row r="43" customFormat="false" ht="15" hidden="false" customHeight="false" outlineLevel="0" collapsed="false">
      <c r="A43" s="0" t="s">
        <v>6</v>
      </c>
      <c r="B43" s="0" t="s">
        <v>172</v>
      </c>
      <c r="C43" s="0" t="s">
        <v>5541</v>
      </c>
    </row>
    <row r="44" customFormat="false" ht="15" hidden="false" customHeight="false" outlineLevel="0" collapsed="false">
      <c r="A44" s="0" t="s">
        <v>6</v>
      </c>
      <c r="B44" s="0" t="s">
        <v>174</v>
      </c>
      <c r="C44" s="0" t="s">
        <v>5539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174</v>
      </c>
      <c r="C45" s="0" t="s">
        <v>5540</v>
      </c>
    </row>
    <row r="46" customFormat="false" ht="15" hidden="false" customHeight="false" outlineLevel="0" collapsed="false">
      <c r="A46" s="0" t="s">
        <v>6</v>
      </c>
      <c r="B46" s="0" t="s">
        <v>174</v>
      </c>
      <c r="C46" s="0" t="s">
        <v>5541</v>
      </c>
    </row>
    <row r="47" customFormat="false" ht="15" hidden="false" customHeight="false" outlineLevel="0" collapsed="false">
      <c r="A47" s="0" t="s">
        <v>6</v>
      </c>
      <c r="B47" s="0" t="s">
        <v>176</v>
      </c>
      <c r="C47" s="0" t="s">
        <v>5539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176</v>
      </c>
      <c r="C48" s="0" t="s">
        <v>5540</v>
      </c>
    </row>
    <row r="49" customFormat="false" ht="15" hidden="false" customHeight="false" outlineLevel="0" collapsed="false">
      <c r="A49" s="0" t="s">
        <v>6</v>
      </c>
      <c r="B49" s="0" t="s">
        <v>176</v>
      </c>
      <c r="C49" s="0" t="s">
        <v>5541</v>
      </c>
    </row>
    <row r="50" customFormat="false" ht="15" hidden="false" customHeight="false" outlineLevel="0" collapsed="false">
      <c r="A50" s="0" t="s">
        <v>6</v>
      </c>
      <c r="B50" s="0" t="s">
        <v>179</v>
      </c>
      <c r="C50" s="0" t="s">
        <v>5539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179</v>
      </c>
      <c r="C51" s="0" t="s">
        <v>5540</v>
      </c>
    </row>
    <row r="52" customFormat="false" ht="15" hidden="false" customHeight="false" outlineLevel="0" collapsed="false">
      <c r="A52" s="0" t="s">
        <v>6</v>
      </c>
      <c r="B52" s="0" t="s">
        <v>179</v>
      </c>
      <c r="C52" s="0" t="s">
        <v>5541</v>
      </c>
    </row>
    <row r="53" customFormat="false" ht="15" hidden="false" customHeight="false" outlineLevel="0" collapsed="false">
      <c r="A53" s="0" t="s">
        <v>6</v>
      </c>
      <c r="B53" s="0" t="s">
        <v>181</v>
      </c>
      <c r="C53" s="0" t="s">
        <v>5539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181</v>
      </c>
      <c r="C54" s="0" t="s">
        <v>5540</v>
      </c>
    </row>
    <row r="55" customFormat="false" ht="15" hidden="false" customHeight="false" outlineLevel="0" collapsed="false">
      <c r="A55" s="0" t="s">
        <v>6</v>
      </c>
      <c r="B55" s="0" t="s">
        <v>181</v>
      </c>
      <c r="C55" s="0" t="s">
        <v>5541</v>
      </c>
    </row>
    <row r="56" customFormat="false" ht="15" hidden="false" customHeight="false" outlineLevel="0" collapsed="false">
      <c r="A56" s="0" t="s">
        <v>6</v>
      </c>
      <c r="B56" s="0" t="s">
        <v>183</v>
      </c>
      <c r="C56" s="0" t="s">
        <v>5539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183</v>
      </c>
      <c r="C57" s="0" t="s">
        <v>5540</v>
      </c>
    </row>
    <row r="58" customFormat="false" ht="15" hidden="false" customHeight="false" outlineLevel="0" collapsed="false">
      <c r="A58" s="0" t="s">
        <v>6</v>
      </c>
      <c r="B58" s="0" t="s">
        <v>183</v>
      </c>
      <c r="C58" s="0" t="s">
        <v>5541</v>
      </c>
    </row>
    <row r="59" customFormat="false" ht="15" hidden="false" customHeight="false" outlineLevel="0" collapsed="false">
      <c r="A59" s="0" t="s">
        <v>6</v>
      </c>
      <c r="B59" s="0" t="s">
        <v>186</v>
      </c>
      <c r="C59" s="0" t="s">
        <v>5539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186</v>
      </c>
      <c r="C60" s="0" t="s">
        <v>5540</v>
      </c>
    </row>
    <row r="61" customFormat="false" ht="15" hidden="false" customHeight="false" outlineLevel="0" collapsed="false">
      <c r="A61" s="0" t="s">
        <v>6</v>
      </c>
      <c r="B61" s="0" t="s">
        <v>186</v>
      </c>
      <c r="C61" s="0" t="s">
        <v>5541</v>
      </c>
    </row>
    <row r="62" customFormat="false" ht="15" hidden="false" customHeight="false" outlineLevel="0" collapsed="false">
      <c r="A62" s="0" t="s">
        <v>6</v>
      </c>
      <c r="B62" s="0" t="s">
        <v>188</v>
      </c>
      <c r="C62" s="0" t="s">
        <v>5539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188</v>
      </c>
      <c r="C63" s="0" t="s">
        <v>5540</v>
      </c>
    </row>
    <row r="64" customFormat="false" ht="15" hidden="false" customHeight="false" outlineLevel="0" collapsed="false">
      <c r="A64" s="0" t="s">
        <v>6</v>
      </c>
      <c r="B64" s="0" t="s">
        <v>188</v>
      </c>
      <c r="C64" s="0" t="s">
        <v>5541</v>
      </c>
    </row>
    <row r="65" customFormat="false" ht="15" hidden="false" customHeight="false" outlineLevel="0" collapsed="false">
      <c r="A65" s="0" t="s">
        <v>6</v>
      </c>
      <c r="B65" s="0" t="s">
        <v>190</v>
      </c>
      <c r="C65" s="0" t="s">
        <v>5539</v>
      </c>
      <c r="D65" s="0" t="s">
        <v>192</v>
      </c>
    </row>
    <row r="66" customFormat="false" ht="15" hidden="false" customHeight="false" outlineLevel="0" collapsed="false">
      <c r="A66" s="0" t="s">
        <v>6</v>
      </c>
      <c r="B66" s="0" t="s">
        <v>190</v>
      </c>
      <c r="C66" s="0" t="s">
        <v>5540</v>
      </c>
    </row>
    <row r="67" customFormat="false" ht="15" hidden="false" customHeight="false" outlineLevel="0" collapsed="false">
      <c r="A67" s="0" t="s">
        <v>6</v>
      </c>
      <c r="B67" s="0" t="s">
        <v>190</v>
      </c>
      <c r="C67" s="0" t="s">
        <v>5541</v>
      </c>
    </row>
    <row r="68" customFormat="false" ht="15" hidden="false" customHeight="false" outlineLevel="0" collapsed="false">
      <c r="A68" s="0" t="s">
        <v>6</v>
      </c>
      <c r="B68" s="0" t="s">
        <v>199</v>
      </c>
      <c r="C68" s="0" t="s">
        <v>5539</v>
      </c>
      <c r="D68" s="0" t="s">
        <v>201</v>
      </c>
    </row>
    <row r="69" customFormat="false" ht="15" hidden="false" customHeight="false" outlineLevel="0" collapsed="false">
      <c r="A69" s="0" t="s">
        <v>6</v>
      </c>
      <c r="B69" s="0" t="s">
        <v>199</v>
      </c>
      <c r="C69" s="0" t="s">
        <v>5540</v>
      </c>
    </row>
    <row r="70" customFormat="false" ht="15" hidden="false" customHeight="false" outlineLevel="0" collapsed="false">
      <c r="A70" s="0" t="s">
        <v>6</v>
      </c>
      <c r="B70" s="0" t="s">
        <v>199</v>
      </c>
      <c r="C70" s="0" t="s">
        <v>5541</v>
      </c>
    </row>
    <row r="71" customFormat="false" ht="15" hidden="false" customHeight="false" outlineLevel="0" collapsed="false">
      <c r="A71" s="0" t="s">
        <v>6</v>
      </c>
      <c r="B71" s="0" t="s">
        <v>203</v>
      </c>
      <c r="C71" s="0" t="s">
        <v>5539</v>
      </c>
      <c r="D71" s="0" t="s">
        <v>205</v>
      </c>
    </row>
    <row r="72" customFormat="false" ht="15" hidden="false" customHeight="false" outlineLevel="0" collapsed="false">
      <c r="A72" s="0" t="s">
        <v>6</v>
      </c>
      <c r="B72" s="0" t="s">
        <v>203</v>
      </c>
      <c r="C72" s="0" t="s">
        <v>5540</v>
      </c>
    </row>
    <row r="73" customFormat="false" ht="15" hidden="false" customHeight="false" outlineLevel="0" collapsed="false">
      <c r="A73" s="0" t="s">
        <v>6</v>
      </c>
      <c r="B73" s="0" t="s">
        <v>203</v>
      </c>
      <c r="C73" s="0" t="s">
        <v>5541</v>
      </c>
    </row>
    <row r="74" customFormat="false" ht="17.15" hidden="false" customHeight="false" outlineLevel="0" collapsed="false">
      <c r="A74" s="0" t="s">
        <v>6</v>
      </c>
      <c r="B74" s="0" t="s">
        <v>207</v>
      </c>
      <c r="C74" s="0" t="s">
        <v>5539</v>
      </c>
      <c r="D74" s="0" t="s">
        <v>5542</v>
      </c>
    </row>
    <row r="75" customFormat="false" ht="15" hidden="false" customHeight="false" outlineLevel="0" collapsed="false">
      <c r="A75" s="0" t="s">
        <v>6</v>
      </c>
      <c r="B75" s="0" t="s">
        <v>207</v>
      </c>
      <c r="C75" s="0" t="s">
        <v>5540</v>
      </c>
    </row>
    <row r="76" customFormat="false" ht="15" hidden="false" customHeight="false" outlineLevel="0" collapsed="false">
      <c r="A76" s="0" t="s">
        <v>6</v>
      </c>
      <c r="B76" s="0" t="s">
        <v>207</v>
      </c>
      <c r="C76" s="0" t="s">
        <v>5541</v>
      </c>
    </row>
    <row r="77" customFormat="false" ht="17.15" hidden="false" customHeight="false" outlineLevel="0" collapsed="false">
      <c r="A77" s="0" t="s">
        <v>6</v>
      </c>
      <c r="B77" s="0" t="s">
        <v>215</v>
      </c>
      <c r="C77" s="0" t="s">
        <v>5539</v>
      </c>
      <c r="D77" s="0" t="s">
        <v>5543</v>
      </c>
    </row>
    <row r="78" customFormat="false" ht="15" hidden="false" customHeight="false" outlineLevel="0" collapsed="false">
      <c r="A78" s="0" t="s">
        <v>6</v>
      </c>
      <c r="B78" s="0" t="s">
        <v>215</v>
      </c>
      <c r="C78" s="0" t="s">
        <v>5540</v>
      </c>
    </row>
    <row r="79" customFormat="false" ht="15" hidden="false" customHeight="false" outlineLevel="0" collapsed="false">
      <c r="A79" s="0" t="s">
        <v>6</v>
      </c>
      <c r="B79" s="0" t="s">
        <v>215</v>
      </c>
      <c r="C79" s="0" t="s">
        <v>5541</v>
      </c>
    </row>
    <row r="80" customFormat="false" ht="17.15" hidden="false" customHeight="false" outlineLevel="0" collapsed="false">
      <c r="A80" s="0" t="s">
        <v>6</v>
      </c>
      <c r="B80" s="0" t="s">
        <v>219</v>
      </c>
      <c r="C80" s="0" t="s">
        <v>5539</v>
      </c>
      <c r="D80" s="0" t="s">
        <v>5544</v>
      </c>
    </row>
    <row r="81" customFormat="false" ht="15" hidden="false" customHeight="false" outlineLevel="0" collapsed="false">
      <c r="A81" s="0" t="s">
        <v>6</v>
      </c>
      <c r="B81" s="0" t="s">
        <v>219</v>
      </c>
      <c r="C81" s="0" t="s">
        <v>5540</v>
      </c>
    </row>
    <row r="82" customFormat="false" ht="15" hidden="false" customHeight="false" outlineLevel="0" collapsed="false">
      <c r="A82" s="0" t="s">
        <v>6</v>
      </c>
      <c r="B82" s="0" t="s">
        <v>219</v>
      </c>
      <c r="C82" s="0" t="s">
        <v>5541</v>
      </c>
    </row>
    <row r="83" customFormat="false" ht="17.15" hidden="false" customHeight="false" outlineLevel="0" collapsed="false">
      <c r="A83" s="0" t="s">
        <v>6</v>
      </c>
      <c r="B83" s="0" t="s">
        <v>223</v>
      </c>
      <c r="C83" s="0" t="s">
        <v>5539</v>
      </c>
      <c r="D83" s="0" t="s">
        <v>5545</v>
      </c>
    </row>
    <row r="84" customFormat="false" ht="15" hidden="false" customHeight="false" outlineLevel="0" collapsed="false">
      <c r="A84" s="0" t="s">
        <v>6</v>
      </c>
      <c r="B84" s="0" t="s">
        <v>223</v>
      </c>
      <c r="C84" s="0" t="s">
        <v>5540</v>
      </c>
    </row>
    <row r="85" customFormat="false" ht="15" hidden="false" customHeight="false" outlineLevel="0" collapsed="false">
      <c r="A85" s="0" t="s">
        <v>6</v>
      </c>
      <c r="B85" s="0" t="s">
        <v>223</v>
      </c>
      <c r="C85" s="0" t="s">
        <v>5541</v>
      </c>
    </row>
    <row r="86" customFormat="false" ht="17.15" hidden="false" customHeight="false" outlineLevel="0" collapsed="false">
      <c r="A86" s="0" t="s">
        <v>6</v>
      </c>
      <c r="B86" s="0" t="s">
        <v>227</v>
      </c>
      <c r="C86" s="0" t="s">
        <v>5539</v>
      </c>
      <c r="D86" s="0" t="s">
        <v>5546</v>
      </c>
    </row>
    <row r="87" customFormat="false" ht="15" hidden="false" customHeight="false" outlineLevel="0" collapsed="false">
      <c r="A87" s="0" t="s">
        <v>6</v>
      </c>
      <c r="B87" s="0" t="s">
        <v>227</v>
      </c>
      <c r="C87" s="0" t="s">
        <v>5540</v>
      </c>
    </row>
    <row r="88" customFormat="false" ht="15" hidden="false" customHeight="false" outlineLevel="0" collapsed="false">
      <c r="A88" s="0" t="s">
        <v>6</v>
      </c>
      <c r="B88" s="0" t="s">
        <v>227</v>
      </c>
      <c r="C88" s="0" t="s">
        <v>5541</v>
      </c>
    </row>
    <row r="89" customFormat="false" ht="15" hidden="false" customHeight="false" outlineLevel="0" collapsed="false">
      <c r="A89" s="0" t="s">
        <v>6</v>
      </c>
      <c r="B89" s="0" t="s">
        <v>231</v>
      </c>
      <c r="C89" s="0" t="s">
        <v>5539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231</v>
      </c>
      <c r="C90" s="0" t="s">
        <v>5540</v>
      </c>
    </row>
    <row r="91" customFormat="false" ht="15" hidden="false" customHeight="false" outlineLevel="0" collapsed="false">
      <c r="A91" s="0" t="s">
        <v>6</v>
      </c>
      <c r="B91" s="0" t="s">
        <v>231</v>
      </c>
      <c r="C91" s="0" t="s">
        <v>5541</v>
      </c>
    </row>
    <row r="92" customFormat="false" ht="15" hidden="false" customHeight="false" outlineLevel="0" collapsed="false">
      <c r="A92" s="0" t="s">
        <v>6</v>
      </c>
      <c r="B92" s="0" t="s">
        <v>238</v>
      </c>
      <c r="C92" s="0" t="s">
        <v>5539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238</v>
      </c>
      <c r="C93" s="0" t="s">
        <v>5540</v>
      </c>
    </row>
    <row r="94" customFormat="false" ht="15" hidden="false" customHeight="false" outlineLevel="0" collapsed="false">
      <c r="A94" s="0" t="s">
        <v>6</v>
      </c>
      <c r="B94" s="0" t="s">
        <v>238</v>
      </c>
      <c r="C94" s="0" t="s">
        <v>5541</v>
      </c>
    </row>
    <row r="95" customFormat="false" ht="15" hidden="false" customHeight="false" outlineLevel="0" collapsed="false">
      <c r="A95" s="0" t="s">
        <v>6</v>
      </c>
      <c r="B95" s="0" t="s">
        <v>245</v>
      </c>
      <c r="C95" s="0" t="s">
        <v>5539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245</v>
      </c>
      <c r="C96" s="0" t="s">
        <v>5540</v>
      </c>
    </row>
    <row r="97" customFormat="false" ht="15" hidden="false" customHeight="false" outlineLevel="0" collapsed="false">
      <c r="A97" s="0" t="s">
        <v>6</v>
      </c>
      <c r="B97" s="0" t="s">
        <v>245</v>
      </c>
      <c r="C97" s="0" t="s">
        <v>5541</v>
      </c>
    </row>
    <row r="98" customFormat="false" ht="15" hidden="false" customHeight="false" outlineLevel="0" collapsed="false">
      <c r="A98" s="0" t="s">
        <v>6</v>
      </c>
      <c r="B98" s="0" t="s">
        <v>247</v>
      </c>
      <c r="C98" s="0" t="s">
        <v>5539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247</v>
      </c>
      <c r="C99" s="0" t="s">
        <v>5540</v>
      </c>
    </row>
    <row r="100" customFormat="false" ht="15" hidden="false" customHeight="false" outlineLevel="0" collapsed="false">
      <c r="A100" s="0" t="s">
        <v>6</v>
      </c>
      <c r="B100" s="0" t="s">
        <v>247</v>
      </c>
      <c r="C100" s="0" t="s">
        <v>5541</v>
      </c>
    </row>
    <row r="101" customFormat="false" ht="15" hidden="false" customHeight="false" outlineLevel="0" collapsed="false">
      <c r="A101" s="0" t="s">
        <v>6</v>
      </c>
      <c r="B101" s="0" t="s">
        <v>250</v>
      </c>
      <c r="C101" s="0" t="s">
        <v>5539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250</v>
      </c>
      <c r="C102" s="0" t="s">
        <v>5540</v>
      </c>
    </row>
    <row r="103" customFormat="false" ht="15" hidden="false" customHeight="false" outlineLevel="0" collapsed="false">
      <c r="A103" s="0" t="s">
        <v>6</v>
      </c>
      <c r="B103" s="0" t="s">
        <v>250</v>
      </c>
      <c r="C103" s="0" t="s">
        <v>5541</v>
      </c>
    </row>
    <row r="104" customFormat="false" ht="15" hidden="false" customHeight="false" outlineLevel="0" collapsed="false">
      <c r="A104" s="0" t="s">
        <v>6</v>
      </c>
      <c r="B104" s="0" t="s">
        <v>252</v>
      </c>
      <c r="C104" s="0" t="s">
        <v>5539</v>
      </c>
    </row>
    <row r="105" customFormat="false" ht="15" hidden="false" customHeight="false" outlineLevel="0" collapsed="false">
      <c r="A105" s="0" t="s">
        <v>6</v>
      </c>
      <c r="B105" s="0" t="s">
        <v>252</v>
      </c>
      <c r="C105" s="0" t="s">
        <v>5540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252</v>
      </c>
      <c r="C106" s="0" t="s">
        <v>5541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256</v>
      </c>
      <c r="C107" s="0" t="s">
        <v>5539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256</v>
      </c>
      <c r="C108" s="0" t="s">
        <v>5540</v>
      </c>
    </row>
    <row r="109" customFormat="false" ht="15" hidden="false" customHeight="false" outlineLevel="0" collapsed="false">
      <c r="A109" s="0" t="s">
        <v>6</v>
      </c>
      <c r="B109" s="0" t="s">
        <v>256</v>
      </c>
      <c r="C109" s="0" t="s">
        <v>5541</v>
      </c>
    </row>
    <row r="110" customFormat="false" ht="15" hidden="false" customHeight="false" outlineLevel="0" collapsed="false">
      <c r="A110" s="0" t="s">
        <v>6</v>
      </c>
      <c r="B110" s="0" t="s">
        <v>266</v>
      </c>
      <c r="C110" s="0" t="s">
        <v>5539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266</v>
      </c>
      <c r="C111" s="0" t="s">
        <v>5540</v>
      </c>
    </row>
    <row r="112" customFormat="false" ht="15" hidden="false" customHeight="false" outlineLevel="0" collapsed="false">
      <c r="A112" s="0" t="s">
        <v>6</v>
      </c>
      <c r="B112" s="0" t="s">
        <v>266</v>
      </c>
      <c r="C112" s="0" t="s">
        <v>5541</v>
      </c>
    </row>
    <row r="113" customFormat="false" ht="15" hidden="false" customHeight="false" outlineLevel="0" collapsed="false">
      <c r="A113" s="0" t="s">
        <v>6</v>
      </c>
      <c r="B113" s="0" t="s">
        <v>270</v>
      </c>
      <c r="C113" s="0" t="s">
        <v>5539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270</v>
      </c>
      <c r="C114" s="0" t="s">
        <v>5540</v>
      </c>
    </row>
    <row r="115" customFormat="false" ht="15" hidden="false" customHeight="false" outlineLevel="0" collapsed="false">
      <c r="A115" s="0" t="s">
        <v>6</v>
      </c>
      <c r="B115" s="0" t="s">
        <v>270</v>
      </c>
      <c r="C115" s="0" t="s">
        <v>5541</v>
      </c>
    </row>
    <row r="116" customFormat="false" ht="15" hidden="false" customHeight="false" outlineLevel="0" collapsed="false">
      <c r="A116" s="0" t="s">
        <v>6</v>
      </c>
      <c r="B116" s="0" t="s">
        <v>277</v>
      </c>
      <c r="C116" s="0" t="s">
        <v>5539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277</v>
      </c>
      <c r="C117" s="0" t="s">
        <v>5540</v>
      </c>
    </row>
    <row r="118" customFormat="false" ht="15" hidden="false" customHeight="false" outlineLevel="0" collapsed="false">
      <c r="A118" s="0" t="s">
        <v>6</v>
      </c>
      <c r="B118" s="0" t="s">
        <v>277</v>
      </c>
      <c r="C118" s="0" t="s">
        <v>5541</v>
      </c>
    </row>
    <row r="119" customFormat="false" ht="15" hidden="false" customHeight="false" outlineLevel="0" collapsed="false">
      <c r="A119" s="0" t="s">
        <v>6</v>
      </c>
      <c r="B119" s="0" t="s">
        <v>279</v>
      </c>
      <c r="C119" s="0" t="s">
        <v>5539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279</v>
      </c>
      <c r="C120" s="0" t="s">
        <v>5540</v>
      </c>
    </row>
    <row r="121" customFormat="false" ht="15" hidden="false" customHeight="false" outlineLevel="0" collapsed="false">
      <c r="A121" s="0" t="s">
        <v>6</v>
      </c>
      <c r="B121" s="0" t="s">
        <v>279</v>
      </c>
      <c r="C121" s="0" t="s">
        <v>5541</v>
      </c>
    </row>
    <row r="122" customFormat="false" ht="15" hidden="false" customHeight="false" outlineLevel="0" collapsed="false">
      <c r="A122" s="0" t="s">
        <v>6</v>
      </c>
      <c r="B122" s="0" t="s">
        <v>281</v>
      </c>
      <c r="C122" s="0" t="s">
        <v>5539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281</v>
      </c>
      <c r="C123" s="0" t="s">
        <v>5540</v>
      </c>
    </row>
    <row r="124" customFormat="false" ht="15" hidden="false" customHeight="false" outlineLevel="0" collapsed="false">
      <c r="A124" s="0" t="s">
        <v>6</v>
      </c>
      <c r="B124" s="0" t="s">
        <v>281</v>
      </c>
      <c r="C124" s="0" t="s">
        <v>5541</v>
      </c>
    </row>
    <row r="125" customFormat="false" ht="15" hidden="false" customHeight="false" outlineLevel="0" collapsed="false">
      <c r="A125" s="0" t="s">
        <v>6</v>
      </c>
      <c r="B125" s="0" t="s">
        <v>283</v>
      </c>
      <c r="C125" s="0" t="s">
        <v>5539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283</v>
      </c>
      <c r="C126" s="0" t="s">
        <v>5540</v>
      </c>
    </row>
    <row r="127" customFormat="false" ht="15" hidden="false" customHeight="false" outlineLevel="0" collapsed="false">
      <c r="A127" s="0" t="s">
        <v>6</v>
      </c>
      <c r="B127" s="0" t="s">
        <v>283</v>
      </c>
      <c r="C127" s="0" t="s">
        <v>5541</v>
      </c>
    </row>
    <row r="128" customFormat="false" ht="15" hidden="false" customHeight="false" outlineLevel="0" collapsed="false">
      <c r="A128" s="0" t="s">
        <v>6</v>
      </c>
      <c r="B128" s="0" t="s">
        <v>285</v>
      </c>
      <c r="C128" s="0" t="s">
        <v>5539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285</v>
      </c>
      <c r="C129" s="0" t="s">
        <v>5540</v>
      </c>
    </row>
    <row r="130" customFormat="false" ht="15" hidden="false" customHeight="false" outlineLevel="0" collapsed="false">
      <c r="A130" s="0" t="s">
        <v>6</v>
      </c>
      <c r="B130" s="0" t="s">
        <v>285</v>
      </c>
      <c r="C130" s="0" t="s">
        <v>5541</v>
      </c>
    </row>
    <row r="131" customFormat="false" ht="15" hidden="false" customHeight="false" outlineLevel="0" collapsed="false">
      <c r="A131" s="0" t="s">
        <v>6</v>
      </c>
      <c r="B131" s="0" t="s">
        <v>292</v>
      </c>
      <c r="C131" s="0" t="s">
        <v>5539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292</v>
      </c>
      <c r="C132" s="0" t="s">
        <v>5540</v>
      </c>
    </row>
    <row r="133" customFormat="false" ht="15" hidden="false" customHeight="false" outlineLevel="0" collapsed="false">
      <c r="A133" s="0" t="s">
        <v>6</v>
      </c>
      <c r="B133" s="0" t="s">
        <v>292</v>
      </c>
      <c r="C133" s="0" t="s">
        <v>5541</v>
      </c>
    </row>
    <row r="134" customFormat="false" ht="15" hidden="false" customHeight="false" outlineLevel="0" collapsed="false">
      <c r="A134" s="0" t="s">
        <v>6</v>
      </c>
      <c r="B134" s="0" t="s">
        <v>295</v>
      </c>
      <c r="C134" s="0" t="s">
        <v>5539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295</v>
      </c>
      <c r="C135" s="0" t="s">
        <v>5540</v>
      </c>
    </row>
    <row r="136" customFormat="false" ht="15" hidden="false" customHeight="false" outlineLevel="0" collapsed="false">
      <c r="A136" s="0" t="s">
        <v>6</v>
      </c>
      <c r="B136" s="0" t="s">
        <v>295</v>
      </c>
      <c r="C136" s="0" t="s">
        <v>5541</v>
      </c>
    </row>
    <row r="137" customFormat="false" ht="15" hidden="false" customHeight="false" outlineLevel="0" collapsed="false">
      <c r="A137" s="0" t="s">
        <v>6</v>
      </c>
      <c r="B137" s="0" t="s">
        <v>297</v>
      </c>
      <c r="C137" s="0" t="s">
        <v>5539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297</v>
      </c>
      <c r="C138" s="0" t="s">
        <v>5540</v>
      </c>
    </row>
    <row r="139" customFormat="false" ht="15" hidden="false" customHeight="false" outlineLevel="0" collapsed="false">
      <c r="A139" s="0" t="s">
        <v>6</v>
      </c>
      <c r="B139" s="0" t="s">
        <v>297</v>
      </c>
      <c r="C139" s="0" t="s">
        <v>5541</v>
      </c>
    </row>
    <row r="140" customFormat="false" ht="15" hidden="false" customHeight="false" outlineLevel="0" collapsed="false">
      <c r="A140" s="0" t="s">
        <v>6</v>
      </c>
      <c r="B140" s="0" t="s">
        <v>302</v>
      </c>
      <c r="C140" s="0" t="s">
        <v>5539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302</v>
      </c>
      <c r="C141" s="0" t="s">
        <v>5540</v>
      </c>
    </row>
    <row r="142" customFormat="false" ht="15" hidden="false" customHeight="false" outlineLevel="0" collapsed="false">
      <c r="A142" s="0" t="s">
        <v>6</v>
      </c>
      <c r="B142" s="0" t="s">
        <v>302</v>
      </c>
      <c r="C142" s="0" t="s">
        <v>5541</v>
      </c>
    </row>
    <row r="143" customFormat="false" ht="15" hidden="false" customHeight="false" outlineLevel="0" collapsed="false">
      <c r="A143" s="0" t="s">
        <v>6</v>
      </c>
      <c r="B143" s="0" t="s">
        <v>310</v>
      </c>
      <c r="C143" s="0" t="s">
        <v>5539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310</v>
      </c>
      <c r="C144" s="0" t="s">
        <v>5540</v>
      </c>
    </row>
    <row r="145" customFormat="false" ht="15" hidden="false" customHeight="false" outlineLevel="0" collapsed="false">
      <c r="A145" s="0" t="s">
        <v>6</v>
      </c>
      <c r="B145" s="0" t="s">
        <v>310</v>
      </c>
      <c r="C145" s="0" t="s">
        <v>5541</v>
      </c>
    </row>
    <row r="146" customFormat="false" ht="15" hidden="false" customHeight="false" outlineLevel="0" collapsed="false">
      <c r="A146" s="0" t="s">
        <v>6</v>
      </c>
      <c r="B146" s="0" t="s">
        <v>316</v>
      </c>
      <c r="C146" s="0" t="s">
        <v>5539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316</v>
      </c>
      <c r="C147" s="0" t="s">
        <v>5540</v>
      </c>
    </row>
    <row r="148" customFormat="false" ht="15" hidden="false" customHeight="false" outlineLevel="0" collapsed="false">
      <c r="A148" s="0" t="s">
        <v>6</v>
      </c>
      <c r="B148" s="0" t="s">
        <v>316</v>
      </c>
      <c r="C148" s="0" t="s">
        <v>5541</v>
      </c>
    </row>
    <row r="149" customFormat="false" ht="15" hidden="false" customHeight="false" outlineLevel="0" collapsed="false">
      <c r="A149" s="0" t="s">
        <v>6</v>
      </c>
      <c r="B149" s="0" t="s">
        <v>321</v>
      </c>
      <c r="C149" s="0" t="s">
        <v>5539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321</v>
      </c>
      <c r="C150" s="0" t="s">
        <v>5540</v>
      </c>
    </row>
    <row r="151" customFormat="false" ht="15" hidden="false" customHeight="false" outlineLevel="0" collapsed="false">
      <c r="A151" s="0" t="s">
        <v>6</v>
      </c>
      <c r="B151" s="0" t="s">
        <v>321</v>
      </c>
      <c r="C151" s="0" t="s">
        <v>5541</v>
      </c>
    </row>
    <row r="152" customFormat="false" ht="15" hidden="false" customHeight="false" outlineLevel="0" collapsed="false">
      <c r="A152" s="0" t="s">
        <v>6</v>
      </c>
      <c r="B152" s="0" t="s">
        <v>328</v>
      </c>
      <c r="C152" s="0" t="s">
        <v>5539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328</v>
      </c>
      <c r="C153" s="0" t="s">
        <v>5540</v>
      </c>
    </row>
    <row r="154" customFormat="false" ht="15" hidden="false" customHeight="false" outlineLevel="0" collapsed="false">
      <c r="A154" s="0" t="s">
        <v>6</v>
      </c>
      <c r="B154" s="0" t="s">
        <v>328</v>
      </c>
      <c r="C154" s="0" t="s">
        <v>5541</v>
      </c>
    </row>
    <row r="155" customFormat="false" ht="15" hidden="false" customHeight="false" outlineLevel="0" collapsed="false">
      <c r="A155" s="0" t="s">
        <v>6</v>
      </c>
      <c r="B155" s="0" t="s">
        <v>334</v>
      </c>
      <c r="C155" s="0" t="s">
        <v>5539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334</v>
      </c>
      <c r="C156" s="0" t="s">
        <v>5540</v>
      </c>
    </row>
    <row r="157" customFormat="false" ht="15" hidden="false" customHeight="false" outlineLevel="0" collapsed="false">
      <c r="A157" s="0" t="s">
        <v>6</v>
      </c>
      <c r="B157" s="0" t="s">
        <v>334</v>
      </c>
      <c r="C157" s="0" t="s">
        <v>5541</v>
      </c>
    </row>
    <row r="158" customFormat="false" ht="15" hidden="false" customHeight="false" outlineLevel="0" collapsed="false">
      <c r="A158" s="0" t="s">
        <v>6</v>
      </c>
      <c r="B158" s="0" t="s">
        <v>339</v>
      </c>
      <c r="C158" s="0" t="s">
        <v>5539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339</v>
      </c>
      <c r="C159" s="0" t="s">
        <v>5540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339</v>
      </c>
      <c r="C160" s="0" t="s">
        <v>5541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346</v>
      </c>
      <c r="C161" s="0" t="s">
        <v>5539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346</v>
      </c>
      <c r="C162" s="0" t="s">
        <v>5540</v>
      </c>
    </row>
    <row r="163" customFormat="false" ht="15" hidden="false" customHeight="false" outlineLevel="0" collapsed="false">
      <c r="A163" s="0" t="s">
        <v>6</v>
      </c>
      <c r="B163" s="0" t="s">
        <v>346</v>
      </c>
      <c r="C163" s="0" t="s">
        <v>5541</v>
      </c>
    </row>
    <row r="164" customFormat="false" ht="15" hidden="false" customHeight="false" outlineLevel="0" collapsed="false">
      <c r="A164" s="0" t="s">
        <v>6</v>
      </c>
      <c r="B164" s="0" t="s">
        <v>352</v>
      </c>
      <c r="C164" s="0" t="s">
        <v>5539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352</v>
      </c>
      <c r="C165" s="0" t="s">
        <v>5540</v>
      </c>
    </row>
    <row r="166" customFormat="false" ht="15" hidden="false" customHeight="false" outlineLevel="0" collapsed="false">
      <c r="A166" s="0" t="s">
        <v>6</v>
      </c>
      <c r="B166" s="0" t="s">
        <v>352</v>
      </c>
      <c r="C166" s="0" t="s">
        <v>5541</v>
      </c>
    </row>
    <row r="167" customFormat="false" ht="15" hidden="false" customHeight="false" outlineLevel="0" collapsed="false">
      <c r="A167" s="0" t="s">
        <v>6</v>
      </c>
      <c r="B167" s="0" t="s">
        <v>358</v>
      </c>
      <c r="C167" s="0" t="s">
        <v>5539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358</v>
      </c>
      <c r="C168" s="0" t="s">
        <v>5540</v>
      </c>
    </row>
    <row r="169" customFormat="false" ht="15" hidden="false" customHeight="false" outlineLevel="0" collapsed="false">
      <c r="A169" s="0" t="s">
        <v>6</v>
      </c>
      <c r="B169" s="0" t="s">
        <v>358</v>
      </c>
      <c r="C169" s="0" t="s">
        <v>5541</v>
      </c>
    </row>
    <row r="170" customFormat="false" ht="15" hidden="false" customHeight="false" outlineLevel="0" collapsed="false">
      <c r="A170" s="0" t="s">
        <v>6</v>
      </c>
      <c r="B170" s="0" t="s">
        <v>366</v>
      </c>
      <c r="C170" s="0" t="s">
        <v>5539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366</v>
      </c>
      <c r="C171" s="0" t="s">
        <v>5540</v>
      </c>
    </row>
    <row r="172" customFormat="false" ht="15" hidden="false" customHeight="false" outlineLevel="0" collapsed="false">
      <c r="A172" s="0" t="s">
        <v>6</v>
      </c>
      <c r="B172" s="0" t="s">
        <v>366</v>
      </c>
      <c r="C172" s="0" t="s">
        <v>5541</v>
      </c>
    </row>
    <row r="173" customFormat="false" ht="15" hidden="false" customHeight="false" outlineLevel="0" collapsed="false">
      <c r="A173" s="0" t="s">
        <v>6</v>
      </c>
      <c r="B173" s="0" t="s">
        <v>370</v>
      </c>
      <c r="C173" s="0" t="s">
        <v>5539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370</v>
      </c>
      <c r="C174" s="0" t="s">
        <v>5540</v>
      </c>
    </row>
    <row r="175" customFormat="false" ht="15" hidden="false" customHeight="false" outlineLevel="0" collapsed="false">
      <c r="A175" s="0" t="s">
        <v>6</v>
      </c>
      <c r="B175" s="0" t="s">
        <v>370</v>
      </c>
      <c r="C175" s="0" t="s">
        <v>5541</v>
      </c>
    </row>
    <row r="176" customFormat="false" ht="15" hidden="false" customHeight="false" outlineLevel="0" collapsed="false">
      <c r="A176" s="0" t="s">
        <v>6</v>
      </c>
      <c r="B176" s="0" t="s">
        <v>373</v>
      </c>
      <c r="C176" s="0" t="s">
        <v>5539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373</v>
      </c>
      <c r="C177" s="0" t="s">
        <v>5540</v>
      </c>
    </row>
    <row r="178" customFormat="false" ht="15" hidden="false" customHeight="false" outlineLevel="0" collapsed="false">
      <c r="A178" s="0" t="s">
        <v>6</v>
      </c>
      <c r="B178" s="0" t="s">
        <v>373</v>
      </c>
      <c r="C178" s="0" t="s">
        <v>5541</v>
      </c>
    </row>
    <row r="179" customFormat="false" ht="15" hidden="false" customHeight="false" outlineLevel="0" collapsed="false">
      <c r="A179" s="0" t="s">
        <v>6</v>
      </c>
      <c r="B179" s="0" t="s">
        <v>378</v>
      </c>
      <c r="C179" s="0" t="s">
        <v>5539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378</v>
      </c>
      <c r="C180" s="0" t="s">
        <v>5540</v>
      </c>
    </row>
    <row r="181" customFormat="false" ht="15" hidden="false" customHeight="false" outlineLevel="0" collapsed="false">
      <c r="A181" s="0" t="s">
        <v>6</v>
      </c>
      <c r="B181" s="0" t="s">
        <v>378</v>
      </c>
      <c r="C181" s="0" t="s">
        <v>5541</v>
      </c>
    </row>
    <row r="182" customFormat="false" ht="15" hidden="false" customHeight="false" outlineLevel="0" collapsed="false">
      <c r="A182" s="0" t="s">
        <v>6</v>
      </c>
      <c r="B182" s="0" t="s">
        <v>386</v>
      </c>
      <c r="C182" s="0" t="s">
        <v>5539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386</v>
      </c>
      <c r="C183" s="0" t="s">
        <v>5540</v>
      </c>
    </row>
    <row r="184" customFormat="false" ht="15" hidden="false" customHeight="false" outlineLevel="0" collapsed="false">
      <c r="A184" s="0" t="s">
        <v>6</v>
      </c>
      <c r="B184" s="0" t="s">
        <v>386</v>
      </c>
      <c r="C184" s="0" t="s">
        <v>5541</v>
      </c>
    </row>
    <row r="185" customFormat="false" ht="15" hidden="false" customHeight="false" outlineLevel="0" collapsed="false">
      <c r="A185" s="0" t="s">
        <v>6</v>
      </c>
      <c r="B185" s="0" t="s">
        <v>389</v>
      </c>
      <c r="C185" s="0" t="s">
        <v>5539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389</v>
      </c>
      <c r="C186" s="0" t="s">
        <v>5540</v>
      </c>
    </row>
    <row r="187" customFormat="false" ht="15" hidden="false" customHeight="false" outlineLevel="0" collapsed="false">
      <c r="A187" s="0" t="s">
        <v>6</v>
      </c>
      <c r="B187" s="0" t="s">
        <v>389</v>
      </c>
      <c r="C187" s="0" t="s">
        <v>5541</v>
      </c>
    </row>
    <row r="188" customFormat="false" ht="15" hidden="false" customHeight="false" outlineLevel="0" collapsed="false">
      <c r="A188" s="0" t="s">
        <v>6</v>
      </c>
      <c r="B188" s="0" t="s">
        <v>392</v>
      </c>
      <c r="C188" s="0" t="s">
        <v>5539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392</v>
      </c>
      <c r="C189" s="0" t="s">
        <v>5540</v>
      </c>
    </row>
    <row r="190" customFormat="false" ht="15" hidden="false" customHeight="false" outlineLevel="0" collapsed="false">
      <c r="A190" s="0" t="s">
        <v>6</v>
      </c>
      <c r="B190" s="0" t="s">
        <v>392</v>
      </c>
      <c r="C190" s="0" t="s">
        <v>5541</v>
      </c>
    </row>
    <row r="191" customFormat="false" ht="15" hidden="false" customHeight="false" outlineLevel="0" collapsed="false">
      <c r="A191" s="0" t="s">
        <v>6</v>
      </c>
      <c r="B191" s="0" t="s">
        <v>397</v>
      </c>
      <c r="C191" s="0" t="s">
        <v>5539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397</v>
      </c>
      <c r="C192" s="0" t="s">
        <v>5540</v>
      </c>
    </row>
    <row r="193" customFormat="false" ht="15" hidden="false" customHeight="false" outlineLevel="0" collapsed="false">
      <c r="A193" s="0" t="s">
        <v>6</v>
      </c>
      <c r="B193" s="0" t="s">
        <v>397</v>
      </c>
      <c r="C193" s="0" t="s">
        <v>5541</v>
      </c>
    </row>
    <row r="194" customFormat="false" ht="15" hidden="false" customHeight="false" outlineLevel="0" collapsed="false">
      <c r="A194" s="0" t="s">
        <v>6</v>
      </c>
      <c r="B194" s="0" t="s">
        <v>399</v>
      </c>
      <c r="C194" s="0" t="s">
        <v>5539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399</v>
      </c>
      <c r="C195" s="0" t="s">
        <v>5540</v>
      </c>
    </row>
    <row r="196" customFormat="false" ht="15" hidden="false" customHeight="false" outlineLevel="0" collapsed="false">
      <c r="A196" s="0" t="s">
        <v>6</v>
      </c>
      <c r="B196" s="0" t="s">
        <v>399</v>
      </c>
      <c r="C196" s="0" t="s">
        <v>5541</v>
      </c>
    </row>
    <row r="197" customFormat="false" ht="15" hidden="false" customHeight="false" outlineLevel="0" collapsed="false">
      <c r="A197" s="0" t="s">
        <v>6</v>
      </c>
      <c r="B197" s="0" t="s">
        <v>402</v>
      </c>
      <c r="C197" s="0" t="s">
        <v>5539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402</v>
      </c>
      <c r="C198" s="0" t="s">
        <v>5540</v>
      </c>
    </row>
    <row r="199" customFormat="false" ht="15" hidden="false" customHeight="false" outlineLevel="0" collapsed="false">
      <c r="A199" s="0" t="s">
        <v>6</v>
      </c>
      <c r="B199" s="0" t="s">
        <v>402</v>
      </c>
      <c r="C199" s="0" t="s">
        <v>5541</v>
      </c>
    </row>
    <row r="200" customFormat="false" ht="15" hidden="false" customHeight="false" outlineLevel="0" collapsed="false">
      <c r="A200" s="0" t="s">
        <v>6</v>
      </c>
      <c r="B200" s="0" t="s">
        <v>407</v>
      </c>
      <c r="C200" s="0" t="s">
        <v>5539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407</v>
      </c>
      <c r="C201" s="0" t="s">
        <v>5540</v>
      </c>
    </row>
    <row r="202" customFormat="false" ht="15" hidden="false" customHeight="false" outlineLevel="0" collapsed="false">
      <c r="A202" s="0" t="s">
        <v>6</v>
      </c>
      <c r="B202" s="0" t="s">
        <v>407</v>
      </c>
      <c r="C202" s="0" t="s">
        <v>5541</v>
      </c>
    </row>
    <row r="203" customFormat="false" ht="15" hidden="false" customHeight="false" outlineLevel="0" collapsed="false">
      <c r="A203" s="0" t="s">
        <v>6</v>
      </c>
      <c r="B203" s="0" t="s">
        <v>414</v>
      </c>
      <c r="C203" s="0" t="s">
        <v>5539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414</v>
      </c>
      <c r="C204" s="0" t="s">
        <v>5540</v>
      </c>
    </row>
    <row r="205" customFormat="false" ht="15" hidden="false" customHeight="false" outlineLevel="0" collapsed="false">
      <c r="A205" s="0" t="s">
        <v>6</v>
      </c>
      <c r="B205" s="0" t="s">
        <v>414</v>
      </c>
      <c r="C205" s="0" t="s">
        <v>5541</v>
      </c>
    </row>
    <row r="206" customFormat="false" ht="15" hidden="false" customHeight="false" outlineLevel="0" collapsed="false">
      <c r="A206" s="0" t="s">
        <v>6</v>
      </c>
      <c r="B206" s="0" t="s">
        <v>417</v>
      </c>
      <c r="C206" s="0" t="s">
        <v>5539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417</v>
      </c>
      <c r="C207" s="0" t="s">
        <v>5540</v>
      </c>
    </row>
    <row r="208" customFormat="false" ht="15" hidden="false" customHeight="false" outlineLevel="0" collapsed="false">
      <c r="A208" s="0" t="s">
        <v>6</v>
      </c>
      <c r="B208" s="0" t="s">
        <v>417</v>
      </c>
      <c r="C208" s="0" t="s">
        <v>5541</v>
      </c>
    </row>
    <row r="209" customFormat="false" ht="15" hidden="false" customHeight="false" outlineLevel="0" collapsed="false">
      <c r="A209" s="0" t="s">
        <v>6</v>
      </c>
      <c r="B209" s="0" t="s">
        <v>419</v>
      </c>
      <c r="C209" s="0" t="s">
        <v>5539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419</v>
      </c>
      <c r="C210" s="0" t="s">
        <v>5540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419</v>
      </c>
      <c r="C211" s="0" t="s">
        <v>5541</v>
      </c>
    </row>
    <row r="212" customFormat="false" ht="15" hidden="false" customHeight="false" outlineLevel="0" collapsed="false">
      <c r="A212" s="0" t="s">
        <v>6</v>
      </c>
      <c r="B212" s="0" t="s">
        <v>427</v>
      </c>
      <c r="C212" s="0" t="s">
        <v>5539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427</v>
      </c>
      <c r="C213" s="0" t="s">
        <v>5540</v>
      </c>
    </row>
    <row r="214" customFormat="false" ht="15" hidden="false" customHeight="false" outlineLevel="0" collapsed="false">
      <c r="A214" s="0" t="s">
        <v>6</v>
      </c>
      <c r="B214" s="0" t="s">
        <v>427</v>
      </c>
      <c r="C214" s="0" t="s">
        <v>5541</v>
      </c>
    </row>
    <row r="215" customFormat="false" ht="15" hidden="false" customHeight="false" outlineLevel="0" collapsed="false">
      <c r="A215" s="0" t="s">
        <v>6</v>
      </c>
      <c r="B215" s="0" t="s">
        <v>430</v>
      </c>
      <c r="C215" s="0" t="s">
        <v>5539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430</v>
      </c>
      <c r="C216" s="0" t="s">
        <v>5540</v>
      </c>
    </row>
    <row r="217" customFormat="false" ht="15" hidden="false" customHeight="false" outlineLevel="0" collapsed="false">
      <c r="A217" s="0" t="s">
        <v>6</v>
      </c>
      <c r="B217" s="0" t="s">
        <v>430</v>
      </c>
      <c r="C217" s="0" t="s">
        <v>5541</v>
      </c>
    </row>
    <row r="218" customFormat="false" ht="15" hidden="false" customHeight="false" outlineLevel="0" collapsed="false">
      <c r="A218" s="0" t="s">
        <v>6</v>
      </c>
      <c r="B218" s="0" t="s">
        <v>433</v>
      </c>
      <c r="C218" s="0" t="s">
        <v>5539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433</v>
      </c>
      <c r="C219" s="0" t="s">
        <v>5540</v>
      </c>
    </row>
    <row r="220" customFormat="false" ht="15" hidden="false" customHeight="false" outlineLevel="0" collapsed="false">
      <c r="A220" s="0" t="s">
        <v>6</v>
      </c>
      <c r="B220" s="0" t="s">
        <v>433</v>
      </c>
      <c r="C220" s="0" t="s">
        <v>5541</v>
      </c>
    </row>
    <row r="221" customFormat="false" ht="15" hidden="false" customHeight="false" outlineLevel="0" collapsed="false">
      <c r="A221" s="0" t="s">
        <v>6</v>
      </c>
      <c r="B221" s="0" t="s">
        <v>439</v>
      </c>
      <c r="C221" s="0" t="s">
        <v>5539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439</v>
      </c>
      <c r="C222" s="0" t="s">
        <v>5540</v>
      </c>
    </row>
    <row r="223" customFormat="false" ht="15" hidden="false" customHeight="false" outlineLevel="0" collapsed="false">
      <c r="A223" s="0" t="s">
        <v>6</v>
      </c>
      <c r="B223" s="0" t="s">
        <v>439</v>
      </c>
      <c r="C223" s="0" t="s">
        <v>5541</v>
      </c>
    </row>
    <row r="224" customFormat="false" ht="15" hidden="false" customHeight="false" outlineLevel="0" collapsed="false">
      <c r="A224" s="0" t="s">
        <v>6</v>
      </c>
      <c r="B224" s="0" t="s">
        <v>443</v>
      </c>
      <c r="C224" s="0" t="s">
        <v>5539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443</v>
      </c>
      <c r="C225" s="0" t="s">
        <v>5540</v>
      </c>
    </row>
    <row r="226" customFormat="false" ht="15" hidden="false" customHeight="false" outlineLevel="0" collapsed="false">
      <c r="A226" s="0" t="s">
        <v>6</v>
      </c>
      <c r="B226" s="0" t="s">
        <v>443</v>
      </c>
      <c r="C226" s="0" t="s">
        <v>5541</v>
      </c>
    </row>
    <row r="227" customFormat="false" ht="15" hidden="false" customHeight="false" outlineLevel="0" collapsed="false">
      <c r="A227" s="0" t="s">
        <v>6</v>
      </c>
      <c r="B227" s="0" t="s">
        <v>447</v>
      </c>
      <c r="C227" s="0" t="s">
        <v>5539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447</v>
      </c>
      <c r="C228" s="0" t="s">
        <v>5540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447</v>
      </c>
      <c r="C229" s="0" t="s">
        <v>5541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452</v>
      </c>
      <c r="C230" s="0" t="s">
        <v>5539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452</v>
      </c>
      <c r="C231" s="0" t="s">
        <v>5540</v>
      </c>
    </row>
    <row r="232" customFormat="false" ht="15" hidden="false" customHeight="false" outlineLevel="0" collapsed="false">
      <c r="A232" s="0" t="s">
        <v>6</v>
      </c>
      <c r="B232" s="0" t="s">
        <v>452</v>
      </c>
      <c r="C232" s="0" t="s">
        <v>5541</v>
      </c>
    </row>
    <row r="233" customFormat="false" ht="15" hidden="false" customHeight="false" outlineLevel="0" collapsed="false">
      <c r="A233" s="0" t="s">
        <v>6</v>
      </c>
      <c r="B233" s="0" t="s">
        <v>459</v>
      </c>
      <c r="C233" s="0" t="s">
        <v>5539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459</v>
      </c>
      <c r="C234" s="0" t="s">
        <v>5540</v>
      </c>
    </row>
    <row r="235" customFormat="false" ht="15" hidden="false" customHeight="false" outlineLevel="0" collapsed="false">
      <c r="A235" s="0" t="s">
        <v>6</v>
      </c>
      <c r="B235" s="0" t="s">
        <v>459</v>
      </c>
      <c r="C235" s="0" t="s">
        <v>5541</v>
      </c>
    </row>
    <row r="236" customFormat="false" ht="15" hidden="false" customHeight="false" outlineLevel="0" collapsed="false">
      <c r="A236" s="0" t="s">
        <v>6</v>
      </c>
      <c r="B236" s="0" t="s">
        <v>465</v>
      </c>
      <c r="C236" s="0" t="s">
        <v>5539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465</v>
      </c>
      <c r="C237" s="0" t="s">
        <v>5540</v>
      </c>
    </row>
    <row r="238" customFormat="false" ht="15" hidden="false" customHeight="false" outlineLevel="0" collapsed="false">
      <c r="A238" s="0" t="s">
        <v>6</v>
      </c>
      <c r="B238" s="0" t="s">
        <v>465</v>
      </c>
      <c r="C238" s="0" t="s">
        <v>5541</v>
      </c>
    </row>
    <row r="239" customFormat="false" ht="15" hidden="false" customHeight="false" outlineLevel="0" collapsed="false">
      <c r="A239" s="0" t="s">
        <v>6</v>
      </c>
      <c r="B239" s="0" t="s">
        <v>470</v>
      </c>
      <c r="C239" s="0" t="s">
        <v>5539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470</v>
      </c>
      <c r="C240" s="0" t="s">
        <v>5540</v>
      </c>
    </row>
    <row r="241" customFormat="false" ht="15" hidden="false" customHeight="false" outlineLevel="0" collapsed="false">
      <c r="A241" s="0" t="s">
        <v>6</v>
      </c>
      <c r="B241" s="0" t="s">
        <v>470</v>
      </c>
      <c r="C241" s="0" t="s">
        <v>5541</v>
      </c>
    </row>
    <row r="242" customFormat="false" ht="15" hidden="false" customHeight="false" outlineLevel="0" collapsed="false">
      <c r="A242" s="0" t="s">
        <v>6</v>
      </c>
      <c r="B242" s="0" t="s">
        <v>475</v>
      </c>
      <c r="C242" s="0" t="s">
        <v>5539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475</v>
      </c>
      <c r="C243" s="0" t="s">
        <v>5540</v>
      </c>
    </row>
    <row r="244" customFormat="false" ht="15" hidden="false" customHeight="false" outlineLevel="0" collapsed="false">
      <c r="A244" s="0" t="s">
        <v>6</v>
      </c>
      <c r="B244" s="0" t="s">
        <v>475</v>
      </c>
      <c r="C244" s="0" t="s">
        <v>5541</v>
      </c>
    </row>
    <row r="245" customFormat="false" ht="15" hidden="false" customHeight="false" outlineLevel="0" collapsed="false">
      <c r="A245" s="0" t="s">
        <v>6</v>
      </c>
      <c r="B245" s="0" t="s">
        <v>480</v>
      </c>
      <c r="C245" s="0" t="s">
        <v>5539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480</v>
      </c>
      <c r="C246" s="0" t="s">
        <v>5540</v>
      </c>
    </row>
    <row r="247" customFormat="false" ht="15" hidden="false" customHeight="false" outlineLevel="0" collapsed="false">
      <c r="A247" s="0" t="s">
        <v>6</v>
      </c>
      <c r="B247" s="0" t="s">
        <v>480</v>
      </c>
      <c r="C247" s="0" t="s">
        <v>5541</v>
      </c>
    </row>
    <row r="248" customFormat="false" ht="15" hidden="false" customHeight="false" outlineLevel="0" collapsed="false">
      <c r="A248" s="0" t="s">
        <v>6</v>
      </c>
      <c r="B248" s="0" t="s">
        <v>485</v>
      </c>
      <c r="C248" s="0" t="s">
        <v>5539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485</v>
      </c>
      <c r="C249" s="0" t="s">
        <v>5540</v>
      </c>
    </row>
    <row r="250" customFormat="false" ht="15" hidden="false" customHeight="false" outlineLevel="0" collapsed="false">
      <c r="A250" s="0" t="s">
        <v>6</v>
      </c>
      <c r="B250" s="0" t="s">
        <v>485</v>
      </c>
      <c r="C250" s="0" t="s">
        <v>5541</v>
      </c>
    </row>
    <row r="251" customFormat="false" ht="15" hidden="false" customHeight="false" outlineLevel="0" collapsed="false">
      <c r="A251" s="0" t="s">
        <v>6</v>
      </c>
      <c r="B251" s="0" t="s">
        <v>492</v>
      </c>
      <c r="C251" s="0" t="s">
        <v>5539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492</v>
      </c>
      <c r="C252" s="0" t="s">
        <v>5540</v>
      </c>
    </row>
    <row r="253" customFormat="false" ht="15" hidden="false" customHeight="false" outlineLevel="0" collapsed="false">
      <c r="A253" s="0" t="s">
        <v>6</v>
      </c>
      <c r="B253" s="0" t="s">
        <v>492</v>
      </c>
      <c r="C253" s="0" t="s">
        <v>5541</v>
      </c>
    </row>
    <row r="254" customFormat="false" ht="15" hidden="false" customHeight="false" outlineLevel="0" collapsed="false">
      <c r="A254" s="0" t="s">
        <v>6</v>
      </c>
      <c r="B254" s="0" t="s">
        <v>496</v>
      </c>
      <c r="C254" s="0" t="s">
        <v>5539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496</v>
      </c>
      <c r="C255" s="0" t="s">
        <v>5540</v>
      </c>
    </row>
    <row r="256" customFormat="false" ht="15" hidden="false" customHeight="false" outlineLevel="0" collapsed="false">
      <c r="A256" s="0" t="s">
        <v>6</v>
      </c>
      <c r="B256" s="0" t="s">
        <v>496</v>
      </c>
      <c r="C256" s="0" t="s">
        <v>5541</v>
      </c>
    </row>
    <row r="257" customFormat="false" ht="15" hidden="false" customHeight="false" outlineLevel="0" collapsed="false">
      <c r="A257" s="0" t="s">
        <v>6</v>
      </c>
      <c r="B257" s="0" t="s">
        <v>501</v>
      </c>
      <c r="C257" s="0" t="s">
        <v>5539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501</v>
      </c>
      <c r="C258" s="0" t="s">
        <v>5540</v>
      </c>
    </row>
    <row r="259" customFormat="false" ht="15" hidden="false" customHeight="false" outlineLevel="0" collapsed="false">
      <c r="A259" s="0" t="s">
        <v>6</v>
      </c>
      <c r="B259" s="0" t="s">
        <v>501</v>
      </c>
      <c r="C259" s="0" t="s">
        <v>5541</v>
      </c>
    </row>
    <row r="260" customFormat="false" ht="15" hidden="false" customHeight="false" outlineLevel="0" collapsed="false">
      <c r="A260" s="0" t="s">
        <v>6</v>
      </c>
      <c r="B260" s="0" t="s">
        <v>505</v>
      </c>
      <c r="C260" s="0" t="s">
        <v>5539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505</v>
      </c>
      <c r="C261" s="0" t="s">
        <v>5540</v>
      </c>
    </row>
    <row r="262" customFormat="false" ht="15" hidden="false" customHeight="false" outlineLevel="0" collapsed="false">
      <c r="A262" s="0" t="s">
        <v>6</v>
      </c>
      <c r="B262" s="0" t="s">
        <v>505</v>
      </c>
      <c r="C262" s="0" t="s">
        <v>5541</v>
      </c>
    </row>
    <row r="263" customFormat="false" ht="15" hidden="false" customHeight="false" outlineLevel="0" collapsed="false">
      <c r="A263" s="0" t="s">
        <v>6</v>
      </c>
      <c r="B263" s="0" t="s">
        <v>512</v>
      </c>
      <c r="C263" s="0" t="s">
        <v>5539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512</v>
      </c>
      <c r="C264" s="0" t="s">
        <v>5540</v>
      </c>
    </row>
    <row r="265" customFormat="false" ht="15" hidden="false" customHeight="false" outlineLevel="0" collapsed="false">
      <c r="A265" s="0" t="s">
        <v>6</v>
      </c>
      <c r="B265" s="0" t="s">
        <v>512</v>
      </c>
      <c r="C265" s="0" t="s">
        <v>5541</v>
      </c>
    </row>
    <row r="266" customFormat="false" ht="15" hidden="false" customHeight="false" outlineLevel="0" collapsed="false">
      <c r="A266" s="0" t="s">
        <v>6</v>
      </c>
      <c r="B266" s="0" t="s">
        <v>519</v>
      </c>
      <c r="C266" s="0" t="s">
        <v>5539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519</v>
      </c>
      <c r="C267" s="0" t="s">
        <v>5540</v>
      </c>
    </row>
    <row r="268" customFormat="false" ht="15" hidden="false" customHeight="false" outlineLevel="0" collapsed="false">
      <c r="A268" s="0" t="s">
        <v>6</v>
      </c>
      <c r="B268" s="0" t="s">
        <v>519</v>
      </c>
      <c r="C268" s="0" t="s">
        <v>5541</v>
      </c>
    </row>
    <row r="269" customFormat="false" ht="15" hidden="false" customHeight="false" outlineLevel="0" collapsed="false">
      <c r="A269" s="0" t="s">
        <v>6</v>
      </c>
      <c r="B269" s="0" t="s">
        <v>526</v>
      </c>
      <c r="C269" s="0" t="s">
        <v>5539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526</v>
      </c>
      <c r="C270" s="0" t="s">
        <v>5540</v>
      </c>
    </row>
    <row r="271" customFormat="false" ht="15" hidden="false" customHeight="false" outlineLevel="0" collapsed="false">
      <c r="A271" s="0" t="s">
        <v>6</v>
      </c>
      <c r="B271" s="0" t="s">
        <v>526</v>
      </c>
      <c r="C271" s="0" t="s">
        <v>5541</v>
      </c>
    </row>
    <row r="272" customFormat="false" ht="15" hidden="false" customHeight="false" outlineLevel="0" collapsed="false">
      <c r="A272" s="0" t="s">
        <v>6</v>
      </c>
      <c r="B272" s="0" t="s">
        <v>530</v>
      </c>
      <c r="C272" s="0" t="s">
        <v>5539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530</v>
      </c>
      <c r="C273" s="0" t="s">
        <v>5540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530</v>
      </c>
      <c r="C274" s="0" t="s">
        <v>5541</v>
      </c>
    </row>
    <row r="275" customFormat="false" ht="15" hidden="false" customHeight="false" outlineLevel="0" collapsed="false">
      <c r="A275" s="0" t="s">
        <v>6</v>
      </c>
      <c r="B275" s="0" t="s">
        <v>536</v>
      </c>
      <c r="C275" s="0" t="s">
        <v>5539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536</v>
      </c>
      <c r="C276" s="0" t="s">
        <v>5540</v>
      </c>
    </row>
    <row r="277" customFormat="false" ht="15" hidden="false" customHeight="false" outlineLevel="0" collapsed="false">
      <c r="A277" s="0" t="s">
        <v>6</v>
      </c>
      <c r="B277" s="0" t="s">
        <v>536</v>
      </c>
      <c r="C277" s="0" t="s">
        <v>5541</v>
      </c>
    </row>
    <row r="278" customFormat="false" ht="15" hidden="false" customHeight="false" outlineLevel="0" collapsed="false">
      <c r="A278" s="0" t="s">
        <v>6</v>
      </c>
      <c r="B278" s="0" t="s">
        <v>543</v>
      </c>
      <c r="C278" s="0" t="s">
        <v>5539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543</v>
      </c>
      <c r="C279" s="0" t="s">
        <v>5540</v>
      </c>
    </row>
    <row r="280" customFormat="false" ht="15" hidden="false" customHeight="false" outlineLevel="0" collapsed="false">
      <c r="A280" s="0" t="s">
        <v>6</v>
      </c>
      <c r="B280" s="0" t="s">
        <v>543</v>
      </c>
      <c r="C280" s="0" t="s">
        <v>5541</v>
      </c>
    </row>
    <row r="281" customFormat="false" ht="15" hidden="false" customHeight="false" outlineLevel="0" collapsed="false">
      <c r="A281" s="0" t="s">
        <v>6</v>
      </c>
      <c r="B281" s="0" t="s">
        <v>550</v>
      </c>
      <c r="C281" s="0" t="s">
        <v>5539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550</v>
      </c>
      <c r="C282" s="0" t="s">
        <v>5540</v>
      </c>
    </row>
    <row r="283" customFormat="false" ht="15" hidden="false" customHeight="false" outlineLevel="0" collapsed="false">
      <c r="A283" s="0" t="s">
        <v>6</v>
      </c>
      <c r="B283" s="0" t="s">
        <v>550</v>
      </c>
      <c r="C283" s="0" t="s">
        <v>5541</v>
      </c>
    </row>
    <row r="284" customFormat="false" ht="15" hidden="false" customHeight="false" outlineLevel="0" collapsed="false">
      <c r="A284" s="0" t="s">
        <v>6</v>
      </c>
      <c r="B284" s="0" t="s">
        <v>558</v>
      </c>
      <c r="C284" s="0" t="s">
        <v>5539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558</v>
      </c>
      <c r="C285" s="0" t="s">
        <v>5540</v>
      </c>
    </row>
    <row r="286" customFormat="false" ht="15" hidden="false" customHeight="false" outlineLevel="0" collapsed="false">
      <c r="A286" s="0" t="s">
        <v>6</v>
      </c>
      <c r="B286" s="0" t="s">
        <v>558</v>
      </c>
      <c r="C286" s="0" t="s">
        <v>5541</v>
      </c>
    </row>
    <row r="287" customFormat="false" ht="15" hidden="false" customHeight="false" outlineLevel="0" collapsed="false">
      <c r="A287" s="0" t="s">
        <v>6</v>
      </c>
      <c r="B287" s="0" t="s">
        <v>565</v>
      </c>
      <c r="C287" s="0" t="s">
        <v>5539</v>
      </c>
    </row>
    <row r="288" customFormat="false" ht="15" hidden="false" customHeight="false" outlineLevel="0" collapsed="false">
      <c r="A288" s="0" t="s">
        <v>6</v>
      </c>
      <c r="B288" s="0" t="s">
        <v>565</v>
      </c>
      <c r="C288" s="0" t="s">
        <v>5540</v>
      </c>
    </row>
    <row r="289" customFormat="false" ht="15" hidden="false" customHeight="false" outlineLevel="0" collapsed="false">
      <c r="A289" s="0" t="s">
        <v>6</v>
      </c>
      <c r="B289" s="0" t="s">
        <v>565</v>
      </c>
      <c r="C289" s="0" t="s">
        <v>5541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569</v>
      </c>
      <c r="C290" s="0" t="s">
        <v>5539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569</v>
      </c>
      <c r="C291" s="0" t="s">
        <v>5540</v>
      </c>
    </row>
    <row r="292" customFormat="false" ht="15" hidden="false" customHeight="false" outlineLevel="0" collapsed="false">
      <c r="A292" s="0" t="s">
        <v>6</v>
      </c>
      <c r="B292" s="0" t="s">
        <v>569</v>
      </c>
      <c r="C292" s="0" t="s">
        <v>5541</v>
      </c>
    </row>
    <row r="293" customFormat="false" ht="15" hidden="false" customHeight="false" outlineLevel="0" collapsed="false">
      <c r="A293" s="0" t="s">
        <v>6</v>
      </c>
      <c r="B293" s="0" t="s">
        <v>578</v>
      </c>
      <c r="C293" s="0" t="s">
        <v>5539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578</v>
      </c>
      <c r="C294" s="0" t="s">
        <v>5540</v>
      </c>
    </row>
    <row r="295" customFormat="false" ht="15" hidden="false" customHeight="false" outlineLevel="0" collapsed="false">
      <c r="A295" s="0" t="s">
        <v>6</v>
      </c>
      <c r="B295" s="0" t="s">
        <v>578</v>
      </c>
      <c r="C295" s="0" t="s">
        <v>5541</v>
      </c>
    </row>
    <row r="296" customFormat="false" ht="15" hidden="false" customHeight="false" outlineLevel="0" collapsed="false">
      <c r="A296" s="0" t="s">
        <v>6</v>
      </c>
      <c r="B296" s="0" t="s">
        <v>582</v>
      </c>
      <c r="C296" s="0" t="s">
        <v>5539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582</v>
      </c>
      <c r="C297" s="0" t="s">
        <v>5540</v>
      </c>
    </row>
    <row r="298" customFormat="false" ht="15" hidden="false" customHeight="false" outlineLevel="0" collapsed="false">
      <c r="A298" s="0" t="s">
        <v>6</v>
      </c>
      <c r="B298" s="0" t="s">
        <v>582</v>
      </c>
      <c r="C298" s="0" t="s">
        <v>5541</v>
      </c>
    </row>
    <row r="299" customFormat="false" ht="15" hidden="false" customHeight="false" outlineLevel="0" collapsed="false">
      <c r="A299" s="0" t="s">
        <v>6</v>
      </c>
      <c r="B299" s="0" t="s">
        <v>593</v>
      </c>
      <c r="C299" s="0" t="s">
        <v>5539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593</v>
      </c>
      <c r="C300" s="0" t="s">
        <v>5540</v>
      </c>
    </row>
    <row r="301" customFormat="false" ht="15" hidden="false" customHeight="false" outlineLevel="0" collapsed="false">
      <c r="A301" s="0" t="s">
        <v>6</v>
      </c>
      <c r="B301" s="0" t="s">
        <v>593</v>
      </c>
      <c r="C301" s="0" t="s">
        <v>5541</v>
      </c>
    </row>
    <row r="302" customFormat="false" ht="15" hidden="false" customHeight="false" outlineLevel="0" collapsed="false">
      <c r="A302" s="0" t="s">
        <v>6</v>
      </c>
      <c r="B302" s="0" t="s">
        <v>596</v>
      </c>
      <c r="C302" s="0" t="s">
        <v>5539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596</v>
      </c>
      <c r="C303" s="0" t="s">
        <v>5540</v>
      </c>
    </row>
    <row r="304" customFormat="false" ht="15" hidden="false" customHeight="false" outlineLevel="0" collapsed="false">
      <c r="A304" s="0" t="s">
        <v>6</v>
      </c>
      <c r="B304" s="0" t="s">
        <v>596</v>
      </c>
      <c r="C304" s="0" t="s">
        <v>5541</v>
      </c>
    </row>
    <row r="305" customFormat="false" ht="15" hidden="false" customHeight="false" outlineLevel="0" collapsed="false">
      <c r="A305" s="0" t="s">
        <v>6</v>
      </c>
      <c r="B305" s="0" t="s">
        <v>603</v>
      </c>
      <c r="C305" s="0" t="s">
        <v>5539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603</v>
      </c>
      <c r="C306" s="0" t="s">
        <v>5540</v>
      </c>
    </row>
    <row r="307" customFormat="false" ht="15" hidden="false" customHeight="false" outlineLevel="0" collapsed="false">
      <c r="A307" s="0" t="s">
        <v>6</v>
      </c>
      <c r="B307" s="0" t="s">
        <v>603</v>
      </c>
      <c r="C307" s="0" t="s">
        <v>5541</v>
      </c>
    </row>
    <row r="308" customFormat="false" ht="15" hidden="false" customHeight="false" outlineLevel="0" collapsed="false">
      <c r="A308" s="0" t="s">
        <v>6</v>
      </c>
      <c r="B308" s="0" t="s">
        <v>610</v>
      </c>
      <c r="C308" s="0" t="s">
        <v>5539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610</v>
      </c>
      <c r="C309" s="0" t="s">
        <v>5540</v>
      </c>
    </row>
    <row r="310" customFormat="false" ht="15" hidden="false" customHeight="false" outlineLevel="0" collapsed="false">
      <c r="A310" s="0" t="s">
        <v>6</v>
      </c>
      <c r="B310" s="0" t="s">
        <v>610</v>
      </c>
      <c r="C310" s="0" t="s">
        <v>5541</v>
      </c>
    </row>
    <row r="311" customFormat="false" ht="15" hidden="false" customHeight="false" outlineLevel="0" collapsed="false">
      <c r="A311" s="0" t="s">
        <v>6</v>
      </c>
      <c r="B311" s="0" t="s">
        <v>616</v>
      </c>
      <c r="C311" s="0" t="s">
        <v>5539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616</v>
      </c>
      <c r="C312" s="0" t="s">
        <v>5540</v>
      </c>
    </row>
    <row r="313" customFormat="false" ht="15" hidden="false" customHeight="false" outlineLevel="0" collapsed="false">
      <c r="A313" s="0" t="s">
        <v>6</v>
      </c>
      <c r="B313" s="0" t="s">
        <v>616</v>
      </c>
      <c r="C313" s="0" t="s">
        <v>5541</v>
      </c>
    </row>
    <row r="314" customFormat="false" ht="15" hidden="false" customHeight="false" outlineLevel="0" collapsed="false">
      <c r="A314" s="0" t="s">
        <v>6</v>
      </c>
      <c r="B314" s="0" t="s">
        <v>618</v>
      </c>
      <c r="C314" s="0" t="s">
        <v>5539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618</v>
      </c>
      <c r="C315" s="0" t="s">
        <v>5540</v>
      </c>
    </row>
    <row r="316" customFormat="false" ht="15" hidden="false" customHeight="false" outlineLevel="0" collapsed="false">
      <c r="A316" s="0" t="s">
        <v>6</v>
      </c>
      <c r="B316" s="0" t="s">
        <v>618</v>
      </c>
      <c r="C316" s="0" t="s">
        <v>5541</v>
      </c>
    </row>
    <row r="317" customFormat="false" ht="15" hidden="false" customHeight="false" outlineLevel="0" collapsed="false">
      <c r="A317" s="0" t="s">
        <v>6</v>
      </c>
      <c r="B317" s="0" t="s">
        <v>621</v>
      </c>
      <c r="C317" s="0" t="s">
        <v>5539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621</v>
      </c>
      <c r="C318" s="0" t="s">
        <v>5540</v>
      </c>
    </row>
    <row r="319" customFormat="false" ht="15" hidden="false" customHeight="false" outlineLevel="0" collapsed="false">
      <c r="A319" s="0" t="s">
        <v>6</v>
      </c>
      <c r="B319" s="0" t="s">
        <v>621</v>
      </c>
      <c r="C319" s="0" t="s">
        <v>5541</v>
      </c>
    </row>
    <row r="320" customFormat="false" ht="15" hidden="false" customHeight="false" outlineLevel="0" collapsed="false">
      <c r="A320" s="0" t="s">
        <v>6</v>
      </c>
      <c r="B320" s="0" t="s">
        <v>624</v>
      </c>
      <c r="C320" s="0" t="s">
        <v>5539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624</v>
      </c>
      <c r="C321" s="0" t="s">
        <v>5540</v>
      </c>
    </row>
    <row r="322" customFormat="false" ht="15" hidden="false" customHeight="false" outlineLevel="0" collapsed="false">
      <c r="A322" s="0" t="s">
        <v>6</v>
      </c>
      <c r="B322" s="0" t="s">
        <v>624</v>
      </c>
      <c r="C322" s="0" t="s">
        <v>5541</v>
      </c>
    </row>
    <row r="323" customFormat="false" ht="15" hidden="false" customHeight="false" outlineLevel="0" collapsed="false">
      <c r="A323" s="0" t="s">
        <v>6</v>
      </c>
      <c r="B323" s="0" t="s">
        <v>630</v>
      </c>
      <c r="C323" s="0" t="s">
        <v>5539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630</v>
      </c>
      <c r="C324" s="0" t="s">
        <v>5540</v>
      </c>
    </row>
    <row r="325" customFormat="false" ht="15" hidden="false" customHeight="false" outlineLevel="0" collapsed="false">
      <c r="A325" s="0" t="s">
        <v>6</v>
      </c>
      <c r="B325" s="0" t="s">
        <v>630</v>
      </c>
      <c r="C325" s="0" t="s">
        <v>5541</v>
      </c>
    </row>
    <row r="326" customFormat="false" ht="15" hidden="false" customHeight="false" outlineLevel="0" collapsed="false">
      <c r="A326" s="0" t="s">
        <v>6</v>
      </c>
      <c r="B326" s="0" t="s">
        <v>633</v>
      </c>
      <c r="C326" s="0" t="s">
        <v>5539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633</v>
      </c>
      <c r="C327" s="0" t="s">
        <v>5540</v>
      </c>
    </row>
    <row r="328" customFormat="false" ht="15" hidden="false" customHeight="false" outlineLevel="0" collapsed="false">
      <c r="A328" s="0" t="s">
        <v>6</v>
      </c>
      <c r="B328" s="0" t="s">
        <v>633</v>
      </c>
      <c r="C328" s="0" t="s">
        <v>5541</v>
      </c>
    </row>
    <row r="329" customFormat="false" ht="15" hidden="false" customHeight="false" outlineLevel="0" collapsed="false">
      <c r="A329" s="0" t="s">
        <v>6</v>
      </c>
      <c r="B329" s="0" t="s">
        <v>636</v>
      </c>
      <c r="C329" s="0" t="s">
        <v>5539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636</v>
      </c>
      <c r="C330" s="0" t="s">
        <v>5540</v>
      </c>
    </row>
    <row r="331" customFormat="false" ht="15" hidden="false" customHeight="false" outlineLevel="0" collapsed="false">
      <c r="A331" s="0" t="s">
        <v>6</v>
      </c>
      <c r="B331" s="0" t="s">
        <v>636</v>
      </c>
      <c r="C331" s="0" t="s">
        <v>5541</v>
      </c>
    </row>
    <row r="332" customFormat="false" ht="15" hidden="false" customHeight="false" outlineLevel="0" collapsed="false">
      <c r="A332" s="0" t="s">
        <v>6</v>
      </c>
      <c r="B332" s="0" t="s">
        <v>639</v>
      </c>
      <c r="C332" s="0" t="s">
        <v>5539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639</v>
      </c>
      <c r="C333" s="0" t="s">
        <v>5540</v>
      </c>
    </row>
    <row r="334" customFormat="false" ht="15" hidden="false" customHeight="false" outlineLevel="0" collapsed="false">
      <c r="A334" s="0" t="s">
        <v>6</v>
      </c>
      <c r="B334" s="0" t="s">
        <v>639</v>
      </c>
      <c r="C334" s="0" t="s">
        <v>5541</v>
      </c>
    </row>
    <row r="335" customFormat="false" ht="15" hidden="false" customHeight="false" outlineLevel="0" collapsed="false">
      <c r="A335" s="0" t="s">
        <v>6</v>
      </c>
      <c r="B335" s="0" t="s">
        <v>642</v>
      </c>
      <c r="C335" s="0" t="s">
        <v>5539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642</v>
      </c>
      <c r="C336" s="0" t="s">
        <v>5540</v>
      </c>
    </row>
    <row r="337" customFormat="false" ht="15" hidden="false" customHeight="false" outlineLevel="0" collapsed="false">
      <c r="A337" s="0" t="s">
        <v>6</v>
      </c>
      <c r="B337" s="0" t="s">
        <v>642</v>
      </c>
      <c r="C337" s="0" t="s">
        <v>5541</v>
      </c>
    </row>
    <row r="338" customFormat="false" ht="15" hidden="false" customHeight="false" outlineLevel="0" collapsed="false">
      <c r="A338" s="0" t="s">
        <v>6</v>
      </c>
      <c r="B338" s="0" t="s">
        <v>645</v>
      </c>
      <c r="C338" s="0" t="s">
        <v>5539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645</v>
      </c>
      <c r="C339" s="0" t="s">
        <v>5540</v>
      </c>
    </row>
    <row r="340" customFormat="false" ht="15" hidden="false" customHeight="false" outlineLevel="0" collapsed="false">
      <c r="A340" s="0" t="s">
        <v>6</v>
      </c>
      <c r="B340" s="0" t="s">
        <v>645</v>
      </c>
      <c r="C340" s="0" t="s">
        <v>5541</v>
      </c>
    </row>
    <row r="341" customFormat="false" ht="15" hidden="false" customHeight="false" outlineLevel="0" collapsed="false">
      <c r="A341" s="0" t="s">
        <v>6</v>
      </c>
      <c r="B341" s="0" t="s">
        <v>648</v>
      </c>
      <c r="C341" s="0" t="s">
        <v>5539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648</v>
      </c>
      <c r="C342" s="0" t="s">
        <v>5540</v>
      </c>
    </row>
    <row r="343" customFormat="false" ht="15" hidden="false" customHeight="false" outlineLevel="0" collapsed="false">
      <c r="A343" s="0" t="s">
        <v>6</v>
      </c>
      <c r="B343" s="0" t="s">
        <v>648</v>
      </c>
      <c r="C343" s="0" t="s">
        <v>5541</v>
      </c>
    </row>
    <row r="344" customFormat="false" ht="15" hidden="false" customHeight="false" outlineLevel="0" collapsed="false">
      <c r="A344" s="0" t="s">
        <v>6</v>
      </c>
      <c r="B344" s="0" t="s">
        <v>651</v>
      </c>
      <c r="C344" s="0" t="s">
        <v>5539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651</v>
      </c>
      <c r="C345" s="0" t="s">
        <v>5540</v>
      </c>
    </row>
    <row r="346" customFormat="false" ht="15" hidden="false" customHeight="false" outlineLevel="0" collapsed="false">
      <c r="A346" s="0" t="s">
        <v>6</v>
      </c>
      <c r="B346" s="0" t="s">
        <v>651</v>
      </c>
      <c r="C346" s="0" t="s">
        <v>5541</v>
      </c>
    </row>
    <row r="347" customFormat="false" ht="15" hidden="false" customHeight="false" outlineLevel="0" collapsed="false">
      <c r="A347" s="0" t="s">
        <v>6</v>
      </c>
      <c r="B347" s="0" t="s">
        <v>654</v>
      </c>
      <c r="C347" s="0" t="s">
        <v>5539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654</v>
      </c>
      <c r="C348" s="0" t="s">
        <v>5540</v>
      </c>
    </row>
    <row r="349" customFormat="false" ht="15" hidden="false" customHeight="false" outlineLevel="0" collapsed="false">
      <c r="A349" s="0" t="s">
        <v>6</v>
      </c>
      <c r="B349" s="0" t="s">
        <v>654</v>
      </c>
      <c r="C349" s="0" t="s">
        <v>5541</v>
      </c>
    </row>
    <row r="350" customFormat="false" ht="15" hidden="false" customHeight="false" outlineLevel="0" collapsed="false">
      <c r="A350" s="0" t="s">
        <v>6</v>
      </c>
      <c r="B350" s="0" t="s">
        <v>657</v>
      </c>
      <c r="C350" s="0" t="s">
        <v>5539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657</v>
      </c>
      <c r="C351" s="0" t="s">
        <v>5540</v>
      </c>
    </row>
    <row r="352" customFormat="false" ht="15" hidden="false" customHeight="false" outlineLevel="0" collapsed="false">
      <c r="A352" s="0" t="s">
        <v>6</v>
      </c>
      <c r="B352" s="0" t="s">
        <v>657</v>
      </c>
      <c r="C352" s="0" t="s">
        <v>5541</v>
      </c>
    </row>
    <row r="353" customFormat="false" ht="15" hidden="false" customHeight="false" outlineLevel="0" collapsed="false">
      <c r="A353" s="0" t="s">
        <v>6</v>
      </c>
      <c r="B353" s="0" t="s">
        <v>660</v>
      </c>
      <c r="C353" s="0" t="s">
        <v>5539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660</v>
      </c>
      <c r="C354" s="0" t="s">
        <v>5540</v>
      </c>
    </row>
    <row r="355" customFormat="false" ht="15" hidden="false" customHeight="false" outlineLevel="0" collapsed="false">
      <c r="A355" s="0" t="s">
        <v>6</v>
      </c>
      <c r="B355" s="0" t="s">
        <v>660</v>
      </c>
      <c r="C355" s="0" t="s">
        <v>5541</v>
      </c>
    </row>
    <row r="356" customFormat="false" ht="15" hidden="false" customHeight="false" outlineLevel="0" collapsed="false">
      <c r="A356" s="0" t="s">
        <v>6</v>
      </c>
      <c r="B356" s="0" t="s">
        <v>663</v>
      </c>
      <c r="C356" s="0" t="s">
        <v>5539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663</v>
      </c>
      <c r="C357" s="0" t="s">
        <v>5540</v>
      </c>
    </row>
    <row r="358" customFormat="false" ht="15" hidden="false" customHeight="false" outlineLevel="0" collapsed="false">
      <c r="A358" s="0" t="s">
        <v>6</v>
      </c>
      <c r="B358" s="0" t="s">
        <v>663</v>
      </c>
      <c r="C358" s="0" t="s">
        <v>5541</v>
      </c>
    </row>
    <row r="359" customFormat="false" ht="15" hidden="false" customHeight="false" outlineLevel="0" collapsed="false">
      <c r="A359" s="0" t="s">
        <v>6</v>
      </c>
      <c r="B359" s="0" t="s">
        <v>669</v>
      </c>
      <c r="C359" s="0" t="s">
        <v>5539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669</v>
      </c>
      <c r="C360" s="0" t="s">
        <v>5540</v>
      </c>
    </row>
    <row r="361" customFormat="false" ht="15" hidden="false" customHeight="false" outlineLevel="0" collapsed="false">
      <c r="A361" s="0" t="s">
        <v>6</v>
      </c>
      <c r="B361" s="0" t="s">
        <v>669</v>
      </c>
      <c r="C361" s="0" t="s">
        <v>5541</v>
      </c>
    </row>
    <row r="362" customFormat="false" ht="15" hidden="false" customHeight="false" outlineLevel="0" collapsed="false">
      <c r="A362" s="0" t="s">
        <v>6</v>
      </c>
      <c r="B362" s="0" t="s">
        <v>672</v>
      </c>
      <c r="C362" s="0" t="s">
        <v>5539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672</v>
      </c>
      <c r="C363" s="0" t="s">
        <v>5540</v>
      </c>
    </row>
    <row r="364" customFormat="false" ht="15" hidden="false" customHeight="false" outlineLevel="0" collapsed="false">
      <c r="A364" s="0" t="s">
        <v>6</v>
      </c>
      <c r="B364" s="0" t="s">
        <v>672</v>
      </c>
      <c r="C364" s="0" t="s">
        <v>5541</v>
      </c>
    </row>
    <row r="365" customFormat="false" ht="15" hidden="false" customHeight="false" outlineLevel="0" collapsed="false">
      <c r="A365" s="0" t="s">
        <v>6</v>
      </c>
      <c r="B365" s="0" t="s">
        <v>675</v>
      </c>
      <c r="C365" s="0" t="s">
        <v>5539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675</v>
      </c>
      <c r="C366" s="0" t="s">
        <v>5540</v>
      </c>
    </row>
    <row r="367" customFormat="false" ht="15" hidden="false" customHeight="false" outlineLevel="0" collapsed="false">
      <c r="A367" s="0" t="s">
        <v>6</v>
      </c>
      <c r="B367" s="0" t="s">
        <v>675</v>
      </c>
      <c r="C367" s="0" t="s">
        <v>5541</v>
      </c>
    </row>
    <row r="368" customFormat="false" ht="15" hidden="false" customHeight="false" outlineLevel="0" collapsed="false">
      <c r="A368" s="0" t="s">
        <v>6</v>
      </c>
      <c r="B368" s="0" t="s">
        <v>678</v>
      </c>
      <c r="C368" s="0" t="s">
        <v>5539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678</v>
      </c>
      <c r="C369" s="0" t="s">
        <v>5540</v>
      </c>
    </row>
    <row r="370" customFormat="false" ht="15" hidden="false" customHeight="false" outlineLevel="0" collapsed="false">
      <c r="A370" s="0" t="s">
        <v>6</v>
      </c>
      <c r="B370" s="0" t="s">
        <v>678</v>
      </c>
      <c r="C370" s="0" t="s">
        <v>5541</v>
      </c>
    </row>
    <row r="371" customFormat="false" ht="15" hidden="false" customHeight="false" outlineLevel="0" collapsed="false">
      <c r="A371" s="0" t="s">
        <v>6</v>
      </c>
      <c r="B371" s="0" t="s">
        <v>686</v>
      </c>
      <c r="C371" s="0" t="s">
        <v>5539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686</v>
      </c>
      <c r="C372" s="0" t="s">
        <v>5540</v>
      </c>
    </row>
    <row r="373" customFormat="false" ht="15" hidden="false" customHeight="false" outlineLevel="0" collapsed="false">
      <c r="A373" s="0" t="s">
        <v>6</v>
      </c>
      <c r="B373" s="0" t="s">
        <v>686</v>
      </c>
      <c r="C373" s="0" t="s">
        <v>5541</v>
      </c>
    </row>
    <row r="374" customFormat="false" ht="15" hidden="false" customHeight="false" outlineLevel="0" collapsed="false">
      <c r="A374" s="0" t="s">
        <v>6</v>
      </c>
      <c r="B374" s="0" t="s">
        <v>689</v>
      </c>
      <c r="C374" s="0" t="s">
        <v>5539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689</v>
      </c>
      <c r="C375" s="0" t="s">
        <v>5540</v>
      </c>
    </row>
    <row r="376" customFormat="false" ht="15" hidden="false" customHeight="false" outlineLevel="0" collapsed="false">
      <c r="A376" s="0" t="s">
        <v>6</v>
      </c>
      <c r="B376" s="0" t="s">
        <v>689</v>
      </c>
      <c r="C376" s="0" t="s">
        <v>5541</v>
      </c>
    </row>
    <row r="377" customFormat="false" ht="15" hidden="false" customHeight="false" outlineLevel="0" collapsed="false">
      <c r="A377" s="0" t="s">
        <v>6</v>
      </c>
      <c r="B377" s="0" t="s">
        <v>693</v>
      </c>
      <c r="C377" s="0" t="s">
        <v>5539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693</v>
      </c>
      <c r="C378" s="0" t="s">
        <v>5540</v>
      </c>
    </row>
    <row r="379" customFormat="false" ht="15" hidden="false" customHeight="false" outlineLevel="0" collapsed="false">
      <c r="A379" s="0" t="s">
        <v>6</v>
      </c>
      <c r="B379" s="0" t="s">
        <v>693</v>
      </c>
      <c r="C379" s="0" t="s">
        <v>5541</v>
      </c>
    </row>
    <row r="380" customFormat="false" ht="15" hidden="false" customHeight="false" outlineLevel="0" collapsed="false">
      <c r="A380" s="0" t="s">
        <v>6</v>
      </c>
      <c r="B380" s="0" t="s">
        <v>702</v>
      </c>
      <c r="C380" s="0" t="s">
        <v>5539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702</v>
      </c>
      <c r="C381" s="0" t="s">
        <v>5540</v>
      </c>
    </row>
    <row r="382" customFormat="false" ht="15" hidden="false" customHeight="false" outlineLevel="0" collapsed="false">
      <c r="A382" s="0" t="s">
        <v>6</v>
      </c>
      <c r="B382" s="0" t="s">
        <v>702</v>
      </c>
      <c r="C382" s="0" t="s">
        <v>5541</v>
      </c>
    </row>
    <row r="383" customFormat="false" ht="15" hidden="false" customHeight="false" outlineLevel="0" collapsed="false">
      <c r="A383" s="0" t="s">
        <v>6</v>
      </c>
      <c r="B383" s="0" t="s">
        <v>707</v>
      </c>
      <c r="C383" s="0" t="s">
        <v>5539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707</v>
      </c>
      <c r="C384" s="0" t="s">
        <v>5540</v>
      </c>
    </row>
    <row r="385" customFormat="false" ht="15" hidden="false" customHeight="false" outlineLevel="0" collapsed="false">
      <c r="A385" s="0" t="s">
        <v>6</v>
      </c>
      <c r="B385" s="0" t="s">
        <v>707</v>
      </c>
      <c r="C385" s="0" t="s">
        <v>5541</v>
      </c>
    </row>
    <row r="386" customFormat="false" ht="15" hidden="false" customHeight="false" outlineLevel="0" collapsed="false">
      <c r="A386" s="0" t="s">
        <v>6</v>
      </c>
      <c r="B386" s="0" t="s">
        <v>711</v>
      </c>
      <c r="C386" s="0" t="s">
        <v>5539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711</v>
      </c>
      <c r="C387" s="0" t="s">
        <v>5540</v>
      </c>
    </row>
    <row r="388" customFormat="false" ht="15" hidden="false" customHeight="false" outlineLevel="0" collapsed="false">
      <c r="A388" s="0" t="s">
        <v>6</v>
      </c>
      <c r="B388" s="0" t="s">
        <v>711</v>
      </c>
      <c r="C388" s="0" t="s">
        <v>5541</v>
      </c>
    </row>
    <row r="389" customFormat="false" ht="15" hidden="false" customHeight="false" outlineLevel="0" collapsed="false">
      <c r="A389" s="0" t="s">
        <v>6</v>
      </c>
      <c r="B389" s="0" t="s">
        <v>716</v>
      </c>
      <c r="C389" s="0" t="s">
        <v>5539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716</v>
      </c>
      <c r="C390" s="0" t="s">
        <v>5540</v>
      </c>
    </row>
    <row r="391" customFormat="false" ht="15" hidden="false" customHeight="false" outlineLevel="0" collapsed="false">
      <c r="A391" s="0" t="s">
        <v>6</v>
      </c>
      <c r="B391" s="0" t="s">
        <v>716</v>
      </c>
      <c r="C391" s="0" t="s">
        <v>5541</v>
      </c>
    </row>
    <row r="392" customFormat="false" ht="15" hidden="false" customHeight="false" outlineLevel="0" collapsed="false">
      <c r="A392" s="0" t="s">
        <v>6</v>
      </c>
      <c r="B392" s="0" t="s">
        <v>724</v>
      </c>
      <c r="C392" s="0" t="s">
        <v>5539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724</v>
      </c>
      <c r="C393" s="0" t="s">
        <v>5540</v>
      </c>
    </row>
    <row r="394" customFormat="false" ht="15" hidden="false" customHeight="false" outlineLevel="0" collapsed="false">
      <c r="A394" s="0" t="s">
        <v>6</v>
      </c>
      <c r="B394" s="0" t="s">
        <v>724</v>
      </c>
      <c r="C394" s="0" t="s">
        <v>5541</v>
      </c>
    </row>
    <row r="395" customFormat="false" ht="15" hidden="false" customHeight="false" outlineLevel="0" collapsed="false">
      <c r="A395" s="0" t="s">
        <v>6</v>
      </c>
      <c r="B395" s="0" t="s">
        <v>727</v>
      </c>
      <c r="C395" s="0" t="s">
        <v>5539</v>
      </c>
      <c r="D395" s="0" t="n">
        <v>16</v>
      </c>
    </row>
    <row r="396" customFormat="false" ht="15" hidden="false" customHeight="false" outlineLevel="0" collapsed="false">
      <c r="A396" s="0" t="s">
        <v>6</v>
      </c>
      <c r="B396" s="0" t="s">
        <v>727</v>
      </c>
      <c r="C396" s="0" t="s">
        <v>5540</v>
      </c>
    </row>
    <row r="397" customFormat="false" ht="15" hidden="false" customHeight="false" outlineLevel="0" collapsed="false">
      <c r="A397" s="0" t="s">
        <v>6</v>
      </c>
      <c r="B397" s="0" t="s">
        <v>727</v>
      </c>
      <c r="C397" s="0" t="s">
        <v>5541</v>
      </c>
    </row>
    <row r="398" customFormat="false" ht="15" hidden="false" customHeight="false" outlineLevel="0" collapsed="false">
      <c r="A398" s="0" t="s">
        <v>6</v>
      </c>
      <c r="B398" s="0" t="s">
        <v>737</v>
      </c>
      <c r="C398" s="0" t="s">
        <v>5539</v>
      </c>
      <c r="D398" s="0" t="n">
        <v>50</v>
      </c>
    </row>
    <row r="399" customFormat="false" ht="15" hidden="false" customHeight="false" outlineLevel="0" collapsed="false">
      <c r="A399" s="0" t="s">
        <v>6</v>
      </c>
      <c r="B399" s="0" t="s">
        <v>737</v>
      </c>
      <c r="C399" s="0" t="s">
        <v>5540</v>
      </c>
    </row>
    <row r="400" customFormat="false" ht="15" hidden="false" customHeight="false" outlineLevel="0" collapsed="false">
      <c r="A400" s="0" t="s">
        <v>6</v>
      </c>
      <c r="B400" s="0" t="s">
        <v>737</v>
      </c>
      <c r="C400" s="0" t="s">
        <v>5541</v>
      </c>
    </row>
    <row r="401" customFormat="false" ht="15" hidden="false" customHeight="false" outlineLevel="0" collapsed="false">
      <c r="A401" s="0" t="s">
        <v>6</v>
      </c>
      <c r="B401" s="0" t="s">
        <v>743</v>
      </c>
      <c r="C401" s="0" t="s">
        <v>5539</v>
      </c>
      <c r="D401" s="0" t="n">
        <v>0.5</v>
      </c>
    </row>
    <row r="402" customFormat="false" ht="15" hidden="false" customHeight="false" outlineLevel="0" collapsed="false">
      <c r="A402" s="0" t="s">
        <v>6</v>
      </c>
      <c r="B402" s="0" t="s">
        <v>743</v>
      </c>
      <c r="C402" s="0" t="s">
        <v>5540</v>
      </c>
    </row>
    <row r="403" customFormat="false" ht="15" hidden="false" customHeight="false" outlineLevel="0" collapsed="false">
      <c r="A403" s="0" t="s">
        <v>6</v>
      </c>
      <c r="B403" s="0" t="s">
        <v>743</v>
      </c>
      <c r="C403" s="0" t="s">
        <v>5541</v>
      </c>
    </row>
    <row r="404" customFormat="false" ht="15" hidden="false" customHeight="false" outlineLevel="0" collapsed="false">
      <c r="A404" s="0" t="s">
        <v>6</v>
      </c>
      <c r="B404" s="0" t="s">
        <v>753</v>
      </c>
      <c r="C404" s="0" t="s">
        <v>5539</v>
      </c>
      <c r="D404" s="0" t="n">
        <v>50</v>
      </c>
    </row>
    <row r="405" customFormat="false" ht="15" hidden="false" customHeight="false" outlineLevel="0" collapsed="false">
      <c r="A405" s="0" t="s">
        <v>6</v>
      </c>
      <c r="B405" s="0" t="s">
        <v>753</v>
      </c>
      <c r="C405" s="0" t="s">
        <v>5540</v>
      </c>
    </row>
    <row r="406" customFormat="false" ht="15" hidden="false" customHeight="false" outlineLevel="0" collapsed="false">
      <c r="A406" s="0" t="s">
        <v>6</v>
      </c>
      <c r="B406" s="0" t="s">
        <v>753</v>
      </c>
      <c r="C406" s="0" t="s">
        <v>5541</v>
      </c>
    </row>
    <row r="407" customFormat="false" ht="15" hidden="false" customHeight="false" outlineLevel="0" collapsed="false">
      <c r="A407" s="0" t="s">
        <v>6</v>
      </c>
      <c r="B407" s="0" t="s">
        <v>762</v>
      </c>
      <c r="C407" s="0" t="s">
        <v>5539</v>
      </c>
      <c r="D407" s="0" t="n">
        <v>15</v>
      </c>
    </row>
    <row r="408" customFormat="false" ht="15" hidden="false" customHeight="false" outlineLevel="0" collapsed="false">
      <c r="A408" s="0" t="s">
        <v>6</v>
      </c>
      <c r="B408" s="0" t="s">
        <v>762</v>
      </c>
      <c r="C408" s="0" t="s">
        <v>5540</v>
      </c>
    </row>
    <row r="409" customFormat="false" ht="15" hidden="false" customHeight="false" outlineLevel="0" collapsed="false">
      <c r="A409" s="0" t="s">
        <v>6</v>
      </c>
      <c r="B409" s="0" t="s">
        <v>762</v>
      </c>
      <c r="C409" s="0" t="s">
        <v>5541</v>
      </c>
    </row>
    <row r="410" customFormat="false" ht="15" hidden="false" customHeight="false" outlineLevel="0" collapsed="false">
      <c r="A410" s="0" t="s">
        <v>6</v>
      </c>
      <c r="B410" s="0" t="s">
        <v>772</v>
      </c>
      <c r="C410" s="0" t="s">
        <v>5539</v>
      </c>
      <c r="D410" s="0" t="n">
        <v>0.633</v>
      </c>
    </row>
    <row r="411" customFormat="false" ht="15" hidden="false" customHeight="false" outlineLevel="0" collapsed="false">
      <c r="A411" s="0" t="s">
        <v>6</v>
      </c>
      <c r="B411" s="0" t="s">
        <v>772</v>
      </c>
      <c r="C411" s="0" t="s">
        <v>5540</v>
      </c>
    </row>
    <row r="412" customFormat="false" ht="15" hidden="false" customHeight="false" outlineLevel="0" collapsed="false">
      <c r="A412" s="0" t="s">
        <v>6</v>
      </c>
      <c r="B412" s="0" t="s">
        <v>772</v>
      </c>
      <c r="C412" s="0" t="s">
        <v>5541</v>
      </c>
    </row>
    <row r="413" customFormat="false" ht="15" hidden="false" customHeight="false" outlineLevel="0" collapsed="false">
      <c r="A413" s="0" t="s">
        <v>6</v>
      </c>
      <c r="B413" s="0" t="s">
        <v>780</v>
      </c>
      <c r="C413" s="0" t="s">
        <v>5539</v>
      </c>
      <c r="D413" s="0" t="n">
        <v>0.165</v>
      </c>
    </row>
    <row r="414" customFormat="false" ht="15" hidden="false" customHeight="false" outlineLevel="0" collapsed="false">
      <c r="A414" s="0" t="s">
        <v>6</v>
      </c>
      <c r="B414" s="0" t="s">
        <v>780</v>
      </c>
      <c r="C414" s="0" t="s">
        <v>5540</v>
      </c>
    </row>
    <row r="415" customFormat="false" ht="15" hidden="false" customHeight="false" outlineLevel="0" collapsed="false">
      <c r="A415" s="0" t="s">
        <v>6</v>
      </c>
      <c r="B415" s="0" t="s">
        <v>780</v>
      </c>
      <c r="C415" s="0" t="s">
        <v>5541</v>
      </c>
    </row>
    <row r="416" customFormat="false" ht="15" hidden="false" customHeight="false" outlineLevel="0" collapsed="false">
      <c r="A416" s="0" t="s">
        <v>6</v>
      </c>
      <c r="B416" s="0" t="s">
        <v>783</v>
      </c>
      <c r="C416" s="0" t="s">
        <v>5539</v>
      </c>
      <c r="D416" s="0" t="n">
        <v>10</v>
      </c>
    </row>
    <row r="417" customFormat="false" ht="15" hidden="false" customHeight="false" outlineLevel="0" collapsed="false">
      <c r="A417" s="0" t="s">
        <v>6</v>
      </c>
      <c r="B417" s="0" t="s">
        <v>783</v>
      </c>
      <c r="C417" s="0" t="s">
        <v>5540</v>
      </c>
    </row>
    <row r="418" customFormat="false" ht="15" hidden="false" customHeight="false" outlineLevel="0" collapsed="false">
      <c r="A418" s="0" t="s">
        <v>6</v>
      </c>
      <c r="B418" s="0" t="s">
        <v>783</v>
      </c>
      <c r="C418" s="0" t="s">
        <v>5541</v>
      </c>
    </row>
    <row r="419" customFormat="false" ht="15" hidden="false" customHeight="false" outlineLevel="0" collapsed="false">
      <c r="A419" s="0" t="s">
        <v>14</v>
      </c>
      <c r="B419" s="0" t="s">
        <v>1092</v>
      </c>
      <c r="C419" s="0" t="s">
        <v>5541</v>
      </c>
      <c r="D419" s="0" t="n">
        <v>2025</v>
      </c>
    </row>
    <row r="420" customFormat="false" ht="15" hidden="false" customHeight="false" outlineLevel="0" collapsed="false">
      <c r="A420" s="0" t="s">
        <v>14</v>
      </c>
      <c r="B420" s="0" t="s">
        <v>1092</v>
      </c>
      <c r="C420" s="0" t="s">
        <v>5547</v>
      </c>
    </row>
    <row r="421" customFormat="false" ht="15" hidden="false" customHeight="false" outlineLevel="0" collapsed="false">
      <c r="A421" s="0" t="s">
        <v>14</v>
      </c>
      <c r="B421" s="0" t="s">
        <v>1092</v>
      </c>
      <c r="C421" s="0" t="s">
        <v>5548</v>
      </c>
    </row>
    <row r="422" customFormat="false" ht="15" hidden="false" customHeight="false" outlineLevel="0" collapsed="false">
      <c r="A422" s="0" t="s">
        <v>14</v>
      </c>
      <c r="B422" s="0" t="s">
        <v>1097</v>
      </c>
      <c r="C422" s="0" t="s">
        <v>5541</v>
      </c>
      <c r="D422" s="0" t="n">
        <v>2025</v>
      </c>
    </row>
    <row r="423" customFormat="false" ht="15" hidden="false" customHeight="false" outlineLevel="0" collapsed="false">
      <c r="A423" s="0" t="s">
        <v>14</v>
      </c>
      <c r="B423" s="0" t="s">
        <v>1097</v>
      </c>
      <c r="C423" s="0" t="s">
        <v>5547</v>
      </c>
    </row>
    <row r="424" customFormat="false" ht="15" hidden="false" customHeight="false" outlineLevel="0" collapsed="false">
      <c r="A424" s="0" t="s">
        <v>14</v>
      </c>
      <c r="B424" s="0" t="s">
        <v>1097</v>
      </c>
      <c r="C424" s="0" t="s">
        <v>5548</v>
      </c>
    </row>
    <row r="425" customFormat="false" ht="15" hidden="false" customHeight="false" outlineLevel="0" collapsed="false">
      <c r="A425" s="0" t="s">
        <v>14</v>
      </c>
      <c r="B425" s="0" t="s">
        <v>1101</v>
      </c>
      <c r="C425" s="0" t="s">
        <v>5541</v>
      </c>
      <c r="D425" s="0" t="n">
        <v>2026</v>
      </c>
    </row>
    <row r="426" customFormat="false" ht="15" hidden="false" customHeight="false" outlineLevel="0" collapsed="false">
      <c r="A426" s="0" t="s">
        <v>14</v>
      </c>
      <c r="B426" s="0" t="s">
        <v>1101</v>
      </c>
      <c r="C426" s="0" t="s">
        <v>5547</v>
      </c>
    </row>
    <row r="427" customFormat="false" ht="15" hidden="false" customHeight="false" outlineLevel="0" collapsed="false">
      <c r="A427" s="0" t="s">
        <v>14</v>
      </c>
      <c r="B427" s="0" t="s">
        <v>1101</v>
      </c>
      <c r="C427" s="0" t="s">
        <v>5548</v>
      </c>
    </row>
    <row r="428" customFormat="false" ht="15" hidden="false" customHeight="false" outlineLevel="0" collapsed="false">
      <c r="A428" s="0" t="s">
        <v>14</v>
      </c>
      <c r="B428" s="0" t="s">
        <v>1104</v>
      </c>
      <c r="C428" s="0" t="s">
        <v>5541</v>
      </c>
      <c r="D428" s="0" t="n">
        <v>2027</v>
      </c>
    </row>
    <row r="429" customFormat="false" ht="15" hidden="false" customHeight="false" outlineLevel="0" collapsed="false">
      <c r="A429" s="0" t="s">
        <v>14</v>
      </c>
      <c r="B429" s="0" t="s">
        <v>1104</v>
      </c>
      <c r="C429" s="0" t="s">
        <v>5547</v>
      </c>
    </row>
    <row r="430" customFormat="false" ht="15" hidden="false" customHeight="false" outlineLevel="0" collapsed="false">
      <c r="A430" s="0" t="s">
        <v>14</v>
      </c>
      <c r="B430" s="0" t="s">
        <v>1104</v>
      </c>
      <c r="C430" s="0" t="s">
        <v>5548</v>
      </c>
    </row>
    <row r="431" customFormat="false" ht="15" hidden="false" customHeight="false" outlineLevel="0" collapsed="false">
      <c r="A431" s="0" t="s">
        <v>14</v>
      </c>
      <c r="B431" s="0" t="s">
        <v>1107</v>
      </c>
      <c r="C431" s="0" t="s">
        <v>5541</v>
      </c>
      <c r="D431" s="0" t="n">
        <v>2025</v>
      </c>
    </row>
    <row r="432" customFormat="false" ht="15" hidden="false" customHeight="false" outlineLevel="0" collapsed="false">
      <c r="A432" s="0" t="s">
        <v>14</v>
      </c>
      <c r="B432" s="0" t="s">
        <v>1107</v>
      </c>
      <c r="C432" s="0" t="s">
        <v>5547</v>
      </c>
    </row>
    <row r="433" customFormat="false" ht="15" hidden="false" customHeight="false" outlineLevel="0" collapsed="false">
      <c r="A433" s="0" t="s">
        <v>14</v>
      </c>
      <c r="B433" s="0" t="s">
        <v>1107</v>
      </c>
      <c r="C433" s="0" t="s">
        <v>5548</v>
      </c>
    </row>
    <row r="434" customFormat="false" ht="15" hidden="false" customHeight="false" outlineLevel="0" collapsed="false">
      <c r="A434" s="0" t="s">
        <v>14</v>
      </c>
      <c r="B434" s="0" t="s">
        <v>1113</v>
      </c>
      <c r="C434" s="0" t="s">
        <v>5541</v>
      </c>
      <c r="D434" s="0" t="n">
        <v>2026</v>
      </c>
    </row>
    <row r="435" customFormat="false" ht="15" hidden="false" customHeight="false" outlineLevel="0" collapsed="false">
      <c r="A435" s="0" t="s">
        <v>14</v>
      </c>
      <c r="B435" s="0" t="s">
        <v>1113</v>
      </c>
      <c r="C435" s="0" t="s">
        <v>5547</v>
      </c>
    </row>
    <row r="436" customFormat="false" ht="15" hidden="false" customHeight="false" outlineLevel="0" collapsed="false">
      <c r="A436" s="0" t="s">
        <v>14</v>
      </c>
      <c r="B436" s="0" t="s">
        <v>1113</v>
      </c>
      <c r="C436" s="0" t="s">
        <v>5548</v>
      </c>
    </row>
    <row r="437" customFormat="false" ht="15" hidden="false" customHeight="false" outlineLevel="0" collapsed="false">
      <c r="A437" s="0" t="s">
        <v>14</v>
      </c>
      <c r="B437" s="0" t="s">
        <v>1116</v>
      </c>
      <c r="C437" s="0" t="s">
        <v>5541</v>
      </c>
      <c r="D437" s="0" t="n">
        <v>2027</v>
      </c>
    </row>
    <row r="438" customFormat="false" ht="15" hidden="false" customHeight="false" outlineLevel="0" collapsed="false">
      <c r="A438" s="0" t="s">
        <v>14</v>
      </c>
      <c r="B438" s="0" t="s">
        <v>1116</v>
      </c>
      <c r="C438" s="0" t="s">
        <v>5547</v>
      </c>
    </row>
    <row r="439" customFormat="false" ht="15" hidden="false" customHeight="false" outlineLevel="0" collapsed="false">
      <c r="A439" s="0" t="s">
        <v>14</v>
      </c>
      <c r="B439" s="0" t="s">
        <v>1116</v>
      </c>
      <c r="C439" s="0" t="s">
        <v>5548</v>
      </c>
    </row>
    <row r="440" customFormat="false" ht="15" hidden="false" customHeight="false" outlineLevel="0" collapsed="false">
      <c r="A440" s="0" t="s">
        <v>14</v>
      </c>
      <c r="B440" s="0" t="s">
        <v>1119</v>
      </c>
      <c r="C440" s="0" t="s">
        <v>5541</v>
      </c>
      <c r="D440" s="0" t="n">
        <v>2028</v>
      </c>
    </row>
    <row r="441" customFormat="false" ht="15" hidden="false" customHeight="false" outlineLevel="0" collapsed="false">
      <c r="A441" s="0" t="s">
        <v>14</v>
      </c>
      <c r="B441" s="0" t="s">
        <v>1119</v>
      </c>
      <c r="C441" s="0" t="s">
        <v>5547</v>
      </c>
    </row>
    <row r="442" customFormat="false" ht="15" hidden="false" customHeight="false" outlineLevel="0" collapsed="false">
      <c r="A442" s="0" t="s">
        <v>14</v>
      </c>
      <c r="B442" s="0" t="s">
        <v>1119</v>
      </c>
      <c r="C442" s="0" t="s">
        <v>5548</v>
      </c>
    </row>
    <row r="443" customFormat="false" ht="15" hidden="false" customHeight="false" outlineLevel="0" collapsed="false">
      <c r="A443" s="0" t="s">
        <v>14</v>
      </c>
      <c r="B443" s="0" t="s">
        <v>1122</v>
      </c>
      <c r="C443" s="0" t="s">
        <v>5541</v>
      </c>
      <c r="D443" s="0" t="n">
        <v>2029</v>
      </c>
    </row>
    <row r="444" customFormat="false" ht="15" hidden="false" customHeight="false" outlineLevel="0" collapsed="false">
      <c r="A444" s="0" t="s">
        <v>14</v>
      </c>
      <c r="B444" s="0" t="s">
        <v>1122</v>
      </c>
      <c r="C444" s="0" t="s">
        <v>5547</v>
      </c>
    </row>
    <row r="445" customFormat="false" ht="15" hidden="false" customHeight="false" outlineLevel="0" collapsed="false">
      <c r="A445" s="0" t="s">
        <v>14</v>
      </c>
      <c r="B445" s="0" t="s">
        <v>1122</v>
      </c>
      <c r="C445" s="0" t="s">
        <v>5548</v>
      </c>
    </row>
    <row r="446" customFormat="false" ht="15" hidden="false" customHeight="false" outlineLevel="0" collapsed="false">
      <c r="A446" s="0" t="s">
        <v>14</v>
      </c>
      <c r="B446" s="0" t="s">
        <v>1125</v>
      </c>
      <c r="C446" s="0" t="s">
        <v>5541</v>
      </c>
      <c r="D446" s="0" t="n">
        <v>2030</v>
      </c>
    </row>
    <row r="447" customFormat="false" ht="15" hidden="false" customHeight="false" outlineLevel="0" collapsed="false">
      <c r="A447" s="0" t="s">
        <v>14</v>
      </c>
      <c r="B447" s="0" t="s">
        <v>1125</v>
      </c>
      <c r="C447" s="0" t="s">
        <v>5547</v>
      </c>
    </row>
    <row r="448" customFormat="false" ht="15" hidden="false" customHeight="false" outlineLevel="0" collapsed="false">
      <c r="A448" s="0" t="s">
        <v>14</v>
      </c>
      <c r="B448" s="0" t="s">
        <v>1125</v>
      </c>
      <c r="C448" s="0" t="s">
        <v>5548</v>
      </c>
    </row>
    <row r="449" customFormat="false" ht="15" hidden="false" customHeight="false" outlineLevel="0" collapsed="false">
      <c r="A449" s="0" t="s">
        <v>14</v>
      </c>
      <c r="B449" s="0" t="s">
        <v>1128</v>
      </c>
      <c r="C449" s="0" t="s">
        <v>5541</v>
      </c>
      <c r="D449" s="0" t="n">
        <v>2026</v>
      </c>
    </row>
    <row r="450" customFormat="false" ht="15" hidden="false" customHeight="false" outlineLevel="0" collapsed="false">
      <c r="A450" s="0" t="s">
        <v>14</v>
      </c>
      <c r="B450" s="0" t="s">
        <v>1128</v>
      </c>
      <c r="C450" s="0" t="s">
        <v>5547</v>
      </c>
    </row>
    <row r="451" customFormat="false" ht="15" hidden="false" customHeight="false" outlineLevel="0" collapsed="false">
      <c r="A451" s="0" t="s">
        <v>14</v>
      </c>
      <c r="B451" s="0" t="s">
        <v>1128</v>
      </c>
      <c r="C451" s="0" t="s">
        <v>5548</v>
      </c>
    </row>
    <row r="452" customFormat="false" ht="15" hidden="false" customHeight="false" outlineLevel="0" collapsed="false">
      <c r="A452" s="0" t="s">
        <v>14</v>
      </c>
      <c r="B452" s="0" t="s">
        <v>1134</v>
      </c>
      <c r="C452" s="0" t="s">
        <v>5541</v>
      </c>
      <c r="D452" s="0" t="n">
        <v>0</v>
      </c>
    </row>
    <row r="453" customFormat="false" ht="15" hidden="false" customHeight="false" outlineLevel="0" collapsed="false">
      <c r="A453" s="0" t="s">
        <v>14</v>
      </c>
      <c r="B453" s="0" t="s">
        <v>1134</v>
      </c>
      <c r="C453" s="0" t="s">
        <v>5547</v>
      </c>
    </row>
    <row r="454" customFormat="false" ht="15" hidden="false" customHeight="false" outlineLevel="0" collapsed="false">
      <c r="A454" s="0" t="s">
        <v>14</v>
      </c>
      <c r="B454" s="0" t="s">
        <v>1134</v>
      </c>
      <c r="C454" s="0" t="s">
        <v>5548</v>
      </c>
    </row>
    <row r="455" customFormat="false" ht="15" hidden="false" customHeight="false" outlineLevel="0" collapsed="false">
      <c r="A455" s="0" t="s">
        <v>14</v>
      </c>
      <c r="B455" s="0" t="s">
        <v>1139</v>
      </c>
      <c r="C455" s="0" t="s">
        <v>5541</v>
      </c>
      <c r="D455" s="0" t="n">
        <v>0.3</v>
      </c>
    </row>
    <row r="456" customFormat="false" ht="15" hidden="false" customHeight="false" outlineLevel="0" collapsed="false">
      <c r="A456" s="0" t="s">
        <v>14</v>
      </c>
      <c r="B456" s="0" t="s">
        <v>1139</v>
      </c>
      <c r="C456" s="0" t="s">
        <v>5547</v>
      </c>
    </row>
    <row r="457" customFormat="false" ht="15" hidden="false" customHeight="false" outlineLevel="0" collapsed="false">
      <c r="A457" s="0" t="s">
        <v>14</v>
      </c>
      <c r="B457" s="0" t="s">
        <v>1139</v>
      </c>
      <c r="C457" s="0" t="s">
        <v>5548</v>
      </c>
    </row>
    <row r="458" customFormat="false" ht="15" hidden="false" customHeight="false" outlineLevel="0" collapsed="false">
      <c r="A458" s="0" t="s">
        <v>14</v>
      </c>
      <c r="B458" s="0" t="s">
        <v>1142</v>
      </c>
      <c r="C458" s="0" t="s">
        <v>5541</v>
      </c>
      <c r="D458" s="0" t="n">
        <v>0.8</v>
      </c>
    </row>
    <row r="459" customFormat="false" ht="15" hidden="false" customHeight="false" outlineLevel="0" collapsed="false">
      <c r="A459" s="0" t="s">
        <v>14</v>
      </c>
      <c r="B459" s="0" t="s">
        <v>1142</v>
      </c>
      <c r="C459" s="0" t="s">
        <v>5547</v>
      </c>
    </row>
    <row r="460" customFormat="false" ht="15" hidden="false" customHeight="false" outlineLevel="0" collapsed="false">
      <c r="A460" s="0" t="s">
        <v>14</v>
      </c>
      <c r="B460" s="0" t="s">
        <v>1142</v>
      </c>
      <c r="C460" s="0" t="s">
        <v>5548</v>
      </c>
    </row>
    <row r="461" customFormat="false" ht="15" hidden="false" customHeight="false" outlineLevel="0" collapsed="false">
      <c r="A461" s="0" t="s">
        <v>14</v>
      </c>
      <c r="B461" s="0" t="s">
        <v>1144</v>
      </c>
      <c r="C461" s="0" t="s">
        <v>5541</v>
      </c>
      <c r="D461" s="0" t="n">
        <v>2.5</v>
      </c>
    </row>
    <row r="462" customFormat="false" ht="15" hidden="false" customHeight="false" outlineLevel="0" collapsed="false">
      <c r="A462" s="0" t="s">
        <v>14</v>
      </c>
      <c r="B462" s="0" t="s">
        <v>1144</v>
      </c>
      <c r="C462" s="0" t="s">
        <v>5547</v>
      </c>
      <c r="D462" s="0" t="n">
        <v>1.5</v>
      </c>
    </row>
    <row r="463" customFormat="false" ht="15" hidden="false" customHeight="false" outlineLevel="0" collapsed="false">
      <c r="A463" s="0" t="s">
        <v>14</v>
      </c>
      <c r="B463" s="0" t="s">
        <v>1144</v>
      </c>
      <c r="C463" s="0" t="s">
        <v>5548</v>
      </c>
      <c r="D463" s="0" t="n">
        <v>4</v>
      </c>
    </row>
    <row r="464" customFormat="false" ht="15" hidden="false" customHeight="false" outlineLevel="0" collapsed="false">
      <c r="A464" s="0" t="s">
        <v>14</v>
      </c>
      <c r="B464" s="0" t="s">
        <v>1149</v>
      </c>
      <c r="C464" s="0" t="s">
        <v>5541</v>
      </c>
      <c r="D464" s="0" t="n">
        <v>1.5</v>
      </c>
    </row>
    <row r="465" customFormat="false" ht="15" hidden="false" customHeight="false" outlineLevel="0" collapsed="false">
      <c r="A465" s="0" t="s">
        <v>14</v>
      </c>
      <c r="B465" s="0" t="s">
        <v>1149</v>
      </c>
      <c r="C465" s="0" t="s">
        <v>5547</v>
      </c>
      <c r="D465" s="0" t="n">
        <v>1</v>
      </c>
    </row>
    <row r="466" customFormat="false" ht="15" hidden="false" customHeight="false" outlineLevel="0" collapsed="false">
      <c r="A466" s="0" t="s">
        <v>14</v>
      </c>
      <c r="B466" s="0" t="s">
        <v>1149</v>
      </c>
      <c r="C466" s="0" t="s">
        <v>5548</v>
      </c>
      <c r="D466" s="0" t="n">
        <v>2.5</v>
      </c>
    </row>
    <row r="467" customFormat="false" ht="15" hidden="false" customHeight="false" outlineLevel="0" collapsed="false">
      <c r="A467" s="0" t="s">
        <v>14</v>
      </c>
      <c r="B467" s="0" t="s">
        <v>1152</v>
      </c>
      <c r="C467" s="0" t="s">
        <v>5541</v>
      </c>
      <c r="D467" s="0" t="n">
        <v>0.2</v>
      </c>
    </row>
    <row r="468" customFormat="false" ht="15" hidden="false" customHeight="false" outlineLevel="0" collapsed="false">
      <c r="A468" s="0" t="s">
        <v>14</v>
      </c>
      <c r="B468" s="0" t="s">
        <v>1152</v>
      </c>
      <c r="C468" s="0" t="s">
        <v>5547</v>
      </c>
      <c r="D468" s="0" t="n">
        <v>0.1</v>
      </c>
    </row>
    <row r="469" customFormat="false" ht="15" hidden="false" customHeight="false" outlineLevel="0" collapsed="false">
      <c r="A469" s="0" t="s">
        <v>14</v>
      </c>
      <c r="B469" s="0" t="s">
        <v>1152</v>
      </c>
      <c r="C469" s="0" t="s">
        <v>5548</v>
      </c>
      <c r="D469" s="0" t="n">
        <v>0.4</v>
      </c>
    </row>
    <row r="470" customFormat="false" ht="15" hidden="false" customHeight="false" outlineLevel="0" collapsed="false">
      <c r="A470" s="0" t="s">
        <v>14</v>
      </c>
      <c r="B470" s="0" t="s">
        <v>1155</v>
      </c>
      <c r="C470" s="0" t="s">
        <v>5541</v>
      </c>
      <c r="D470" s="0" t="n">
        <v>14</v>
      </c>
    </row>
    <row r="471" customFormat="false" ht="15" hidden="false" customHeight="false" outlineLevel="0" collapsed="false">
      <c r="A471" s="0" t="s">
        <v>14</v>
      </c>
      <c r="B471" s="0" t="s">
        <v>1155</v>
      </c>
      <c r="C471" s="0" t="s">
        <v>5547</v>
      </c>
      <c r="D471" s="0" t="n">
        <v>8</v>
      </c>
    </row>
    <row r="472" customFormat="false" ht="15" hidden="false" customHeight="false" outlineLevel="0" collapsed="false">
      <c r="A472" s="0" t="s">
        <v>14</v>
      </c>
      <c r="B472" s="0" t="s">
        <v>1155</v>
      </c>
      <c r="C472" s="0" t="s">
        <v>5548</v>
      </c>
      <c r="D472" s="0" t="n">
        <v>20</v>
      </c>
    </row>
    <row r="473" customFormat="false" ht="15" hidden="false" customHeight="false" outlineLevel="0" collapsed="false">
      <c r="A473" s="0" t="s">
        <v>14</v>
      </c>
      <c r="B473" s="0" t="s">
        <v>1158</v>
      </c>
      <c r="C473" s="0" t="s">
        <v>5541</v>
      </c>
      <c r="D473" s="0" t="n">
        <v>8</v>
      </c>
    </row>
    <row r="474" customFormat="false" ht="15" hidden="false" customHeight="false" outlineLevel="0" collapsed="false">
      <c r="A474" s="0" t="s">
        <v>14</v>
      </c>
      <c r="B474" s="0" t="s">
        <v>1158</v>
      </c>
      <c r="C474" s="0" t="s">
        <v>5547</v>
      </c>
      <c r="D474" s="0" t="n">
        <v>5</v>
      </c>
    </row>
    <row r="475" customFormat="false" ht="15" hidden="false" customHeight="false" outlineLevel="0" collapsed="false">
      <c r="A475" s="0" t="s">
        <v>14</v>
      </c>
      <c r="B475" s="0" t="s">
        <v>1158</v>
      </c>
      <c r="C475" s="0" t="s">
        <v>5548</v>
      </c>
      <c r="D475" s="0" t="n">
        <v>10</v>
      </c>
    </row>
    <row r="476" customFormat="false" ht="15" hidden="false" customHeight="false" outlineLevel="0" collapsed="false">
      <c r="A476" s="0" t="s">
        <v>14</v>
      </c>
      <c r="B476" s="0" t="s">
        <v>1161</v>
      </c>
      <c r="C476" s="0" t="s">
        <v>5541</v>
      </c>
      <c r="D476" s="0" t="n">
        <v>1</v>
      </c>
    </row>
    <row r="477" customFormat="false" ht="15" hidden="false" customHeight="false" outlineLevel="0" collapsed="false">
      <c r="A477" s="0" t="s">
        <v>14</v>
      </c>
      <c r="B477" s="0" t="s">
        <v>1161</v>
      </c>
      <c r="C477" s="0" t="s">
        <v>5547</v>
      </c>
      <c r="D477" s="0" t="n">
        <v>0.5</v>
      </c>
    </row>
    <row r="478" customFormat="false" ht="15" hidden="false" customHeight="false" outlineLevel="0" collapsed="false">
      <c r="A478" s="0" t="s">
        <v>14</v>
      </c>
      <c r="B478" s="0" t="s">
        <v>1161</v>
      </c>
      <c r="C478" s="0" t="s">
        <v>5548</v>
      </c>
      <c r="D478" s="0" t="n">
        <v>2</v>
      </c>
    </row>
    <row r="479" customFormat="false" ht="15" hidden="false" customHeight="false" outlineLevel="0" collapsed="false">
      <c r="A479" s="0" t="s">
        <v>14</v>
      </c>
      <c r="B479" s="0" t="s">
        <v>1164</v>
      </c>
      <c r="C479" s="0" t="s">
        <v>5541</v>
      </c>
      <c r="D479" s="0" t="n">
        <v>-0.3</v>
      </c>
    </row>
    <row r="480" customFormat="false" ht="15" hidden="false" customHeight="false" outlineLevel="0" collapsed="false">
      <c r="A480" s="0" t="s">
        <v>14</v>
      </c>
      <c r="B480" s="0" t="s">
        <v>1164</v>
      </c>
      <c r="C480" s="0" t="s">
        <v>5547</v>
      </c>
      <c r="D480" s="0" t="n">
        <v>-0.45</v>
      </c>
    </row>
    <row r="481" customFormat="false" ht="15" hidden="false" customHeight="false" outlineLevel="0" collapsed="false">
      <c r="A481" s="0" t="s">
        <v>14</v>
      </c>
      <c r="B481" s="0" t="s">
        <v>1164</v>
      </c>
      <c r="C481" s="0" t="s">
        <v>5548</v>
      </c>
      <c r="D481" s="0" t="n">
        <v>-0.15</v>
      </c>
    </row>
    <row r="482" customFormat="false" ht="15" hidden="false" customHeight="false" outlineLevel="0" collapsed="false">
      <c r="A482" s="0" t="s">
        <v>14</v>
      </c>
      <c r="B482" s="0" t="s">
        <v>1170</v>
      </c>
      <c r="C482" s="0" t="s">
        <v>5541</v>
      </c>
      <c r="D482" s="0" t="n">
        <v>-0.4</v>
      </c>
    </row>
    <row r="483" customFormat="false" ht="15" hidden="false" customHeight="false" outlineLevel="0" collapsed="false">
      <c r="A483" s="0" t="s">
        <v>14</v>
      </c>
      <c r="B483" s="0" t="s">
        <v>1170</v>
      </c>
      <c r="C483" s="0" t="s">
        <v>5547</v>
      </c>
      <c r="D483" s="0" t="n">
        <v>-0.6</v>
      </c>
    </row>
    <row r="484" customFormat="false" ht="15" hidden="false" customHeight="false" outlineLevel="0" collapsed="false">
      <c r="A484" s="0" t="s">
        <v>14</v>
      </c>
      <c r="B484" s="0" t="s">
        <v>1170</v>
      </c>
      <c r="C484" s="0" t="s">
        <v>5548</v>
      </c>
      <c r="D484" s="0" t="n">
        <v>-0.2</v>
      </c>
    </row>
    <row r="485" customFormat="false" ht="15" hidden="false" customHeight="false" outlineLevel="0" collapsed="false">
      <c r="A485" s="0" t="s">
        <v>14</v>
      </c>
      <c r="B485" s="0" t="s">
        <v>1173</v>
      </c>
      <c r="C485" s="0" t="s">
        <v>5541</v>
      </c>
      <c r="D485" s="0" t="n">
        <v>-0.4</v>
      </c>
    </row>
    <row r="486" customFormat="false" ht="15" hidden="false" customHeight="false" outlineLevel="0" collapsed="false">
      <c r="A486" s="0" t="s">
        <v>14</v>
      </c>
      <c r="B486" s="0" t="s">
        <v>1173</v>
      </c>
      <c r="C486" s="0" t="s">
        <v>5547</v>
      </c>
      <c r="D486" s="0" t="n">
        <v>-0.6</v>
      </c>
    </row>
    <row r="487" customFormat="false" ht="15" hidden="false" customHeight="false" outlineLevel="0" collapsed="false">
      <c r="A487" s="0" t="s">
        <v>14</v>
      </c>
      <c r="B487" s="0" t="s">
        <v>1173</v>
      </c>
      <c r="C487" s="0" t="s">
        <v>5548</v>
      </c>
      <c r="D487" s="0" t="n">
        <v>-0.2</v>
      </c>
    </row>
    <row r="488" customFormat="false" ht="15" hidden="false" customHeight="false" outlineLevel="0" collapsed="false">
      <c r="A488" s="0" t="s">
        <v>14</v>
      </c>
      <c r="B488" s="0" t="s">
        <v>1176</v>
      </c>
      <c r="C488" s="0" t="s">
        <v>5541</v>
      </c>
      <c r="D488" s="0" t="n">
        <v>0.4</v>
      </c>
    </row>
    <row r="489" customFormat="false" ht="15" hidden="false" customHeight="false" outlineLevel="0" collapsed="false">
      <c r="A489" s="0" t="s">
        <v>14</v>
      </c>
      <c r="B489" s="0" t="s">
        <v>1176</v>
      </c>
      <c r="C489" s="0" t="s">
        <v>5547</v>
      </c>
      <c r="D489" s="0" t="n">
        <v>0.25</v>
      </c>
    </row>
    <row r="490" customFormat="false" ht="15" hidden="false" customHeight="false" outlineLevel="0" collapsed="false">
      <c r="A490" s="0" t="s">
        <v>14</v>
      </c>
      <c r="B490" s="0" t="s">
        <v>1176</v>
      </c>
      <c r="C490" s="0" t="s">
        <v>5548</v>
      </c>
      <c r="D490" s="0" t="n">
        <v>0.5</v>
      </c>
    </row>
    <row r="491" customFormat="false" ht="15" hidden="false" customHeight="false" outlineLevel="0" collapsed="false">
      <c r="A491" s="0" t="s">
        <v>14</v>
      </c>
      <c r="B491" s="0" t="s">
        <v>1181</v>
      </c>
      <c r="C491" s="0" t="s">
        <v>5541</v>
      </c>
      <c r="D491" s="0" t="n">
        <v>0.15</v>
      </c>
    </row>
    <row r="492" customFormat="false" ht="15" hidden="false" customHeight="false" outlineLevel="0" collapsed="false">
      <c r="A492" s="0" t="s">
        <v>14</v>
      </c>
      <c r="B492" s="0" t="s">
        <v>1181</v>
      </c>
      <c r="C492" s="0" t="s">
        <v>5547</v>
      </c>
      <c r="D492" s="0" t="n">
        <v>0.08</v>
      </c>
    </row>
    <row r="493" customFormat="false" ht="15" hidden="false" customHeight="false" outlineLevel="0" collapsed="false">
      <c r="A493" s="0" t="s">
        <v>14</v>
      </c>
      <c r="B493" s="0" t="s">
        <v>1181</v>
      </c>
      <c r="C493" s="0" t="s">
        <v>5548</v>
      </c>
      <c r="D493" s="0" t="n">
        <v>0.25</v>
      </c>
    </row>
    <row r="494" customFormat="false" ht="15" hidden="false" customHeight="false" outlineLevel="0" collapsed="false">
      <c r="A494" s="0" t="s">
        <v>14</v>
      </c>
      <c r="B494" s="0" t="s">
        <v>1183</v>
      </c>
      <c r="C494" s="0" t="s">
        <v>5541</v>
      </c>
      <c r="D494" s="0" t="n">
        <v>0.4</v>
      </c>
    </row>
    <row r="495" customFormat="false" ht="15" hidden="false" customHeight="false" outlineLevel="0" collapsed="false">
      <c r="A495" s="0" t="s">
        <v>14</v>
      </c>
      <c r="B495" s="0" t="s">
        <v>1183</v>
      </c>
      <c r="C495" s="0" t="s">
        <v>5547</v>
      </c>
      <c r="D495" s="0" t="n">
        <v>0.3</v>
      </c>
    </row>
    <row r="496" customFormat="false" ht="15" hidden="false" customHeight="false" outlineLevel="0" collapsed="false">
      <c r="A496" s="0" t="s">
        <v>14</v>
      </c>
      <c r="B496" s="0" t="s">
        <v>1183</v>
      </c>
      <c r="C496" s="0" t="s">
        <v>5548</v>
      </c>
      <c r="D496" s="0" t="n">
        <v>0.5</v>
      </c>
    </row>
    <row r="497" customFormat="false" ht="15" hidden="false" customHeight="false" outlineLevel="0" collapsed="false">
      <c r="A497" s="0" t="s">
        <v>14</v>
      </c>
      <c r="B497" s="0" t="s">
        <v>1186</v>
      </c>
      <c r="C497" s="0" t="s">
        <v>5541</v>
      </c>
      <c r="D497" s="0" t="n">
        <v>0.45</v>
      </c>
    </row>
    <row r="498" customFormat="false" ht="15" hidden="false" customHeight="false" outlineLevel="0" collapsed="false">
      <c r="A498" s="0" t="s">
        <v>14</v>
      </c>
      <c r="B498" s="0" t="s">
        <v>1186</v>
      </c>
      <c r="C498" s="0" t="s">
        <v>5547</v>
      </c>
      <c r="D498" s="0" t="n">
        <v>0.35</v>
      </c>
    </row>
    <row r="499" customFormat="false" ht="15" hidden="false" customHeight="false" outlineLevel="0" collapsed="false">
      <c r="A499" s="0" t="s">
        <v>14</v>
      </c>
      <c r="B499" s="0" t="s">
        <v>1186</v>
      </c>
      <c r="C499" s="0" t="s">
        <v>5548</v>
      </c>
      <c r="D499" s="0" t="n">
        <v>0.55</v>
      </c>
    </row>
    <row r="500" customFormat="false" ht="15" hidden="false" customHeight="false" outlineLevel="0" collapsed="false">
      <c r="A500" s="0" t="s">
        <v>14</v>
      </c>
      <c r="B500" s="0" t="s">
        <v>1187</v>
      </c>
      <c r="C500" s="0" t="s">
        <v>5541</v>
      </c>
      <c r="D500" s="0" t="n">
        <v>0.2</v>
      </c>
    </row>
    <row r="501" customFormat="false" ht="15" hidden="false" customHeight="false" outlineLevel="0" collapsed="false">
      <c r="A501" s="0" t="s">
        <v>14</v>
      </c>
      <c r="B501" s="0" t="s">
        <v>1187</v>
      </c>
      <c r="C501" s="0" t="s">
        <v>5547</v>
      </c>
      <c r="D501" s="0" t="n">
        <v>0.1</v>
      </c>
    </row>
    <row r="502" customFormat="false" ht="15" hidden="false" customHeight="false" outlineLevel="0" collapsed="false">
      <c r="A502" s="0" t="s">
        <v>14</v>
      </c>
      <c r="B502" s="0" t="s">
        <v>1187</v>
      </c>
      <c r="C502" s="0" t="s">
        <v>5548</v>
      </c>
      <c r="D502" s="0" t="n">
        <v>0.35</v>
      </c>
    </row>
    <row r="503" customFormat="false" ht="15" hidden="false" customHeight="false" outlineLevel="0" collapsed="false">
      <c r="A503" s="0" t="s">
        <v>14</v>
      </c>
      <c r="B503" s="0" t="s">
        <v>1190</v>
      </c>
      <c r="C503" s="0" t="s">
        <v>5541</v>
      </c>
      <c r="D503" s="0" t="n">
        <v>0.55</v>
      </c>
    </row>
    <row r="504" customFormat="false" ht="15" hidden="false" customHeight="false" outlineLevel="0" collapsed="false">
      <c r="A504" s="0" t="s">
        <v>14</v>
      </c>
      <c r="B504" s="0" t="s">
        <v>1190</v>
      </c>
      <c r="C504" s="0" t="s">
        <v>5547</v>
      </c>
      <c r="D504" s="0" t="n">
        <v>0.3</v>
      </c>
    </row>
    <row r="505" customFormat="false" ht="15" hidden="false" customHeight="false" outlineLevel="0" collapsed="false">
      <c r="A505" s="0" t="s">
        <v>14</v>
      </c>
      <c r="B505" s="0" t="s">
        <v>1190</v>
      </c>
      <c r="C505" s="0" t="s">
        <v>5548</v>
      </c>
      <c r="D505" s="0" t="n">
        <v>0.75</v>
      </c>
    </row>
    <row r="506" customFormat="false" ht="15" hidden="false" customHeight="false" outlineLevel="0" collapsed="false">
      <c r="A506" s="0" t="s">
        <v>14</v>
      </c>
      <c r="B506" s="0" t="s">
        <v>1193</v>
      </c>
      <c r="C506" s="0" t="s">
        <v>5541</v>
      </c>
      <c r="D506" s="0" t="n">
        <v>0.2</v>
      </c>
    </row>
    <row r="507" customFormat="false" ht="15" hidden="false" customHeight="false" outlineLevel="0" collapsed="false">
      <c r="A507" s="0" t="s">
        <v>14</v>
      </c>
      <c r="B507" s="0" t="s">
        <v>1193</v>
      </c>
      <c r="C507" s="0" t="s">
        <v>5547</v>
      </c>
      <c r="D507" s="0" t="n">
        <v>0.1</v>
      </c>
    </row>
    <row r="508" customFormat="false" ht="15" hidden="false" customHeight="false" outlineLevel="0" collapsed="false">
      <c r="A508" s="0" t="s">
        <v>14</v>
      </c>
      <c r="B508" s="0" t="s">
        <v>1193</v>
      </c>
      <c r="C508" s="0" t="s">
        <v>5548</v>
      </c>
      <c r="D508" s="0" t="n">
        <v>0.3</v>
      </c>
    </row>
    <row r="509" customFormat="false" ht="15" hidden="false" customHeight="false" outlineLevel="0" collapsed="false">
      <c r="A509" s="0" t="s">
        <v>14</v>
      </c>
      <c r="B509" s="0" t="s">
        <v>1196</v>
      </c>
      <c r="C509" s="0" t="s">
        <v>5541</v>
      </c>
      <c r="D509" s="0" t="n">
        <v>10</v>
      </c>
    </row>
    <row r="510" customFormat="false" ht="15" hidden="false" customHeight="false" outlineLevel="0" collapsed="false">
      <c r="A510" s="0" t="s">
        <v>14</v>
      </c>
      <c r="B510" s="0" t="s">
        <v>1196</v>
      </c>
      <c r="C510" s="0" t="s">
        <v>5547</v>
      </c>
      <c r="D510" s="0" t="n">
        <v>5</v>
      </c>
    </row>
    <row r="511" customFormat="false" ht="15" hidden="false" customHeight="false" outlineLevel="0" collapsed="false">
      <c r="A511" s="0" t="s">
        <v>14</v>
      </c>
      <c r="B511" s="0" t="s">
        <v>1196</v>
      </c>
      <c r="C511" s="0" t="s">
        <v>5548</v>
      </c>
      <c r="D511" s="0" t="n">
        <v>30</v>
      </c>
    </row>
    <row r="512" customFormat="false" ht="15" hidden="false" customHeight="false" outlineLevel="0" collapsed="false">
      <c r="A512" s="0" t="s">
        <v>14</v>
      </c>
      <c r="B512" s="0" t="s">
        <v>1201</v>
      </c>
      <c r="C512" s="0" t="s">
        <v>5541</v>
      </c>
      <c r="D512" s="0" t="n">
        <v>0</v>
      </c>
    </row>
    <row r="513" customFormat="false" ht="15" hidden="false" customHeight="false" outlineLevel="0" collapsed="false">
      <c r="A513" s="0" t="s">
        <v>14</v>
      </c>
      <c r="B513" s="0" t="s">
        <v>1201</v>
      </c>
      <c r="C513" s="0" t="s">
        <v>5547</v>
      </c>
    </row>
    <row r="514" customFormat="false" ht="15" hidden="false" customHeight="false" outlineLevel="0" collapsed="false">
      <c r="A514" s="0" t="s">
        <v>14</v>
      </c>
      <c r="B514" s="0" t="s">
        <v>1201</v>
      </c>
      <c r="C514" s="0" t="s">
        <v>5548</v>
      </c>
    </row>
    <row r="515" customFormat="false" ht="15" hidden="false" customHeight="false" outlineLevel="0" collapsed="false">
      <c r="A515" s="0" t="s">
        <v>14</v>
      </c>
      <c r="B515" s="0" t="s">
        <v>1205</v>
      </c>
      <c r="C515" s="0" t="s">
        <v>5541</v>
      </c>
      <c r="D515" s="0" t="n">
        <v>1.34</v>
      </c>
    </row>
    <row r="516" customFormat="false" ht="15" hidden="false" customHeight="false" outlineLevel="0" collapsed="false">
      <c r="A516" s="0" t="s">
        <v>14</v>
      </c>
      <c r="B516" s="0" t="s">
        <v>1205</v>
      </c>
      <c r="C516" s="0" t="s">
        <v>5547</v>
      </c>
    </row>
    <row r="517" customFormat="false" ht="15" hidden="false" customHeight="false" outlineLevel="0" collapsed="false">
      <c r="A517" s="0" t="s">
        <v>14</v>
      </c>
      <c r="B517" s="0" t="s">
        <v>1205</v>
      </c>
      <c r="C517" s="0" t="s">
        <v>5548</v>
      </c>
    </row>
    <row r="518" customFormat="false" ht="15" hidden="false" customHeight="false" outlineLevel="0" collapsed="false">
      <c r="A518" s="0" t="s">
        <v>14</v>
      </c>
      <c r="B518" s="0" t="s">
        <v>1206</v>
      </c>
      <c r="C518" s="0" t="s">
        <v>5541</v>
      </c>
      <c r="D518" s="0" t="n">
        <v>0.45</v>
      </c>
    </row>
    <row r="519" customFormat="false" ht="15" hidden="false" customHeight="false" outlineLevel="0" collapsed="false">
      <c r="A519" s="0" t="s">
        <v>14</v>
      </c>
      <c r="B519" s="0" t="s">
        <v>1206</v>
      </c>
      <c r="C519" s="0" t="s">
        <v>5547</v>
      </c>
    </row>
    <row r="520" customFormat="false" ht="15" hidden="false" customHeight="false" outlineLevel="0" collapsed="false">
      <c r="A520" s="0" t="s">
        <v>14</v>
      </c>
      <c r="B520" s="0" t="s">
        <v>1206</v>
      </c>
      <c r="C520" s="0" t="s">
        <v>5548</v>
      </c>
    </row>
    <row r="521" customFormat="false" ht="15" hidden="false" customHeight="false" outlineLevel="0" collapsed="false">
      <c r="A521" s="0" t="s">
        <v>14</v>
      </c>
      <c r="B521" s="0" t="s">
        <v>1208</v>
      </c>
      <c r="C521" s="0" t="s">
        <v>5541</v>
      </c>
      <c r="D521" s="0" t="n">
        <v>0.35</v>
      </c>
    </row>
    <row r="522" customFormat="false" ht="15" hidden="false" customHeight="false" outlineLevel="0" collapsed="false">
      <c r="A522" s="0" t="s">
        <v>14</v>
      </c>
      <c r="B522" s="0" t="s">
        <v>1208</v>
      </c>
      <c r="C522" s="0" t="s">
        <v>5547</v>
      </c>
    </row>
    <row r="523" customFormat="false" ht="15" hidden="false" customHeight="false" outlineLevel="0" collapsed="false">
      <c r="A523" s="0" t="s">
        <v>14</v>
      </c>
      <c r="B523" s="0" t="s">
        <v>1208</v>
      </c>
      <c r="C523" s="0" t="s">
        <v>5548</v>
      </c>
    </row>
    <row r="524" customFormat="false" ht="15" hidden="false" customHeight="false" outlineLevel="0" collapsed="false">
      <c r="A524" s="0" t="s">
        <v>14</v>
      </c>
      <c r="B524" s="0" t="s">
        <v>1210</v>
      </c>
      <c r="C524" s="0" t="s">
        <v>5541</v>
      </c>
      <c r="D524" s="0" t="n">
        <v>0.25</v>
      </c>
    </row>
    <row r="525" customFormat="false" ht="15" hidden="false" customHeight="false" outlineLevel="0" collapsed="false">
      <c r="A525" s="0" t="s">
        <v>14</v>
      </c>
      <c r="B525" s="0" t="s">
        <v>1210</v>
      </c>
      <c r="C525" s="0" t="s">
        <v>5547</v>
      </c>
    </row>
    <row r="526" customFormat="false" ht="15" hidden="false" customHeight="false" outlineLevel="0" collapsed="false">
      <c r="A526" s="0" t="s">
        <v>14</v>
      </c>
      <c r="B526" s="0" t="s">
        <v>1210</v>
      </c>
      <c r="C526" s="0" t="s">
        <v>5548</v>
      </c>
    </row>
    <row r="527" customFormat="false" ht="15" hidden="false" customHeight="false" outlineLevel="0" collapsed="false">
      <c r="A527" s="0" t="s">
        <v>14</v>
      </c>
      <c r="B527" s="0" t="s">
        <v>1212</v>
      </c>
      <c r="C527" s="0" t="s">
        <v>5541</v>
      </c>
      <c r="D527" s="0" t="n">
        <v>0.2</v>
      </c>
    </row>
    <row r="528" customFormat="false" ht="15" hidden="false" customHeight="false" outlineLevel="0" collapsed="false">
      <c r="A528" s="0" t="s">
        <v>14</v>
      </c>
      <c r="B528" s="0" t="s">
        <v>1212</v>
      </c>
      <c r="C528" s="0" t="s">
        <v>5547</v>
      </c>
    </row>
    <row r="529" customFormat="false" ht="15" hidden="false" customHeight="false" outlineLevel="0" collapsed="false">
      <c r="A529" s="0" t="s">
        <v>14</v>
      </c>
      <c r="B529" s="0" t="s">
        <v>1212</v>
      </c>
      <c r="C529" s="0" t="s">
        <v>5548</v>
      </c>
    </row>
    <row r="530" customFormat="false" ht="15" hidden="false" customHeight="false" outlineLevel="0" collapsed="false">
      <c r="A530" s="0" t="s">
        <v>14</v>
      </c>
      <c r="B530" s="0" t="s">
        <v>1214</v>
      </c>
      <c r="C530" s="0" t="s">
        <v>5541</v>
      </c>
      <c r="D530" s="0" t="n">
        <v>0.5</v>
      </c>
    </row>
    <row r="531" customFormat="false" ht="15" hidden="false" customHeight="false" outlineLevel="0" collapsed="false">
      <c r="A531" s="0" t="s">
        <v>14</v>
      </c>
      <c r="B531" s="0" t="s">
        <v>1214</v>
      </c>
      <c r="C531" s="0" t="s">
        <v>5547</v>
      </c>
    </row>
    <row r="532" customFormat="false" ht="15" hidden="false" customHeight="false" outlineLevel="0" collapsed="false">
      <c r="A532" s="0" t="s">
        <v>14</v>
      </c>
      <c r="B532" s="0" t="s">
        <v>1214</v>
      </c>
      <c r="C532" s="0" t="s">
        <v>5548</v>
      </c>
    </row>
    <row r="533" customFormat="false" ht="15" hidden="false" customHeight="false" outlineLevel="0" collapsed="false">
      <c r="A533" s="0" t="s">
        <v>14</v>
      </c>
      <c r="B533" s="0" t="s">
        <v>1217</v>
      </c>
      <c r="C533" s="0" t="s">
        <v>5541</v>
      </c>
      <c r="D533" s="0" t="n">
        <v>1.5</v>
      </c>
    </row>
    <row r="534" customFormat="false" ht="15" hidden="false" customHeight="false" outlineLevel="0" collapsed="false">
      <c r="A534" s="0" t="s">
        <v>14</v>
      </c>
      <c r="B534" s="0" t="s">
        <v>1217</v>
      </c>
      <c r="C534" s="0" t="s">
        <v>5547</v>
      </c>
    </row>
    <row r="535" customFormat="false" ht="15" hidden="false" customHeight="false" outlineLevel="0" collapsed="false">
      <c r="A535" s="0" t="s">
        <v>14</v>
      </c>
      <c r="B535" s="0" t="s">
        <v>1217</v>
      </c>
      <c r="C535" s="0" t="s">
        <v>5548</v>
      </c>
    </row>
    <row r="536" customFormat="false" ht="15" hidden="false" customHeight="false" outlineLevel="0" collapsed="false">
      <c r="A536" s="0" t="s">
        <v>14</v>
      </c>
      <c r="B536" s="0" t="s">
        <v>1219</v>
      </c>
      <c r="C536" s="0" t="s">
        <v>5541</v>
      </c>
      <c r="D536" s="0" t="n">
        <v>0</v>
      </c>
    </row>
    <row r="537" customFormat="false" ht="15" hidden="false" customHeight="false" outlineLevel="0" collapsed="false">
      <c r="A537" s="0" t="s">
        <v>14</v>
      </c>
      <c r="B537" s="0" t="s">
        <v>1219</v>
      </c>
      <c r="C537" s="0" t="s">
        <v>5547</v>
      </c>
    </row>
    <row r="538" customFormat="false" ht="15" hidden="false" customHeight="false" outlineLevel="0" collapsed="false">
      <c r="A538" s="0" t="s">
        <v>14</v>
      </c>
      <c r="B538" s="0" t="s">
        <v>1219</v>
      </c>
      <c r="C538" s="0" t="s">
        <v>5548</v>
      </c>
    </row>
    <row r="539" customFormat="false" ht="15" hidden="false" customHeight="false" outlineLevel="0" collapsed="false">
      <c r="A539" s="0" t="s">
        <v>14</v>
      </c>
      <c r="B539" s="0" t="s">
        <v>1222</v>
      </c>
      <c r="C539" s="0" t="s">
        <v>5541</v>
      </c>
      <c r="D539" s="0" t="n">
        <v>0.2</v>
      </c>
    </row>
    <row r="540" customFormat="false" ht="15" hidden="false" customHeight="false" outlineLevel="0" collapsed="false">
      <c r="A540" s="0" t="s">
        <v>14</v>
      </c>
      <c r="B540" s="0" t="s">
        <v>1222</v>
      </c>
      <c r="C540" s="0" t="s">
        <v>5547</v>
      </c>
    </row>
    <row r="541" customFormat="false" ht="15" hidden="false" customHeight="false" outlineLevel="0" collapsed="false">
      <c r="A541" s="0" t="s">
        <v>14</v>
      </c>
      <c r="B541" s="0" t="s">
        <v>1222</v>
      </c>
      <c r="C541" s="0" t="s">
        <v>5548</v>
      </c>
    </row>
    <row r="542" customFormat="false" ht="15" hidden="false" customHeight="false" outlineLevel="0" collapsed="false">
      <c r="A542" s="0" t="s">
        <v>14</v>
      </c>
      <c r="B542" s="0" t="s">
        <v>1223</v>
      </c>
      <c r="C542" s="0" t="s">
        <v>5541</v>
      </c>
      <c r="D542" s="0" t="n">
        <v>0.15</v>
      </c>
    </row>
    <row r="543" customFormat="false" ht="15" hidden="false" customHeight="false" outlineLevel="0" collapsed="false">
      <c r="A543" s="0" t="s">
        <v>14</v>
      </c>
      <c r="B543" s="0" t="s">
        <v>1223</v>
      </c>
      <c r="C543" s="0" t="s">
        <v>5547</v>
      </c>
    </row>
    <row r="544" customFormat="false" ht="15" hidden="false" customHeight="false" outlineLevel="0" collapsed="false">
      <c r="A544" s="0" t="s">
        <v>14</v>
      </c>
      <c r="B544" s="0" t="s">
        <v>1223</v>
      </c>
      <c r="C544" s="0" t="s">
        <v>5548</v>
      </c>
    </row>
    <row r="545" customFormat="false" ht="15" hidden="false" customHeight="false" outlineLevel="0" collapsed="false">
      <c r="A545" s="0" t="s">
        <v>14</v>
      </c>
      <c r="B545" s="0" t="s">
        <v>1224</v>
      </c>
      <c r="C545" s="0" t="s">
        <v>5541</v>
      </c>
      <c r="D545" s="0" t="n">
        <v>0.12</v>
      </c>
    </row>
    <row r="546" customFormat="false" ht="15" hidden="false" customHeight="false" outlineLevel="0" collapsed="false">
      <c r="A546" s="0" t="s">
        <v>14</v>
      </c>
      <c r="B546" s="0" t="s">
        <v>1224</v>
      </c>
      <c r="C546" s="0" t="s">
        <v>5547</v>
      </c>
    </row>
    <row r="547" customFormat="false" ht="15" hidden="false" customHeight="false" outlineLevel="0" collapsed="false">
      <c r="A547" s="0" t="s">
        <v>14</v>
      </c>
      <c r="B547" s="0" t="s">
        <v>1224</v>
      </c>
      <c r="C547" s="0" t="s">
        <v>5548</v>
      </c>
    </row>
    <row r="548" customFormat="false" ht="15" hidden="false" customHeight="false" outlineLevel="0" collapsed="false">
      <c r="A548" s="0" t="s">
        <v>14</v>
      </c>
      <c r="B548" s="0" t="s">
        <v>1225</v>
      </c>
      <c r="C548" s="0" t="s">
        <v>5541</v>
      </c>
      <c r="D548" s="0" t="n">
        <v>0.1</v>
      </c>
    </row>
    <row r="549" customFormat="false" ht="15" hidden="false" customHeight="false" outlineLevel="0" collapsed="false">
      <c r="A549" s="0" t="s">
        <v>14</v>
      </c>
      <c r="B549" s="0" t="s">
        <v>1225</v>
      </c>
      <c r="C549" s="0" t="s">
        <v>5547</v>
      </c>
    </row>
    <row r="550" customFormat="false" ht="15" hidden="false" customHeight="false" outlineLevel="0" collapsed="false">
      <c r="A550" s="0" t="s">
        <v>14</v>
      </c>
      <c r="B550" s="0" t="s">
        <v>1225</v>
      </c>
      <c r="C550" s="0" t="s">
        <v>5548</v>
      </c>
    </row>
    <row r="551" customFormat="false" ht="15" hidden="false" customHeight="false" outlineLevel="0" collapsed="false">
      <c r="A551" s="0" t="s">
        <v>14</v>
      </c>
      <c r="B551" s="0" t="s">
        <v>1226</v>
      </c>
      <c r="C551" s="0" t="s">
        <v>5541</v>
      </c>
      <c r="D551" s="0" t="n">
        <v>0.08</v>
      </c>
    </row>
    <row r="552" customFormat="false" ht="15" hidden="false" customHeight="false" outlineLevel="0" collapsed="false">
      <c r="A552" s="0" t="s">
        <v>14</v>
      </c>
      <c r="B552" s="0" t="s">
        <v>1226</v>
      </c>
      <c r="C552" s="0" t="s">
        <v>5547</v>
      </c>
    </row>
    <row r="553" customFormat="false" ht="15" hidden="false" customHeight="false" outlineLevel="0" collapsed="false">
      <c r="A553" s="0" t="s">
        <v>14</v>
      </c>
      <c r="B553" s="0" t="s">
        <v>1226</v>
      </c>
      <c r="C553" s="0" t="s">
        <v>5548</v>
      </c>
    </row>
    <row r="554" customFormat="false" ht="15" hidden="false" customHeight="false" outlineLevel="0" collapsed="false">
      <c r="A554" s="0" t="s">
        <v>14</v>
      </c>
      <c r="B554" s="0" t="s">
        <v>1227</v>
      </c>
      <c r="C554" s="0" t="s">
        <v>5541</v>
      </c>
      <c r="D554" s="0" t="n">
        <v>0.5</v>
      </c>
    </row>
    <row r="555" customFormat="false" ht="15" hidden="false" customHeight="false" outlineLevel="0" collapsed="false">
      <c r="A555" s="0" t="s">
        <v>14</v>
      </c>
      <c r="B555" s="0" t="s">
        <v>1227</v>
      </c>
      <c r="C555" s="0" t="s">
        <v>5547</v>
      </c>
    </row>
    <row r="556" customFormat="false" ht="15" hidden="false" customHeight="false" outlineLevel="0" collapsed="false">
      <c r="A556" s="0" t="s">
        <v>14</v>
      </c>
      <c r="B556" s="0" t="s">
        <v>1227</v>
      </c>
      <c r="C556" s="0" t="s">
        <v>5548</v>
      </c>
    </row>
    <row r="557" customFormat="false" ht="15" hidden="false" customHeight="false" outlineLevel="0" collapsed="false">
      <c r="A557" s="0" t="s">
        <v>14</v>
      </c>
      <c r="B557" s="0" t="s">
        <v>1229</v>
      </c>
      <c r="C557" s="0" t="s">
        <v>5541</v>
      </c>
      <c r="D557" s="0" t="n">
        <v>1.5</v>
      </c>
    </row>
    <row r="558" customFormat="false" ht="15" hidden="false" customHeight="false" outlineLevel="0" collapsed="false">
      <c r="A558" s="0" t="s">
        <v>14</v>
      </c>
      <c r="B558" s="0" t="s">
        <v>1229</v>
      </c>
      <c r="C558" s="0" t="s">
        <v>5547</v>
      </c>
    </row>
    <row r="559" customFormat="false" ht="15" hidden="false" customHeight="false" outlineLevel="0" collapsed="false">
      <c r="A559" s="0" t="s">
        <v>14</v>
      </c>
      <c r="B559" s="0" t="s">
        <v>1229</v>
      </c>
      <c r="C559" s="0" t="s">
        <v>5548</v>
      </c>
    </row>
    <row r="560" customFormat="false" ht="15" hidden="false" customHeight="false" outlineLevel="0" collapsed="false">
      <c r="A560" s="0" t="s">
        <v>14</v>
      </c>
      <c r="B560" s="0" t="s">
        <v>1231</v>
      </c>
      <c r="C560" s="0" t="s">
        <v>5541</v>
      </c>
      <c r="D560" s="0" t="n">
        <v>-0.7</v>
      </c>
    </row>
    <row r="561" customFormat="false" ht="15" hidden="false" customHeight="false" outlineLevel="0" collapsed="false">
      <c r="A561" s="0" t="s">
        <v>14</v>
      </c>
      <c r="B561" s="0" t="s">
        <v>1231</v>
      </c>
      <c r="C561" s="0" t="s">
        <v>5547</v>
      </c>
      <c r="D561" s="0" t="n">
        <v>-1.05</v>
      </c>
    </row>
    <row r="562" customFormat="false" ht="15" hidden="false" customHeight="false" outlineLevel="0" collapsed="false">
      <c r="A562" s="0" t="s">
        <v>14</v>
      </c>
      <c r="B562" s="0" t="s">
        <v>1231</v>
      </c>
      <c r="C562" s="0" t="s">
        <v>5548</v>
      </c>
      <c r="D562" s="0" t="n">
        <v>-0.35</v>
      </c>
    </row>
    <row r="563" customFormat="false" ht="15" hidden="false" customHeight="false" outlineLevel="0" collapsed="false">
      <c r="A563" s="0" t="s">
        <v>14</v>
      </c>
      <c r="B563" s="0" t="s">
        <v>1236</v>
      </c>
      <c r="C563" s="0" t="s">
        <v>5541</v>
      </c>
      <c r="D563" s="0" t="n">
        <v>-0.3</v>
      </c>
    </row>
    <row r="564" customFormat="false" ht="15" hidden="false" customHeight="false" outlineLevel="0" collapsed="false">
      <c r="A564" s="0" t="s">
        <v>14</v>
      </c>
      <c r="B564" s="0" t="s">
        <v>1236</v>
      </c>
      <c r="C564" s="0" t="s">
        <v>5547</v>
      </c>
      <c r="D564" s="0" t="n">
        <v>-0.45</v>
      </c>
    </row>
    <row r="565" customFormat="false" ht="15" hidden="false" customHeight="false" outlineLevel="0" collapsed="false">
      <c r="A565" s="0" t="s">
        <v>14</v>
      </c>
      <c r="B565" s="0" t="s">
        <v>1236</v>
      </c>
      <c r="C565" s="0" t="s">
        <v>5548</v>
      </c>
      <c r="D565" s="0" t="n">
        <v>-0.15</v>
      </c>
    </row>
    <row r="566" customFormat="false" ht="15" hidden="false" customHeight="false" outlineLevel="0" collapsed="false">
      <c r="A566" s="0" t="s">
        <v>14</v>
      </c>
      <c r="B566" s="0" t="s">
        <v>1239</v>
      </c>
      <c r="C566" s="0" t="s">
        <v>5541</v>
      </c>
      <c r="D566" s="0" t="s">
        <v>1242</v>
      </c>
    </row>
    <row r="567" customFormat="false" ht="15" hidden="false" customHeight="false" outlineLevel="0" collapsed="false">
      <c r="A567" s="0" t="s">
        <v>14</v>
      </c>
      <c r="B567" s="0" t="s">
        <v>1239</v>
      </c>
      <c r="C567" s="0" t="s">
        <v>5547</v>
      </c>
    </row>
    <row r="568" customFormat="false" ht="15" hidden="false" customHeight="false" outlineLevel="0" collapsed="false">
      <c r="A568" s="0" t="s">
        <v>14</v>
      </c>
      <c r="B568" s="0" t="s">
        <v>1239</v>
      </c>
      <c r="C568" s="0" t="s">
        <v>5548</v>
      </c>
    </row>
    <row r="569" customFormat="false" ht="15" hidden="false" customHeight="false" outlineLevel="0" collapsed="false">
      <c r="A569" s="0" t="s">
        <v>14</v>
      </c>
      <c r="B569" s="0" t="s">
        <v>1246</v>
      </c>
      <c r="C569" s="0" t="s">
        <v>5541</v>
      </c>
      <c r="D569" s="0" t="s">
        <v>1249</v>
      </c>
    </row>
    <row r="570" customFormat="false" ht="15" hidden="false" customHeight="false" outlineLevel="0" collapsed="false">
      <c r="A570" s="0" t="s">
        <v>14</v>
      </c>
      <c r="B570" s="0" t="s">
        <v>1246</v>
      </c>
      <c r="C570" s="0" t="s">
        <v>5547</v>
      </c>
    </row>
    <row r="571" customFormat="false" ht="15" hidden="false" customHeight="false" outlineLevel="0" collapsed="false">
      <c r="A571" s="0" t="s">
        <v>14</v>
      </c>
      <c r="B571" s="0" t="s">
        <v>1246</v>
      </c>
      <c r="C571" s="0" t="s">
        <v>5548</v>
      </c>
    </row>
    <row r="572" customFormat="false" ht="15" hidden="false" customHeight="false" outlineLevel="0" collapsed="false">
      <c r="A572" s="0" t="s">
        <v>14</v>
      </c>
      <c r="B572" s="0" t="s">
        <v>1252</v>
      </c>
      <c r="C572" s="0" t="s">
        <v>5541</v>
      </c>
      <c r="D572" s="0" t="s">
        <v>1249</v>
      </c>
    </row>
    <row r="573" customFormat="false" ht="15" hidden="false" customHeight="false" outlineLevel="0" collapsed="false">
      <c r="A573" s="0" t="s">
        <v>14</v>
      </c>
      <c r="B573" s="0" t="s">
        <v>1252</v>
      </c>
      <c r="C573" s="0" t="s">
        <v>5547</v>
      </c>
    </row>
    <row r="574" customFormat="false" ht="15" hidden="false" customHeight="false" outlineLevel="0" collapsed="false">
      <c r="A574" s="0" t="s">
        <v>14</v>
      </c>
      <c r="B574" s="0" t="s">
        <v>1252</v>
      </c>
      <c r="C574" s="0" t="s">
        <v>5548</v>
      </c>
    </row>
    <row r="575" customFormat="false" ht="15" hidden="false" customHeight="false" outlineLevel="0" collapsed="false">
      <c r="A575" s="0" t="s">
        <v>14</v>
      </c>
      <c r="B575" s="0" t="s">
        <v>1255</v>
      </c>
      <c r="C575" s="0" t="s">
        <v>5541</v>
      </c>
      <c r="D575" s="0" t="s">
        <v>1258</v>
      </c>
    </row>
    <row r="576" customFormat="false" ht="15" hidden="false" customHeight="false" outlineLevel="0" collapsed="false">
      <c r="A576" s="0" t="s">
        <v>14</v>
      </c>
      <c r="B576" s="0" t="s">
        <v>1255</v>
      </c>
      <c r="C576" s="0" t="s">
        <v>5547</v>
      </c>
    </row>
    <row r="577" customFormat="false" ht="15" hidden="false" customHeight="false" outlineLevel="0" collapsed="false">
      <c r="A577" s="0" t="s">
        <v>14</v>
      </c>
      <c r="B577" s="0" t="s">
        <v>1255</v>
      </c>
      <c r="C577" s="0" t="s">
        <v>5548</v>
      </c>
    </row>
    <row r="578" customFormat="false" ht="15" hidden="false" customHeight="false" outlineLevel="0" collapsed="false">
      <c r="A578" s="0" t="s">
        <v>14</v>
      </c>
      <c r="B578" s="0" t="s">
        <v>1259</v>
      </c>
      <c r="C578" s="0" t="s">
        <v>5541</v>
      </c>
      <c r="D578" s="0" t="s">
        <v>1262</v>
      </c>
    </row>
    <row r="579" customFormat="false" ht="15" hidden="false" customHeight="false" outlineLevel="0" collapsed="false">
      <c r="A579" s="0" t="s">
        <v>14</v>
      </c>
      <c r="B579" s="0" t="s">
        <v>1259</v>
      </c>
      <c r="C579" s="0" t="s">
        <v>5547</v>
      </c>
    </row>
    <row r="580" customFormat="false" ht="15" hidden="false" customHeight="false" outlineLevel="0" collapsed="false">
      <c r="A580" s="0" t="s">
        <v>14</v>
      </c>
      <c r="B580" s="0" t="s">
        <v>1259</v>
      </c>
      <c r="C580" s="0" t="s">
        <v>5548</v>
      </c>
    </row>
    <row r="581" customFormat="false" ht="15" hidden="false" customHeight="false" outlineLevel="0" collapsed="false">
      <c r="A581" s="0" t="s">
        <v>14</v>
      </c>
      <c r="B581" s="0" t="s">
        <v>1263</v>
      </c>
      <c r="C581" s="0" t="s">
        <v>5541</v>
      </c>
      <c r="D581" s="0" t="s">
        <v>1258</v>
      </c>
    </row>
    <row r="582" customFormat="false" ht="15" hidden="false" customHeight="false" outlineLevel="0" collapsed="false">
      <c r="A582" s="0" t="s">
        <v>14</v>
      </c>
      <c r="B582" s="0" t="s">
        <v>1263</v>
      </c>
      <c r="C582" s="0" t="s">
        <v>5547</v>
      </c>
    </row>
    <row r="583" customFormat="false" ht="15" hidden="false" customHeight="false" outlineLevel="0" collapsed="false">
      <c r="A583" s="0" t="s">
        <v>14</v>
      </c>
      <c r="B583" s="0" t="s">
        <v>1263</v>
      </c>
      <c r="C583" s="0" t="s">
        <v>5548</v>
      </c>
    </row>
    <row r="584" customFormat="false" ht="15" hidden="false" customHeight="false" outlineLevel="0" collapsed="false">
      <c r="A584" s="0" t="s">
        <v>14</v>
      </c>
      <c r="B584" s="0" t="s">
        <v>1266</v>
      </c>
      <c r="C584" s="0" t="s">
        <v>5541</v>
      </c>
      <c r="D584" s="0" t="n">
        <v>600</v>
      </c>
    </row>
    <row r="585" customFormat="false" ht="15" hidden="false" customHeight="false" outlineLevel="0" collapsed="false">
      <c r="A585" s="0" t="s">
        <v>14</v>
      </c>
      <c r="B585" s="0" t="s">
        <v>1266</v>
      </c>
      <c r="C585" s="0" t="s">
        <v>5547</v>
      </c>
    </row>
    <row r="586" customFormat="false" ht="15" hidden="false" customHeight="false" outlineLevel="0" collapsed="false">
      <c r="A586" s="0" t="s">
        <v>14</v>
      </c>
      <c r="B586" s="0" t="s">
        <v>1266</v>
      </c>
      <c r="C586" s="0" t="s">
        <v>5548</v>
      </c>
    </row>
    <row r="587" customFormat="false" ht="15" hidden="false" customHeight="false" outlineLevel="0" collapsed="false">
      <c r="A587" s="0" t="s">
        <v>14</v>
      </c>
      <c r="B587" s="0" t="s">
        <v>1270</v>
      </c>
      <c r="C587" s="0" t="s">
        <v>5541</v>
      </c>
      <c r="D587" s="0" t="n">
        <v>1250</v>
      </c>
    </row>
    <row r="588" customFormat="false" ht="15" hidden="false" customHeight="false" outlineLevel="0" collapsed="false">
      <c r="A588" s="0" t="s">
        <v>14</v>
      </c>
      <c r="B588" s="0" t="s">
        <v>1270</v>
      </c>
      <c r="C588" s="0" t="s">
        <v>5547</v>
      </c>
    </row>
    <row r="589" customFormat="false" ht="15" hidden="false" customHeight="false" outlineLevel="0" collapsed="false">
      <c r="A589" s="0" t="s">
        <v>14</v>
      </c>
      <c r="B589" s="0" t="s">
        <v>1270</v>
      </c>
      <c r="C589" s="0" t="s">
        <v>5548</v>
      </c>
    </row>
    <row r="590" customFormat="false" ht="15" hidden="false" customHeight="false" outlineLevel="0" collapsed="false">
      <c r="A590" s="0" t="s">
        <v>14</v>
      </c>
      <c r="B590" s="0" t="s">
        <v>1272</v>
      </c>
      <c r="C590" s="0" t="s">
        <v>5541</v>
      </c>
      <c r="D590" s="0" t="n">
        <v>1500</v>
      </c>
    </row>
    <row r="591" customFormat="false" ht="15" hidden="false" customHeight="false" outlineLevel="0" collapsed="false">
      <c r="A591" s="0" t="s">
        <v>14</v>
      </c>
      <c r="B591" s="0" t="s">
        <v>1272</v>
      </c>
      <c r="C591" s="0" t="s">
        <v>5547</v>
      </c>
    </row>
    <row r="592" customFormat="false" ht="15" hidden="false" customHeight="false" outlineLevel="0" collapsed="false">
      <c r="A592" s="0" t="s">
        <v>14</v>
      </c>
      <c r="B592" s="0" t="s">
        <v>1272</v>
      </c>
      <c r="C592" s="0" t="s">
        <v>5548</v>
      </c>
    </row>
    <row r="593" customFormat="false" ht="15" hidden="false" customHeight="false" outlineLevel="0" collapsed="false">
      <c r="A593" s="0" t="s">
        <v>14</v>
      </c>
      <c r="B593" s="0" t="s">
        <v>1273</v>
      </c>
      <c r="C593" s="0" t="s">
        <v>5541</v>
      </c>
      <c r="D593" s="0" t="n">
        <v>1700</v>
      </c>
    </row>
    <row r="594" customFormat="false" ht="15" hidden="false" customHeight="false" outlineLevel="0" collapsed="false">
      <c r="A594" s="0" t="s">
        <v>14</v>
      </c>
      <c r="B594" s="0" t="s">
        <v>1273</v>
      </c>
      <c r="C594" s="0" t="s">
        <v>5547</v>
      </c>
    </row>
    <row r="595" customFormat="false" ht="15" hidden="false" customHeight="false" outlineLevel="0" collapsed="false">
      <c r="A595" s="0" t="s">
        <v>14</v>
      </c>
      <c r="B595" s="0" t="s">
        <v>1273</v>
      </c>
      <c r="C595" s="0" t="s">
        <v>5548</v>
      </c>
    </row>
    <row r="596" customFormat="false" ht="15" hidden="false" customHeight="false" outlineLevel="0" collapsed="false">
      <c r="A596" s="0" t="s">
        <v>14</v>
      </c>
      <c r="B596" s="0" t="s">
        <v>1274</v>
      </c>
      <c r="C596" s="0" t="s">
        <v>5541</v>
      </c>
      <c r="D596" s="0" t="n">
        <v>1850</v>
      </c>
    </row>
    <row r="597" customFormat="false" ht="15" hidden="false" customHeight="false" outlineLevel="0" collapsed="false">
      <c r="A597" s="0" t="s">
        <v>14</v>
      </c>
      <c r="B597" s="0" t="s">
        <v>1274</v>
      </c>
      <c r="C597" s="0" t="s">
        <v>5547</v>
      </c>
    </row>
    <row r="598" customFormat="false" ht="15" hidden="false" customHeight="false" outlineLevel="0" collapsed="false">
      <c r="A598" s="0" t="s">
        <v>14</v>
      </c>
      <c r="B598" s="0" t="s">
        <v>1274</v>
      </c>
      <c r="C598" s="0" t="s">
        <v>5548</v>
      </c>
    </row>
    <row r="599" customFormat="false" ht="15" hidden="false" customHeight="false" outlineLevel="0" collapsed="false">
      <c r="A599" s="0" t="s">
        <v>14</v>
      </c>
      <c r="B599" s="0" t="s">
        <v>1275</v>
      </c>
      <c r="C599" s="0" t="s">
        <v>5541</v>
      </c>
      <c r="D599" s="0" t="n">
        <v>0.8</v>
      </c>
    </row>
    <row r="600" customFormat="false" ht="15" hidden="false" customHeight="false" outlineLevel="0" collapsed="false">
      <c r="A600" s="0" t="s">
        <v>14</v>
      </c>
      <c r="B600" s="0" t="s">
        <v>1275</v>
      </c>
      <c r="C600" s="0" t="s">
        <v>5547</v>
      </c>
    </row>
    <row r="601" customFormat="false" ht="15" hidden="false" customHeight="false" outlineLevel="0" collapsed="false">
      <c r="A601" s="0" t="s">
        <v>14</v>
      </c>
      <c r="B601" s="0" t="s">
        <v>1275</v>
      </c>
      <c r="C601" s="0" t="s">
        <v>5548</v>
      </c>
    </row>
    <row r="602" customFormat="false" ht="15" hidden="false" customHeight="false" outlineLevel="0" collapsed="false">
      <c r="A602" s="0" t="s">
        <v>14</v>
      </c>
      <c r="B602" s="0" t="s">
        <v>1278</v>
      </c>
      <c r="C602" s="0" t="s">
        <v>5541</v>
      </c>
      <c r="D602" s="0" t="n">
        <v>1.2</v>
      </c>
    </row>
    <row r="603" customFormat="false" ht="15" hidden="false" customHeight="false" outlineLevel="0" collapsed="false">
      <c r="A603" s="0" t="s">
        <v>14</v>
      </c>
      <c r="B603" s="0" t="s">
        <v>1278</v>
      </c>
      <c r="C603" s="0" t="s">
        <v>5547</v>
      </c>
    </row>
    <row r="604" customFormat="false" ht="15" hidden="false" customHeight="false" outlineLevel="0" collapsed="false">
      <c r="A604" s="0" t="s">
        <v>14</v>
      </c>
      <c r="B604" s="0" t="s">
        <v>1278</v>
      </c>
      <c r="C604" s="0" t="s">
        <v>5548</v>
      </c>
    </row>
    <row r="605" customFormat="false" ht="15" hidden="false" customHeight="false" outlineLevel="0" collapsed="false">
      <c r="A605" s="0" t="s">
        <v>14</v>
      </c>
      <c r="B605" s="0" t="s">
        <v>1280</v>
      </c>
      <c r="C605" s="0" t="s">
        <v>5541</v>
      </c>
      <c r="D605" s="0" t="n">
        <v>2</v>
      </c>
    </row>
    <row r="606" customFormat="false" ht="15" hidden="false" customHeight="false" outlineLevel="0" collapsed="false">
      <c r="A606" s="0" t="s">
        <v>14</v>
      </c>
      <c r="B606" s="0" t="s">
        <v>1280</v>
      </c>
      <c r="C606" s="0" t="s">
        <v>5547</v>
      </c>
    </row>
    <row r="607" customFormat="false" ht="15" hidden="false" customHeight="false" outlineLevel="0" collapsed="false">
      <c r="A607" s="0" t="s">
        <v>14</v>
      </c>
      <c r="B607" s="0" t="s">
        <v>1280</v>
      </c>
      <c r="C607" s="0" t="s">
        <v>5548</v>
      </c>
    </row>
    <row r="608" customFormat="false" ht="15" hidden="false" customHeight="false" outlineLevel="0" collapsed="false">
      <c r="A608" s="0" t="s">
        <v>14</v>
      </c>
      <c r="B608" s="0" t="s">
        <v>1283</v>
      </c>
      <c r="C608" s="0" t="s">
        <v>5541</v>
      </c>
      <c r="D608" s="0" t="n">
        <v>10</v>
      </c>
    </row>
    <row r="609" customFormat="false" ht="15" hidden="false" customHeight="false" outlineLevel="0" collapsed="false">
      <c r="A609" s="0" t="s">
        <v>14</v>
      </c>
      <c r="B609" s="0" t="s">
        <v>1283</v>
      </c>
      <c r="C609" s="0" t="s">
        <v>5547</v>
      </c>
    </row>
    <row r="610" customFormat="false" ht="15" hidden="false" customHeight="false" outlineLevel="0" collapsed="false">
      <c r="A610" s="0" t="s">
        <v>14</v>
      </c>
      <c r="B610" s="0" t="s">
        <v>1283</v>
      </c>
      <c r="C610" s="0" t="s">
        <v>5548</v>
      </c>
    </row>
    <row r="611" customFormat="false" ht="15" hidden="false" customHeight="false" outlineLevel="0" collapsed="false">
      <c r="A611" s="0" t="s">
        <v>14</v>
      </c>
      <c r="B611" s="0" t="s">
        <v>1284</v>
      </c>
      <c r="C611" s="0" t="s">
        <v>5541</v>
      </c>
      <c r="D611" s="0" t="n">
        <v>22</v>
      </c>
    </row>
    <row r="612" customFormat="false" ht="15" hidden="false" customHeight="false" outlineLevel="0" collapsed="false">
      <c r="A612" s="0" t="s">
        <v>14</v>
      </c>
      <c r="B612" s="0" t="s">
        <v>1284</v>
      </c>
      <c r="C612" s="0" t="s">
        <v>5547</v>
      </c>
    </row>
    <row r="613" customFormat="false" ht="15" hidden="false" customHeight="false" outlineLevel="0" collapsed="false">
      <c r="A613" s="0" t="s">
        <v>14</v>
      </c>
      <c r="B613" s="0" t="s">
        <v>1284</v>
      </c>
      <c r="C613" s="0" t="s">
        <v>5548</v>
      </c>
    </row>
    <row r="614" customFormat="false" ht="15" hidden="false" customHeight="false" outlineLevel="0" collapsed="false">
      <c r="A614" s="0" t="s">
        <v>14</v>
      </c>
      <c r="B614" s="0" t="s">
        <v>1285</v>
      </c>
      <c r="C614" s="0" t="s">
        <v>5541</v>
      </c>
      <c r="D614" s="0" t="n">
        <v>35</v>
      </c>
    </row>
    <row r="615" customFormat="false" ht="15" hidden="false" customHeight="false" outlineLevel="0" collapsed="false">
      <c r="A615" s="0" t="s">
        <v>14</v>
      </c>
      <c r="B615" s="0" t="s">
        <v>1285</v>
      </c>
      <c r="C615" s="0" t="s">
        <v>5547</v>
      </c>
    </row>
    <row r="616" customFormat="false" ht="15" hidden="false" customHeight="false" outlineLevel="0" collapsed="false">
      <c r="A616" s="0" t="s">
        <v>14</v>
      </c>
      <c r="B616" s="0" t="s">
        <v>1285</v>
      </c>
      <c r="C616" s="0" t="s">
        <v>5548</v>
      </c>
    </row>
    <row r="617" customFormat="false" ht="15" hidden="false" customHeight="false" outlineLevel="0" collapsed="false">
      <c r="A617" s="0" t="s">
        <v>14</v>
      </c>
      <c r="B617" s="0" t="s">
        <v>1286</v>
      </c>
      <c r="C617" s="0" t="s">
        <v>5541</v>
      </c>
      <c r="D617" s="0" t="n">
        <v>45</v>
      </c>
    </row>
    <row r="618" customFormat="false" ht="15" hidden="false" customHeight="false" outlineLevel="0" collapsed="false">
      <c r="A618" s="0" t="s">
        <v>14</v>
      </c>
      <c r="B618" s="0" t="s">
        <v>1286</v>
      </c>
      <c r="C618" s="0" t="s">
        <v>5547</v>
      </c>
    </row>
    <row r="619" customFormat="false" ht="15" hidden="false" customHeight="false" outlineLevel="0" collapsed="false">
      <c r="A619" s="0" t="s">
        <v>14</v>
      </c>
      <c r="B619" s="0" t="s">
        <v>1286</v>
      </c>
      <c r="C619" s="0" t="s">
        <v>5548</v>
      </c>
    </row>
    <row r="620" customFormat="false" ht="15" hidden="false" customHeight="false" outlineLevel="0" collapsed="false">
      <c r="A620" s="0" t="s">
        <v>14</v>
      </c>
      <c r="B620" s="0" t="s">
        <v>1287</v>
      </c>
      <c r="C620" s="0" t="s">
        <v>5541</v>
      </c>
      <c r="D620" s="0" t="n">
        <v>55</v>
      </c>
    </row>
    <row r="621" customFormat="false" ht="15" hidden="false" customHeight="false" outlineLevel="0" collapsed="false">
      <c r="A621" s="0" t="s">
        <v>14</v>
      </c>
      <c r="B621" s="0" t="s">
        <v>1287</v>
      </c>
      <c r="C621" s="0" t="s">
        <v>5547</v>
      </c>
    </row>
    <row r="622" customFormat="false" ht="15" hidden="false" customHeight="false" outlineLevel="0" collapsed="false">
      <c r="A622" s="0" t="s">
        <v>14</v>
      </c>
      <c r="B622" s="0" t="s">
        <v>1287</v>
      </c>
      <c r="C622" s="0" t="s">
        <v>5548</v>
      </c>
    </row>
    <row r="623" customFormat="false" ht="15" hidden="false" customHeight="false" outlineLevel="0" collapsed="false">
      <c r="A623" s="0" t="s">
        <v>14</v>
      </c>
      <c r="B623" s="0" t="s">
        <v>1288</v>
      </c>
      <c r="C623" s="0" t="s">
        <v>5541</v>
      </c>
      <c r="D623" s="0" t="n">
        <v>0.6</v>
      </c>
    </row>
    <row r="624" customFormat="false" ht="15" hidden="false" customHeight="false" outlineLevel="0" collapsed="false">
      <c r="A624" s="0" t="s">
        <v>14</v>
      </c>
      <c r="B624" s="0" t="s">
        <v>1288</v>
      </c>
      <c r="C624" s="0" t="s">
        <v>5547</v>
      </c>
    </row>
    <row r="625" customFormat="false" ht="15" hidden="false" customHeight="false" outlineLevel="0" collapsed="false">
      <c r="A625" s="0" t="s">
        <v>14</v>
      </c>
      <c r="B625" s="0" t="s">
        <v>1288</v>
      </c>
      <c r="C625" s="0" t="s">
        <v>5548</v>
      </c>
    </row>
    <row r="626" customFormat="false" ht="15" hidden="false" customHeight="false" outlineLevel="0" collapsed="false">
      <c r="A626" s="0" t="s">
        <v>14</v>
      </c>
      <c r="B626" s="0" t="s">
        <v>1290</v>
      </c>
      <c r="C626" s="0" t="s">
        <v>5541</v>
      </c>
      <c r="D626" s="0" t="n">
        <v>1.5</v>
      </c>
    </row>
    <row r="627" customFormat="false" ht="15" hidden="false" customHeight="false" outlineLevel="0" collapsed="false">
      <c r="A627" s="0" t="s">
        <v>14</v>
      </c>
      <c r="B627" s="0" t="s">
        <v>1290</v>
      </c>
      <c r="C627" s="0" t="s">
        <v>5547</v>
      </c>
    </row>
    <row r="628" customFormat="false" ht="15" hidden="false" customHeight="false" outlineLevel="0" collapsed="false">
      <c r="A628" s="0" t="s">
        <v>14</v>
      </c>
      <c r="B628" s="0" t="s">
        <v>1290</v>
      </c>
      <c r="C628" s="0" t="s">
        <v>5548</v>
      </c>
    </row>
    <row r="629" customFormat="false" ht="15" hidden="false" customHeight="false" outlineLevel="0" collapsed="false">
      <c r="A629" s="0" t="s">
        <v>14</v>
      </c>
      <c r="B629" s="0" t="s">
        <v>1292</v>
      </c>
      <c r="C629" s="0" t="s">
        <v>5541</v>
      </c>
      <c r="D629" s="0" t="n">
        <v>46</v>
      </c>
    </row>
    <row r="630" customFormat="false" ht="15" hidden="false" customHeight="false" outlineLevel="0" collapsed="false">
      <c r="A630" s="0" t="s">
        <v>14</v>
      </c>
      <c r="B630" s="0" t="s">
        <v>1292</v>
      </c>
      <c r="C630" s="0" t="s">
        <v>5547</v>
      </c>
    </row>
    <row r="631" customFormat="false" ht="15" hidden="false" customHeight="false" outlineLevel="0" collapsed="false">
      <c r="A631" s="0" t="s">
        <v>14</v>
      </c>
      <c r="B631" s="0" t="s">
        <v>1292</v>
      </c>
      <c r="C631" s="0" t="s">
        <v>5548</v>
      </c>
    </row>
    <row r="632" customFormat="false" ht="15" hidden="false" customHeight="false" outlineLevel="0" collapsed="false">
      <c r="A632" s="0" t="s">
        <v>14</v>
      </c>
      <c r="B632" s="0" t="s">
        <v>1295</v>
      </c>
      <c r="C632" s="0" t="s">
        <v>5541</v>
      </c>
      <c r="D632" s="0" t="n">
        <v>52</v>
      </c>
    </row>
    <row r="633" customFormat="false" ht="15" hidden="false" customHeight="false" outlineLevel="0" collapsed="false">
      <c r="A633" s="0" t="s">
        <v>14</v>
      </c>
      <c r="B633" s="0" t="s">
        <v>1295</v>
      </c>
      <c r="C633" s="0" t="s">
        <v>5547</v>
      </c>
    </row>
    <row r="634" customFormat="false" ht="15" hidden="false" customHeight="false" outlineLevel="0" collapsed="false">
      <c r="A634" s="0" t="s">
        <v>14</v>
      </c>
      <c r="B634" s="0" t="s">
        <v>1295</v>
      </c>
      <c r="C634" s="0" t="s">
        <v>5548</v>
      </c>
    </row>
    <row r="635" customFormat="false" ht="15" hidden="false" customHeight="false" outlineLevel="0" collapsed="false">
      <c r="A635" s="0" t="s">
        <v>14</v>
      </c>
      <c r="B635" s="0" t="s">
        <v>1296</v>
      </c>
      <c r="C635" s="0" t="s">
        <v>5541</v>
      </c>
      <c r="D635" s="0" t="n">
        <v>57</v>
      </c>
    </row>
    <row r="636" customFormat="false" ht="15" hidden="false" customHeight="false" outlineLevel="0" collapsed="false">
      <c r="A636" s="0" t="s">
        <v>14</v>
      </c>
      <c r="B636" s="0" t="s">
        <v>1296</v>
      </c>
      <c r="C636" s="0" t="s">
        <v>5547</v>
      </c>
    </row>
    <row r="637" customFormat="false" ht="15" hidden="false" customHeight="false" outlineLevel="0" collapsed="false">
      <c r="A637" s="0" t="s">
        <v>14</v>
      </c>
      <c r="B637" s="0" t="s">
        <v>1296</v>
      </c>
      <c r="C637" s="0" t="s">
        <v>5548</v>
      </c>
    </row>
    <row r="638" customFormat="false" ht="15" hidden="false" customHeight="false" outlineLevel="0" collapsed="false">
      <c r="A638" s="0" t="s">
        <v>14</v>
      </c>
      <c r="B638" s="0" t="s">
        <v>1297</v>
      </c>
      <c r="C638" s="0" t="s">
        <v>5541</v>
      </c>
      <c r="D638" s="0" t="n">
        <v>61</v>
      </c>
    </row>
    <row r="639" customFormat="false" ht="15" hidden="false" customHeight="false" outlineLevel="0" collapsed="false">
      <c r="A639" s="0" t="s">
        <v>14</v>
      </c>
      <c r="B639" s="0" t="s">
        <v>1297</v>
      </c>
      <c r="C639" s="0" t="s">
        <v>5547</v>
      </c>
    </row>
    <row r="640" customFormat="false" ht="15" hidden="false" customHeight="false" outlineLevel="0" collapsed="false">
      <c r="A640" s="0" t="s">
        <v>14</v>
      </c>
      <c r="B640" s="0" t="s">
        <v>1297</v>
      </c>
      <c r="C640" s="0" t="s">
        <v>5548</v>
      </c>
    </row>
    <row r="641" customFormat="false" ht="15" hidden="false" customHeight="false" outlineLevel="0" collapsed="false">
      <c r="A641" s="0" t="s">
        <v>14</v>
      </c>
      <c r="B641" s="0" t="s">
        <v>1298</v>
      </c>
      <c r="C641" s="0" t="s">
        <v>5541</v>
      </c>
      <c r="D641" s="0" t="n">
        <v>64</v>
      </c>
    </row>
    <row r="642" customFormat="false" ht="15" hidden="false" customHeight="false" outlineLevel="0" collapsed="false">
      <c r="A642" s="0" t="s">
        <v>14</v>
      </c>
      <c r="B642" s="0" t="s">
        <v>1298</v>
      </c>
      <c r="C642" s="0" t="s">
        <v>5547</v>
      </c>
    </row>
    <row r="643" customFormat="false" ht="15" hidden="false" customHeight="false" outlineLevel="0" collapsed="false">
      <c r="A643" s="0" t="s">
        <v>14</v>
      </c>
      <c r="B643" s="0" t="s">
        <v>1298</v>
      </c>
      <c r="C643" s="0" t="s">
        <v>5548</v>
      </c>
    </row>
    <row r="644" customFormat="false" ht="15" hidden="false" customHeight="false" outlineLevel="0" collapsed="false">
      <c r="A644" s="0" t="s">
        <v>14</v>
      </c>
      <c r="B644" s="0" t="s">
        <v>1299</v>
      </c>
      <c r="C644" s="0" t="s">
        <v>5541</v>
      </c>
      <c r="D644" s="0" t="n">
        <v>0.85</v>
      </c>
    </row>
    <row r="645" customFormat="false" ht="15" hidden="false" customHeight="false" outlineLevel="0" collapsed="false">
      <c r="A645" s="0" t="s">
        <v>14</v>
      </c>
      <c r="B645" s="0" t="s">
        <v>1299</v>
      </c>
      <c r="C645" s="0" t="s">
        <v>5547</v>
      </c>
    </row>
    <row r="646" customFormat="false" ht="15" hidden="false" customHeight="false" outlineLevel="0" collapsed="false">
      <c r="A646" s="0" t="s">
        <v>14</v>
      </c>
      <c r="B646" s="0" t="s">
        <v>1299</v>
      </c>
      <c r="C646" s="0" t="s">
        <v>5548</v>
      </c>
    </row>
    <row r="647" customFormat="false" ht="15" hidden="false" customHeight="false" outlineLevel="0" collapsed="false">
      <c r="A647" s="0" t="s">
        <v>14</v>
      </c>
      <c r="B647" s="0" t="s">
        <v>1301</v>
      </c>
      <c r="C647" s="0" t="s">
        <v>5541</v>
      </c>
      <c r="D647" s="0" t="n">
        <v>1.15</v>
      </c>
    </row>
    <row r="648" customFormat="false" ht="15" hidden="false" customHeight="false" outlineLevel="0" collapsed="false">
      <c r="A648" s="0" t="s">
        <v>14</v>
      </c>
      <c r="B648" s="0" t="s">
        <v>1301</v>
      </c>
      <c r="C648" s="0" t="s">
        <v>5547</v>
      </c>
    </row>
    <row r="649" customFormat="false" ht="15" hidden="false" customHeight="false" outlineLevel="0" collapsed="false">
      <c r="A649" s="0" t="s">
        <v>14</v>
      </c>
      <c r="B649" s="0" t="s">
        <v>1301</v>
      </c>
      <c r="C649" s="0" t="s">
        <v>5548</v>
      </c>
    </row>
    <row r="650" customFormat="false" ht="15" hidden="false" customHeight="false" outlineLevel="0" collapsed="false">
      <c r="A650" s="0" t="s">
        <v>14</v>
      </c>
      <c r="B650" s="0" t="s">
        <v>1303</v>
      </c>
      <c r="C650" s="0" t="s">
        <v>5541</v>
      </c>
      <c r="D650" s="0" t="n">
        <v>3</v>
      </c>
    </row>
    <row r="651" customFormat="false" ht="15" hidden="false" customHeight="false" outlineLevel="0" collapsed="false">
      <c r="A651" s="0" t="s">
        <v>14</v>
      </c>
      <c r="B651" s="0" t="s">
        <v>1303</v>
      </c>
      <c r="C651" s="0" t="s">
        <v>5547</v>
      </c>
    </row>
    <row r="652" customFormat="false" ht="15" hidden="false" customHeight="false" outlineLevel="0" collapsed="false">
      <c r="A652" s="0" t="s">
        <v>14</v>
      </c>
      <c r="B652" s="0" t="s">
        <v>1303</v>
      </c>
      <c r="C652" s="0" t="s">
        <v>5548</v>
      </c>
    </row>
    <row r="653" customFormat="false" ht="15" hidden="false" customHeight="false" outlineLevel="0" collapsed="false">
      <c r="A653" s="0" t="s">
        <v>14</v>
      </c>
      <c r="B653" s="0" t="s">
        <v>1306</v>
      </c>
      <c r="C653" s="0" t="s">
        <v>5541</v>
      </c>
      <c r="D653" s="0" t="n">
        <v>14</v>
      </c>
    </row>
    <row r="654" customFormat="false" ht="15" hidden="false" customHeight="false" outlineLevel="0" collapsed="false">
      <c r="A654" s="0" t="s">
        <v>14</v>
      </c>
      <c r="B654" s="0" t="s">
        <v>1306</v>
      </c>
      <c r="C654" s="0" t="s">
        <v>5547</v>
      </c>
    </row>
    <row r="655" customFormat="false" ht="15" hidden="false" customHeight="false" outlineLevel="0" collapsed="false">
      <c r="A655" s="0" t="s">
        <v>14</v>
      </c>
      <c r="B655" s="0" t="s">
        <v>1306</v>
      </c>
      <c r="C655" s="0" t="s">
        <v>5548</v>
      </c>
    </row>
    <row r="656" customFormat="false" ht="15" hidden="false" customHeight="false" outlineLevel="0" collapsed="false">
      <c r="A656" s="0" t="s">
        <v>14</v>
      </c>
      <c r="B656" s="0" t="s">
        <v>1307</v>
      </c>
      <c r="C656" s="0" t="s">
        <v>5541</v>
      </c>
      <c r="D656" s="0" t="n">
        <v>26</v>
      </c>
    </row>
    <row r="657" customFormat="false" ht="15" hidden="false" customHeight="false" outlineLevel="0" collapsed="false">
      <c r="A657" s="0" t="s">
        <v>14</v>
      </c>
      <c r="B657" s="0" t="s">
        <v>1307</v>
      </c>
      <c r="C657" s="0" t="s">
        <v>5547</v>
      </c>
    </row>
    <row r="658" customFormat="false" ht="15" hidden="false" customHeight="false" outlineLevel="0" collapsed="false">
      <c r="A658" s="0" t="s">
        <v>14</v>
      </c>
      <c r="B658" s="0" t="s">
        <v>1307</v>
      </c>
      <c r="C658" s="0" t="s">
        <v>5548</v>
      </c>
    </row>
    <row r="659" customFormat="false" ht="15" hidden="false" customHeight="false" outlineLevel="0" collapsed="false">
      <c r="A659" s="0" t="s">
        <v>14</v>
      </c>
      <c r="B659" s="0" t="s">
        <v>1308</v>
      </c>
      <c r="C659" s="0" t="s">
        <v>5541</v>
      </c>
      <c r="D659" s="0" t="n">
        <v>38</v>
      </c>
    </row>
    <row r="660" customFormat="false" ht="15" hidden="false" customHeight="false" outlineLevel="0" collapsed="false">
      <c r="A660" s="0" t="s">
        <v>14</v>
      </c>
      <c r="B660" s="0" t="s">
        <v>1308</v>
      </c>
      <c r="C660" s="0" t="s">
        <v>5547</v>
      </c>
    </row>
    <row r="661" customFormat="false" ht="15" hidden="false" customHeight="false" outlineLevel="0" collapsed="false">
      <c r="A661" s="0" t="s">
        <v>14</v>
      </c>
      <c r="B661" s="0" t="s">
        <v>1308</v>
      </c>
      <c r="C661" s="0" t="s">
        <v>5548</v>
      </c>
    </row>
    <row r="662" customFormat="false" ht="15" hidden="false" customHeight="false" outlineLevel="0" collapsed="false">
      <c r="A662" s="0" t="s">
        <v>14</v>
      </c>
      <c r="B662" s="0" t="s">
        <v>1309</v>
      </c>
      <c r="C662" s="0" t="s">
        <v>5541</v>
      </c>
      <c r="D662" s="0" t="n">
        <v>48</v>
      </c>
    </row>
    <row r="663" customFormat="false" ht="15" hidden="false" customHeight="false" outlineLevel="0" collapsed="false">
      <c r="A663" s="0" t="s">
        <v>14</v>
      </c>
      <c r="B663" s="0" t="s">
        <v>1309</v>
      </c>
      <c r="C663" s="0" t="s">
        <v>5547</v>
      </c>
    </row>
    <row r="664" customFormat="false" ht="15" hidden="false" customHeight="false" outlineLevel="0" collapsed="false">
      <c r="A664" s="0" t="s">
        <v>14</v>
      </c>
      <c r="B664" s="0" t="s">
        <v>1309</v>
      </c>
      <c r="C664" s="0" t="s">
        <v>5548</v>
      </c>
    </row>
    <row r="665" customFormat="false" ht="15" hidden="false" customHeight="false" outlineLevel="0" collapsed="false">
      <c r="A665" s="0" t="s">
        <v>14</v>
      </c>
      <c r="B665" s="0" t="s">
        <v>1310</v>
      </c>
      <c r="C665" s="0" t="s">
        <v>5541</v>
      </c>
      <c r="D665" s="0" t="n">
        <v>56</v>
      </c>
    </row>
    <row r="666" customFormat="false" ht="15" hidden="false" customHeight="false" outlineLevel="0" collapsed="false">
      <c r="A666" s="0" t="s">
        <v>14</v>
      </c>
      <c r="B666" s="0" t="s">
        <v>1310</v>
      </c>
      <c r="C666" s="0" t="s">
        <v>5547</v>
      </c>
    </row>
    <row r="667" customFormat="false" ht="15" hidden="false" customHeight="false" outlineLevel="0" collapsed="false">
      <c r="A667" s="0" t="s">
        <v>14</v>
      </c>
      <c r="B667" s="0" t="s">
        <v>1310</v>
      </c>
      <c r="C667" s="0" t="s">
        <v>5548</v>
      </c>
    </row>
    <row r="668" customFormat="false" ht="15" hidden="false" customHeight="false" outlineLevel="0" collapsed="false">
      <c r="A668" s="0" t="s">
        <v>14</v>
      </c>
      <c r="B668" s="0" t="s">
        <v>1311</v>
      </c>
      <c r="C668" s="0" t="s">
        <v>5541</v>
      </c>
      <c r="D668" s="0" t="n">
        <v>0.7</v>
      </c>
    </row>
    <row r="669" customFormat="false" ht="15" hidden="false" customHeight="false" outlineLevel="0" collapsed="false">
      <c r="A669" s="0" t="s">
        <v>14</v>
      </c>
      <c r="B669" s="0" t="s">
        <v>1311</v>
      </c>
      <c r="C669" s="0" t="s">
        <v>5547</v>
      </c>
    </row>
    <row r="670" customFormat="false" ht="15" hidden="false" customHeight="false" outlineLevel="0" collapsed="false">
      <c r="A670" s="0" t="s">
        <v>14</v>
      </c>
      <c r="B670" s="0" t="s">
        <v>1311</v>
      </c>
      <c r="C670" s="0" t="s">
        <v>5548</v>
      </c>
    </row>
    <row r="671" customFormat="false" ht="15" hidden="false" customHeight="false" outlineLevel="0" collapsed="false">
      <c r="A671" s="0" t="s">
        <v>14</v>
      </c>
      <c r="B671" s="0" t="s">
        <v>1313</v>
      </c>
      <c r="C671" s="0" t="s">
        <v>5541</v>
      </c>
      <c r="D671" s="0" t="n">
        <v>1.3</v>
      </c>
    </row>
    <row r="672" customFormat="false" ht="15" hidden="false" customHeight="false" outlineLevel="0" collapsed="false">
      <c r="A672" s="0" t="s">
        <v>14</v>
      </c>
      <c r="B672" s="0" t="s">
        <v>1313</v>
      </c>
      <c r="C672" s="0" t="s">
        <v>5547</v>
      </c>
    </row>
    <row r="673" customFormat="false" ht="15" hidden="false" customHeight="false" outlineLevel="0" collapsed="false">
      <c r="A673" s="0" t="s">
        <v>14</v>
      </c>
      <c r="B673" s="0" t="s">
        <v>1313</v>
      </c>
      <c r="C673" s="0" t="s">
        <v>5548</v>
      </c>
    </row>
    <row r="674" customFormat="false" ht="15" hidden="false" customHeight="false" outlineLevel="0" collapsed="false">
      <c r="A674" s="0" t="s">
        <v>14</v>
      </c>
      <c r="B674" s="0" t="s">
        <v>1315</v>
      </c>
      <c r="C674" s="0" t="s">
        <v>5541</v>
      </c>
      <c r="D674" s="0" t="n">
        <v>6</v>
      </c>
    </row>
    <row r="675" customFormat="false" ht="15" hidden="false" customHeight="false" outlineLevel="0" collapsed="false">
      <c r="A675" s="0" t="s">
        <v>14</v>
      </c>
      <c r="B675" s="0" t="s">
        <v>1315</v>
      </c>
      <c r="C675" s="0" t="s">
        <v>5547</v>
      </c>
      <c r="D675" s="0" t="n">
        <v>4</v>
      </c>
    </row>
    <row r="676" customFormat="false" ht="15" hidden="false" customHeight="false" outlineLevel="0" collapsed="false">
      <c r="A676" s="0" t="s">
        <v>14</v>
      </c>
      <c r="B676" s="0" t="s">
        <v>1315</v>
      </c>
      <c r="C676" s="0" t="s">
        <v>5548</v>
      </c>
      <c r="D676" s="0" t="n">
        <v>8</v>
      </c>
    </row>
    <row r="677" customFormat="false" ht="15" hidden="false" customHeight="false" outlineLevel="0" collapsed="false">
      <c r="A677" s="0" t="s">
        <v>14</v>
      </c>
      <c r="B677" s="0" t="s">
        <v>1319</v>
      </c>
      <c r="C677" s="0" t="s">
        <v>5541</v>
      </c>
      <c r="D677" s="0" t="n">
        <v>19.5</v>
      </c>
    </row>
    <row r="678" customFormat="false" ht="15" hidden="false" customHeight="false" outlineLevel="0" collapsed="false">
      <c r="A678" s="0" t="s">
        <v>14</v>
      </c>
      <c r="B678" s="0" t="s">
        <v>1319</v>
      </c>
      <c r="C678" s="0" t="s">
        <v>5547</v>
      </c>
      <c r="D678" s="0" t="n">
        <v>18</v>
      </c>
    </row>
    <row r="679" customFormat="false" ht="15" hidden="false" customHeight="false" outlineLevel="0" collapsed="false">
      <c r="A679" s="0" t="s">
        <v>14</v>
      </c>
      <c r="B679" s="0" t="s">
        <v>1319</v>
      </c>
      <c r="C679" s="0" t="s">
        <v>5548</v>
      </c>
      <c r="D679" s="0" t="n">
        <v>20</v>
      </c>
    </row>
    <row r="680" customFormat="false" ht="15" hidden="false" customHeight="false" outlineLevel="0" collapsed="false">
      <c r="A680" s="0" t="s">
        <v>14</v>
      </c>
      <c r="B680" s="0" t="s">
        <v>1322</v>
      </c>
      <c r="C680" s="0" t="s">
        <v>5541</v>
      </c>
      <c r="D680" s="0" t="n">
        <v>19</v>
      </c>
    </row>
    <row r="681" customFormat="false" ht="15" hidden="false" customHeight="false" outlineLevel="0" collapsed="false">
      <c r="A681" s="0" t="s">
        <v>14</v>
      </c>
      <c r="B681" s="0" t="s">
        <v>1322</v>
      </c>
      <c r="C681" s="0" t="s">
        <v>5547</v>
      </c>
      <c r="D681" s="0" t="n">
        <v>17</v>
      </c>
    </row>
    <row r="682" customFormat="false" ht="15" hidden="false" customHeight="false" outlineLevel="0" collapsed="false">
      <c r="A682" s="0" t="s">
        <v>14</v>
      </c>
      <c r="B682" s="0" t="s">
        <v>1322</v>
      </c>
      <c r="C682" s="0" t="s">
        <v>5548</v>
      </c>
      <c r="D682" s="0" t="n">
        <v>20</v>
      </c>
    </row>
    <row r="683" customFormat="false" ht="15" hidden="false" customHeight="false" outlineLevel="0" collapsed="false">
      <c r="A683" s="0" t="s">
        <v>14</v>
      </c>
      <c r="B683" s="0" t="s">
        <v>1324</v>
      </c>
      <c r="C683" s="0" t="s">
        <v>5541</v>
      </c>
      <c r="D683" s="0" t="n">
        <v>200</v>
      </c>
    </row>
    <row r="684" customFormat="false" ht="15" hidden="false" customHeight="false" outlineLevel="0" collapsed="false">
      <c r="A684" s="0" t="s">
        <v>14</v>
      </c>
      <c r="B684" s="0" t="s">
        <v>1324</v>
      </c>
      <c r="C684" s="0" t="s">
        <v>5547</v>
      </c>
      <c r="D684" s="0" t="n">
        <v>200</v>
      </c>
    </row>
    <row r="685" customFormat="false" ht="15" hidden="false" customHeight="false" outlineLevel="0" collapsed="false">
      <c r="A685" s="0" t="s">
        <v>14</v>
      </c>
      <c r="B685" s="0" t="s">
        <v>1324</v>
      </c>
      <c r="C685" s="0" t="s">
        <v>5548</v>
      </c>
      <c r="D685" s="0" t="n">
        <v>200</v>
      </c>
    </row>
    <row r="686" customFormat="false" ht="15" hidden="false" customHeight="false" outlineLevel="0" collapsed="false">
      <c r="A686" s="0" t="s">
        <v>14</v>
      </c>
      <c r="B686" s="0" t="s">
        <v>1327</v>
      </c>
      <c r="C686" s="0" t="s">
        <v>5541</v>
      </c>
      <c r="D686" s="0" t="n">
        <v>150</v>
      </c>
    </row>
    <row r="687" customFormat="false" ht="15" hidden="false" customHeight="false" outlineLevel="0" collapsed="false">
      <c r="A687" s="0" t="s">
        <v>14</v>
      </c>
      <c r="B687" s="0" t="s">
        <v>1327</v>
      </c>
      <c r="C687" s="0" t="s">
        <v>5547</v>
      </c>
      <c r="D687" s="0" t="n">
        <v>120</v>
      </c>
    </row>
    <row r="688" customFormat="false" ht="15" hidden="false" customHeight="false" outlineLevel="0" collapsed="false">
      <c r="A688" s="0" t="s">
        <v>14</v>
      </c>
      <c r="B688" s="0" t="s">
        <v>1327</v>
      </c>
      <c r="C688" s="0" t="s">
        <v>5548</v>
      </c>
      <c r="D688" s="0" t="n">
        <v>190</v>
      </c>
    </row>
    <row r="689" customFormat="false" ht="15" hidden="false" customHeight="false" outlineLevel="0" collapsed="false">
      <c r="A689" s="0" t="s">
        <v>14</v>
      </c>
      <c r="B689" s="0" t="s">
        <v>1328</v>
      </c>
      <c r="C689" s="0" t="s">
        <v>5541</v>
      </c>
      <c r="D689" s="0" t="n">
        <v>30</v>
      </c>
    </row>
    <row r="690" customFormat="false" ht="15" hidden="false" customHeight="false" outlineLevel="0" collapsed="false">
      <c r="A690" s="0" t="s">
        <v>14</v>
      </c>
      <c r="B690" s="0" t="s">
        <v>1328</v>
      </c>
      <c r="C690" s="0" t="s">
        <v>5547</v>
      </c>
      <c r="D690" s="0" t="n">
        <v>22</v>
      </c>
    </row>
    <row r="691" customFormat="false" ht="15" hidden="false" customHeight="false" outlineLevel="0" collapsed="false">
      <c r="A691" s="0" t="s">
        <v>14</v>
      </c>
      <c r="B691" s="0" t="s">
        <v>1328</v>
      </c>
      <c r="C691" s="0" t="s">
        <v>5548</v>
      </c>
      <c r="D691" s="0" t="n">
        <v>45</v>
      </c>
    </row>
    <row r="692" customFormat="false" ht="15" hidden="false" customHeight="false" outlineLevel="0" collapsed="false">
      <c r="A692" s="0" t="s">
        <v>14</v>
      </c>
      <c r="B692" s="0" t="s">
        <v>1331</v>
      </c>
      <c r="C692" s="0" t="s">
        <v>5541</v>
      </c>
      <c r="D692" s="0" t="n">
        <v>1.7</v>
      </c>
    </row>
    <row r="693" customFormat="false" ht="15" hidden="false" customHeight="false" outlineLevel="0" collapsed="false">
      <c r="A693" s="0" t="s">
        <v>14</v>
      </c>
      <c r="B693" s="0" t="s">
        <v>1331</v>
      </c>
      <c r="C693" s="0" t="s">
        <v>5547</v>
      </c>
    </row>
    <row r="694" customFormat="false" ht="15" hidden="false" customHeight="false" outlineLevel="0" collapsed="false">
      <c r="A694" s="0" t="s">
        <v>14</v>
      </c>
      <c r="B694" s="0" t="s">
        <v>1331</v>
      </c>
      <c r="C694" s="0" t="s">
        <v>5548</v>
      </c>
    </row>
    <row r="695" customFormat="false" ht="15" hidden="false" customHeight="false" outlineLevel="0" collapsed="false">
      <c r="A695" s="0" t="s">
        <v>14</v>
      </c>
      <c r="B695" s="0" t="s">
        <v>1336</v>
      </c>
      <c r="C695" s="0" t="s">
        <v>5541</v>
      </c>
      <c r="D695" s="0" t="n">
        <v>1.7</v>
      </c>
    </row>
    <row r="696" customFormat="false" ht="15" hidden="false" customHeight="false" outlineLevel="0" collapsed="false">
      <c r="A696" s="0" t="s">
        <v>14</v>
      </c>
      <c r="B696" s="0" t="s">
        <v>1336</v>
      </c>
      <c r="C696" s="0" t="s">
        <v>5547</v>
      </c>
    </row>
    <row r="697" customFormat="false" ht="15" hidden="false" customHeight="false" outlineLevel="0" collapsed="false">
      <c r="A697" s="0" t="s">
        <v>14</v>
      </c>
      <c r="B697" s="0" t="s">
        <v>1336</v>
      </c>
      <c r="C697" s="0" t="s">
        <v>5548</v>
      </c>
    </row>
    <row r="698" customFormat="false" ht="15" hidden="false" customHeight="false" outlineLevel="0" collapsed="false">
      <c r="A698" s="0" t="s">
        <v>14</v>
      </c>
      <c r="B698" s="0" t="s">
        <v>1337</v>
      </c>
      <c r="C698" s="0" t="s">
        <v>5541</v>
      </c>
      <c r="D698" s="0" t="n">
        <v>5.3</v>
      </c>
    </row>
    <row r="699" customFormat="false" ht="15" hidden="false" customHeight="false" outlineLevel="0" collapsed="false">
      <c r="A699" s="0" t="s">
        <v>14</v>
      </c>
      <c r="B699" s="0" t="s">
        <v>1337</v>
      </c>
      <c r="C699" s="0" t="s">
        <v>5547</v>
      </c>
    </row>
    <row r="700" customFormat="false" ht="15" hidden="false" customHeight="false" outlineLevel="0" collapsed="false">
      <c r="A700" s="0" t="s">
        <v>14</v>
      </c>
      <c r="B700" s="0" t="s">
        <v>1337</v>
      </c>
      <c r="C700" s="0" t="s">
        <v>5548</v>
      </c>
    </row>
    <row r="701" customFormat="false" ht="15" hidden="false" customHeight="false" outlineLevel="0" collapsed="false">
      <c r="A701" s="0" t="s">
        <v>14</v>
      </c>
      <c r="B701" s="0" t="s">
        <v>1340</v>
      </c>
      <c r="C701" s="0" t="s">
        <v>5541</v>
      </c>
      <c r="D701" s="0" t="n">
        <v>5.7</v>
      </c>
    </row>
    <row r="702" customFormat="false" ht="15" hidden="false" customHeight="false" outlineLevel="0" collapsed="false">
      <c r="A702" s="0" t="s">
        <v>14</v>
      </c>
      <c r="B702" s="0" t="s">
        <v>1340</v>
      </c>
      <c r="C702" s="0" t="s">
        <v>5547</v>
      </c>
    </row>
    <row r="703" customFormat="false" ht="15" hidden="false" customHeight="false" outlineLevel="0" collapsed="false">
      <c r="A703" s="0" t="s">
        <v>14</v>
      </c>
      <c r="B703" s="0" t="s">
        <v>1340</v>
      </c>
      <c r="C703" s="0" t="s">
        <v>5548</v>
      </c>
    </row>
    <row r="704" customFormat="false" ht="15" hidden="false" customHeight="false" outlineLevel="0" collapsed="false">
      <c r="A704" s="0" t="s">
        <v>14</v>
      </c>
      <c r="B704" s="0" t="s">
        <v>1341</v>
      </c>
      <c r="C704" s="0" t="s">
        <v>5541</v>
      </c>
      <c r="D704" s="0" t="n">
        <v>13.4</v>
      </c>
    </row>
    <row r="705" customFormat="false" ht="15" hidden="false" customHeight="false" outlineLevel="0" collapsed="false">
      <c r="A705" s="0" t="s">
        <v>14</v>
      </c>
      <c r="B705" s="0" t="s">
        <v>1341</v>
      </c>
      <c r="C705" s="0" t="s">
        <v>5547</v>
      </c>
    </row>
    <row r="706" customFormat="false" ht="15" hidden="false" customHeight="false" outlineLevel="0" collapsed="false">
      <c r="A706" s="0" t="s">
        <v>14</v>
      </c>
      <c r="B706" s="0" t="s">
        <v>1341</v>
      </c>
      <c r="C706" s="0" t="s">
        <v>5548</v>
      </c>
    </row>
    <row r="707" customFormat="false" ht="15" hidden="false" customHeight="false" outlineLevel="0" collapsed="false">
      <c r="A707" s="0" t="s">
        <v>14</v>
      </c>
      <c r="B707" s="0" t="s">
        <v>1344</v>
      </c>
      <c r="C707" s="0" t="s">
        <v>5541</v>
      </c>
      <c r="D707" s="0" t="n">
        <v>17.9</v>
      </c>
    </row>
    <row r="708" customFormat="false" ht="15" hidden="false" customHeight="false" outlineLevel="0" collapsed="false">
      <c r="A708" s="0" t="s">
        <v>14</v>
      </c>
      <c r="B708" s="0" t="s">
        <v>1344</v>
      </c>
      <c r="C708" s="0" t="s">
        <v>5547</v>
      </c>
    </row>
    <row r="709" customFormat="false" ht="15" hidden="false" customHeight="false" outlineLevel="0" collapsed="false">
      <c r="A709" s="0" t="s">
        <v>14</v>
      </c>
      <c r="B709" s="0" t="s">
        <v>1344</v>
      </c>
      <c r="C709" s="0" t="s">
        <v>5548</v>
      </c>
    </row>
    <row r="710" customFormat="false" ht="15" hidden="false" customHeight="false" outlineLevel="0" collapsed="false">
      <c r="A710" s="0" t="s">
        <v>14</v>
      </c>
      <c r="B710" s="0" t="s">
        <v>1345</v>
      </c>
      <c r="C710" s="0" t="s">
        <v>5541</v>
      </c>
      <c r="D710" s="0" t="n">
        <v>41</v>
      </c>
    </row>
    <row r="711" customFormat="false" ht="15" hidden="false" customHeight="false" outlineLevel="0" collapsed="false">
      <c r="A711" s="0" t="s">
        <v>14</v>
      </c>
      <c r="B711" s="0" t="s">
        <v>1345</v>
      </c>
      <c r="C711" s="0" t="s">
        <v>5547</v>
      </c>
    </row>
    <row r="712" customFormat="false" ht="15" hidden="false" customHeight="false" outlineLevel="0" collapsed="false">
      <c r="A712" s="0" t="s">
        <v>14</v>
      </c>
      <c r="B712" s="0" t="s">
        <v>1345</v>
      </c>
      <c r="C712" s="0" t="s">
        <v>5548</v>
      </c>
    </row>
    <row r="713" customFormat="false" ht="15" hidden="false" customHeight="false" outlineLevel="0" collapsed="false">
      <c r="A713" s="0" t="s">
        <v>14</v>
      </c>
      <c r="B713" s="0" t="s">
        <v>1348</v>
      </c>
      <c r="C713" s="0" t="s">
        <v>5541</v>
      </c>
      <c r="D713" s="0" t="n">
        <v>51.4</v>
      </c>
    </row>
    <row r="714" customFormat="false" ht="15" hidden="false" customHeight="false" outlineLevel="0" collapsed="false">
      <c r="A714" s="0" t="s">
        <v>14</v>
      </c>
      <c r="B714" s="0" t="s">
        <v>1348</v>
      </c>
      <c r="C714" s="0" t="s">
        <v>5547</v>
      </c>
    </row>
    <row r="715" customFormat="false" ht="15" hidden="false" customHeight="false" outlineLevel="0" collapsed="false">
      <c r="A715" s="0" t="s">
        <v>14</v>
      </c>
      <c r="B715" s="0" t="s">
        <v>1348</v>
      </c>
      <c r="C715" s="0" t="s">
        <v>5548</v>
      </c>
    </row>
    <row r="716" customFormat="false" ht="15" hidden="false" customHeight="false" outlineLevel="0" collapsed="false">
      <c r="A716" s="0" t="s">
        <v>14</v>
      </c>
      <c r="B716" s="0" t="s">
        <v>1349</v>
      </c>
      <c r="C716" s="0" t="s">
        <v>5541</v>
      </c>
      <c r="D716" s="0" t="n">
        <v>10.7</v>
      </c>
    </row>
    <row r="717" customFormat="false" ht="15" hidden="false" customHeight="false" outlineLevel="0" collapsed="false">
      <c r="A717" s="0" t="s">
        <v>14</v>
      </c>
      <c r="B717" s="0" t="s">
        <v>1349</v>
      </c>
      <c r="C717" s="0" t="s">
        <v>5547</v>
      </c>
    </row>
    <row r="718" customFormat="false" ht="15" hidden="false" customHeight="false" outlineLevel="0" collapsed="false">
      <c r="A718" s="0" t="s">
        <v>14</v>
      </c>
      <c r="B718" s="0" t="s">
        <v>1349</v>
      </c>
      <c r="C718" s="0" t="s">
        <v>5548</v>
      </c>
    </row>
    <row r="719" customFormat="false" ht="15" hidden="false" customHeight="false" outlineLevel="0" collapsed="false">
      <c r="A719" s="0" t="s">
        <v>14</v>
      </c>
      <c r="B719" s="0" t="s">
        <v>1352</v>
      </c>
      <c r="C719" s="0" t="s">
        <v>5541</v>
      </c>
      <c r="D719" s="0" t="n">
        <v>14.3</v>
      </c>
    </row>
    <row r="720" customFormat="false" ht="15" hidden="false" customHeight="false" outlineLevel="0" collapsed="false">
      <c r="A720" s="0" t="s">
        <v>14</v>
      </c>
      <c r="B720" s="0" t="s">
        <v>1352</v>
      </c>
      <c r="C720" s="0" t="s">
        <v>5547</v>
      </c>
    </row>
    <row r="721" customFormat="false" ht="15" hidden="false" customHeight="false" outlineLevel="0" collapsed="false">
      <c r="A721" s="0" t="s">
        <v>14</v>
      </c>
      <c r="B721" s="0" t="s">
        <v>1352</v>
      </c>
      <c r="C721" s="0" t="s">
        <v>5548</v>
      </c>
    </row>
    <row r="722" customFormat="false" ht="15" hidden="false" customHeight="false" outlineLevel="0" collapsed="false">
      <c r="A722" s="0" t="s">
        <v>14</v>
      </c>
      <c r="B722" s="0" t="s">
        <v>1353</v>
      </c>
      <c r="C722" s="0" t="s">
        <v>5541</v>
      </c>
      <c r="D722" s="0" t="n">
        <v>2</v>
      </c>
    </row>
    <row r="723" customFormat="false" ht="15" hidden="false" customHeight="false" outlineLevel="0" collapsed="false">
      <c r="A723" s="0" t="s">
        <v>14</v>
      </c>
      <c r="B723" s="0" t="s">
        <v>1353</v>
      </c>
      <c r="C723" s="0" t="s">
        <v>5547</v>
      </c>
    </row>
    <row r="724" customFormat="false" ht="15" hidden="false" customHeight="false" outlineLevel="0" collapsed="false">
      <c r="A724" s="0" t="s">
        <v>14</v>
      </c>
      <c r="B724" s="0" t="s">
        <v>1353</v>
      </c>
      <c r="C724" s="0" t="s">
        <v>5548</v>
      </c>
    </row>
    <row r="725" customFormat="false" ht="15" hidden="false" customHeight="false" outlineLevel="0" collapsed="false">
      <c r="A725" s="0" t="s">
        <v>14</v>
      </c>
      <c r="B725" s="0" t="s">
        <v>1356</v>
      </c>
      <c r="C725" s="0" t="s">
        <v>5541</v>
      </c>
      <c r="D725" s="0" t="n">
        <v>2.94</v>
      </c>
    </row>
    <row r="726" customFormat="false" ht="15" hidden="false" customHeight="false" outlineLevel="0" collapsed="false">
      <c r="A726" s="0" t="s">
        <v>14</v>
      </c>
      <c r="B726" s="0" t="s">
        <v>1356</v>
      </c>
      <c r="C726" s="0" t="s">
        <v>5547</v>
      </c>
    </row>
    <row r="727" customFormat="false" ht="15" hidden="false" customHeight="false" outlineLevel="0" collapsed="false">
      <c r="A727" s="0" t="s">
        <v>14</v>
      </c>
      <c r="B727" s="0" t="s">
        <v>1356</v>
      </c>
      <c r="C727" s="0" t="s">
        <v>5548</v>
      </c>
    </row>
    <row r="728" customFormat="false" ht="15" hidden="false" customHeight="false" outlineLevel="0" collapsed="false">
      <c r="A728" s="0" t="s">
        <v>14</v>
      </c>
      <c r="B728" s="0" t="s">
        <v>1357</v>
      </c>
      <c r="C728" s="0" t="s">
        <v>5541</v>
      </c>
      <c r="D728" s="0" t="n">
        <v>3</v>
      </c>
    </row>
    <row r="729" customFormat="false" ht="15" hidden="false" customHeight="false" outlineLevel="0" collapsed="false">
      <c r="A729" s="0" t="s">
        <v>14</v>
      </c>
      <c r="B729" s="0" t="s">
        <v>1357</v>
      </c>
      <c r="C729" s="0" t="s">
        <v>5547</v>
      </c>
    </row>
    <row r="730" customFormat="false" ht="15" hidden="false" customHeight="false" outlineLevel="0" collapsed="false">
      <c r="A730" s="0" t="s">
        <v>14</v>
      </c>
      <c r="B730" s="0" t="s">
        <v>1357</v>
      </c>
      <c r="C730" s="0" t="s">
        <v>5548</v>
      </c>
    </row>
    <row r="731" customFormat="false" ht="15" hidden="false" customHeight="false" outlineLevel="0" collapsed="false">
      <c r="A731" s="0" t="s">
        <v>14</v>
      </c>
      <c r="B731" s="0" t="s">
        <v>1360</v>
      </c>
      <c r="C731" s="0" t="s">
        <v>5541</v>
      </c>
      <c r="D731" s="0" t="n">
        <v>4.39</v>
      </c>
    </row>
    <row r="732" customFormat="false" ht="15" hidden="false" customHeight="false" outlineLevel="0" collapsed="false">
      <c r="A732" s="0" t="s">
        <v>14</v>
      </c>
      <c r="B732" s="0" t="s">
        <v>1360</v>
      </c>
      <c r="C732" s="0" t="s">
        <v>5547</v>
      </c>
    </row>
    <row r="733" customFormat="false" ht="15" hidden="false" customHeight="false" outlineLevel="0" collapsed="false">
      <c r="A733" s="0" t="s">
        <v>14</v>
      </c>
      <c r="B733" s="0" t="s">
        <v>1360</v>
      </c>
      <c r="C733" s="0" t="s">
        <v>5548</v>
      </c>
    </row>
    <row r="734" customFormat="false" ht="15" hidden="false" customHeight="false" outlineLevel="0" collapsed="false">
      <c r="A734" s="0" t="s">
        <v>14</v>
      </c>
      <c r="B734" s="0" t="s">
        <v>1361</v>
      </c>
      <c r="C734" s="0" t="s">
        <v>5541</v>
      </c>
      <c r="D734" s="0" t="n">
        <v>4</v>
      </c>
    </row>
    <row r="735" customFormat="false" ht="15" hidden="false" customHeight="false" outlineLevel="0" collapsed="false">
      <c r="A735" s="0" t="s">
        <v>14</v>
      </c>
      <c r="B735" s="0" t="s">
        <v>1361</v>
      </c>
      <c r="C735" s="0" t="s">
        <v>5547</v>
      </c>
    </row>
    <row r="736" customFormat="false" ht="15" hidden="false" customHeight="false" outlineLevel="0" collapsed="false">
      <c r="A736" s="0" t="s">
        <v>14</v>
      </c>
      <c r="B736" s="0" t="s">
        <v>1361</v>
      </c>
      <c r="C736" s="0" t="s">
        <v>5548</v>
      </c>
    </row>
    <row r="737" customFormat="false" ht="15" hidden="false" customHeight="false" outlineLevel="0" collapsed="false">
      <c r="A737" s="0" t="s">
        <v>14</v>
      </c>
      <c r="B737" s="0" t="s">
        <v>1364</v>
      </c>
      <c r="C737" s="0" t="s">
        <v>5541</v>
      </c>
      <c r="D737" s="0" t="n">
        <v>6.15</v>
      </c>
    </row>
    <row r="738" customFormat="false" ht="15" hidden="false" customHeight="false" outlineLevel="0" collapsed="false">
      <c r="A738" s="0" t="s">
        <v>14</v>
      </c>
      <c r="B738" s="0" t="s">
        <v>1364</v>
      </c>
      <c r="C738" s="0" t="s">
        <v>5547</v>
      </c>
    </row>
    <row r="739" customFormat="false" ht="15" hidden="false" customHeight="false" outlineLevel="0" collapsed="false">
      <c r="A739" s="0" t="s">
        <v>14</v>
      </c>
      <c r="B739" s="0" t="s">
        <v>1364</v>
      </c>
      <c r="C739" s="0" t="s">
        <v>5548</v>
      </c>
    </row>
    <row r="740" customFormat="false" ht="15" hidden="false" customHeight="false" outlineLevel="0" collapsed="false">
      <c r="A740" s="0" t="s">
        <v>14</v>
      </c>
      <c r="B740" s="0" t="s">
        <v>1365</v>
      </c>
      <c r="C740" s="0" t="s">
        <v>5541</v>
      </c>
      <c r="D740" s="0" t="n">
        <v>10</v>
      </c>
    </row>
    <row r="741" customFormat="false" ht="15" hidden="false" customHeight="false" outlineLevel="0" collapsed="false">
      <c r="A741" s="0" t="s">
        <v>14</v>
      </c>
      <c r="B741" s="0" t="s">
        <v>1365</v>
      </c>
      <c r="C741" s="0" t="s">
        <v>5547</v>
      </c>
    </row>
    <row r="742" customFormat="false" ht="15" hidden="false" customHeight="false" outlineLevel="0" collapsed="false">
      <c r="A742" s="0" t="s">
        <v>14</v>
      </c>
      <c r="B742" s="0" t="s">
        <v>1365</v>
      </c>
      <c r="C742" s="0" t="s">
        <v>5548</v>
      </c>
    </row>
    <row r="743" customFormat="false" ht="15" hidden="false" customHeight="false" outlineLevel="0" collapsed="false">
      <c r="A743" s="0" t="s">
        <v>14</v>
      </c>
      <c r="B743" s="0" t="s">
        <v>1368</v>
      </c>
      <c r="C743" s="0" t="s">
        <v>5541</v>
      </c>
      <c r="D743" s="0" t="n">
        <v>15.6</v>
      </c>
    </row>
    <row r="744" customFormat="false" ht="15" hidden="false" customHeight="false" outlineLevel="0" collapsed="false">
      <c r="A744" s="0" t="s">
        <v>14</v>
      </c>
      <c r="B744" s="0" t="s">
        <v>1368</v>
      </c>
      <c r="C744" s="0" t="s">
        <v>5547</v>
      </c>
    </row>
    <row r="745" customFormat="false" ht="15" hidden="false" customHeight="false" outlineLevel="0" collapsed="false">
      <c r="A745" s="0" t="s">
        <v>14</v>
      </c>
      <c r="B745" s="0" t="s">
        <v>1368</v>
      </c>
      <c r="C745" s="0" t="s">
        <v>5548</v>
      </c>
    </row>
    <row r="746" customFormat="false" ht="15" hidden="false" customHeight="false" outlineLevel="0" collapsed="false">
      <c r="A746" s="0" t="s">
        <v>14</v>
      </c>
      <c r="B746" s="0" t="s">
        <v>1369</v>
      </c>
      <c r="C746" s="0" t="s">
        <v>5541</v>
      </c>
      <c r="D746" s="0" t="n">
        <v>4</v>
      </c>
    </row>
    <row r="747" customFormat="false" ht="15" hidden="false" customHeight="false" outlineLevel="0" collapsed="false">
      <c r="A747" s="0" t="s">
        <v>14</v>
      </c>
      <c r="B747" s="0" t="s">
        <v>1369</v>
      </c>
      <c r="C747" s="0" t="s">
        <v>5547</v>
      </c>
    </row>
    <row r="748" customFormat="false" ht="15" hidden="false" customHeight="false" outlineLevel="0" collapsed="false">
      <c r="A748" s="0" t="s">
        <v>14</v>
      </c>
      <c r="B748" s="0" t="s">
        <v>1369</v>
      </c>
      <c r="C748" s="0" t="s">
        <v>5548</v>
      </c>
    </row>
    <row r="749" customFormat="false" ht="15" hidden="false" customHeight="false" outlineLevel="0" collapsed="false">
      <c r="A749" s="0" t="s">
        <v>14</v>
      </c>
      <c r="B749" s="0" t="s">
        <v>1372</v>
      </c>
      <c r="C749" s="0" t="s">
        <v>5541</v>
      </c>
      <c r="D749" s="0" t="n">
        <v>5.94</v>
      </c>
    </row>
    <row r="750" customFormat="false" ht="15" hidden="false" customHeight="false" outlineLevel="0" collapsed="false">
      <c r="A750" s="0" t="s">
        <v>14</v>
      </c>
      <c r="B750" s="0" t="s">
        <v>1372</v>
      </c>
      <c r="C750" s="0" t="s">
        <v>5547</v>
      </c>
    </row>
    <row r="751" customFormat="false" ht="15" hidden="false" customHeight="false" outlineLevel="0" collapsed="false">
      <c r="A751" s="0" t="s">
        <v>14</v>
      </c>
      <c r="B751" s="0" t="s">
        <v>1372</v>
      </c>
      <c r="C751" s="0" t="s">
        <v>5548</v>
      </c>
    </row>
    <row r="752" customFormat="false" ht="15" hidden="false" customHeight="false" outlineLevel="0" collapsed="false">
      <c r="A752" s="0" t="s">
        <v>14</v>
      </c>
      <c r="B752" s="0" t="s">
        <v>1373</v>
      </c>
      <c r="C752" s="0" t="s">
        <v>5541</v>
      </c>
      <c r="D752" s="0" t="n">
        <v>0.1</v>
      </c>
    </row>
    <row r="753" customFormat="false" ht="15" hidden="false" customHeight="false" outlineLevel="0" collapsed="false">
      <c r="A753" s="0" t="s">
        <v>14</v>
      </c>
      <c r="B753" s="0" t="s">
        <v>1373</v>
      </c>
      <c r="C753" s="0" t="s">
        <v>5547</v>
      </c>
      <c r="D753" s="0" t="n">
        <v>0.05</v>
      </c>
    </row>
    <row r="754" customFormat="false" ht="15" hidden="false" customHeight="false" outlineLevel="0" collapsed="false">
      <c r="A754" s="0" t="s">
        <v>14</v>
      </c>
      <c r="B754" s="0" t="s">
        <v>1373</v>
      </c>
      <c r="C754" s="0" t="s">
        <v>5548</v>
      </c>
      <c r="D754" s="0" t="n">
        <v>0.2</v>
      </c>
    </row>
    <row r="755" customFormat="false" ht="15" hidden="false" customHeight="false" outlineLevel="0" collapsed="false">
      <c r="A755" s="0" t="s">
        <v>14</v>
      </c>
      <c r="B755" s="0" t="s">
        <v>1376</v>
      </c>
      <c r="C755" s="0" t="s">
        <v>5541</v>
      </c>
      <c r="D755" s="0" t="n">
        <v>0.15</v>
      </c>
    </row>
    <row r="756" customFormat="false" ht="15" hidden="false" customHeight="false" outlineLevel="0" collapsed="false">
      <c r="A756" s="0" t="s">
        <v>14</v>
      </c>
      <c r="B756" s="0" t="s">
        <v>1376</v>
      </c>
      <c r="C756" s="0" t="s">
        <v>5547</v>
      </c>
      <c r="D756" s="0" t="n">
        <v>0.1</v>
      </c>
    </row>
    <row r="757" customFormat="false" ht="15" hidden="false" customHeight="false" outlineLevel="0" collapsed="false">
      <c r="A757" s="0" t="s">
        <v>14</v>
      </c>
      <c r="B757" s="0" t="s">
        <v>1376</v>
      </c>
      <c r="C757" s="0" t="s">
        <v>5548</v>
      </c>
      <c r="D757" s="0" t="n">
        <v>0.25</v>
      </c>
    </row>
    <row r="758" customFormat="false" ht="15" hidden="false" customHeight="false" outlineLevel="0" collapsed="false">
      <c r="A758" s="0" t="s">
        <v>14</v>
      </c>
      <c r="B758" s="0" t="s">
        <v>1380</v>
      </c>
      <c r="C758" s="0" t="s">
        <v>5541</v>
      </c>
      <c r="D758" s="0" t="n">
        <v>0</v>
      </c>
    </row>
    <row r="759" customFormat="false" ht="15" hidden="false" customHeight="false" outlineLevel="0" collapsed="false">
      <c r="A759" s="0" t="s">
        <v>14</v>
      </c>
      <c r="B759" s="0" t="s">
        <v>1380</v>
      </c>
      <c r="C759" s="0" t="s">
        <v>5547</v>
      </c>
      <c r="D759" s="0" t="n">
        <v>0</v>
      </c>
    </row>
    <row r="760" customFormat="false" ht="15" hidden="false" customHeight="false" outlineLevel="0" collapsed="false">
      <c r="A760" s="0" t="s">
        <v>14</v>
      </c>
      <c r="B760" s="0" t="s">
        <v>1380</v>
      </c>
      <c r="C760" s="0" t="s">
        <v>5548</v>
      </c>
      <c r="D760" s="0" t="n">
        <v>0</v>
      </c>
    </row>
    <row r="761" customFormat="false" ht="15" hidden="false" customHeight="false" outlineLevel="0" collapsed="false">
      <c r="A761" s="0" t="s">
        <v>14</v>
      </c>
      <c r="B761" s="0" t="s">
        <v>1385</v>
      </c>
      <c r="C761" s="0" t="s">
        <v>5541</v>
      </c>
      <c r="D761" s="0" t="n">
        <v>0.25</v>
      </c>
    </row>
    <row r="762" customFormat="false" ht="15" hidden="false" customHeight="false" outlineLevel="0" collapsed="false">
      <c r="A762" s="0" t="s">
        <v>14</v>
      </c>
      <c r="B762" s="0" t="s">
        <v>1385</v>
      </c>
      <c r="C762" s="0" t="s">
        <v>5547</v>
      </c>
      <c r="D762" s="0" t="n">
        <v>0.15</v>
      </c>
    </row>
    <row r="763" customFormat="false" ht="15" hidden="false" customHeight="false" outlineLevel="0" collapsed="false">
      <c r="A763" s="0" t="s">
        <v>14</v>
      </c>
      <c r="B763" s="0" t="s">
        <v>1385</v>
      </c>
      <c r="C763" s="0" t="s">
        <v>5548</v>
      </c>
      <c r="D763" s="0" t="n">
        <v>0.35</v>
      </c>
    </row>
    <row r="764" customFormat="false" ht="15" hidden="false" customHeight="false" outlineLevel="0" collapsed="false">
      <c r="A764" s="0" t="s">
        <v>14</v>
      </c>
      <c r="B764" s="0" t="s">
        <v>1386</v>
      </c>
      <c r="C764" s="0" t="s">
        <v>5541</v>
      </c>
      <c r="D764" s="0" t="n">
        <v>0.35</v>
      </c>
    </row>
    <row r="765" customFormat="false" ht="15" hidden="false" customHeight="false" outlineLevel="0" collapsed="false">
      <c r="A765" s="0" t="s">
        <v>14</v>
      </c>
      <c r="B765" s="0" t="s">
        <v>1386</v>
      </c>
      <c r="C765" s="0" t="s">
        <v>5547</v>
      </c>
      <c r="D765" s="0" t="n">
        <v>0.25</v>
      </c>
    </row>
    <row r="766" customFormat="false" ht="15" hidden="false" customHeight="false" outlineLevel="0" collapsed="false">
      <c r="A766" s="0" t="s">
        <v>14</v>
      </c>
      <c r="B766" s="0" t="s">
        <v>1386</v>
      </c>
      <c r="C766" s="0" t="s">
        <v>5548</v>
      </c>
      <c r="D766" s="0" t="n">
        <v>0.5</v>
      </c>
    </row>
    <row r="767" customFormat="false" ht="15" hidden="false" customHeight="false" outlineLevel="0" collapsed="false">
      <c r="A767" s="0" t="s">
        <v>14</v>
      </c>
      <c r="B767" s="0" t="s">
        <v>1387</v>
      </c>
      <c r="C767" s="0" t="s">
        <v>5541</v>
      </c>
      <c r="D767" s="0" t="n">
        <v>0.4</v>
      </c>
    </row>
    <row r="768" customFormat="false" ht="15" hidden="false" customHeight="false" outlineLevel="0" collapsed="false">
      <c r="A768" s="0" t="s">
        <v>14</v>
      </c>
      <c r="B768" s="0" t="s">
        <v>1387</v>
      </c>
      <c r="C768" s="0" t="s">
        <v>5547</v>
      </c>
      <c r="D768" s="0" t="n">
        <v>0.3</v>
      </c>
    </row>
    <row r="769" customFormat="false" ht="15" hidden="false" customHeight="false" outlineLevel="0" collapsed="false">
      <c r="A769" s="0" t="s">
        <v>14</v>
      </c>
      <c r="B769" s="0" t="s">
        <v>1387</v>
      </c>
      <c r="C769" s="0" t="s">
        <v>5548</v>
      </c>
      <c r="D769" s="0" t="n">
        <v>0.6</v>
      </c>
    </row>
    <row r="770" customFormat="false" ht="15" hidden="false" customHeight="false" outlineLevel="0" collapsed="false">
      <c r="A770" s="0" t="s">
        <v>14</v>
      </c>
      <c r="B770" s="0" t="s">
        <v>1388</v>
      </c>
      <c r="C770" s="0" t="s">
        <v>5541</v>
      </c>
      <c r="D770" s="0" t="n">
        <v>0.45</v>
      </c>
    </row>
    <row r="771" customFormat="false" ht="15" hidden="false" customHeight="false" outlineLevel="0" collapsed="false">
      <c r="A771" s="0" t="s">
        <v>14</v>
      </c>
      <c r="B771" s="0" t="s">
        <v>1388</v>
      </c>
      <c r="C771" s="0" t="s">
        <v>5547</v>
      </c>
      <c r="D771" s="0" t="n">
        <v>0.3</v>
      </c>
    </row>
    <row r="772" customFormat="false" ht="15" hidden="false" customHeight="false" outlineLevel="0" collapsed="false">
      <c r="A772" s="0" t="s">
        <v>14</v>
      </c>
      <c r="B772" s="0" t="s">
        <v>1388</v>
      </c>
      <c r="C772" s="0" t="s">
        <v>5548</v>
      </c>
      <c r="D772" s="0" t="n">
        <v>0.65</v>
      </c>
    </row>
    <row r="773" customFormat="false" ht="15" hidden="false" customHeight="false" outlineLevel="0" collapsed="false">
      <c r="A773" s="0" t="s">
        <v>14</v>
      </c>
      <c r="B773" s="0" t="s">
        <v>1389</v>
      </c>
      <c r="C773" s="0" t="s">
        <v>5541</v>
      </c>
      <c r="D773" s="0" t="n">
        <v>0.5</v>
      </c>
    </row>
    <row r="774" customFormat="false" ht="15" hidden="false" customHeight="false" outlineLevel="0" collapsed="false">
      <c r="A774" s="0" t="s">
        <v>14</v>
      </c>
      <c r="B774" s="0" t="s">
        <v>1389</v>
      </c>
      <c r="C774" s="0" t="s">
        <v>5547</v>
      </c>
      <c r="D774" s="0" t="n">
        <v>0.35</v>
      </c>
    </row>
    <row r="775" customFormat="false" ht="15" hidden="false" customHeight="false" outlineLevel="0" collapsed="false">
      <c r="A775" s="0" t="s">
        <v>14</v>
      </c>
      <c r="B775" s="0" t="s">
        <v>1389</v>
      </c>
      <c r="C775" s="0" t="s">
        <v>5548</v>
      </c>
      <c r="D775" s="0" t="n">
        <v>0.7</v>
      </c>
    </row>
    <row r="776" customFormat="false" ht="15" hidden="false" customHeight="false" outlineLevel="0" collapsed="false">
      <c r="A776" s="0" t="s">
        <v>14</v>
      </c>
      <c r="B776" s="0" t="s">
        <v>1390</v>
      </c>
      <c r="C776" s="0" t="s">
        <v>5541</v>
      </c>
      <c r="D776" s="0" t="n">
        <v>0</v>
      </c>
    </row>
    <row r="777" customFormat="false" ht="15" hidden="false" customHeight="false" outlineLevel="0" collapsed="false">
      <c r="A777" s="0" t="s">
        <v>14</v>
      </c>
      <c r="B777" s="0" t="s">
        <v>1390</v>
      </c>
      <c r="C777" s="0" t="s">
        <v>5547</v>
      </c>
      <c r="D777" s="0" t="n">
        <v>0</v>
      </c>
    </row>
    <row r="778" customFormat="false" ht="15" hidden="false" customHeight="false" outlineLevel="0" collapsed="false">
      <c r="A778" s="0" t="s">
        <v>14</v>
      </c>
      <c r="B778" s="0" t="s">
        <v>1390</v>
      </c>
      <c r="C778" s="0" t="s">
        <v>5548</v>
      </c>
      <c r="D778" s="0" t="n">
        <v>0</v>
      </c>
    </row>
    <row r="779" customFormat="false" ht="15" hidden="false" customHeight="false" outlineLevel="0" collapsed="false">
      <c r="A779" s="0" t="s">
        <v>14</v>
      </c>
      <c r="B779" s="0" t="s">
        <v>1395</v>
      </c>
      <c r="C779" s="0" t="s">
        <v>5541</v>
      </c>
      <c r="D779" s="0" t="n">
        <v>3</v>
      </c>
    </row>
    <row r="780" customFormat="false" ht="15" hidden="false" customHeight="false" outlineLevel="0" collapsed="false">
      <c r="A780" s="0" t="s">
        <v>14</v>
      </c>
      <c r="B780" s="0" t="s">
        <v>1395</v>
      </c>
      <c r="C780" s="0" t="s">
        <v>5547</v>
      </c>
      <c r="D780" s="0" t="n">
        <v>1.5</v>
      </c>
    </row>
    <row r="781" customFormat="false" ht="15" hidden="false" customHeight="false" outlineLevel="0" collapsed="false">
      <c r="A781" s="0" t="s">
        <v>14</v>
      </c>
      <c r="B781" s="0" t="s">
        <v>1395</v>
      </c>
      <c r="C781" s="0" t="s">
        <v>5548</v>
      </c>
      <c r="D781" s="0" t="n">
        <v>5</v>
      </c>
    </row>
    <row r="782" customFormat="false" ht="15" hidden="false" customHeight="false" outlineLevel="0" collapsed="false">
      <c r="A782" s="0" t="s">
        <v>14</v>
      </c>
      <c r="B782" s="0" t="s">
        <v>1396</v>
      </c>
      <c r="C782" s="0" t="s">
        <v>5541</v>
      </c>
      <c r="D782" s="0" t="n">
        <v>4</v>
      </c>
    </row>
    <row r="783" customFormat="false" ht="15" hidden="false" customHeight="false" outlineLevel="0" collapsed="false">
      <c r="A783" s="0" t="s">
        <v>14</v>
      </c>
      <c r="B783" s="0" t="s">
        <v>1396</v>
      </c>
      <c r="C783" s="0" t="s">
        <v>5547</v>
      </c>
      <c r="D783" s="0" t="n">
        <v>2</v>
      </c>
    </row>
    <row r="784" customFormat="false" ht="15" hidden="false" customHeight="false" outlineLevel="0" collapsed="false">
      <c r="A784" s="0" t="s">
        <v>14</v>
      </c>
      <c r="B784" s="0" t="s">
        <v>1396</v>
      </c>
      <c r="C784" s="0" t="s">
        <v>5548</v>
      </c>
      <c r="D784" s="0" t="n">
        <v>6</v>
      </c>
    </row>
    <row r="785" customFormat="false" ht="15" hidden="false" customHeight="false" outlineLevel="0" collapsed="false">
      <c r="A785" s="0" t="s">
        <v>14</v>
      </c>
      <c r="B785" s="0" t="s">
        <v>1397</v>
      </c>
      <c r="C785" s="0" t="s">
        <v>5541</v>
      </c>
      <c r="D785" s="0" t="n">
        <v>4.5</v>
      </c>
    </row>
    <row r="786" customFormat="false" ht="15" hidden="false" customHeight="false" outlineLevel="0" collapsed="false">
      <c r="A786" s="0" t="s">
        <v>14</v>
      </c>
      <c r="B786" s="0" t="s">
        <v>1397</v>
      </c>
      <c r="C786" s="0" t="s">
        <v>5547</v>
      </c>
      <c r="D786" s="0" t="n">
        <v>2.5</v>
      </c>
    </row>
    <row r="787" customFormat="false" ht="15" hidden="false" customHeight="false" outlineLevel="0" collapsed="false">
      <c r="A787" s="0" t="s">
        <v>14</v>
      </c>
      <c r="B787" s="0" t="s">
        <v>1397</v>
      </c>
      <c r="C787" s="0" t="s">
        <v>5548</v>
      </c>
      <c r="D787" s="0" t="n">
        <v>7.5</v>
      </c>
    </row>
    <row r="788" customFormat="false" ht="15" hidden="false" customHeight="false" outlineLevel="0" collapsed="false">
      <c r="A788" s="0" t="s">
        <v>14</v>
      </c>
      <c r="B788" s="0" t="s">
        <v>1398</v>
      </c>
      <c r="C788" s="0" t="s">
        <v>5541</v>
      </c>
      <c r="D788" s="0" t="n">
        <v>5</v>
      </c>
    </row>
    <row r="789" customFormat="false" ht="15" hidden="false" customHeight="false" outlineLevel="0" collapsed="false">
      <c r="A789" s="0" t="s">
        <v>14</v>
      </c>
      <c r="B789" s="0" t="s">
        <v>1398</v>
      </c>
      <c r="C789" s="0" t="s">
        <v>5547</v>
      </c>
      <c r="D789" s="0" t="n">
        <v>3</v>
      </c>
    </row>
    <row r="790" customFormat="false" ht="15" hidden="false" customHeight="false" outlineLevel="0" collapsed="false">
      <c r="A790" s="0" t="s">
        <v>14</v>
      </c>
      <c r="B790" s="0" t="s">
        <v>1398</v>
      </c>
      <c r="C790" s="0" t="s">
        <v>5548</v>
      </c>
      <c r="D790" s="0" t="n">
        <v>9</v>
      </c>
    </row>
    <row r="791" customFormat="false" ht="15" hidden="false" customHeight="false" outlineLevel="0" collapsed="false">
      <c r="A791" s="0" t="s">
        <v>14</v>
      </c>
      <c r="B791" s="0" t="s">
        <v>1399</v>
      </c>
      <c r="C791" s="0" t="s">
        <v>5541</v>
      </c>
      <c r="D791" s="0" t="n">
        <v>5.5</v>
      </c>
    </row>
    <row r="792" customFormat="false" ht="15" hidden="false" customHeight="false" outlineLevel="0" collapsed="false">
      <c r="A792" s="0" t="s">
        <v>14</v>
      </c>
      <c r="B792" s="0" t="s">
        <v>1399</v>
      </c>
      <c r="C792" s="0" t="s">
        <v>5547</v>
      </c>
      <c r="D792" s="0" t="n">
        <v>3.5</v>
      </c>
    </row>
    <row r="793" customFormat="false" ht="15" hidden="false" customHeight="false" outlineLevel="0" collapsed="false">
      <c r="A793" s="0" t="s">
        <v>14</v>
      </c>
      <c r="B793" s="0" t="s">
        <v>1399</v>
      </c>
      <c r="C793" s="0" t="s">
        <v>5548</v>
      </c>
      <c r="D793" s="0" t="n">
        <v>11</v>
      </c>
    </row>
    <row r="794" customFormat="false" ht="15" hidden="false" customHeight="false" outlineLevel="0" collapsed="false">
      <c r="A794" s="0" t="s">
        <v>14</v>
      </c>
      <c r="B794" s="0" t="s">
        <v>1400</v>
      </c>
      <c r="C794" s="0" t="s">
        <v>5541</v>
      </c>
      <c r="D794" s="0" t="n">
        <v>0</v>
      </c>
    </row>
    <row r="795" customFormat="false" ht="15" hidden="false" customHeight="false" outlineLevel="0" collapsed="false">
      <c r="A795" s="0" t="s">
        <v>14</v>
      </c>
      <c r="B795" s="0" t="s">
        <v>1400</v>
      </c>
      <c r="C795" s="0" t="s">
        <v>5547</v>
      </c>
    </row>
    <row r="796" customFormat="false" ht="15" hidden="false" customHeight="false" outlineLevel="0" collapsed="false">
      <c r="A796" s="0" t="s">
        <v>14</v>
      </c>
      <c r="B796" s="0" t="s">
        <v>1400</v>
      </c>
      <c r="C796" s="0" t="s">
        <v>5548</v>
      </c>
    </row>
    <row r="797" customFormat="false" ht="15" hidden="false" customHeight="false" outlineLevel="0" collapsed="false">
      <c r="A797" s="0" t="s">
        <v>14</v>
      </c>
      <c r="B797" s="0" t="s">
        <v>1404</v>
      </c>
      <c r="C797" s="0" t="s">
        <v>5541</v>
      </c>
      <c r="D797" s="0" t="n">
        <v>-0.35</v>
      </c>
    </row>
    <row r="798" customFormat="false" ht="15" hidden="false" customHeight="false" outlineLevel="0" collapsed="false">
      <c r="A798" s="0" t="s">
        <v>14</v>
      </c>
      <c r="B798" s="0" t="s">
        <v>1404</v>
      </c>
      <c r="C798" s="0" t="s">
        <v>5547</v>
      </c>
    </row>
    <row r="799" customFormat="false" ht="15" hidden="false" customHeight="false" outlineLevel="0" collapsed="false">
      <c r="A799" s="0" t="s">
        <v>14</v>
      </c>
      <c r="B799" s="0" t="s">
        <v>1404</v>
      </c>
      <c r="C799" s="0" t="s">
        <v>5548</v>
      </c>
    </row>
    <row r="800" customFormat="false" ht="15" hidden="false" customHeight="false" outlineLevel="0" collapsed="false">
      <c r="A800" s="0" t="s">
        <v>14</v>
      </c>
      <c r="B800" s="0" t="s">
        <v>1408</v>
      </c>
      <c r="C800" s="0" t="s">
        <v>5541</v>
      </c>
      <c r="D800" s="0" t="n">
        <v>-0.15</v>
      </c>
    </row>
    <row r="801" customFormat="false" ht="15" hidden="false" customHeight="false" outlineLevel="0" collapsed="false">
      <c r="A801" s="0" t="s">
        <v>14</v>
      </c>
      <c r="B801" s="0" t="s">
        <v>1408</v>
      </c>
      <c r="C801" s="0" t="s">
        <v>5547</v>
      </c>
    </row>
    <row r="802" customFormat="false" ht="15" hidden="false" customHeight="false" outlineLevel="0" collapsed="false">
      <c r="A802" s="0" t="s">
        <v>14</v>
      </c>
      <c r="B802" s="0" t="s">
        <v>1408</v>
      </c>
      <c r="C802" s="0" t="s">
        <v>5548</v>
      </c>
    </row>
    <row r="803" customFormat="false" ht="15" hidden="false" customHeight="false" outlineLevel="0" collapsed="false">
      <c r="A803" s="0" t="s">
        <v>14</v>
      </c>
      <c r="B803" s="0" t="s">
        <v>1411</v>
      </c>
      <c r="C803" s="0" t="s">
        <v>5541</v>
      </c>
      <c r="D803" s="0" t="n">
        <v>0.25</v>
      </c>
    </row>
    <row r="804" customFormat="false" ht="15" hidden="false" customHeight="false" outlineLevel="0" collapsed="false">
      <c r="A804" s="0" t="s">
        <v>14</v>
      </c>
      <c r="B804" s="0" t="s">
        <v>1411</v>
      </c>
      <c r="C804" s="0" t="s">
        <v>5547</v>
      </c>
    </row>
    <row r="805" customFormat="false" ht="15" hidden="false" customHeight="false" outlineLevel="0" collapsed="false">
      <c r="A805" s="0" t="s">
        <v>14</v>
      </c>
      <c r="B805" s="0" t="s">
        <v>1411</v>
      </c>
      <c r="C805" s="0" t="s">
        <v>5548</v>
      </c>
    </row>
    <row r="806" customFormat="false" ht="15" hidden="false" customHeight="false" outlineLevel="0" collapsed="false">
      <c r="A806" s="0" t="s">
        <v>14</v>
      </c>
      <c r="B806" s="0" t="s">
        <v>1414</v>
      </c>
      <c r="C806" s="0" t="s">
        <v>5541</v>
      </c>
      <c r="D806" s="0" t="n">
        <v>-0.45</v>
      </c>
    </row>
    <row r="807" customFormat="false" ht="15" hidden="false" customHeight="false" outlineLevel="0" collapsed="false">
      <c r="A807" s="0" t="s">
        <v>14</v>
      </c>
      <c r="B807" s="0" t="s">
        <v>1414</v>
      </c>
      <c r="C807" s="0" t="s">
        <v>5547</v>
      </c>
    </row>
    <row r="808" customFormat="false" ht="15" hidden="false" customHeight="false" outlineLevel="0" collapsed="false">
      <c r="A808" s="0" t="s">
        <v>14</v>
      </c>
      <c r="B808" s="0" t="s">
        <v>1414</v>
      </c>
      <c r="C808" s="0" t="s">
        <v>5548</v>
      </c>
    </row>
    <row r="809" customFormat="false" ht="15" hidden="false" customHeight="false" outlineLevel="0" collapsed="false">
      <c r="A809" s="0" t="s">
        <v>14</v>
      </c>
      <c r="B809" s="0" t="s">
        <v>1417</v>
      </c>
      <c r="C809" s="0" t="s">
        <v>5541</v>
      </c>
      <c r="D809" s="0" t="n">
        <v>-0.6</v>
      </c>
    </row>
    <row r="810" customFormat="false" ht="15" hidden="false" customHeight="false" outlineLevel="0" collapsed="false">
      <c r="A810" s="0" t="s">
        <v>14</v>
      </c>
      <c r="B810" s="0" t="s">
        <v>1417</v>
      </c>
      <c r="C810" s="0" t="s">
        <v>5547</v>
      </c>
    </row>
    <row r="811" customFormat="false" ht="15" hidden="false" customHeight="false" outlineLevel="0" collapsed="false">
      <c r="A811" s="0" t="s">
        <v>14</v>
      </c>
      <c r="B811" s="0" t="s">
        <v>1417</v>
      </c>
      <c r="C811" s="0" t="s">
        <v>5548</v>
      </c>
    </row>
    <row r="812" customFormat="false" ht="15" hidden="false" customHeight="false" outlineLevel="0" collapsed="false">
      <c r="A812" s="0" t="s">
        <v>14</v>
      </c>
      <c r="B812" s="0" t="s">
        <v>1420</v>
      </c>
      <c r="C812" s="0" t="s">
        <v>5541</v>
      </c>
      <c r="D812" s="0" t="n">
        <v>-0.6</v>
      </c>
    </row>
    <row r="813" customFormat="false" ht="15" hidden="false" customHeight="false" outlineLevel="0" collapsed="false">
      <c r="A813" s="0" t="s">
        <v>14</v>
      </c>
      <c r="B813" s="0" t="s">
        <v>1420</v>
      </c>
      <c r="C813" s="0" t="s">
        <v>5547</v>
      </c>
    </row>
    <row r="814" customFormat="false" ht="15" hidden="false" customHeight="false" outlineLevel="0" collapsed="false">
      <c r="A814" s="0" t="s">
        <v>14</v>
      </c>
      <c r="B814" s="0" t="s">
        <v>1420</v>
      </c>
      <c r="C814" s="0" t="s">
        <v>5548</v>
      </c>
    </row>
    <row r="815" customFormat="false" ht="15" hidden="false" customHeight="false" outlineLevel="0" collapsed="false">
      <c r="A815" s="0" t="s">
        <v>14</v>
      </c>
      <c r="B815" s="0" t="s">
        <v>1423</v>
      </c>
      <c r="C815" s="0" t="s">
        <v>5541</v>
      </c>
      <c r="D815" s="0" t="n">
        <v>-0.7</v>
      </c>
    </row>
    <row r="816" customFormat="false" ht="15" hidden="false" customHeight="false" outlineLevel="0" collapsed="false">
      <c r="A816" s="0" t="s">
        <v>14</v>
      </c>
      <c r="B816" s="0" t="s">
        <v>1423</v>
      </c>
      <c r="C816" s="0" t="s">
        <v>5547</v>
      </c>
    </row>
    <row r="817" customFormat="false" ht="15" hidden="false" customHeight="false" outlineLevel="0" collapsed="false">
      <c r="A817" s="0" t="s">
        <v>14</v>
      </c>
      <c r="B817" s="0" t="s">
        <v>1423</v>
      </c>
      <c r="C817" s="0" t="s">
        <v>5548</v>
      </c>
    </row>
    <row r="818" customFormat="false" ht="15" hidden="false" customHeight="false" outlineLevel="0" collapsed="false">
      <c r="A818" s="0" t="s">
        <v>14</v>
      </c>
      <c r="B818" s="0" t="s">
        <v>1426</v>
      </c>
      <c r="C818" s="0" t="s">
        <v>5541</v>
      </c>
      <c r="D818" s="0" t="n">
        <v>-0.3</v>
      </c>
    </row>
    <row r="819" customFormat="false" ht="15" hidden="false" customHeight="false" outlineLevel="0" collapsed="false">
      <c r="A819" s="0" t="s">
        <v>14</v>
      </c>
      <c r="B819" s="0" t="s">
        <v>1426</v>
      </c>
      <c r="C819" s="0" t="s">
        <v>5547</v>
      </c>
    </row>
    <row r="820" customFormat="false" ht="15" hidden="false" customHeight="false" outlineLevel="0" collapsed="false">
      <c r="A820" s="0" t="s">
        <v>14</v>
      </c>
      <c r="B820" s="0" t="s">
        <v>1426</v>
      </c>
      <c r="C820" s="0" t="s">
        <v>5548</v>
      </c>
    </row>
    <row r="821" customFormat="false" ht="15" hidden="false" customHeight="false" outlineLevel="0" collapsed="false">
      <c r="A821" s="0" t="s">
        <v>14</v>
      </c>
      <c r="B821" s="0" t="s">
        <v>1429</v>
      </c>
      <c r="C821" s="0" t="s">
        <v>5541</v>
      </c>
      <c r="D821" s="0" t="n">
        <v>0.15</v>
      </c>
    </row>
    <row r="822" customFormat="false" ht="15" hidden="false" customHeight="false" outlineLevel="0" collapsed="false">
      <c r="A822" s="0" t="s">
        <v>14</v>
      </c>
      <c r="B822" s="0" t="s">
        <v>1429</v>
      </c>
      <c r="C822" s="0" t="s">
        <v>5547</v>
      </c>
    </row>
    <row r="823" customFormat="false" ht="15" hidden="false" customHeight="false" outlineLevel="0" collapsed="false">
      <c r="A823" s="0" t="s">
        <v>14</v>
      </c>
      <c r="B823" s="0" t="s">
        <v>1429</v>
      </c>
      <c r="C823" s="0" t="s">
        <v>5548</v>
      </c>
    </row>
    <row r="824" customFormat="false" ht="15" hidden="false" customHeight="false" outlineLevel="0" collapsed="false">
      <c r="A824" s="0" t="s">
        <v>14</v>
      </c>
      <c r="B824" s="0" t="s">
        <v>1432</v>
      </c>
      <c r="C824" s="0" t="s">
        <v>5541</v>
      </c>
      <c r="D824" s="0" t="n">
        <v>-0.3</v>
      </c>
    </row>
    <row r="825" customFormat="false" ht="15" hidden="false" customHeight="false" outlineLevel="0" collapsed="false">
      <c r="A825" s="0" t="s">
        <v>14</v>
      </c>
      <c r="B825" s="0" t="s">
        <v>1432</v>
      </c>
      <c r="C825" s="0" t="s">
        <v>5547</v>
      </c>
    </row>
    <row r="826" customFormat="false" ht="15" hidden="false" customHeight="false" outlineLevel="0" collapsed="false">
      <c r="A826" s="0" t="s">
        <v>14</v>
      </c>
      <c r="B826" s="0" t="s">
        <v>1432</v>
      </c>
      <c r="C826" s="0" t="s">
        <v>5548</v>
      </c>
    </row>
    <row r="827" customFormat="false" ht="15" hidden="false" customHeight="false" outlineLevel="0" collapsed="false">
      <c r="A827" s="0" t="s">
        <v>14</v>
      </c>
      <c r="B827" s="0" t="s">
        <v>1435</v>
      </c>
      <c r="C827" s="0" t="s">
        <v>5541</v>
      </c>
      <c r="D827" s="0" t="n">
        <v>-0.4</v>
      </c>
    </row>
    <row r="828" customFormat="false" ht="15" hidden="false" customHeight="false" outlineLevel="0" collapsed="false">
      <c r="A828" s="0" t="s">
        <v>14</v>
      </c>
      <c r="B828" s="0" t="s">
        <v>1435</v>
      </c>
      <c r="C828" s="0" t="s">
        <v>5547</v>
      </c>
    </row>
    <row r="829" customFormat="false" ht="15" hidden="false" customHeight="false" outlineLevel="0" collapsed="false">
      <c r="A829" s="0" t="s">
        <v>14</v>
      </c>
      <c r="B829" s="0" t="s">
        <v>1435</v>
      </c>
      <c r="C829" s="0" t="s">
        <v>5548</v>
      </c>
    </row>
    <row r="830" customFormat="false" ht="15" hidden="false" customHeight="false" outlineLevel="0" collapsed="false">
      <c r="A830" s="0" t="s">
        <v>14</v>
      </c>
      <c r="B830" s="0" t="s">
        <v>1438</v>
      </c>
      <c r="C830" s="0" t="s">
        <v>5541</v>
      </c>
      <c r="D830" s="0" t="n">
        <v>-0.4</v>
      </c>
    </row>
    <row r="831" customFormat="false" ht="15" hidden="false" customHeight="false" outlineLevel="0" collapsed="false">
      <c r="A831" s="0" t="s">
        <v>14</v>
      </c>
      <c r="B831" s="0" t="s">
        <v>1438</v>
      </c>
      <c r="C831" s="0" t="s">
        <v>5547</v>
      </c>
    </row>
    <row r="832" customFormat="false" ht="15" hidden="false" customHeight="false" outlineLevel="0" collapsed="false">
      <c r="A832" s="0" t="s">
        <v>14</v>
      </c>
      <c r="B832" s="0" t="s">
        <v>1438</v>
      </c>
      <c r="C832" s="0" t="s">
        <v>5548</v>
      </c>
    </row>
    <row r="833" customFormat="false" ht="15" hidden="false" customHeight="false" outlineLevel="0" collapsed="false">
      <c r="A833" s="0" t="s">
        <v>14</v>
      </c>
      <c r="B833" s="0" t="s">
        <v>1441</v>
      </c>
      <c r="C833" s="0" t="s">
        <v>5541</v>
      </c>
      <c r="D833" s="0" t="n">
        <v>-1.05</v>
      </c>
    </row>
    <row r="834" customFormat="false" ht="15" hidden="false" customHeight="false" outlineLevel="0" collapsed="false">
      <c r="A834" s="0" t="s">
        <v>14</v>
      </c>
      <c r="B834" s="0" t="s">
        <v>1441</v>
      </c>
      <c r="C834" s="0" t="s">
        <v>5547</v>
      </c>
    </row>
    <row r="835" customFormat="false" ht="15" hidden="false" customHeight="false" outlineLevel="0" collapsed="false">
      <c r="A835" s="0" t="s">
        <v>14</v>
      </c>
      <c r="B835" s="0" t="s">
        <v>1441</v>
      </c>
      <c r="C835" s="0" t="s">
        <v>5548</v>
      </c>
    </row>
    <row r="836" customFormat="false" ht="15" hidden="false" customHeight="false" outlineLevel="0" collapsed="false">
      <c r="A836" s="0" t="s">
        <v>14</v>
      </c>
      <c r="B836" s="0" t="s">
        <v>1444</v>
      </c>
      <c r="C836" s="0" t="s">
        <v>5541</v>
      </c>
      <c r="D836" s="0" t="n">
        <v>-0.45</v>
      </c>
    </row>
    <row r="837" customFormat="false" ht="15" hidden="false" customHeight="false" outlineLevel="0" collapsed="false">
      <c r="A837" s="0" t="s">
        <v>14</v>
      </c>
      <c r="B837" s="0" t="s">
        <v>1444</v>
      </c>
      <c r="C837" s="0" t="s">
        <v>5547</v>
      </c>
    </row>
    <row r="838" customFormat="false" ht="15" hidden="false" customHeight="false" outlineLevel="0" collapsed="false">
      <c r="A838" s="0" t="s">
        <v>14</v>
      </c>
      <c r="B838" s="0" t="s">
        <v>1444</v>
      </c>
      <c r="C838" s="0" t="s">
        <v>5548</v>
      </c>
    </row>
    <row r="839" customFormat="false" ht="15" hidden="false" customHeight="false" outlineLevel="0" collapsed="false">
      <c r="A839" s="0" t="s">
        <v>14</v>
      </c>
      <c r="B839" s="0" t="s">
        <v>1447</v>
      </c>
      <c r="C839" s="0" t="s">
        <v>5541</v>
      </c>
      <c r="D839" s="0" t="n">
        <v>0.1</v>
      </c>
    </row>
    <row r="840" customFormat="false" ht="15" hidden="false" customHeight="false" outlineLevel="0" collapsed="false">
      <c r="A840" s="0" t="s">
        <v>14</v>
      </c>
      <c r="B840" s="0" t="s">
        <v>1447</v>
      </c>
      <c r="C840" s="0" t="s">
        <v>5547</v>
      </c>
    </row>
    <row r="841" customFormat="false" ht="15" hidden="false" customHeight="false" outlineLevel="0" collapsed="false">
      <c r="A841" s="0" t="s">
        <v>14</v>
      </c>
      <c r="B841" s="0" t="s">
        <v>1447</v>
      </c>
      <c r="C841" s="0" t="s">
        <v>5548</v>
      </c>
    </row>
    <row r="842" customFormat="false" ht="15" hidden="false" customHeight="false" outlineLevel="0" collapsed="false">
      <c r="A842" s="0" t="s">
        <v>14</v>
      </c>
      <c r="B842" s="0" t="s">
        <v>1450</v>
      </c>
      <c r="C842" s="0" t="s">
        <v>5541</v>
      </c>
      <c r="D842" s="0" t="n">
        <v>-0.3</v>
      </c>
    </row>
    <row r="843" customFormat="false" ht="15" hidden="false" customHeight="false" outlineLevel="0" collapsed="false">
      <c r="A843" s="0" t="s">
        <v>14</v>
      </c>
      <c r="B843" s="0" t="s">
        <v>1450</v>
      </c>
      <c r="C843" s="0" t="s">
        <v>5547</v>
      </c>
    </row>
    <row r="844" customFormat="false" ht="15" hidden="false" customHeight="false" outlineLevel="0" collapsed="false">
      <c r="A844" s="0" t="s">
        <v>14</v>
      </c>
      <c r="B844" s="0" t="s">
        <v>1450</v>
      </c>
      <c r="C844" s="0" t="s">
        <v>5548</v>
      </c>
    </row>
    <row r="845" customFormat="false" ht="15" hidden="false" customHeight="false" outlineLevel="0" collapsed="false">
      <c r="A845" s="0" t="s">
        <v>14</v>
      </c>
      <c r="B845" s="0" t="s">
        <v>1453</v>
      </c>
      <c r="C845" s="0" t="s">
        <v>5541</v>
      </c>
      <c r="D845" s="0" t="n">
        <v>-0.4</v>
      </c>
    </row>
    <row r="846" customFormat="false" ht="15" hidden="false" customHeight="false" outlineLevel="0" collapsed="false">
      <c r="A846" s="0" t="s">
        <v>14</v>
      </c>
      <c r="B846" s="0" t="s">
        <v>1453</v>
      </c>
      <c r="C846" s="0" t="s">
        <v>5547</v>
      </c>
    </row>
    <row r="847" customFormat="false" ht="15" hidden="false" customHeight="false" outlineLevel="0" collapsed="false">
      <c r="A847" s="0" t="s">
        <v>14</v>
      </c>
      <c r="B847" s="0" t="s">
        <v>1453</v>
      </c>
      <c r="C847" s="0" t="s">
        <v>5548</v>
      </c>
    </row>
    <row r="848" customFormat="false" ht="15" hidden="false" customHeight="false" outlineLevel="0" collapsed="false">
      <c r="A848" s="0" t="s">
        <v>14</v>
      </c>
      <c r="B848" s="0" t="s">
        <v>1456</v>
      </c>
      <c r="C848" s="0" t="s">
        <v>5541</v>
      </c>
      <c r="D848" s="0" t="n">
        <v>-0.4</v>
      </c>
    </row>
    <row r="849" customFormat="false" ht="15" hidden="false" customHeight="false" outlineLevel="0" collapsed="false">
      <c r="A849" s="0" t="s">
        <v>14</v>
      </c>
      <c r="B849" s="0" t="s">
        <v>1456</v>
      </c>
      <c r="C849" s="0" t="s">
        <v>5547</v>
      </c>
    </row>
    <row r="850" customFormat="false" ht="15" hidden="false" customHeight="false" outlineLevel="0" collapsed="false">
      <c r="A850" s="0" t="s">
        <v>14</v>
      </c>
      <c r="B850" s="0" t="s">
        <v>1456</v>
      </c>
      <c r="C850" s="0" t="s">
        <v>5548</v>
      </c>
    </row>
    <row r="851" customFormat="false" ht="15" hidden="false" customHeight="false" outlineLevel="0" collapsed="false">
      <c r="A851" s="0" t="s">
        <v>14</v>
      </c>
      <c r="B851" s="0" t="s">
        <v>1459</v>
      </c>
      <c r="C851" s="0" t="s">
        <v>5541</v>
      </c>
      <c r="D851" s="0" t="n">
        <v>0.9</v>
      </c>
    </row>
    <row r="852" customFormat="false" ht="15" hidden="false" customHeight="false" outlineLevel="0" collapsed="false">
      <c r="A852" s="0" t="s">
        <v>14</v>
      </c>
      <c r="B852" s="0" t="s">
        <v>1459</v>
      </c>
      <c r="C852" s="0" t="s">
        <v>5547</v>
      </c>
    </row>
    <row r="853" customFormat="false" ht="15" hidden="false" customHeight="false" outlineLevel="0" collapsed="false">
      <c r="A853" s="0" t="s">
        <v>14</v>
      </c>
      <c r="B853" s="0" t="s">
        <v>1459</v>
      </c>
      <c r="C853" s="0" t="s">
        <v>5548</v>
      </c>
    </row>
    <row r="854" customFormat="false" ht="15" hidden="false" customHeight="false" outlineLevel="0" collapsed="false">
      <c r="A854" s="0" t="s">
        <v>14</v>
      </c>
      <c r="B854" s="0" t="s">
        <v>1464</v>
      </c>
      <c r="C854" s="0" t="s">
        <v>5541</v>
      </c>
      <c r="D854" s="0" t="n">
        <v>0.1</v>
      </c>
    </row>
    <row r="855" customFormat="false" ht="15" hidden="false" customHeight="false" outlineLevel="0" collapsed="false">
      <c r="A855" s="0" t="s">
        <v>14</v>
      </c>
      <c r="B855" s="0" t="s">
        <v>1464</v>
      </c>
      <c r="C855" s="0" t="s">
        <v>5547</v>
      </c>
    </row>
    <row r="856" customFormat="false" ht="15" hidden="false" customHeight="false" outlineLevel="0" collapsed="false">
      <c r="A856" s="0" t="s">
        <v>14</v>
      </c>
      <c r="B856" s="0" t="s">
        <v>1464</v>
      </c>
      <c r="C856" s="0" t="s">
        <v>5548</v>
      </c>
    </row>
    <row r="857" customFormat="false" ht="15" hidden="false" customHeight="false" outlineLevel="0" collapsed="false">
      <c r="A857" s="0" t="s">
        <v>14</v>
      </c>
      <c r="B857" s="0" t="s">
        <v>1466</v>
      </c>
      <c r="C857" s="0" t="s">
        <v>5541</v>
      </c>
      <c r="D857" s="0" t="n">
        <v>0</v>
      </c>
    </row>
    <row r="858" customFormat="false" ht="15" hidden="false" customHeight="false" outlineLevel="0" collapsed="false">
      <c r="A858" s="0" t="s">
        <v>14</v>
      </c>
      <c r="B858" s="0" t="s">
        <v>1466</v>
      </c>
      <c r="C858" s="0" t="s">
        <v>5547</v>
      </c>
    </row>
    <row r="859" customFormat="false" ht="15" hidden="false" customHeight="false" outlineLevel="0" collapsed="false">
      <c r="A859" s="0" t="s">
        <v>14</v>
      </c>
      <c r="B859" s="0" t="s">
        <v>1466</v>
      </c>
      <c r="C859" s="0" t="s">
        <v>5548</v>
      </c>
    </row>
    <row r="860" customFormat="false" ht="15" hidden="false" customHeight="false" outlineLevel="0" collapsed="false">
      <c r="A860" s="0" t="s">
        <v>14</v>
      </c>
      <c r="B860" s="0" t="s">
        <v>1468</v>
      </c>
      <c r="C860" s="0" t="s">
        <v>5541</v>
      </c>
      <c r="D860" s="0" t="n">
        <v>0.25</v>
      </c>
    </row>
    <row r="861" customFormat="false" ht="15" hidden="false" customHeight="false" outlineLevel="0" collapsed="false">
      <c r="A861" s="0" t="s">
        <v>14</v>
      </c>
      <c r="B861" s="0" t="s">
        <v>1468</v>
      </c>
      <c r="C861" s="0" t="s">
        <v>5547</v>
      </c>
    </row>
    <row r="862" customFormat="false" ht="15" hidden="false" customHeight="false" outlineLevel="0" collapsed="false">
      <c r="A862" s="0" t="s">
        <v>14</v>
      </c>
      <c r="B862" s="0" t="s">
        <v>1468</v>
      </c>
      <c r="C862" s="0" t="s">
        <v>5548</v>
      </c>
    </row>
    <row r="863" customFormat="false" ht="15" hidden="false" customHeight="false" outlineLevel="0" collapsed="false">
      <c r="A863" s="0" t="s">
        <v>14</v>
      </c>
      <c r="B863" s="0" t="s">
        <v>1470</v>
      </c>
      <c r="C863" s="0" t="s">
        <v>5541</v>
      </c>
      <c r="D863" s="0" t="n">
        <v>0.4</v>
      </c>
    </row>
    <row r="864" customFormat="false" ht="15" hidden="false" customHeight="false" outlineLevel="0" collapsed="false">
      <c r="A864" s="0" t="s">
        <v>14</v>
      </c>
      <c r="B864" s="0" t="s">
        <v>1470</v>
      </c>
      <c r="C864" s="0" t="s">
        <v>5547</v>
      </c>
    </row>
    <row r="865" customFormat="false" ht="15" hidden="false" customHeight="false" outlineLevel="0" collapsed="false">
      <c r="A865" s="0" t="s">
        <v>14</v>
      </c>
      <c r="B865" s="0" t="s">
        <v>1470</v>
      </c>
      <c r="C865" s="0" t="s">
        <v>5548</v>
      </c>
    </row>
    <row r="866" customFormat="false" ht="15" hidden="false" customHeight="false" outlineLevel="0" collapsed="false">
      <c r="A866" s="0" t="s">
        <v>14</v>
      </c>
      <c r="B866" s="0" t="s">
        <v>1472</v>
      </c>
      <c r="C866" s="0" t="s">
        <v>5541</v>
      </c>
      <c r="D866" s="0" t="n">
        <v>0.85</v>
      </c>
    </row>
    <row r="867" customFormat="false" ht="15" hidden="false" customHeight="false" outlineLevel="0" collapsed="false">
      <c r="A867" s="0" t="s">
        <v>14</v>
      </c>
      <c r="B867" s="0" t="s">
        <v>1472</v>
      </c>
      <c r="C867" s="0" t="s">
        <v>5547</v>
      </c>
    </row>
    <row r="868" customFormat="false" ht="15" hidden="false" customHeight="false" outlineLevel="0" collapsed="false">
      <c r="A868" s="0" t="s">
        <v>14</v>
      </c>
      <c r="B868" s="0" t="s">
        <v>1472</v>
      </c>
      <c r="C868" s="0" t="s">
        <v>5548</v>
      </c>
    </row>
    <row r="869" customFormat="false" ht="15" hidden="false" customHeight="false" outlineLevel="0" collapsed="false">
      <c r="A869" s="0" t="s">
        <v>14</v>
      </c>
      <c r="B869" s="0" t="s">
        <v>1475</v>
      </c>
      <c r="C869" s="0" t="s">
        <v>5541</v>
      </c>
      <c r="D869" s="0" t="n">
        <v>0.15</v>
      </c>
    </row>
    <row r="870" customFormat="false" ht="15" hidden="false" customHeight="false" outlineLevel="0" collapsed="false">
      <c r="A870" s="0" t="s">
        <v>14</v>
      </c>
      <c r="B870" s="0" t="s">
        <v>1475</v>
      </c>
      <c r="C870" s="0" t="s">
        <v>5547</v>
      </c>
    </row>
    <row r="871" customFormat="false" ht="15" hidden="false" customHeight="false" outlineLevel="0" collapsed="false">
      <c r="A871" s="0" t="s">
        <v>14</v>
      </c>
      <c r="B871" s="0" t="s">
        <v>1475</v>
      </c>
      <c r="C871" s="0" t="s">
        <v>5548</v>
      </c>
    </row>
    <row r="872" customFormat="false" ht="15" hidden="false" customHeight="false" outlineLevel="0" collapsed="false">
      <c r="A872" s="0" t="s">
        <v>14</v>
      </c>
      <c r="B872" s="0" t="s">
        <v>1476</v>
      </c>
      <c r="C872" s="0" t="s">
        <v>5541</v>
      </c>
      <c r="D872" s="0" t="n">
        <v>0</v>
      </c>
    </row>
    <row r="873" customFormat="false" ht="15" hidden="false" customHeight="false" outlineLevel="0" collapsed="false">
      <c r="A873" s="0" t="s">
        <v>14</v>
      </c>
      <c r="B873" s="0" t="s">
        <v>1476</v>
      </c>
      <c r="C873" s="0" t="s">
        <v>5547</v>
      </c>
    </row>
    <row r="874" customFormat="false" ht="15" hidden="false" customHeight="false" outlineLevel="0" collapsed="false">
      <c r="A874" s="0" t="s">
        <v>14</v>
      </c>
      <c r="B874" s="0" t="s">
        <v>1476</v>
      </c>
      <c r="C874" s="0" t="s">
        <v>5548</v>
      </c>
    </row>
    <row r="875" customFormat="false" ht="15" hidden="false" customHeight="false" outlineLevel="0" collapsed="false">
      <c r="A875" s="0" t="s">
        <v>14</v>
      </c>
      <c r="B875" s="0" t="s">
        <v>1477</v>
      </c>
      <c r="C875" s="0" t="s">
        <v>5541</v>
      </c>
      <c r="D875" s="0" t="n">
        <v>0.25</v>
      </c>
    </row>
    <row r="876" customFormat="false" ht="15" hidden="false" customHeight="false" outlineLevel="0" collapsed="false">
      <c r="A876" s="0" t="s">
        <v>14</v>
      </c>
      <c r="B876" s="0" t="s">
        <v>1477</v>
      </c>
      <c r="C876" s="0" t="s">
        <v>5547</v>
      </c>
    </row>
    <row r="877" customFormat="false" ht="15" hidden="false" customHeight="false" outlineLevel="0" collapsed="false">
      <c r="A877" s="0" t="s">
        <v>14</v>
      </c>
      <c r="B877" s="0" t="s">
        <v>1477</v>
      </c>
      <c r="C877" s="0" t="s">
        <v>5548</v>
      </c>
    </row>
    <row r="878" customFormat="false" ht="15" hidden="false" customHeight="false" outlineLevel="0" collapsed="false">
      <c r="A878" s="0" t="s">
        <v>14</v>
      </c>
      <c r="B878" s="0" t="s">
        <v>1478</v>
      </c>
      <c r="C878" s="0" t="s">
        <v>5541</v>
      </c>
      <c r="D878" s="0" t="n">
        <v>0.4</v>
      </c>
    </row>
    <row r="879" customFormat="false" ht="15" hidden="false" customHeight="false" outlineLevel="0" collapsed="false">
      <c r="A879" s="0" t="s">
        <v>14</v>
      </c>
      <c r="B879" s="0" t="s">
        <v>1478</v>
      </c>
      <c r="C879" s="0" t="s">
        <v>5547</v>
      </c>
    </row>
    <row r="880" customFormat="false" ht="15" hidden="false" customHeight="false" outlineLevel="0" collapsed="false">
      <c r="A880" s="0" t="s">
        <v>14</v>
      </c>
      <c r="B880" s="0" t="s">
        <v>1478</v>
      </c>
      <c r="C880" s="0" t="s">
        <v>5548</v>
      </c>
    </row>
    <row r="881" customFormat="false" ht="15" hidden="false" customHeight="false" outlineLevel="0" collapsed="false">
      <c r="A881" s="0" t="s">
        <v>14</v>
      </c>
      <c r="B881" s="0" t="s">
        <v>1479</v>
      </c>
      <c r="C881" s="0" t="s">
        <v>5541</v>
      </c>
      <c r="D881" s="0" t="n">
        <v>0.35</v>
      </c>
    </row>
    <row r="882" customFormat="false" ht="15" hidden="false" customHeight="false" outlineLevel="0" collapsed="false">
      <c r="A882" s="0" t="s">
        <v>14</v>
      </c>
      <c r="B882" s="0" t="s">
        <v>1479</v>
      </c>
      <c r="C882" s="0" t="s">
        <v>5547</v>
      </c>
    </row>
    <row r="883" customFormat="false" ht="15" hidden="false" customHeight="false" outlineLevel="0" collapsed="false">
      <c r="A883" s="0" t="s">
        <v>14</v>
      </c>
      <c r="B883" s="0" t="s">
        <v>1479</v>
      </c>
      <c r="C883" s="0" t="s">
        <v>5548</v>
      </c>
    </row>
    <row r="884" customFormat="false" ht="15" hidden="false" customHeight="false" outlineLevel="0" collapsed="false">
      <c r="A884" s="0" t="s">
        <v>14</v>
      </c>
      <c r="B884" s="0" t="s">
        <v>1482</v>
      </c>
      <c r="C884" s="0" t="s">
        <v>5541</v>
      </c>
      <c r="D884" s="0" t="n">
        <v>0.6</v>
      </c>
    </row>
    <row r="885" customFormat="false" ht="15" hidden="false" customHeight="false" outlineLevel="0" collapsed="false">
      <c r="A885" s="0" t="s">
        <v>14</v>
      </c>
      <c r="B885" s="0" t="s">
        <v>1482</v>
      </c>
      <c r="C885" s="0" t="s">
        <v>5547</v>
      </c>
    </row>
    <row r="886" customFormat="false" ht="15" hidden="false" customHeight="false" outlineLevel="0" collapsed="false">
      <c r="A886" s="0" t="s">
        <v>14</v>
      </c>
      <c r="B886" s="0" t="s">
        <v>1482</v>
      </c>
      <c r="C886" s="0" t="s">
        <v>5548</v>
      </c>
    </row>
    <row r="887" customFormat="false" ht="15" hidden="false" customHeight="false" outlineLevel="0" collapsed="false">
      <c r="A887" s="0" t="s">
        <v>14</v>
      </c>
      <c r="B887" s="0" t="s">
        <v>1483</v>
      </c>
      <c r="C887" s="0" t="s">
        <v>5541</v>
      </c>
      <c r="D887" s="0" t="n">
        <v>0.05</v>
      </c>
    </row>
    <row r="888" customFormat="false" ht="15" hidden="false" customHeight="false" outlineLevel="0" collapsed="false">
      <c r="A888" s="0" t="s">
        <v>14</v>
      </c>
      <c r="B888" s="0" t="s">
        <v>1483</v>
      </c>
      <c r="C888" s="0" t="s">
        <v>5547</v>
      </c>
    </row>
    <row r="889" customFormat="false" ht="15" hidden="false" customHeight="false" outlineLevel="0" collapsed="false">
      <c r="A889" s="0" t="s">
        <v>14</v>
      </c>
      <c r="B889" s="0" t="s">
        <v>1483</v>
      </c>
      <c r="C889" s="0" t="s">
        <v>5548</v>
      </c>
    </row>
    <row r="890" customFormat="false" ht="15" hidden="false" customHeight="false" outlineLevel="0" collapsed="false">
      <c r="A890" s="0" t="s">
        <v>14</v>
      </c>
      <c r="B890" s="0" t="s">
        <v>1484</v>
      </c>
      <c r="C890" s="0" t="s">
        <v>5541</v>
      </c>
      <c r="D890" s="0" t="n">
        <v>0.4</v>
      </c>
    </row>
    <row r="891" customFormat="false" ht="15" hidden="false" customHeight="false" outlineLevel="0" collapsed="false">
      <c r="A891" s="0" t="s">
        <v>14</v>
      </c>
      <c r="B891" s="0" t="s">
        <v>1484</v>
      </c>
      <c r="C891" s="0" t="s">
        <v>5547</v>
      </c>
    </row>
    <row r="892" customFormat="false" ht="15" hidden="false" customHeight="false" outlineLevel="0" collapsed="false">
      <c r="A892" s="0" t="s">
        <v>14</v>
      </c>
      <c r="B892" s="0" t="s">
        <v>1484</v>
      </c>
      <c r="C892" s="0" t="s">
        <v>5548</v>
      </c>
    </row>
    <row r="893" customFormat="false" ht="15" hidden="false" customHeight="false" outlineLevel="0" collapsed="false">
      <c r="A893" s="0" t="s">
        <v>14</v>
      </c>
      <c r="B893" s="0" t="s">
        <v>1485</v>
      </c>
      <c r="C893" s="0" t="s">
        <v>5541</v>
      </c>
      <c r="D893" s="0" t="n">
        <v>0.5</v>
      </c>
    </row>
    <row r="894" customFormat="false" ht="15" hidden="false" customHeight="false" outlineLevel="0" collapsed="false">
      <c r="A894" s="0" t="s">
        <v>14</v>
      </c>
      <c r="B894" s="0" t="s">
        <v>1485</v>
      </c>
      <c r="C894" s="0" t="s">
        <v>5547</v>
      </c>
    </row>
    <row r="895" customFormat="false" ht="15" hidden="false" customHeight="false" outlineLevel="0" collapsed="false">
      <c r="A895" s="0" t="s">
        <v>14</v>
      </c>
      <c r="B895" s="0" t="s">
        <v>1485</v>
      </c>
      <c r="C895" s="0" t="s">
        <v>5548</v>
      </c>
    </row>
    <row r="896" customFormat="false" ht="15" hidden="false" customHeight="false" outlineLevel="0" collapsed="false">
      <c r="A896" s="0" t="s">
        <v>14</v>
      </c>
      <c r="B896" s="0" t="s">
        <v>1486</v>
      </c>
      <c r="C896" s="0" t="s">
        <v>5541</v>
      </c>
      <c r="D896" s="0" t="n">
        <v>0.1</v>
      </c>
    </row>
    <row r="897" customFormat="false" ht="15" hidden="false" customHeight="false" outlineLevel="0" collapsed="false">
      <c r="A897" s="0" t="s">
        <v>14</v>
      </c>
      <c r="B897" s="0" t="s">
        <v>1486</v>
      </c>
      <c r="C897" s="0" t="s">
        <v>5547</v>
      </c>
    </row>
    <row r="898" customFormat="false" ht="15" hidden="false" customHeight="false" outlineLevel="0" collapsed="false">
      <c r="A898" s="0" t="s">
        <v>14</v>
      </c>
      <c r="B898" s="0" t="s">
        <v>1486</v>
      </c>
      <c r="C898" s="0" t="s">
        <v>5548</v>
      </c>
    </row>
    <row r="899" customFormat="false" ht="15" hidden="false" customHeight="false" outlineLevel="0" collapsed="false">
      <c r="A899" s="0" t="s">
        <v>14</v>
      </c>
      <c r="B899" s="0" t="s">
        <v>1489</v>
      </c>
      <c r="C899" s="0" t="s">
        <v>5541</v>
      </c>
      <c r="D899" s="0" t="n">
        <v>0.5</v>
      </c>
    </row>
    <row r="900" customFormat="false" ht="15" hidden="false" customHeight="false" outlineLevel="0" collapsed="false">
      <c r="A900" s="0" t="s">
        <v>14</v>
      </c>
      <c r="B900" s="0" t="s">
        <v>1489</v>
      </c>
      <c r="C900" s="0" t="s">
        <v>5547</v>
      </c>
    </row>
    <row r="901" customFormat="false" ht="15" hidden="false" customHeight="false" outlineLevel="0" collapsed="false">
      <c r="A901" s="0" t="s">
        <v>14</v>
      </c>
      <c r="B901" s="0" t="s">
        <v>1489</v>
      </c>
      <c r="C901" s="0" t="s">
        <v>5548</v>
      </c>
    </row>
    <row r="902" customFormat="false" ht="15" hidden="false" customHeight="false" outlineLevel="0" collapsed="false">
      <c r="A902" s="0" t="s">
        <v>14</v>
      </c>
      <c r="B902" s="0" t="s">
        <v>1490</v>
      </c>
      <c r="C902" s="0" t="s">
        <v>5541</v>
      </c>
      <c r="D902" s="0" t="n">
        <v>0.4</v>
      </c>
    </row>
    <row r="903" customFormat="false" ht="15" hidden="false" customHeight="false" outlineLevel="0" collapsed="false">
      <c r="A903" s="0" t="s">
        <v>14</v>
      </c>
      <c r="B903" s="0" t="s">
        <v>1490</v>
      </c>
      <c r="C903" s="0" t="s">
        <v>5547</v>
      </c>
    </row>
    <row r="904" customFormat="false" ht="15" hidden="false" customHeight="false" outlineLevel="0" collapsed="false">
      <c r="A904" s="0" t="s">
        <v>14</v>
      </c>
      <c r="B904" s="0" t="s">
        <v>1490</v>
      </c>
      <c r="C904" s="0" t="s">
        <v>5548</v>
      </c>
    </row>
    <row r="905" customFormat="false" ht="15" hidden="false" customHeight="false" outlineLevel="0" collapsed="false">
      <c r="A905" s="0" t="s">
        <v>14</v>
      </c>
      <c r="B905" s="0" t="s">
        <v>1491</v>
      </c>
      <c r="C905" s="0" t="s">
        <v>5541</v>
      </c>
      <c r="D905" s="0" t="n">
        <v>0.5</v>
      </c>
    </row>
    <row r="906" customFormat="false" ht="15" hidden="false" customHeight="false" outlineLevel="0" collapsed="false">
      <c r="A906" s="0" t="s">
        <v>14</v>
      </c>
      <c r="B906" s="0" t="s">
        <v>1491</v>
      </c>
      <c r="C906" s="0" t="s">
        <v>5547</v>
      </c>
    </row>
    <row r="907" customFormat="false" ht="15" hidden="false" customHeight="false" outlineLevel="0" collapsed="false">
      <c r="A907" s="0" t="s">
        <v>14</v>
      </c>
      <c r="B907" s="0" t="s">
        <v>1491</v>
      </c>
      <c r="C907" s="0" t="s">
        <v>5548</v>
      </c>
    </row>
    <row r="908" customFormat="false" ht="15" hidden="false" customHeight="false" outlineLevel="0" collapsed="false">
      <c r="A908" s="0" t="s">
        <v>14</v>
      </c>
      <c r="B908" s="0" t="s">
        <v>1492</v>
      </c>
      <c r="C908" s="0" t="s">
        <v>5541</v>
      </c>
      <c r="D908" s="0" t="n">
        <v>0.6</v>
      </c>
    </row>
    <row r="909" customFormat="false" ht="15" hidden="false" customHeight="false" outlineLevel="0" collapsed="false">
      <c r="A909" s="0" t="s">
        <v>14</v>
      </c>
      <c r="B909" s="0" t="s">
        <v>1492</v>
      </c>
      <c r="C909" s="0" t="s">
        <v>5547</v>
      </c>
    </row>
    <row r="910" customFormat="false" ht="15" hidden="false" customHeight="false" outlineLevel="0" collapsed="false">
      <c r="A910" s="0" t="s">
        <v>14</v>
      </c>
      <c r="B910" s="0" t="s">
        <v>1492</v>
      </c>
      <c r="C910" s="0" t="s">
        <v>5548</v>
      </c>
    </row>
    <row r="911" customFormat="false" ht="15" hidden="false" customHeight="false" outlineLevel="0" collapsed="false">
      <c r="A911" s="0" t="s">
        <v>14</v>
      </c>
      <c r="B911" s="0" t="s">
        <v>1493</v>
      </c>
      <c r="C911" s="0" t="s">
        <v>5541</v>
      </c>
      <c r="D911" s="0" t="n">
        <v>0.3</v>
      </c>
    </row>
    <row r="912" customFormat="false" ht="15" hidden="false" customHeight="false" outlineLevel="0" collapsed="false">
      <c r="A912" s="0" t="s">
        <v>14</v>
      </c>
      <c r="B912" s="0" t="s">
        <v>1493</v>
      </c>
      <c r="C912" s="0" t="s">
        <v>5547</v>
      </c>
    </row>
    <row r="913" customFormat="false" ht="15" hidden="false" customHeight="false" outlineLevel="0" collapsed="false">
      <c r="A913" s="0" t="s">
        <v>14</v>
      </c>
      <c r="B913" s="0" t="s">
        <v>1493</v>
      </c>
      <c r="C913" s="0" t="s">
        <v>5548</v>
      </c>
    </row>
    <row r="914" customFormat="false" ht="15" hidden="false" customHeight="false" outlineLevel="0" collapsed="false">
      <c r="A914" s="0" t="s">
        <v>14</v>
      </c>
      <c r="B914" s="0" t="s">
        <v>1496</v>
      </c>
      <c r="C914" s="0" t="s">
        <v>5541</v>
      </c>
      <c r="D914" s="0" t="n">
        <v>0.65</v>
      </c>
    </row>
    <row r="915" customFormat="false" ht="15" hidden="false" customHeight="false" outlineLevel="0" collapsed="false">
      <c r="A915" s="0" t="s">
        <v>14</v>
      </c>
      <c r="B915" s="0" t="s">
        <v>1496</v>
      </c>
      <c r="C915" s="0" t="s">
        <v>5547</v>
      </c>
    </row>
    <row r="916" customFormat="false" ht="15" hidden="false" customHeight="false" outlineLevel="0" collapsed="false">
      <c r="A916" s="0" t="s">
        <v>14</v>
      </c>
      <c r="B916" s="0" t="s">
        <v>1496</v>
      </c>
      <c r="C916" s="0" t="s">
        <v>5548</v>
      </c>
    </row>
    <row r="917" customFormat="false" ht="15" hidden="false" customHeight="false" outlineLevel="0" collapsed="false">
      <c r="A917" s="0" t="s">
        <v>14</v>
      </c>
      <c r="B917" s="0" t="s">
        <v>1497</v>
      </c>
      <c r="C917" s="0" t="s">
        <v>5541</v>
      </c>
      <c r="D917" s="0" t="n">
        <v>0.05</v>
      </c>
    </row>
    <row r="918" customFormat="false" ht="15" hidden="false" customHeight="false" outlineLevel="0" collapsed="false">
      <c r="A918" s="0" t="s">
        <v>14</v>
      </c>
      <c r="B918" s="0" t="s">
        <v>1497</v>
      </c>
      <c r="C918" s="0" t="s">
        <v>5547</v>
      </c>
    </row>
    <row r="919" customFormat="false" ht="15" hidden="false" customHeight="false" outlineLevel="0" collapsed="false">
      <c r="A919" s="0" t="s">
        <v>14</v>
      </c>
      <c r="B919" s="0" t="s">
        <v>1497</v>
      </c>
      <c r="C919" s="0" t="s">
        <v>5548</v>
      </c>
    </row>
    <row r="920" customFormat="false" ht="15" hidden="false" customHeight="false" outlineLevel="0" collapsed="false">
      <c r="A920" s="0" t="s">
        <v>14</v>
      </c>
      <c r="B920" s="0" t="s">
        <v>1498</v>
      </c>
      <c r="C920" s="0" t="s">
        <v>5541</v>
      </c>
      <c r="D920" s="0" t="n">
        <v>0.35</v>
      </c>
    </row>
    <row r="921" customFormat="false" ht="15" hidden="false" customHeight="false" outlineLevel="0" collapsed="false">
      <c r="A921" s="0" t="s">
        <v>14</v>
      </c>
      <c r="B921" s="0" t="s">
        <v>1498</v>
      </c>
      <c r="C921" s="0" t="s">
        <v>5547</v>
      </c>
    </row>
    <row r="922" customFormat="false" ht="15" hidden="false" customHeight="false" outlineLevel="0" collapsed="false">
      <c r="A922" s="0" t="s">
        <v>14</v>
      </c>
      <c r="B922" s="0" t="s">
        <v>1498</v>
      </c>
      <c r="C922" s="0" t="s">
        <v>5548</v>
      </c>
    </row>
    <row r="923" customFormat="false" ht="15" hidden="false" customHeight="false" outlineLevel="0" collapsed="false">
      <c r="A923" s="0" t="s">
        <v>14</v>
      </c>
      <c r="B923" s="0" t="s">
        <v>1499</v>
      </c>
      <c r="C923" s="0" t="s">
        <v>5541</v>
      </c>
      <c r="D923" s="0" t="n">
        <v>0.55</v>
      </c>
    </row>
    <row r="924" customFormat="false" ht="15" hidden="false" customHeight="false" outlineLevel="0" collapsed="false">
      <c r="A924" s="0" t="s">
        <v>14</v>
      </c>
      <c r="B924" s="0" t="s">
        <v>1499</v>
      </c>
      <c r="C924" s="0" t="s">
        <v>5547</v>
      </c>
    </row>
    <row r="925" customFormat="false" ht="15" hidden="false" customHeight="false" outlineLevel="0" collapsed="false">
      <c r="A925" s="0" t="s">
        <v>14</v>
      </c>
      <c r="B925" s="0" t="s">
        <v>1499</v>
      </c>
      <c r="C925" s="0" t="s">
        <v>5548</v>
      </c>
    </row>
    <row r="926" customFormat="false" ht="15" hidden="false" customHeight="false" outlineLevel="0" collapsed="false">
      <c r="A926" s="0" t="s">
        <v>14</v>
      </c>
      <c r="B926" s="0" t="s">
        <v>1500</v>
      </c>
      <c r="C926" s="0" t="s">
        <v>5541</v>
      </c>
      <c r="D926" s="0" t="n">
        <v>0.5</v>
      </c>
    </row>
    <row r="927" customFormat="false" ht="15" hidden="false" customHeight="false" outlineLevel="0" collapsed="false">
      <c r="A927" s="0" t="s">
        <v>14</v>
      </c>
      <c r="B927" s="0" t="s">
        <v>1500</v>
      </c>
      <c r="C927" s="0" t="s">
        <v>5547</v>
      </c>
      <c r="D927" s="0" t="n">
        <v>0.3</v>
      </c>
    </row>
    <row r="928" customFormat="false" ht="15" hidden="false" customHeight="false" outlineLevel="0" collapsed="false">
      <c r="A928" s="0" t="s">
        <v>14</v>
      </c>
      <c r="B928" s="0" t="s">
        <v>1500</v>
      </c>
      <c r="C928" s="0" t="s">
        <v>5548</v>
      </c>
      <c r="D928" s="0" t="n">
        <v>0.65</v>
      </c>
    </row>
    <row r="929" customFormat="false" ht="15" hidden="false" customHeight="false" outlineLevel="0" collapsed="false">
      <c r="A929" s="0" t="s">
        <v>14</v>
      </c>
      <c r="B929" s="0" t="s">
        <v>1504</v>
      </c>
      <c r="C929" s="0" t="s">
        <v>5541</v>
      </c>
      <c r="D929" s="0" t="s">
        <v>1507</v>
      </c>
    </row>
    <row r="930" customFormat="false" ht="15" hidden="false" customHeight="false" outlineLevel="0" collapsed="false">
      <c r="A930" s="0" t="s">
        <v>14</v>
      </c>
      <c r="B930" s="0" t="s">
        <v>1504</v>
      </c>
      <c r="C930" s="0" t="s">
        <v>5547</v>
      </c>
    </row>
    <row r="931" customFormat="false" ht="15" hidden="false" customHeight="false" outlineLevel="0" collapsed="false">
      <c r="A931" s="0" t="s">
        <v>14</v>
      </c>
      <c r="B931" s="0" t="s">
        <v>1504</v>
      </c>
      <c r="C931" s="0" t="s">
        <v>5548</v>
      </c>
    </row>
    <row r="932" customFormat="false" ht="15" hidden="false" customHeight="false" outlineLevel="0" collapsed="false">
      <c r="A932" s="0" t="s">
        <v>14</v>
      </c>
      <c r="B932" s="0" t="s">
        <v>1511</v>
      </c>
      <c r="C932" s="0" t="s">
        <v>5541</v>
      </c>
      <c r="D932" s="0" t="n">
        <v>2025</v>
      </c>
    </row>
    <row r="933" customFormat="false" ht="15" hidden="false" customHeight="false" outlineLevel="0" collapsed="false">
      <c r="A933" s="0" t="s">
        <v>14</v>
      </c>
      <c r="B933" s="0" t="s">
        <v>1511</v>
      </c>
      <c r="C933" s="0" t="s">
        <v>5547</v>
      </c>
      <c r="D933" s="0" t="n">
        <v>2025</v>
      </c>
    </row>
    <row r="934" customFormat="false" ht="15" hidden="false" customHeight="false" outlineLevel="0" collapsed="false">
      <c r="A934" s="0" t="s">
        <v>14</v>
      </c>
      <c r="B934" s="0" t="s">
        <v>1511</v>
      </c>
      <c r="C934" s="0" t="s">
        <v>5548</v>
      </c>
      <c r="D934" s="0" t="n">
        <v>2026</v>
      </c>
    </row>
    <row r="935" customFormat="false" ht="15" hidden="false" customHeight="false" outlineLevel="0" collapsed="false">
      <c r="A935" s="0" t="s">
        <v>14</v>
      </c>
      <c r="B935" s="0" t="s">
        <v>1515</v>
      </c>
      <c r="C935" s="0" t="s">
        <v>5541</v>
      </c>
      <c r="D935" s="0" t="n">
        <v>2030</v>
      </c>
    </row>
    <row r="936" customFormat="false" ht="15" hidden="false" customHeight="false" outlineLevel="0" collapsed="false">
      <c r="A936" s="0" t="s">
        <v>14</v>
      </c>
      <c r="B936" s="0" t="s">
        <v>1515</v>
      </c>
      <c r="C936" s="0" t="s">
        <v>5547</v>
      </c>
      <c r="D936" s="0" t="n">
        <v>2029</v>
      </c>
    </row>
    <row r="937" customFormat="false" ht="15" hidden="false" customHeight="false" outlineLevel="0" collapsed="false">
      <c r="A937" s="0" t="s">
        <v>14</v>
      </c>
      <c r="B937" s="0" t="s">
        <v>1515</v>
      </c>
      <c r="C937" s="0" t="s">
        <v>5548</v>
      </c>
      <c r="D937" s="0" t="n">
        <v>2032</v>
      </c>
    </row>
    <row r="938" customFormat="false" ht="15" hidden="false" customHeight="false" outlineLevel="0" collapsed="false">
      <c r="A938" s="0" t="s">
        <v>14</v>
      </c>
      <c r="B938" s="0" t="s">
        <v>1519</v>
      </c>
      <c r="C938" s="0" t="s">
        <v>5541</v>
      </c>
      <c r="D938" s="0" t="n">
        <v>20</v>
      </c>
    </row>
    <row r="939" customFormat="false" ht="15" hidden="false" customHeight="false" outlineLevel="0" collapsed="false">
      <c r="A939" s="0" t="s">
        <v>14</v>
      </c>
      <c r="B939" s="0" t="s">
        <v>1519</v>
      </c>
      <c r="C939" s="0" t="s">
        <v>5547</v>
      </c>
      <c r="D939" s="0" t="n">
        <v>20</v>
      </c>
    </row>
    <row r="940" customFormat="false" ht="15" hidden="false" customHeight="false" outlineLevel="0" collapsed="false">
      <c r="A940" s="0" t="s">
        <v>14</v>
      </c>
      <c r="B940" s="0" t="s">
        <v>1519</v>
      </c>
      <c r="C940" s="0" t="s">
        <v>5548</v>
      </c>
      <c r="D940" s="0" t="n">
        <v>25</v>
      </c>
    </row>
    <row r="941" customFormat="false" ht="15" hidden="false" customHeight="false" outlineLevel="0" collapsed="false">
      <c r="A941" s="0" t="s">
        <v>14</v>
      </c>
      <c r="B941" s="0" t="s">
        <v>1522</v>
      </c>
      <c r="C941" s="0" t="s">
        <v>5541</v>
      </c>
      <c r="D941" s="0" t="n">
        <v>2031</v>
      </c>
    </row>
    <row r="942" customFormat="false" ht="15" hidden="false" customHeight="false" outlineLevel="0" collapsed="false">
      <c r="A942" s="0" t="s">
        <v>14</v>
      </c>
      <c r="B942" s="0" t="s">
        <v>1522</v>
      </c>
      <c r="C942" s="0" t="s">
        <v>5547</v>
      </c>
      <c r="D942" s="0" t="n">
        <v>2029</v>
      </c>
    </row>
    <row r="943" customFormat="false" ht="15" hidden="false" customHeight="false" outlineLevel="0" collapsed="false">
      <c r="A943" s="0" t="s">
        <v>14</v>
      </c>
      <c r="B943" s="0" t="s">
        <v>1522</v>
      </c>
      <c r="C943" s="0" t="s">
        <v>5548</v>
      </c>
      <c r="D943" s="0" t="n">
        <v>2032</v>
      </c>
    </row>
    <row r="944" customFormat="false" ht="15" hidden="false" customHeight="false" outlineLevel="0" collapsed="false">
      <c r="A944" s="0" t="s">
        <v>14</v>
      </c>
      <c r="B944" s="0" t="s">
        <v>1525</v>
      </c>
      <c r="C944" s="0" t="s">
        <v>5541</v>
      </c>
      <c r="D944" s="0" t="n">
        <v>0</v>
      </c>
    </row>
    <row r="945" customFormat="false" ht="15" hidden="false" customHeight="false" outlineLevel="0" collapsed="false">
      <c r="A945" s="0" t="s">
        <v>14</v>
      </c>
      <c r="B945" s="0" t="s">
        <v>1525</v>
      </c>
      <c r="C945" s="0" t="s">
        <v>5547</v>
      </c>
    </row>
    <row r="946" customFormat="false" ht="15" hidden="false" customHeight="false" outlineLevel="0" collapsed="false">
      <c r="A946" s="0" t="s">
        <v>14</v>
      </c>
      <c r="B946" s="0" t="s">
        <v>1525</v>
      </c>
      <c r="C946" s="0" t="s">
        <v>5548</v>
      </c>
    </row>
    <row r="947" customFormat="false" ht="15" hidden="false" customHeight="false" outlineLevel="0" collapsed="false">
      <c r="A947" s="0" t="s">
        <v>14</v>
      </c>
      <c r="B947" s="0" t="s">
        <v>1528</v>
      </c>
      <c r="C947" s="0" t="s">
        <v>5541</v>
      </c>
      <c r="D947" s="0" t="n">
        <v>20</v>
      </c>
    </row>
    <row r="948" customFormat="false" ht="15" hidden="false" customHeight="false" outlineLevel="0" collapsed="false">
      <c r="A948" s="0" t="s">
        <v>14</v>
      </c>
      <c r="B948" s="0" t="s">
        <v>1528</v>
      </c>
      <c r="C948" s="0" t="s">
        <v>5547</v>
      </c>
    </row>
    <row r="949" customFormat="false" ht="15" hidden="false" customHeight="false" outlineLevel="0" collapsed="false">
      <c r="A949" s="0" t="s">
        <v>14</v>
      </c>
      <c r="B949" s="0" t="s">
        <v>1528</v>
      </c>
      <c r="C949" s="0" t="s">
        <v>5548</v>
      </c>
    </row>
    <row r="950" customFormat="false" ht="15" hidden="false" customHeight="false" outlineLevel="0" collapsed="false">
      <c r="A950" s="0" t="s">
        <v>14</v>
      </c>
      <c r="B950" s="0" t="s">
        <v>1530</v>
      </c>
      <c r="C950" s="0" t="s">
        <v>5541</v>
      </c>
      <c r="D950" s="0" t="n">
        <v>30</v>
      </c>
    </row>
    <row r="951" customFormat="false" ht="15" hidden="false" customHeight="false" outlineLevel="0" collapsed="false">
      <c r="A951" s="0" t="s">
        <v>14</v>
      </c>
      <c r="B951" s="0" t="s">
        <v>1530</v>
      </c>
      <c r="C951" s="0" t="s">
        <v>5547</v>
      </c>
    </row>
    <row r="952" customFormat="false" ht="15" hidden="false" customHeight="false" outlineLevel="0" collapsed="false">
      <c r="A952" s="0" t="s">
        <v>14</v>
      </c>
      <c r="B952" s="0" t="s">
        <v>1530</v>
      </c>
      <c r="C952" s="0" t="s">
        <v>5548</v>
      </c>
    </row>
    <row r="953" customFormat="false" ht="15" hidden="false" customHeight="false" outlineLevel="0" collapsed="false">
      <c r="A953" s="0" t="s">
        <v>14</v>
      </c>
      <c r="B953" s="0" t="s">
        <v>1531</v>
      </c>
      <c r="C953" s="0" t="s">
        <v>5541</v>
      </c>
      <c r="D953" s="0" t="n">
        <v>45</v>
      </c>
    </row>
    <row r="954" customFormat="false" ht="15" hidden="false" customHeight="false" outlineLevel="0" collapsed="false">
      <c r="A954" s="0" t="s">
        <v>14</v>
      </c>
      <c r="B954" s="0" t="s">
        <v>1531</v>
      </c>
      <c r="C954" s="0" t="s">
        <v>5547</v>
      </c>
    </row>
    <row r="955" customFormat="false" ht="15" hidden="false" customHeight="false" outlineLevel="0" collapsed="false">
      <c r="A955" s="0" t="s">
        <v>14</v>
      </c>
      <c r="B955" s="0" t="s">
        <v>1531</v>
      </c>
      <c r="C955" s="0" t="s">
        <v>5548</v>
      </c>
    </row>
    <row r="956" customFormat="false" ht="15" hidden="false" customHeight="false" outlineLevel="0" collapsed="false">
      <c r="A956" s="0" t="s">
        <v>14</v>
      </c>
      <c r="B956" s="0" t="s">
        <v>1532</v>
      </c>
      <c r="C956" s="0" t="s">
        <v>5541</v>
      </c>
      <c r="D956" s="0" t="n">
        <v>60</v>
      </c>
    </row>
    <row r="957" customFormat="false" ht="15" hidden="false" customHeight="false" outlineLevel="0" collapsed="false">
      <c r="A957" s="0" t="s">
        <v>14</v>
      </c>
      <c r="B957" s="0" t="s">
        <v>1532</v>
      </c>
      <c r="C957" s="0" t="s">
        <v>5547</v>
      </c>
    </row>
    <row r="958" customFormat="false" ht="15" hidden="false" customHeight="false" outlineLevel="0" collapsed="false">
      <c r="A958" s="0" t="s">
        <v>14</v>
      </c>
      <c r="B958" s="0" t="s">
        <v>1532</v>
      </c>
      <c r="C958" s="0" t="s">
        <v>5548</v>
      </c>
    </row>
    <row r="959" customFormat="false" ht="15" hidden="false" customHeight="false" outlineLevel="0" collapsed="false">
      <c r="A959" s="0" t="s">
        <v>14</v>
      </c>
      <c r="B959" s="0" t="s">
        <v>1533</v>
      </c>
      <c r="C959" s="0" t="s">
        <v>5541</v>
      </c>
      <c r="D959" s="0" t="n">
        <v>70</v>
      </c>
    </row>
    <row r="960" customFormat="false" ht="15" hidden="false" customHeight="false" outlineLevel="0" collapsed="false">
      <c r="A960" s="0" t="s">
        <v>14</v>
      </c>
      <c r="B960" s="0" t="s">
        <v>1533</v>
      </c>
      <c r="C960" s="0" t="s">
        <v>5547</v>
      </c>
    </row>
    <row r="961" customFormat="false" ht="15" hidden="false" customHeight="false" outlineLevel="0" collapsed="false">
      <c r="A961" s="0" t="s">
        <v>14</v>
      </c>
      <c r="B961" s="0" t="s">
        <v>1533</v>
      </c>
      <c r="C961" s="0" t="s">
        <v>5548</v>
      </c>
    </row>
    <row r="962" customFormat="false" ht="15" hidden="false" customHeight="false" outlineLevel="0" collapsed="false">
      <c r="A962" s="0" t="s">
        <v>14</v>
      </c>
      <c r="B962" s="0" t="s">
        <v>1534</v>
      </c>
      <c r="C962" s="0" t="s">
        <v>5541</v>
      </c>
      <c r="D962" s="0" t="n">
        <v>0.6</v>
      </c>
    </row>
    <row r="963" customFormat="false" ht="15" hidden="false" customHeight="false" outlineLevel="0" collapsed="false">
      <c r="A963" s="0" t="s">
        <v>14</v>
      </c>
      <c r="B963" s="0" t="s">
        <v>1534</v>
      </c>
      <c r="C963" s="0" t="s">
        <v>5547</v>
      </c>
    </row>
    <row r="964" customFormat="false" ht="15" hidden="false" customHeight="false" outlineLevel="0" collapsed="false">
      <c r="A964" s="0" t="s">
        <v>14</v>
      </c>
      <c r="B964" s="0" t="s">
        <v>1534</v>
      </c>
      <c r="C964" s="0" t="s">
        <v>5548</v>
      </c>
    </row>
    <row r="965" customFormat="false" ht="15" hidden="false" customHeight="false" outlineLevel="0" collapsed="false">
      <c r="A965" s="0" t="s">
        <v>14</v>
      </c>
      <c r="B965" s="0" t="s">
        <v>1536</v>
      </c>
      <c r="C965" s="0" t="s">
        <v>5541</v>
      </c>
      <c r="D965" s="0" t="n">
        <v>1.5</v>
      </c>
    </row>
    <row r="966" customFormat="false" ht="15" hidden="false" customHeight="false" outlineLevel="0" collapsed="false">
      <c r="A966" s="0" t="s">
        <v>14</v>
      </c>
      <c r="B966" s="0" t="s">
        <v>1536</v>
      </c>
      <c r="C966" s="0" t="s">
        <v>5547</v>
      </c>
    </row>
    <row r="967" customFormat="false" ht="15" hidden="false" customHeight="false" outlineLevel="0" collapsed="false">
      <c r="A967" s="0" t="s">
        <v>14</v>
      </c>
      <c r="B967" s="0" t="s">
        <v>1536</v>
      </c>
      <c r="C967" s="0" t="s">
        <v>5548</v>
      </c>
    </row>
    <row r="968" customFormat="false" ht="15" hidden="false" customHeight="false" outlineLevel="0" collapsed="false">
      <c r="A968" s="0" t="s">
        <v>14</v>
      </c>
      <c r="B968" s="0" t="s">
        <v>1538</v>
      </c>
      <c r="C968" s="0" t="s">
        <v>5541</v>
      </c>
      <c r="D968" s="0" t="n">
        <v>0</v>
      </c>
    </row>
    <row r="969" customFormat="false" ht="15" hidden="false" customHeight="false" outlineLevel="0" collapsed="false">
      <c r="A969" s="0" t="s">
        <v>14</v>
      </c>
      <c r="B969" s="0" t="s">
        <v>1538</v>
      </c>
      <c r="C969" s="0" t="s">
        <v>5547</v>
      </c>
      <c r="D969" s="0" t="n">
        <v>0</v>
      </c>
    </row>
    <row r="970" customFormat="false" ht="15" hidden="false" customHeight="false" outlineLevel="0" collapsed="false">
      <c r="A970" s="0" t="s">
        <v>14</v>
      </c>
      <c r="B970" s="0" t="s">
        <v>1538</v>
      </c>
      <c r="C970" s="0" t="s">
        <v>5548</v>
      </c>
      <c r="D970" s="0" t="n">
        <v>0.3</v>
      </c>
    </row>
    <row r="971" customFormat="false" ht="15" hidden="false" customHeight="false" outlineLevel="0" collapsed="false">
      <c r="A971" s="0" t="s">
        <v>14</v>
      </c>
      <c r="B971" s="0" t="s">
        <v>1543</v>
      </c>
      <c r="C971" s="0" t="s">
        <v>5541</v>
      </c>
      <c r="D971" s="0" t="n">
        <v>0.33</v>
      </c>
    </row>
    <row r="972" customFormat="false" ht="15" hidden="false" customHeight="false" outlineLevel="0" collapsed="false">
      <c r="A972" s="0" t="s">
        <v>14</v>
      </c>
      <c r="B972" s="0" t="s">
        <v>1543</v>
      </c>
      <c r="C972" s="0" t="s">
        <v>5547</v>
      </c>
    </row>
    <row r="973" customFormat="false" ht="15" hidden="false" customHeight="false" outlineLevel="0" collapsed="false">
      <c r="A973" s="0" t="s">
        <v>14</v>
      </c>
      <c r="B973" s="0" t="s">
        <v>1543</v>
      </c>
      <c r="C973" s="0" t="s">
        <v>5548</v>
      </c>
    </row>
    <row r="974" customFormat="false" ht="15" hidden="false" customHeight="false" outlineLevel="0" collapsed="false">
      <c r="A974" s="0" t="s">
        <v>14</v>
      </c>
      <c r="B974" s="0" t="s">
        <v>1548</v>
      </c>
      <c r="C974" s="0" t="s">
        <v>5541</v>
      </c>
      <c r="D974" s="0" t="n">
        <v>0.265</v>
      </c>
    </row>
    <row r="975" customFormat="false" ht="15" hidden="false" customHeight="false" outlineLevel="0" collapsed="false">
      <c r="A975" s="0" t="s">
        <v>14</v>
      </c>
      <c r="B975" s="0" t="s">
        <v>1548</v>
      </c>
      <c r="C975" s="0" t="s">
        <v>5547</v>
      </c>
    </row>
    <row r="976" customFormat="false" ht="15" hidden="false" customHeight="false" outlineLevel="0" collapsed="false">
      <c r="A976" s="0" t="s">
        <v>14</v>
      </c>
      <c r="B976" s="0" t="s">
        <v>1548</v>
      </c>
      <c r="C976" s="0" t="s">
        <v>5548</v>
      </c>
    </row>
    <row r="977" customFormat="false" ht="15" hidden="false" customHeight="false" outlineLevel="0" collapsed="false">
      <c r="A977" s="0" t="s">
        <v>14</v>
      </c>
      <c r="B977" s="0" t="s">
        <v>1549</v>
      </c>
      <c r="C977" s="0" t="s">
        <v>5541</v>
      </c>
      <c r="D977" s="0" t="n">
        <v>0.22</v>
      </c>
    </row>
    <row r="978" customFormat="false" ht="15" hidden="false" customHeight="false" outlineLevel="0" collapsed="false">
      <c r="A978" s="0" t="s">
        <v>14</v>
      </c>
      <c r="B978" s="0" t="s">
        <v>1549</v>
      </c>
      <c r="C978" s="0" t="s">
        <v>5547</v>
      </c>
    </row>
    <row r="979" customFormat="false" ht="15" hidden="false" customHeight="false" outlineLevel="0" collapsed="false">
      <c r="A979" s="0" t="s">
        <v>14</v>
      </c>
      <c r="B979" s="0" t="s">
        <v>1549</v>
      </c>
      <c r="C979" s="0" t="s">
        <v>5548</v>
      </c>
    </row>
    <row r="980" customFormat="false" ht="15" hidden="false" customHeight="false" outlineLevel="0" collapsed="false">
      <c r="A980" s="0" t="s">
        <v>14</v>
      </c>
      <c r="B980" s="0" t="s">
        <v>1550</v>
      </c>
      <c r="C980" s="0" t="s">
        <v>5541</v>
      </c>
      <c r="D980" s="0" t="n">
        <v>0.18</v>
      </c>
    </row>
    <row r="981" customFormat="false" ht="15" hidden="false" customHeight="false" outlineLevel="0" collapsed="false">
      <c r="A981" s="0" t="s">
        <v>14</v>
      </c>
      <c r="B981" s="0" t="s">
        <v>1550</v>
      </c>
      <c r="C981" s="0" t="s">
        <v>5547</v>
      </c>
    </row>
    <row r="982" customFormat="false" ht="15" hidden="false" customHeight="false" outlineLevel="0" collapsed="false">
      <c r="A982" s="0" t="s">
        <v>14</v>
      </c>
      <c r="B982" s="0" t="s">
        <v>1550</v>
      </c>
      <c r="C982" s="0" t="s">
        <v>5548</v>
      </c>
    </row>
    <row r="983" customFormat="false" ht="15" hidden="false" customHeight="false" outlineLevel="0" collapsed="false">
      <c r="A983" s="0" t="s">
        <v>14</v>
      </c>
      <c r="B983" s="0" t="s">
        <v>1551</v>
      </c>
      <c r="C983" s="0" t="s">
        <v>5541</v>
      </c>
      <c r="D983" s="0" t="n">
        <v>0.14</v>
      </c>
    </row>
    <row r="984" customFormat="false" ht="15" hidden="false" customHeight="false" outlineLevel="0" collapsed="false">
      <c r="A984" s="0" t="s">
        <v>14</v>
      </c>
      <c r="B984" s="0" t="s">
        <v>1551</v>
      </c>
      <c r="C984" s="0" t="s">
        <v>5547</v>
      </c>
    </row>
    <row r="985" customFormat="false" ht="15" hidden="false" customHeight="false" outlineLevel="0" collapsed="false">
      <c r="A985" s="0" t="s">
        <v>14</v>
      </c>
      <c r="B985" s="0" t="s">
        <v>1551</v>
      </c>
      <c r="C985" s="0" t="s">
        <v>5548</v>
      </c>
    </row>
    <row r="986" customFormat="false" ht="15" hidden="false" customHeight="false" outlineLevel="0" collapsed="false">
      <c r="A986" s="0" t="s">
        <v>14</v>
      </c>
      <c r="B986" s="0" t="s">
        <v>1552</v>
      </c>
      <c r="C986" s="0" t="s">
        <v>5541</v>
      </c>
      <c r="D986" s="0" t="n">
        <v>0.8</v>
      </c>
    </row>
    <row r="987" customFormat="false" ht="15" hidden="false" customHeight="false" outlineLevel="0" collapsed="false">
      <c r="A987" s="0" t="s">
        <v>14</v>
      </c>
      <c r="B987" s="0" t="s">
        <v>1552</v>
      </c>
      <c r="C987" s="0" t="s">
        <v>5547</v>
      </c>
    </row>
    <row r="988" customFormat="false" ht="15" hidden="false" customHeight="false" outlineLevel="0" collapsed="false">
      <c r="A988" s="0" t="s">
        <v>14</v>
      </c>
      <c r="B988" s="0" t="s">
        <v>1552</v>
      </c>
      <c r="C988" s="0" t="s">
        <v>5548</v>
      </c>
    </row>
    <row r="989" customFormat="false" ht="15" hidden="false" customHeight="false" outlineLevel="0" collapsed="false">
      <c r="A989" s="0" t="s">
        <v>14</v>
      </c>
      <c r="B989" s="0" t="s">
        <v>1555</v>
      </c>
      <c r="C989" s="0" t="s">
        <v>5541</v>
      </c>
      <c r="D989" s="0" t="n">
        <v>1.3</v>
      </c>
    </row>
    <row r="990" customFormat="false" ht="15" hidden="false" customHeight="false" outlineLevel="0" collapsed="false">
      <c r="A990" s="0" t="s">
        <v>14</v>
      </c>
      <c r="B990" s="0" t="s">
        <v>1555</v>
      </c>
      <c r="C990" s="0" t="s">
        <v>5547</v>
      </c>
    </row>
    <row r="991" customFormat="false" ht="15" hidden="false" customHeight="false" outlineLevel="0" collapsed="false">
      <c r="A991" s="0" t="s">
        <v>14</v>
      </c>
      <c r="B991" s="0" t="s">
        <v>1555</v>
      </c>
      <c r="C991" s="0" t="s">
        <v>5548</v>
      </c>
    </row>
    <row r="992" customFormat="false" ht="15" hidden="false" customHeight="false" outlineLevel="0" collapsed="false">
      <c r="A992" s="0" t="s">
        <v>14</v>
      </c>
      <c r="B992" s="0" t="s">
        <v>1557</v>
      </c>
      <c r="C992" s="0" t="s">
        <v>5541</v>
      </c>
      <c r="D992" s="0" t="n">
        <v>10</v>
      </c>
    </row>
    <row r="993" customFormat="false" ht="15" hidden="false" customHeight="false" outlineLevel="0" collapsed="false">
      <c r="A993" s="0" t="s">
        <v>14</v>
      </c>
      <c r="B993" s="0" t="s">
        <v>1557</v>
      </c>
      <c r="C993" s="0" t="s">
        <v>5547</v>
      </c>
      <c r="D993" s="0" t="n">
        <v>5</v>
      </c>
    </row>
    <row r="994" customFormat="false" ht="15" hidden="false" customHeight="false" outlineLevel="0" collapsed="false">
      <c r="A994" s="0" t="s">
        <v>14</v>
      </c>
      <c r="B994" s="0" t="s">
        <v>1557</v>
      </c>
      <c r="C994" s="0" t="s">
        <v>5548</v>
      </c>
      <c r="D994" s="0" t="n">
        <v>20</v>
      </c>
    </row>
    <row r="995" customFormat="false" ht="15" hidden="false" customHeight="false" outlineLevel="0" collapsed="false">
      <c r="A995" s="0" t="s">
        <v>14</v>
      </c>
      <c r="B995" s="0" t="s">
        <v>1561</v>
      </c>
      <c r="C995" s="0" t="s">
        <v>5541</v>
      </c>
      <c r="D995" s="0" t="n">
        <v>0.6</v>
      </c>
    </row>
    <row r="996" customFormat="false" ht="15" hidden="false" customHeight="false" outlineLevel="0" collapsed="false">
      <c r="A996" s="0" t="s">
        <v>14</v>
      </c>
      <c r="B996" s="0" t="s">
        <v>1561</v>
      </c>
      <c r="C996" s="0" t="s">
        <v>5547</v>
      </c>
      <c r="D996" s="0" t="n">
        <v>0.4</v>
      </c>
    </row>
    <row r="997" customFormat="false" ht="15" hidden="false" customHeight="false" outlineLevel="0" collapsed="false">
      <c r="A997" s="0" t="s">
        <v>14</v>
      </c>
      <c r="B997" s="0" t="s">
        <v>1561</v>
      </c>
      <c r="C997" s="0" t="s">
        <v>5548</v>
      </c>
      <c r="D997" s="0" t="n">
        <v>1</v>
      </c>
    </row>
    <row r="998" customFormat="false" ht="15" hidden="false" customHeight="false" outlineLevel="0" collapsed="false">
      <c r="A998" s="0" t="s">
        <v>14</v>
      </c>
      <c r="B998" s="0" t="s">
        <v>1566</v>
      </c>
      <c r="C998" s="0" t="s">
        <v>5541</v>
      </c>
      <c r="D998" s="0" t="n">
        <v>0.6</v>
      </c>
    </row>
    <row r="999" customFormat="false" ht="15" hidden="false" customHeight="false" outlineLevel="0" collapsed="false">
      <c r="A999" s="0" t="s">
        <v>14</v>
      </c>
      <c r="B999" s="0" t="s">
        <v>1566</v>
      </c>
      <c r="C999" s="0" t="s">
        <v>5547</v>
      </c>
    </row>
    <row r="1000" customFormat="false" ht="15" hidden="false" customHeight="false" outlineLevel="0" collapsed="false">
      <c r="A1000" s="0" t="s">
        <v>14</v>
      </c>
      <c r="B1000" s="0" t="s">
        <v>1566</v>
      </c>
      <c r="C1000" s="0" t="s">
        <v>5548</v>
      </c>
    </row>
    <row r="1001" customFormat="false" ht="15" hidden="false" customHeight="false" outlineLevel="0" collapsed="false">
      <c r="A1001" s="0" t="s">
        <v>14</v>
      </c>
      <c r="B1001" s="0" t="s">
        <v>1571</v>
      </c>
      <c r="C1001" s="0" t="s">
        <v>5541</v>
      </c>
      <c r="D1001" s="0" t="n">
        <v>0.35</v>
      </c>
    </row>
    <row r="1002" customFormat="false" ht="15" hidden="false" customHeight="false" outlineLevel="0" collapsed="false">
      <c r="A1002" s="0" t="s">
        <v>14</v>
      </c>
      <c r="B1002" s="0" t="s">
        <v>1571</v>
      </c>
      <c r="C1002" s="0" t="s">
        <v>5547</v>
      </c>
    </row>
    <row r="1003" customFormat="false" ht="15" hidden="false" customHeight="false" outlineLevel="0" collapsed="false">
      <c r="A1003" s="0" t="s">
        <v>14</v>
      </c>
      <c r="B1003" s="0" t="s">
        <v>1571</v>
      </c>
      <c r="C1003" s="0" t="s">
        <v>5548</v>
      </c>
    </row>
    <row r="1004" customFormat="false" ht="15" hidden="false" customHeight="false" outlineLevel="0" collapsed="false">
      <c r="A1004" s="0" t="s">
        <v>14</v>
      </c>
      <c r="B1004" s="0" t="s">
        <v>1572</v>
      </c>
      <c r="C1004" s="0" t="s">
        <v>5541</v>
      </c>
      <c r="D1004" s="0" t="n">
        <v>0.15</v>
      </c>
    </row>
    <row r="1005" customFormat="false" ht="15" hidden="false" customHeight="false" outlineLevel="0" collapsed="false">
      <c r="A1005" s="0" t="s">
        <v>14</v>
      </c>
      <c r="B1005" s="0" t="s">
        <v>1572</v>
      </c>
      <c r="C1005" s="0" t="s">
        <v>5547</v>
      </c>
    </row>
    <row r="1006" customFormat="false" ht="15" hidden="false" customHeight="false" outlineLevel="0" collapsed="false">
      <c r="A1006" s="0" t="s">
        <v>14</v>
      </c>
      <c r="B1006" s="0" t="s">
        <v>1572</v>
      </c>
      <c r="C1006" s="0" t="s">
        <v>5548</v>
      </c>
    </row>
    <row r="1007" customFormat="false" ht="15" hidden="false" customHeight="false" outlineLevel="0" collapsed="false">
      <c r="A1007" s="0" t="s">
        <v>14</v>
      </c>
      <c r="B1007" s="0" t="s">
        <v>1573</v>
      </c>
      <c r="C1007" s="0" t="s">
        <v>5541</v>
      </c>
      <c r="D1007" s="0" t="n">
        <v>0.05</v>
      </c>
    </row>
    <row r="1008" customFormat="false" ht="15" hidden="false" customHeight="false" outlineLevel="0" collapsed="false">
      <c r="A1008" s="0" t="s">
        <v>14</v>
      </c>
      <c r="B1008" s="0" t="s">
        <v>1573</v>
      </c>
      <c r="C1008" s="0" t="s">
        <v>5547</v>
      </c>
    </row>
    <row r="1009" customFormat="false" ht="15" hidden="false" customHeight="false" outlineLevel="0" collapsed="false">
      <c r="A1009" s="0" t="s">
        <v>14</v>
      </c>
      <c r="B1009" s="0" t="s">
        <v>1573</v>
      </c>
      <c r="C1009" s="0" t="s">
        <v>5548</v>
      </c>
    </row>
    <row r="1010" customFormat="false" ht="15" hidden="false" customHeight="false" outlineLevel="0" collapsed="false">
      <c r="A1010" s="0" t="s">
        <v>14</v>
      </c>
      <c r="B1010" s="0" t="s">
        <v>1574</v>
      </c>
      <c r="C1010" s="0" t="s">
        <v>5541</v>
      </c>
      <c r="D1010" s="0" t="n">
        <v>0</v>
      </c>
    </row>
    <row r="1011" customFormat="false" ht="15" hidden="false" customHeight="false" outlineLevel="0" collapsed="false">
      <c r="A1011" s="0" t="s">
        <v>14</v>
      </c>
      <c r="B1011" s="0" t="s">
        <v>1574</v>
      </c>
      <c r="C1011" s="0" t="s">
        <v>5547</v>
      </c>
    </row>
    <row r="1012" customFormat="false" ht="15" hidden="false" customHeight="false" outlineLevel="0" collapsed="false">
      <c r="A1012" s="0" t="s">
        <v>14</v>
      </c>
      <c r="B1012" s="0" t="s">
        <v>1574</v>
      </c>
      <c r="C1012" s="0" t="s">
        <v>5548</v>
      </c>
    </row>
    <row r="1013" customFormat="false" ht="15" hidden="false" customHeight="false" outlineLevel="0" collapsed="false">
      <c r="A1013" s="0" t="s">
        <v>14</v>
      </c>
      <c r="B1013" s="0" t="s">
        <v>1575</v>
      </c>
      <c r="C1013" s="0" t="s">
        <v>5541</v>
      </c>
      <c r="D1013" s="0" t="n">
        <v>0</v>
      </c>
    </row>
    <row r="1014" customFormat="false" ht="15" hidden="false" customHeight="false" outlineLevel="0" collapsed="false">
      <c r="A1014" s="0" t="s">
        <v>14</v>
      </c>
      <c r="B1014" s="0" t="s">
        <v>1575</v>
      </c>
      <c r="C1014" s="0" t="s">
        <v>5547</v>
      </c>
    </row>
    <row r="1015" customFormat="false" ht="15" hidden="false" customHeight="false" outlineLevel="0" collapsed="false">
      <c r="A1015" s="0" t="s">
        <v>14</v>
      </c>
      <c r="B1015" s="0" t="s">
        <v>1575</v>
      </c>
      <c r="C1015" s="0" t="s">
        <v>5548</v>
      </c>
    </row>
    <row r="1016" customFormat="false" ht="15" hidden="false" customHeight="false" outlineLevel="0" collapsed="false">
      <c r="A1016" s="0" t="s">
        <v>14</v>
      </c>
      <c r="B1016" s="0" t="s">
        <v>1576</v>
      </c>
      <c r="C1016" s="0" t="s">
        <v>5541</v>
      </c>
      <c r="D1016" s="0" t="n">
        <v>0.4</v>
      </c>
    </row>
    <row r="1017" customFormat="false" ht="15" hidden="false" customHeight="false" outlineLevel="0" collapsed="false">
      <c r="A1017" s="0" t="s">
        <v>14</v>
      </c>
      <c r="B1017" s="0" t="s">
        <v>1576</v>
      </c>
      <c r="C1017" s="0" t="s">
        <v>5547</v>
      </c>
    </row>
    <row r="1018" customFormat="false" ht="15" hidden="false" customHeight="false" outlineLevel="0" collapsed="false">
      <c r="A1018" s="0" t="s">
        <v>14</v>
      </c>
      <c r="B1018" s="0" t="s">
        <v>1576</v>
      </c>
      <c r="C1018" s="0" t="s">
        <v>5548</v>
      </c>
    </row>
    <row r="1019" customFormat="false" ht="15" hidden="false" customHeight="false" outlineLevel="0" collapsed="false">
      <c r="A1019" s="0" t="s">
        <v>14</v>
      </c>
      <c r="B1019" s="0" t="s">
        <v>1580</v>
      </c>
      <c r="C1019" s="0" t="s">
        <v>5541</v>
      </c>
      <c r="D1019" s="0" t="n">
        <v>0.55</v>
      </c>
    </row>
    <row r="1020" customFormat="false" ht="15" hidden="false" customHeight="false" outlineLevel="0" collapsed="false">
      <c r="A1020" s="0" t="s">
        <v>14</v>
      </c>
      <c r="B1020" s="0" t="s">
        <v>1580</v>
      </c>
      <c r="C1020" s="0" t="s">
        <v>5547</v>
      </c>
    </row>
    <row r="1021" customFormat="false" ht="15" hidden="false" customHeight="false" outlineLevel="0" collapsed="false">
      <c r="A1021" s="0" t="s">
        <v>14</v>
      </c>
      <c r="B1021" s="0" t="s">
        <v>1580</v>
      </c>
      <c r="C1021" s="0" t="s">
        <v>5548</v>
      </c>
    </row>
    <row r="1022" customFormat="false" ht="15" hidden="false" customHeight="false" outlineLevel="0" collapsed="false">
      <c r="A1022" s="0" t="s">
        <v>14</v>
      </c>
      <c r="B1022" s="0" t="s">
        <v>1581</v>
      </c>
      <c r="C1022" s="0" t="s">
        <v>5541</v>
      </c>
      <c r="D1022" s="0" t="n">
        <v>0.45</v>
      </c>
    </row>
    <row r="1023" customFormat="false" ht="15" hidden="false" customHeight="false" outlineLevel="0" collapsed="false">
      <c r="A1023" s="0" t="s">
        <v>14</v>
      </c>
      <c r="B1023" s="0" t="s">
        <v>1581</v>
      </c>
      <c r="C1023" s="0" t="s">
        <v>5547</v>
      </c>
    </row>
    <row r="1024" customFormat="false" ht="15" hidden="false" customHeight="false" outlineLevel="0" collapsed="false">
      <c r="A1024" s="0" t="s">
        <v>14</v>
      </c>
      <c r="B1024" s="0" t="s">
        <v>1581</v>
      </c>
      <c r="C1024" s="0" t="s">
        <v>5548</v>
      </c>
    </row>
    <row r="1025" customFormat="false" ht="15" hidden="false" customHeight="false" outlineLevel="0" collapsed="false">
      <c r="A1025" s="0" t="s">
        <v>14</v>
      </c>
      <c r="B1025" s="0" t="s">
        <v>1582</v>
      </c>
      <c r="C1025" s="0" t="s">
        <v>5541</v>
      </c>
      <c r="D1025" s="0" t="n">
        <v>0.3</v>
      </c>
    </row>
    <row r="1026" customFormat="false" ht="15" hidden="false" customHeight="false" outlineLevel="0" collapsed="false">
      <c r="A1026" s="0" t="s">
        <v>14</v>
      </c>
      <c r="B1026" s="0" t="s">
        <v>1582</v>
      </c>
      <c r="C1026" s="0" t="s">
        <v>5547</v>
      </c>
    </row>
    <row r="1027" customFormat="false" ht="15" hidden="false" customHeight="false" outlineLevel="0" collapsed="false">
      <c r="A1027" s="0" t="s">
        <v>14</v>
      </c>
      <c r="B1027" s="0" t="s">
        <v>1582</v>
      </c>
      <c r="C1027" s="0" t="s">
        <v>5548</v>
      </c>
    </row>
    <row r="1028" customFormat="false" ht="15" hidden="false" customHeight="false" outlineLevel="0" collapsed="false">
      <c r="A1028" s="0" t="s">
        <v>14</v>
      </c>
      <c r="B1028" s="0" t="s">
        <v>1583</v>
      </c>
      <c r="C1028" s="0" t="s">
        <v>5541</v>
      </c>
      <c r="D1028" s="0" t="n">
        <v>0.2</v>
      </c>
    </row>
    <row r="1029" customFormat="false" ht="15" hidden="false" customHeight="false" outlineLevel="0" collapsed="false">
      <c r="A1029" s="0" t="s">
        <v>14</v>
      </c>
      <c r="B1029" s="0" t="s">
        <v>1583</v>
      </c>
      <c r="C1029" s="0" t="s">
        <v>5547</v>
      </c>
    </row>
    <row r="1030" customFormat="false" ht="15" hidden="false" customHeight="false" outlineLevel="0" collapsed="false">
      <c r="A1030" s="0" t="s">
        <v>14</v>
      </c>
      <c r="B1030" s="0" t="s">
        <v>1583</v>
      </c>
      <c r="C1030" s="0" t="s">
        <v>5548</v>
      </c>
    </row>
    <row r="1031" customFormat="false" ht="15" hidden="false" customHeight="false" outlineLevel="0" collapsed="false">
      <c r="A1031" s="0" t="s">
        <v>14</v>
      </c>
      <c r="B1031" s="0" t="s">
        <v>1584</v>
      </c>
      <c r="C1031" s="0" t="s">
        <v>5541</v>
      </c>
      <c r="D1031" s="0" t="n">
        <v>0.1</v>
      </c>
    </row>
    <row r="1032" customFormat="false" ht="15" hidden="false" customHeight="false" outlineLevel="0" collapsed="false">
      <c r="A1032" s="0" t="s">
        <v>14</v>
      </c>
      <c r="B1032" s="0" t="s">
        <v>1584</v>
      </c>
      <c r="C1032" s="0" t="s">
        <v>5547</v>
      </c>
    </row>
    <row r="1033" customFormat="false" ht="15" hidden="false" customHeight="false" outlineLevel="0" collapsed="false">
      <c r="A1033" s="0" t="s">
        <v>14</v>
      </c>
      <c r="B1033" s="0" t="s">
        <v>1584</v>
      </c>
      <c r="C1033" s="0" t="s">
        <v>5548</v>
      </c>
    </row>
    <row r="1034" customFormat="false" ht="15" hidden="false" customHeight="false" outlineLevel="0" collapsed="false">
      <c r="A1034" s="0" t="s">
        <v>14</v>
      </c>
      <c r="B1034" s="0" t="s">
        <v>1585</v>
      </c>
      <c r="C1034" s="0" t="s">
        <v>5541</v>
      </c>
      <c r="D1034" s="0" t="n">
        <v>0</v>
      </c>
    </row>
    <row r="1035" customFormat="false" ht="15" hidden="false" customHeight="false" outlineLevel="0" collapsed="false">
      <c r="A1035" s="0" t="s">
        <v>14</v>
      </c>
      <c r="B1035" s="0" t="s">
        <v>1585</v>
      </c>
      <c r="C1035" s="0" t="s">
        <v>5547</v>
      </c>
    </row>
    <row r="1036" customFormat="false" ht="15" hidden="false" customHeight="false" outlineLevel="0" collapsed="false">
      <c r="A1036" s="0" t="s">
        <v>14</v>
      </c>
      <c r="B1036" s="0" t="s">
        <v>1585</v>
      </c>
      <c r="C1036" s="0" t="s">
        <v>5548</v>
      </c>
    </row>
    <row r="1037" customFormat="false" ht="15" hidden="false" customHeight="false" outlineLevel="0" collapsed="false">
      <c r="A1037" s="0" t="s">
        <v>14</v>
      </c>
      <c r="B1037" s="0" t="s">
        <v>1588</v>
      </c>
      <c r="C1037" s="0" t="s">
        <v>5541</v>
      </c>
      <c r="D1037" s="0" t="n">
        <v>0.05</v>
      </c>
    </row>
    <row r="1038" customFormat="false" ht="15" hidden="false" customHeight="false" outlineLevel="0" collapsed="false">
      <c r="A1038" s="0" t="s">
        <v>14</v>
      </c>
      <c r="B1038" s="0" t="s">
        <v>1588</v>
      </c>
      <c r="C1038" s="0" t="s">
        <v>5547</v>
      </c>
    </row>
    <row r="1039" customFormat="false" ht="15" hidden="false" customHeight="false" outlineLevel="0" collapsed="false">
      <c r="A1039" s="0" t="s">
        <v>14</v>
      </c>
      <c r="B1039" s="0" t="s">
        <v>1588</v>
      </c>
      <c r="C1039" s="0" t="s">
        <v>5548</v>
      </c>
    </row>
    <row r="1040" customFormat="false" ht="15" hidden="false" customHeight="false" outlineLevel="0" collapsed="false">
      <c r="A1040" s="0" t="s">
        <v>14</v>
      </c>
      <c r="B1040" s="0" t="s">
        <v>1589</v>
      </c>
      <c r="C1040" s="0" t="s">
        <v>5541</v>
      </c>
      <c r="D1040" s="0" t="n">
        <v>0.3</v>
      </c>
    </row>
    <row r="1041" customFormat="false" ht="15" hidden="false" customHeight="false" outlineLevel="0" collapsed="false">
      <c r="A1041" s="0" t="s">
        <v>14</v>
      </c>
      <c r="B1041" s="0" t="s">
        <v>1589</v>
      </c>
      <c r="C1041" s="0" t="s">
        <v>5547</v>
      </c>
    </row>
    <row r="1042" customFormat="false" ht="15" hidden="false" customHeight="false" outlineLevel="0" collapsed="false">
      <c r="A1042" s="0" t="s">
        <v>14</v>
      </c>
      <c r="B1042" s="0" t="s">
        <v>1589</v>
      </c>
      <c r="C1042" s="0" t="s">
        <v>5548</v>
      </c>
    </row>
    <row r="1043" customFormat="false" ht="15" hidden="false" customHeight="false" outlineLevel="0" collapsed="false">
      <c r="A1043" s="0" t="s">
        <v>14</v>
      </c>
      <c r="B1043" s="0" t="s">
        <v>1590</v>
      </c>
      <c r="C1043" s="0" t="s">
        <v>5541</v>
      </c>
      <c r="D1043" s="0" t="n">
        <v>0.45</v>
      </c>
    </row>
    <row r="1044" customFormat="false" ht="15" hidden="false" customHeight="false" outlineLevel="0" collapsed="false">
      <c r="A1044" s="0" t="s">
        <v>14</v>
      </c>
      <c r="B1044" s="0" t="s">
        <v>1590</v>
      </c>
      <c r="C1044" s="0" t="s">
        <v>5547</v>
      </c>
    </row>
    <row r="1045" customFormat="false" ht="15" hidden="false" customHeight="false" outlineLevel="0" collapsed="false">
      <c r="A1045" s="0" t="s">
        <v>14</v>
      </c>
      <c r="B1045" s="0" t="s">
        <v>1590</v>
      </c>
      <c r="C1045" s="0" t="s">
        <v>5548</v>
      </c>
    </row>
    <row r="1046" customFormat="false" ht="15" hidden="false" customHeight="false" outlineLevel="0" collapsed="false">
      <c r="A1046" s="0" t="s">
        <v>14</v>
      </c>
      <c r="B1046" s="0" t="s">
        <v>1591</v>
      </c>
      <c r="C1046" s="0" t="s">
        <v>5541</v>
      </c>
      <c r="D1046" s="0" t="n">
        <v>0.5</v>
      </c>
    </row>
    <row r="1047" customFormat="false" ht="15" hidden="false" customHeight="false" outlineLevel="0" collapsed="false">
      <c r="A1047" s="0" t="s">
        <v>14</v>
      </c>
      <c r="B1047" s="0" t="s">
        <v>1591</v>
      </c>
      <c r="C1047" s="0" t="s">
        <v>5547</v>
      </c>
    </row>
    <row r="1048" customFormat="false" ht="15" hidden="false" customHeight="false" outlineLevel="0" collapsed="false">
      <c r="A1048" s="0" t="s">
        <v>14</v>
      </c>
      <c r="B1048" s="0" t="s">
        <v>1591</v>
      </c>
      <c r="C1048" s="0" t="s">
        <v>5548</v>
      </c>
    </row>
    <row r="1049" customFormat="false" ht="15" hidden="false" customHeight="false" outlineLevel="0" collapsed="false">
      <c r="A1049" s="0" t="s">
        <v>14</v>
      </c>
      <c r="B1049" s="0" t="s">
        <v>1592</v>
      </c>
      <c r="C1049" s="0" t="s">
        <v>5541</v>
      </c>
      <c r="D1049" s="0" t="n">
        <v>0.45</v>
      </c>
    </row>
    <row r="1050" customFormat="false" ht="15" hidden="false" customHeight="false" outlineLevel="0" collapsed="false">
      <c r="A1050" s="0" t="s">
        <v>14</v>
      </c>
      <c r="B1050" s="0" t="s">
        <v>1592</v>
      </c>
      <c r="C1050" s="0" t="s">
        <v>5547</v>
      </c>
    </row>
    <row r="1051" customFormat="false" ht="15" hidden="false" customHeight="false" outlineLevel="0" collapsed="false">
      <c r="A1051" s="0" t="s">
        <v>14</v>
      </c>
      <c r="B1051" s="0" t="s">
        <v>1592</v>
      </c>
      <c r="C1051" s="0" t="s">
        <v>5548</v>
      </c>
    </row>
    <row r="1052" customFormat="false" ht="15" hidden="false" customHeight="false" outlineLevel="0" collapsed="false">
      <c r="A1052" s="0" t="s">
        <v>14</v>
      </c>
      <c r="B1052" s="0" t="s">
        <v>1593</v>
      </c>
      <c r="C1052" s="0" t="s">
        <v>5541</v>
      </c>
      <c r="D1052" s="0" t="n">
        <v>0</v>
      </c>
    </row>
    <row r="1053" customFormat="false" ht="15" hidden="false" customHeight="false" outlineLevel="0" collapsed="false">
      <c r="A1053" s="0" t="s">
        <v>14</v>
      </c>
      <c r="B1053" s="0" t="s">
        <v>1593</v>
      </c>
      <c r="C1053" s="0" t="s">
        <v>5547</v>
      </c>
    </row>
    <row r="1054" customFormat="false" ht="15" hidden="false" customHeight="false" outlineLevel="0" collapsed="false">
      <c r="A1054" s="0" t="s">
        <v>14</v>
      </c>
      <c r="B1054" s="0" t="s">
        <v>1593</v>
      </c>
      <c r="C1054" s="0" t="s">
        <v>5548</v>
      </c>
    </row>
    <row r="1055" customFormat="false" ht="15" hidden="false" customHeight="false" outlineLevel="0" collapsed="false">
      <c r="A1055" s="0" t="s">
        <v>14</v>
      </c>
      <c r="B1055" s="0" t="s">
        <v>1596</v>
      </c>
      <c r="C1055" s="0" t="s">
        <v>5541</v>
      </c>
      <c r="D1055" s="0" t="n">
        <v>0</v>
      </c>
    </row>
    <row r="1056" customFormat="false" ht="15" hidden="false" customHeight="false" outlineLevel="0" collapsed="false">
      <c r="A1056" s="0" t="s">
        <v>14</v>
      </c>
      <c r="B1056" s="0" t="s">
        <v>1596</v>
      </c>
      <c r="C1056" s="0" t="s">
        <v>5547</v>
      </c>
    </row>
    <row r="1057" customFormat="false" ht="15" hidden="false" customHeight="false" outlineLevel="0" collapsed="false">
      <c r="A1057" s="0" t="s">
        <v>14</v>
      </c>
      <c r="B1057" s="0" t="s">
        <v>1596</v>
      </c>
      <c r="C1057" s="0" t="s">
        <v>5548</v>
      </c>
    </row>
    <row r="1058" customFormat="false" ht="15" hidden="false" customHeight="false" outlineLevel="0" collapsed="false">
      <c r="A1058" s="0" t="s">
        <v>14</v>
      </c>
      <c r="B1058" s="0" t="s">
        <v>1597</v>
      </c>
      <c r="C1058" s="0" t="s">
        <v>5541</v>
      </c>
      <c r="D1058" s="0" t="n">
        <v>0</v>
      </c>
    </row>
    <row r="1059" customFormat="false" ht="15" hidden="false" customHeight="false" outlineLevel="0" collapsed="false">
      <c r="A1059" s="0" t="s">
        <v>14</v>
      </c>
      <c r="B1059" s="0" t="s">
        <v>1597</v>
      </c>
      <c r="C1059" s="0" t="s">
        <v>5547</v>
      </c>
    </row>
    <row r="1060" customFormat="false" ht="15" hidden="false" customHeight="false" outlineLevel="0" collapsed="false">
      <c r="A1060" s="0" t="s">
        <v>14</v>
      </c>
      <c r="B1060" s="0" t="s">
        <v>1597</v>
      </c>
      <c r="C1060" s="0" t="s">
        <v>5548</v>
      </c>
    </row>
    <row r="1061" customFormat="false" ht="15" hidden="false" customHeight="false" outlineLevel="0" collapsed="false">
      <c r="A1061" s="0" t="s">
        <v>14</v>
      </c>
      <c r="B1061" s="0" t="s">
        <v>1598</v>
      </c>
      <c r="C1061" s="0" t="s">
        <v>5541</v>
      </c>
      <c r="D1061" s="0" t="n">
        <v>0.05</v>
      </c>
    </row>
    <row r="1062" customFormat="false" ht="15" hidden="false" customHeight="false" outlineLevel="0" collapsed="false">
      <c r="A1062" s="0" t="s">
        <v>14</v>
      </c>
      <c r="B1062" s="0" t="s">
        <v>1598</v>
      </c>
      <c r="C1062" s="0" t="s">
        <v>5547</v>
      </c>
    </row>
    <row r="1063" customFormat="false" ht="15" hidden="false" customHeight="false" outlineLevel="0" collapsed="false">
      <c r="A1063" s="0" t="s">
        <v>14</v>
      </c>
      <c r="B1063" s="0" t="s">
        <v>1598</v>
      </c>
      <c r="C1063" s="0" t="s">
        <v>5548</v>
      </c>
    </row>
    <row r="1064" customFormat="false" ht="15" hidden="false" customHeight="false" outlineLevel="0" collapsed="false">
      <c r="A1064" s="0" t="s">
        <v>14</v>
      </c>
      <c r="B1064" s="0" t="s">
        <v>1599</v>
      </c>
      <c r="C1064" s="0" t="s">
        <v>5541</v>
      </c>
      <c r="D1064" s="0" t="n">
        <v>0.1</v>
      </c>
    </row>
    <row r="1065" customFormat="false" ht="15" hidden="false" customHeight="false" outlineLevel="0" collapsed="false">
      <c r="A1065" s="0" t="s">
        <v>14</v>
      </c>
      <c r="B1065" s="0" t="s">
        <v>1599</v>
      </c>
      <c r="C1065" s="0" t="s">
        <v>5547</v>
      </c>
    </row>
    <row r="1066" customFormat="false" ht="15" hidden="false" customHeight="false" outlineLevel="0" collapsed="false">
      <c r="A1066" s="0" t="s">
        <v>14</v>
      </c>
      <c r="B1066" s="0" t="s">
        <v>1599</v>
      </c>
      <c r="C1066" s="0" t="s">
        <v>5548</v>
      </c>
    </row>
    <row r="1067" customFormat="false" ht="15" hidden="false" customHeight="false" outlineLevel="0" collapsed="false">
      <c r="A1067" s="0" t="s">
        <v>14</v>
      </c>
      <c r="B1067" s="0" t="s">
        <v>1600</v>
      </c>
      <c r="C1067" s="0" t="s">
        <v>5541</v>
      </c>
      <c r="D1067" s="0" t="n">
        <v>0.2</v>
      </c>
    </row>
    <row r="1068" customFormat="false" ht="15" hidden="false" customHeight="false" outlineLevel="0" collapsed="false">
      <c r="A1068" s="0" t="s">
        <v>14</v>
      </c>
      <c r="B1068" s="0" t="s">
        <v>1600</v>
      </c>
      <c r="C1068" s="0" t="s">
        <v>5547</v>
      </c>
    </row>
    <row r="1069" customFormat="false" ht="15" hidden="false" customHeight="false" outlineLevel="0" collapsed="false">
      <c r="A1069" s="0" t="s">
        <v>14</v>
      </c>
      <c r="B1069" s="0" t="s">
        <v>1600</v>
      </c>
      <c r="C1069" s="0" t="s">
        <v>5548</v>
      </c>
    </row>
    <row r="1070" customFormat="false" ht="15" hidden="false" customHeight="false" outlineLevel="0" collapsed="false">
      <c r="A1070" s="0" t="s">
        <v>14</v>
      </c>
      <c r="B1070" s="0" t="s">
        <v>1601</v>
      </c>
      <c r="C1070" s="0" t="s">
        <v>5541</v>
      </c>
      <c r="D1070" s="0" t="n">
        <v>12</v>
      </c>
    </row>
    <row r="1071" customFormat="false" ht="15" hidden="false" customHeight="false" outlineLevel="0" collapsed="false">
      <c r="A1071" s="0" t="s">
        <v>14</v>
      </c>
      <c r="B1071" s="0" t="s">
        <v>1601</v>
      </c>
      <c r="C1071" s="0" t="s">
        <v>5547</v>
      </c>
      <c r="D1071" s="0" t="n">
        <v>8</v>
      </c>
    </row>
    <row r="1072" customFormat="false" ht="15" hidden="false" customHeight="false" outlineLevel="0" collapsed="false">
      <c r="A1072" s="0" t="s">
        <v>14</v>
      </c>
      <c r="B1072" s="0" t="s">
        <v>1601</v>
      </c>
      <c r="C1072" s="0" t="s">
        <v>5548</v>
      </c>
      <c r="D1072" s="0" t="n">
        <v>20</v>
      </c>
    </row>
    <row r="1073" customFormat="false" ht="15" hidden="false" customHeight="false" outlineLevel="0" collapsed="false">
      <c r="A1073" s="0" t="s">
        <v>14</v>
      </c>
      <c r="B1073" s="0" t="s">
        <v>1608</v>
      </c>
      <c r="C1073" s="0" t="s">
        <v>5541</v>
      </c>
      <c r="D1073" s="0" t="n">
        <v>1.41</v>
      </c>
    </row>
    <row r="1074" customFormat="false" ht="15" hidden="false" customHeight="false" outlineLevel="0" collapsed="false">
      <c r="A1074" s="0" t="s">
        <v>14</v>
      </c>
      <c r="B1074" s="0" t="s">
        <v>1608</v>
      </c>
      <c r="C1074" s="0" t="s">
        <v>5547</v>
      </c>
      <c r="D1074" s="0" t="n">
        <v>0</v>
      </c>
    </row>
    <row r="1075" customFormat="false" ht="15" hidden="false" customHeight="false" outlineLevel="0" collapsed="false">
      <c r="A1075" s="0" t="s">
        <v>14</v>
      </c>
      <c r="B1075" s="0" t="s">
        <v>1608</v>
      </c>
      <c r="C1075" s="0" t="s">
        <v>5548</v>
      </c>
      <c r="D1075" s="0" t="n">
        <v>2.91</v>
      </c>
    </row>
    <row r="1076" customFormat="false" ht="15" hidden="false" customHeight="false" outlineLevel="0" collapsed="false">
      <c r="A1076" s="0" t="s">
        <v>14</v>
      </c>
      <c r="B1076" s="0" t="s">
        <v>1614</v>
      </c>
      <c r="C1076" s="0" t="s">
        <v>5541</v>
      </c>
      <c r="D1076" s="0" t="n">
        <v>0.1</v>
      </c>
    </row>
    <row r="1077" customFormat="false" ht="15" hidden="false" customHeight="false" outlineLevel="0" collapsed="false">
      <c r="A1077" s="0" t="s">
        <v>14</v>
      </c>
      <c r="B1077" s="0" t="s">
        <v>1614</v>
      </c>
      <c r="C1077" s="0" t="s">
        <v>5547</v>
      </c>
    </row>
    <row r="1078" customFormat="false" ht="15" hidden="false" customHeight="false" outlineLevel="0" collapsed="false">
      <c r="A1078" s="0" t="s">
        <v>14</v>
      </c>
      <c r="B1078" s="0" t="s">
        <v>1614</v>
      </c>
      <c r="C1078" s="0" t="s">
        <v>5548</v>
      </c>
    </row>
    <row r="1079" customFormat="false" ht="15" hidden="false" customHeight="false" outlineLevel="0" collapsed="false">
      <c r="A1079" s="0" t="s">
        <v>14</v>
      </c>
      <c r="B1079" s="0" t="s">
        <v>1617</v>
      </c>
      <c r="C1079" s="0" t="s">
        <v>5541</v>
      </c>
      <c r="D1079" s="0" t="n">
        <v>0.3</v>
      </c>
    </row>
    <row r="1080" customFormat="false" ht="15" hidden="false" customHeight="false" outlineLevel="0" collapsed="false">
      <c r="A1080" s="0" t="s">
        <v>14</v>
      </c>
      <c r="B1080" s="0" t="s">
        <v>1617</v>
      </c>
      <c r="C1080" s="0" t="s">
        <v>5547</v>
      </c>
    </row>
    <row r="1081" customFormat="false" ht="15" hidden="false" customHeight="false" outlineLevel="0" collapsed="false">
      <c r="A1081" s="0" t="s">
        <v>14</v>
      </c>
      <c r="B1081" s="0" t="s">
        <v>1617</v>
      </c>
      <c r="C1081" s="0" t="s">
        <v>5548</v>
      </c>
    </row>
    <row r="1082" customFormat="false" ht="15" hidden="false" customHeight="false" outlineLevel="0" collapsed="false">
      <c r="A1082" s="0" t="s">
        <v>14</v>
      </c>
      <c r="B1082" s="0" t="s">
        <v>1622</v>
      </c>
      <c r="C1082" s="0" t="s">
        <v>5541</v>
      </c>
      <c r="D1082" s="0" t="n">
        <v>1.05555555555556</v>
      </c>
    </row>
    <row r="1083" customFormat="false" ht="15" hidden="false" customHeight="false" outlineLevel="0" collapsed="false">
      <c r="A1083" s="0" t="s">
        <v>14</v>
      </c>
      <c r="B1083" s="0" t="s">
        <v>1622</v>
      </c>
      <c r="C1083" s="0" t="s">
        <v>5547</v>
      </c>
      <c r="D1083" s="0" t="n">
        <v>0.844444444444444</v>
      </c>
    </row>
    <row r="1084" customFormat="false" ht="15" hidden="false" customHeight="false" outlineLevel="0" collapsed="false">
      <c r="A1084" s="0" t="s">
        <v>14</v>
      </c>
      <c r="B1084" s="0" t="s">
        <v>1622</v>
      </c>
      <c r="C1084" s="0" t="s">
        <v>5548</v>
      </c>
      <c r="D1084" s="0" t="n">
        <v>1.26666666666667</v>
      </c>
    </row>
    <row r="1085" customFormat="false" ht="15" hidden="false" customHeight="false" outlineLevel="0" collapsed="false">
      <c r="A1085" s="0" t="s">
        <v>14</v>
      </c>
      <c r="B1085" s="0" t="s">
        <v>1627</v>
      </c>
      <c r="C1085" s="0" t="s">
        <v>5541</v>
      </c>
      <c r="D1085" s="0" t="n">
        <v>0.857142857142857</v>
      </c>
    </row>
    <row r="1086" customFormat="false" ht="15" hidden="false" customHeight="false" outlineLevel="0" collapsed="false">
      <c r="A1086" s="0" t="s">
        <v>14</v>
      </c>
      <c r="B1086" s="0" t="s">
        <v>1627</v>
      </c>
      <c r="C1086" s="0" t="s">
        <v>5547</v>
      </c>
      <c r="D1086" s="0" t="n">
        <v>0.8</v>
      </c>
    </row>
    <row r="1087" customFormat="false" ht="15" hidden="false" customHeight="false" outlineLevel="0" collapsed="false">
      <c r="A1087" s="0" t="s">
        <v>14</v>
      </c>
      <c r="B1087" s="0" t="s">
        <v>1627</v>
      </c>
      <c r="C1087" s="0" t="s">
        <v>5548</v>
      </c>
      <c r="D1087" s="0" t="n">
        <v>0.942857142857143</v>
      </c>
    </row>
    <row r="1088" customFormat="false" ht="15" hidden="false" customHeight="false" outlineLevel="0" collapsed="false">
      <c r="A1088" s="0" t="s">
        <v>14</v>
      </c>
      <c r="B1088" s="0" t="s">
        <v>1631</v>
      </c>
      <c r="C1088" s="0" t="s">
        <v>5541</v>
      </c>
      <c r="D1088" s="0" t="n">
        <v>0.008</v>
      </c>
    </row>
    <row r="1089" customFormat="false" ht="15" hidden="false" customHeight="false" outlineLevel="0" collapsed="false">
      <c r="A1089" s="0" t="s">
        <v>14</v>
      </c>
      <c r="B1089" s="0" t="s">
        <v>1631</v>
      </c>
      <c r="C1089" s="0" t="s">
        <v>5547</v>
      </c>
      <c r="D1089" s="0" t="n">
        <v>0.005</v>
      </c>
    </row>
    <row r="1090" customFormat="false" ht="15" hidden="false" customHeight="false" outlineLevel="0" collapsed="false">
      <c r="A1090" s="0" t="s">
        <v>14</v>
      </c>
      <c r="B1090" s="0" t="s">
        <v>1631</v>
      </c>
      <c r="C1090" s="0" t="s">
        <v>5548</v>
      </c>
      <c r="D1090" s="0" t="n">
        <v>0.01</v>
      </c>
    </row>
    <row r="1091" customFormat="false" ht="15" hidden="false" customHeight="false" outlineLevel="0" collapsed="false">
      <c r="A1091" s="0" t="s">
        <v>14</v>
      </c>
      <c r="B1091" s="0" t="s">
        <v>1636</v>
      </c>
      <c r="C1091" s="0" t="s">
        <v>5541</v>
      </c>
      <c r="D1091" s="0" t="n">
        <v>5</v>
      </c>
    </row>
    <row r="1092" customFormat="false" ht="15" hidden="false" customHeight="false" outlineLevel="0" collapsed="false">
      <c r="A1092" s="0" t="s">
        <v>14</v>
      </c>
      <c r="B1092" s="0" t="s">
        <v>1636</v>
      </c>
      <c r="C1092" s="0" t="s">
        <v>5547</v>
      </c>
      <c r="D1092" s="0" t="n">
        <v>3.8</v>
      </c>
    </row>
    <row r="1093" customFormat="false" ht="15" hidden="false" customHeight="false" outlineLevel="0" collapsed="false">
      <c r="A1093" s="0" t="s">
        <v>14</v>
      </c>
      <c r="B1093" s="0" t="s">
        <v>1636</v>
      </c>
      <c r="C1093" s="0" t="s">
        <v>5548</v>
      </c>
      <c r="D1093" s="0" t="n">
        <v>6.1</v>
      </c>
    </row>
    <row r="1094" customFormat="false" ht="15" hidden="false" customHeight="false" outlineLevel="0" collapsed="false">
      <c r="A1094" s="0" t="s">
        <v>14</v>
      </c>
      <c r="B1094" s="0" t="s">
        <v>1641</v>
      </c>
      <c r="C1094" s="0" t="s">
        <v>5541</v>
      </c>
      <c r="D1094" s="0" t="n">
        <v>525600</v>
      </c>
    </row>
    <row r="1095" customFormat="false" ht="15" hidden="false" customHeight="false" outlineLevel="0" collapsed="false">
      <c r="A1095" s="0" t="s">
        <v>14</v>
      </c>
      <c r="B1095" s="0" t="s">
        <v>1641</v>
      </c>
      <c r="C1095" s="0" t="s">
        <v>5547</v>
      </c>
      <c r="D1095" s="0" t="n">
        <v>525600</v>
      </c>
    </row>
    <row r="1096" customFormat="false" ht="15" hidden="false" customHeight="false" outlineLevel="0" collapsed="false">
      <c r="A1096" s="0" t="s">
        <v>14</v>
      </c>
      <c r="B1096" s="0" t="s">
        <v>1641</v>
      </c>
      <c r="C1096" s="0" t="s">
        <v>5548</v>
      </c>
      <c r="D1096" s="0" t="n">
        <v>525600</v>
      </c>
    </row>
    <row r="1097" customFormat="false" ht="15" hidden="false" customHeight="false" outlineLevel="0" collapsed="false">
      <c r="A1097" s="0" t="s">
        <v>14</v>
      </c>
      <c r="B1097" s="0" t="s">
        <v>1646</v>
      </c>
      <c r="C1097" s="0" t="s">
        <v>5541</v>
      </c>
      <c r="D1097" s="0" t="n">
        <v>1000</v>
      </c>
    </row>
    <row r="1098" customFormat="false" ht="15" hidden="false" customHeight="false" outlineLevel="0" collapsed="false">
      <c r="A1098" s="0" t="s">
        <v>14</v>
      </c>
      <c r="B1098" s="0" t="s">
        <v>1646</v>
      </c>
      <c r="C1098" s="0" t="s">
        <v>5547</v>
      </c>
      <c r="D1098" s="0" t="n">
        <v>1000</v>
      </c>
    </row>
    <row r="1099" customFormat="false" ht="15" hidden="false" customHeight="false" outlineLevel="0" collapsed="false">
      <c r="A1099" s="0" t="s">
        <v>14</v>
      </c>
      <c r="B1099" s="0" t="s">
        <v>1646</v>
      </c>
      <c r="C1099" s="0" t="s">
        <v>5548</v>
      </c>
      <c r="D1099" s="0" t="n">
        <v>1000</v>
      </c>
    </row>
    <row r="1100" customFormat="false" ht="15" hidden="false" customHeight="false" outlineLevel="0" collapsed="false">
      <c r="A1100" s="0" t="s">
        <v>14</v>
      </c>
      <c r="B1100" s="0" t="s">
        <v>1651</v>
      </c>
      <c r="C1100" s="0" t="s">
        <v>5541</v>
      </c>
      <c r="D1100" s="0" t="n">
        <v>0.008</v>
      </c>
    </row>
    <row r="1101" customFormat="false" ht="15" hidden="false" customHeight="false" outlineLevel="0" collapsed="false">
      <c r="A1101" s="0" t="s">
        <v>14</v>
      </c>
      <c r="B1101" s="0" t="s">
        <v>1651</v>
      </c>
      <c r="C1101" s="0" t="s">
        <v>5547</v>
      </c>
      <c r="D1101" s="0" t="n">
        <v>0.005</v>
      </c>
    </row>
    <row r="1102" customFormat="false" ht="15" hidden="false" customHeight="false" outlineLevel="0" collapsed="false">
      <c r="A1102" s="0" t="s">
        <v>14</v>
      </c>
      <c r="B1102" s="0" t="s">
        <v>1651</v>
      </c>
      <c r="C1102" s="0" t="s">
        <v>5548</v>
      </c>
      <c r="D1102" s="0" t="n">
        <v>0.02</v>
      </c>
    </row>
    <row r="1103" customFormat="false" ht="15" hidden="false" customHeight="false" outlineLevel="0" collapsed="false">
      <c r="A1103" s="0" t="s">
        <v>14</v>
      </c>
      <c r="B1103" s="0" t="s">
        <v>1655</v>
      </c>
      <c r="C1103" s="0" t="s">
        <v>5541</v>
      </c>
      <c r="D1103" s="0" t="n">
        <v>0.008</v>
      </c>
    </row>
    <row r="1104" customFormat="false" ht="15" hidden="false" customHeight="false" outlineLevel="0" collapsed="false">
      <c r="A1104" s="0" t="s">
        <v>14</v>
      </c>
      <c r="B1104" s="0" t="s">
        <v>1655</v>
      </c>
      <c r="C1104" s="0" t="s">
        <v>5547</v>
      </c>
      <c r="D1104" s="0" t="n">
        <v>0.005</v>
      </c>
    </row>
    <row r="1105" customFormat="false" ht="15" hidden="false" customHeight="false" outlineLevel="0" collapsed="false">
      <c r="A1105" s="0" t="s">
        <v>14</v>
      </c>
      <c r="B1105" s="0" t="s">
        <v>1655</v>
      </c>
      <c r="C1105" s="0" t="s">
        <v>5548</v>
      </c>
      <c r="D1105" s="0" t="n">
        <v>0.02</v>
      </c>
    </row>
    <row r="1106" customFormat="false" ht="15" hidden="false" customHeight="false" outlineLevel="0" collapsed="false">
      <c r="A1106" s="0" t="s">
        <v>14</v>
      </c>
      <c r="B1106" s="0" t="s">
        <v>1656</v>
      </c>
      <c r="C1106" s="0" t="s">
        <v>5541</v>
      </c>
      <c r="D1106" s="0" t="n">
        <v>0.008</v>
      </c>
    </row>
    <row r="1107" customFormat="false" ht="15" hidden="false" customHeight="false" outlineLevel="0" collapsed="false">
      <c r="A1107" s="0" t="s">
        <v>14</v>
      </c>
      <c r="B1107" s="0" t="s">
        <v>1656</v>
      </c>
      <c r="C1107" s="0" t="s">
        <v>5547</v>
      </c>
      <c r="D1107" s="0" t="n">
        <v>0.005</v>
      </c>
    </row>
    <row r="1108" customFormat="false" ht="15" hidden="false" customHeight="false" outlineLevel="0" collapsed="false">
      <c r="A1108" s="0" t="s">
        <v>14</v>
      </c>
      <c r="B1108" s="0" t="s">
        <v>1656</v>
      </c>
      <c r="C1108" s="0" t="s">
        <v>5548</v>
      </c>
      <c r="D1108" s="0" t="n">
        <v>0.02</v>
      </c>
    </row>
    <row r="1109" customFormat="false" ht="15" hidden="false" customHeight="false" outlineLevel="0" collapsed="false">
      <c r="A1109" s="0" t="s">
        <v>14</v>
      </c>
      <c r="B1109" s="0" t="s">
        <v>1657</v>
      </c>
      <c r="C1109" s="0" t="s">
        <v>5541</v>
      </c>
      <c r="D1109" s="0" t="n">
        <v>0.008</v>
      </c>
    </row>
    <row r="1110" customFormat="false" ht="15" hidden="false" customHeight="false" outlineLevel="0" collapsed="false">
      <c r="A1110" s="0" t="s">
        <v>14</v>
      </c>
      <c r="B1110" s="0" t="s">
        <v>1657</v>
      </c>
      <c r="C1110" s="0" t="s">
        <v>5547</v>
      </c>
      <c r="D1110" s="0" t="n">
        <v>0.005</v>
      </c>
    </row>
    <row r="1111" customFormat="false" ht="15" hidden="false" customHeight="false" outlineLevel="0" collapsed="false">
      <c r="A1111" s="0" t="s">
        <v>14</v>
      </c>
      <c r="B1111" s="0" t="s">
        <v>1657</v>
      </c>
      <c r="C1111" s="0" t="s">
        <v>5548</v>
      </c>
      <c r="D1111" s="0" t="n">
        <v>0.02</v>
      </c>
    </row>
    <row r="1112" customFormat="false" ht="15" hidden="false" customHeight="false" outlineLevel="0" collapsed="false">
      <c r="A1112" s="0" t="s">
        <v>14</v>
      </c>
      <c r="B1112" s="0" t="s">
        <v>1658</v>
      </c>
      <c r="C1112" s="0" t="s">
        <v>5541</v>
      </c>
      <c r="D1112" s="0" t="n">
        <v>2</v>
      </c>
    </row>
    <row r="1113" customFormat="false" ht="15" hidden="false" customHeight="false" outlineLevel="0" collapsed="false">
      <c r="A1113" s="0" t="s">
        <v>14</v>
      </c>
      <c r="B1113" s="0" t="s">
        <v>1658</v>
      </c>
      <c r="C1113" s="0" t="s">
        <v>5547</v>
      </c>
      <c r="D1113" s="0" t="n">
        <v>2</v>
      </c>
    </row>
    <row r="1114" customFormat="false" ht="15" hidden="false" customHeight="false" outlineLevel="0" collapsed="false">
      <c r="A1114" s="0" t="s">
        <v>14</v>
      </c>
      <c r="B1114" s="0" t="s">
        <v>1658</v>
      </c>
      <c r="C1114" s="0" t="s">
        <v>5548</v>
      </c>
      <c r="D1114" s="0" t="n">
        <v>5</v>
      </c>
    </row>
    <row r="1115" customFormat="false" ht="15" hidden="false" customHeight="false" outlineLevel="0" collapsed="false">
      <c r="A1115" s="0" t="s">
        <v>14</v>
      </c>
      <c r="B1115" s="0" t="s">
        <v>1663</v>
      </c>
      <c r="C1115" s="0" t="s">
        <v>5541</v>
      </c>
      <c r="D1115" s="0" t="n">
        <v>1</v>
      </c>
    </row>
    <row r="1116" customFormat="false" ht="15" hidden="false" customHeight="false" outlineLevel="0" collapsed="false">
      <c r="A1116" s="0" t="s">
        <v>14</v>
      </c>
      <c r="B1116" s="0" t="s">
        <v>1663</v>
      </c>
      <c r="C1116" s="0" t="s">
        <v>5547</v>
      </c>
      <c r="D1116" s="0" t="n">
        <v>0</v>
      </c>
    </row>
    <row r="1117" customFormat="false" ht="15" hidden="false" customHeight="false" outlineLevel="0" collapsed="false">
      <c r="A1117" s="0" t="s">
        <v>14</v>
      </c>
      <c r="B1117" s="0" t="s">
        <v>1663</v>
      </c>
      <c r="C1117" s="0" t="s">
        <v>5548</v>
      </c>
      <c r="D1117" s="0" t="n">
        <v>1</v>
      </c>
    </row>
    <row r="1118" customFormat="false" ht="15" hidden="false" customHeight="false" outlineLevel="0" collapsed="false">
      <c r="A1118" s="0" t="s">
        <v>14</v>
      </c>
      <c r="B1118" s="0" t="s">
        <v>1668</v>
      </c>
      <c r="C1118" s="0" t="s">
        <v>5541</v>
      </c>
      <c r="D1118" s="0" t="n">
        <v>0</v>
      </c>
    </row>
    <row r="1119" customFormat="false" ht="15" hidden="false" customHeight="false" outlineLevel="0" collapsed="false">
      <c r="A1119" s="0" t="s">
        <v>14</v>
      </c>
      <c r="B1119" s="0" t="s">
        <v>1668</v>
      </c>
      <c r="C1119" s="0" t="s">
        <v>5547</v>
      </c>
      <c r="D1119" s="0" t="n">
        <v>-91</v>
      </c>
    </row>
    <row r="1120" customFormat="false" ht="15" hidden="false" customHeight="false" outlineLevel="0" collapsed="false">
      <c r="A1120" s="0" t="s">
        <v>14</v>
      </c>
      <c r="B1120" s="0" t="s">
        <v>1668</v>
      </c>
      <c r="C1120" s="0" t="s">
        <v>5548</v>
      </c>
      <c r="D1120" s="0" t="n">
        <v>91</v>
      </c>
    </row>
    <row r="1121" customFormat="false" ht="15" hidden="false" customHeight="false" outlineLevel="0" collapsed="false">
      <c r="A1121" s="0" t="s">
        <v>14</v>
      </c>
      <c r="B1121" s="0" t="s">
        <v>1675</v>
      </c>
      <c r="C1121" s="0" t="s">
        <v>5541</v>
      </c>
      <c r="D1121" s="0" t="n">
        <v>0</v>
      </c>
    </row>
    <row r="1122" customFormat="false" ht="15" hidden="false" customHeight="false" outlineLevel="0" collapsed="false">
      <c r="A1122" s="0" t="s">
        <v>14</v>
      </c>
      <c r="B1122" s="0" t="s">
        <v>1675</v>
      </c>
      <c r="C1122" s="0" t="s">
        <v>5547</v>
      </c>
      <c r="D1122" s="0" t="n">
        <v>-91</v>
      </c>
    </row>
    <row r="1123" customFormat="false" ht="15" hidden="false" customHeight="false" outlineLevel="0" collapsed="false">
      <c r="A1123" s="0" t="s">
        <v>14</v>
      </c>
      <c r="B1123" s="0" t="s">
        <v>1675</v>
      </c>
      <c r="C1123" s="0" t="s">
        <v>5548</v>
      </c>
      <c r="D1123" s="0" t="n">
        <v>91</v>
      </c>
    </row>
    <row r="1124" customFormat="false" ht="15" hidden="false" customHeight="false" outlineLevel="0" collapsed="false">
      <c r="A1124" s="0" t="s">
        <v>14</v>
      </c>
      <c r="B1124" s="0" t="s">
        <v>1677</v>
      </c>
      <c r="C1124" s="0" t="s">
        <v>5541</v>
      </c>
      <c r="D1124" s="0" t="n">
        <v>0</v>
      </c>
    </row>
    <row r="1125" customFormat="false" ht="15" hidden="false" customHeight="false" outlineLevel="0" collapsed="false">
      <c r="A1125" s="0" t="s">
        <v>14</v>
      </c>
      <c r="B1125" s="0" t="s">
        <v>1677</v>
      </c>
      <c r="C1125" s="0" t="s">
        <v>5547</v>
      </c>
      <c r="D1125" s="0" t="n">
        <v>-91</v>
      </c>
    </row>
    <row r="1126" customFormat="false" ht="15" hidden="false" customHeight="false" outlineLevel="0" collapsed="false">
      <c r="A1126" s="0" t="s">
        <v>14</v>
      </c>
      <c r="B1126" s="0" t="s">
        <v>1677</v>
      </c>
      <c r="C1126" s="0" t="s">
        <v>5548</v>
      </c>
      <c r="D1126" s="0" t="n">
        <v>91</v>
      </c>
    </row>
    <row r="1127" customFormat="false" ht="15" hidden="false" customHeight="false" outlineLevel="0" collapsed="false">
      <c r="A1127" s="0" t="s">
        <v>14</v>
      </c>
      <c r="B1127" s="0" t="s">
        <v>1679</v>
      </c>
      <c r="C1127" s="0" t="s">
        <v>5541</v>
      </c>
      <c r="D1127" s="0" t="n">
        <v>0</v>
      </c>
    </row>
    <row r="1128" customFormat="false" ht="15" hidden="false" customHeight="false" outlineLevel="0" collapsed="false">
      <c r="A1128" s="0" t="s">
        <v>14</v>
      </c>
      <c r="B1128" s="0" t="s">
        <v>1679</v>
      </c>
      <c r="C1128" s="0" t="s">
        <v>5547</v>
      </c>
      <c r="D1128" s="0" t="n">
        <v>-91</v>
      </c>
    </row>
    <row r="1129" customFormat="false" ht="15" hidden="false" customHeight="false" outlineLevel="0" collapsed="false">
      <c r="A1129" s="0" t="s">
        <v>14</v>
      </c>
      <c r="B1129" s="0" t="s">
        <v>1679</v>
      </c>
      <c r="C1129" s="0" t="s">
        <v>5548</v>
      </c>
      <c r="D1129" s="0" t="n">
        <v>91</v>
      </c>
    </row>
    <row r="1130" customFormat="false" ht="15" hidden="false" customHeight="false" outlineLevel="0" collapsed="false">
      <c r="A1130" s="0" t="s">
        <v>14</v>
      </c>
      <c r="B1130" s="0" t="s">
        <v>1681</v>
      </c>
      <c r="C1130" s="0" t="s">
        <v>5541</v>
      </c>
      <c r="D1130" s="0" t="n">
        <v>46023</v>
      </c>
    </row>
    <row r="1131" customFormat="false" ht="15" hidden="false" customHeight="false" outlineLevel="0" collapsed="false">
      <c r="A1131" s="0" t="s">
        <v>14</v>
      </c>
      <c r="B1131" s="0" t="s">
        <v>1681</v>
      </c>
      <c r="C1131" s="0" t="s">
        <v>5547</v>
      </c>
      <c r="D1131" s="0" t="n">
        <v>46023</v>
      </c>
    </row>
    <row r="1132" customFormat="false" ht="15" hidden="false" customHeight="false" outlineLevel="0" collapsed="false">
      <c r="A1132" s="0" t="s">
        <v>14</v>
      </c>
      <c r="B1132" s="0" t="s">
        <v>1681</v>
      </c>
      <c r="C1132" s="0" t="s">
        <v>5548</v>
      </c>
      <c r="D1132" s="0" t="n">
        <v>46023</v>
      </c>
    </row>
    <row r="1133" customFormat="false" ht="15" hidden="false" customHeight="false" outlineLevel="0" collapsed="false">
      <c r="A1133" s="0" t="s">
        <v>14</v>
      </c>
      <c r="B1133" s="0" t="s">
        <v>1686</v>
      </c>
      <c r="C1133" s="0" t="s">
        <v>5541</v>
      </c>
      <c r="D1133" s="0" t="n">
        <v>365</v>
      </c>
    </row>
    <row r="1134" customFormat="false" ht="15" hidden="false" customHeight="false" outlineLevel="0" collapsed="false">
      <c r="A1134" s="0" t="s">
        <v>14</v>
      </c>
      <c r="B1134" s="0" t="s">
        <v>1686</v>
      </c>
      <c r="C1134" s="0" t="s">
        <v>5547</v>
      </c>
      <c r="D1134" s="0" t="n">
        <v>365</v>
      </c>
    </row>
    <row r="1135" customFormat="false" ht="15" hidden="false" customHeight="false" outlineLevel="0" collapsed="false">
      <c r="A1135" s="0" t="s">
        <v>14</v>
      </c>
      <c r="B1135" s="0" t="s">
        <v>1686</v>
      </c>
      <c r="C1135" s="0" t="s">
        <v>5548</v>
      </c>
      <c r="D1135" s="0" t="n">
        <v>365</v>
      </c>
    </row>
    <row r="1136" customFormat="false" ht="15" hidden="false" customHeight="false" outlineLevel="0" collapsed="false">
      <c r="A1136" s="0" t="s">
        <v>14</v>
      </c>
      <c r="B1136" s="0" t="s">
        <v>1689</v>
      </c>
      <c r="C1136" s="0" t="s">
        <v>5541</v>
      </c>
      <c r="D1136" s="0" t="n">
        <v>12</v>
      </c>
    </row>
    <row r="1137" customFormat="false" ht="15" hidden="false" customHeight="false" outlineLevel="0" collapsed="false">
      <c r="A1137" s="0" t="s">
        <v>14</v>
      </c>
      <c r="B1137" s="0" t="s">
        <v>1689</v>
      </c>
      <c r="C1137" s="0" t="s">
        <v>5547</v>
      </c>
      <c r="D1137" s="0" t="n">
        <v>12</v>
      </c>
    </row>
    <row r="1138" customFormat="false" ht="15" hidden="false" customHeight="false" outlineLevel="0" collapsed="false">
      <c r="A1138" s="0" t="s">
        <v>14</v>
      </c>
      <c r="B1138" s="0" t="s">
        <v>1689</v>
      </c>
      <c r="C1138" s="0" t="s">
        <v>5548</v>
      </c>
      <c r="D1138" s="0" t="n">
        <v>12</v>
      </c>
    </row>
    <row r="1139" customFormat="false" ht="15" hidden="false" customHeight="false" outlineLevel="0" collapsed="false">
      <c r="A1139" s="0" t="s">
        <v>14</v>
      </c>
      <c r="B1139" s="0" t="s">
        <v>1693</v>
      </c>
      <c r="C1139" s="0" t="s">
        <v>5541</v>
      </c>
      <c r="D1139" s="0" t="n">
        <v>1000</v>
      </c>
    </row>
    <row r="1140" customFormat="false" ht="15" hidden="false" customHeight="false" outlineLevel="0" collapsed="false">
      <c r="A1140" s="0" t="s">
        <v>14</v>
      </c>
      <c r="B1140" s="0" t="s">
        <v>1693</v>
      </c>
      <c r="C1140" s="0" t="s">
        <v>5547</v>
      </c>
      <c r="D1140" s="0" t="n">
        <v>1000</v>
      </c>
    </row>
    <row r="1141" customFormat="false" ht="15" hidden="false" customHeight="false" outlineLevel="0" collapsed="false">
      <c r="A1141" s="0" t="s">
        <v>14</v>
      </c>
      <c r="B1141" s="0" t="s">
        <v>1693</v>
      </c>
      <c r="C1141" s="0" t="s">
        <v>5548</v>
      </c>
      <c r="D1141" s="0" t="n">
        <v>1000</v>
      </c>
    </row>
    <row r="1142" customFormat="false" ht="15" hidden="false" customHeight="false" outlineLevel="0" collapsed="false">
      <c r="A1142" s="0" t="s">
        <v>14</v>
      </c>
      <c r="B1142" s="0" t="s">
        <v>1697</v>
      </c>
      <c r="C1142" s="0" t="s">
        <v>5541</v>
      </c>
      <c r="D1142" s="0" t="n">
        <v>1000000</v>
      </c>
    </row>
    <row r="1143" customFormat="false" ht="15" hidden="false" customHeight="false" outlineLevel="0" collapsed="false">
      <c r="A1143" s="0" t="s">
        <v>14</v>
      </c>
      <c r="B1143" s="0" t="s">
        <v>1697</v>
      </c>
      <c r="C1143" s="0" t="s">
        <v>5547</v>
      </c>
      <c r="D1143" s="0" t="n">
        <v>1000000</v>
      </c>
    </row>
    <row r="1144" customFormat="false" ht="15" hidden="false" customHeight="false" outlineLevel="0" collapsed="false">
      <c r="A1144" s="0" t="s">
        <v>14</v>
      </c>
      <c r="B1144" s="0" t="s">
        <v>1697</v>
      </c>
      <c r="C1144" s="0" t="s">
        <v>5548</v>
      </c>
      <c r="D1144" s="0" t="n">
        <v>1000000</v>
      </c>
    </row>
    <row r="1145" customFormat="false" ht="15" hidden="false" customHeight="false" outlineLevel="0" collapsed="false">
      <c r="A1145" s="0" t="s">
        <v>14</v>
      </c>
      <c r="B1145" s="0" t="s">
        <v>1701</v>
      </c>
      <c r="C1145" s="0" t="s">
        <v>5541</v>
      </c>
      <c r="D1145" s="0" t="n">
        <v>6</v>
      </c>
    </row>
    <row r="1146" customFormat="false" ht="15" hidden="false" customHeight="false" outlineLevel="0" collapsed="false">
      <c r="A1146" s="0" t="s">
        <v>14</v>
      </c>
      <c r="B1146" s="0" t="s">
        <v>1701</v>
      </c>
      <c r="C1146" s="0" t="s">
        <v>5547</v>
      </c>
      <c r="D1146" s="0" t="n">
        <v>6</v>
      </c>
    </row>
    <row r="1147" customFormat="false" ht="15" hidden="false" customHeight="false" outlineLevel="0" collapsed="false">
      <c r="A1147" s="0" t="s">
        <v>14</v>
      </c>
      <c r="B1147" s="0" t="s">
        <v>1701</v>
      </c>
      <c r="C1147" s="0" t="s">
        <v>5548</v>
      </c>
      <c r="D1147" s="0" t="n">
        <v>6</v>
      </c>
    </row>
    <row r="1148" customFormat="false" ht="15" hidden="false" customHeight="false" outlineLevel="0" collapsed="false">
      <c r="A1148" s="0" t="s">
        <v>14</v>
      </c>
      <c r="B1148" s="0" t="s">
        <v>1704</v>
      </c>
      <c r="C1148" s="0" t="s">
        <v>5541</v>
      </c>
      <c r="D1148" s="0" t="n">
        <v>0</v>
      </c>
    </row>
    <row r="1149" customFormat="false" ht="15" hidden="false" customHeight="false" outlineLevel="0" collapsed="false">
      <c r="A1149" s="0" t="s">
        <v>14</v>
      </c>
      <c r="B1149" s="0" t="s">
        <v>1704</v>
      </c>
      <c r="C1149" s="0" t="s">
        <v>5547</v>
      </c>
      <c r="D1149" s="0" t="n">
        <v>0</v>
      </c>
    </row>
    <row r="1150" customFormat="false" ht="15" hidden="false" customHeight="false" outlineLevel="0" collapsed="false">
      <c r="A1150" s="0" t="s">
        <v>14</v>
      </c>
      <c r="B1150" s="0" t="s">
        <v>1704</v>
      </c>
      <c r="C1150" s="0" t="s">
        <v>5548</v>
      </c>
      <c r="D1150" s="0" t="n">
        <v>0.8</v>
      </c>
    </row>
    <row r="1151" customFormat="false" ht="15" hidden="false" customHeight="false" outlineLevel="0" collapsed="false">
      <c r="A1151" s="0" t="s">
        <v>14</v>
      </c>
      <c r="B1151" s="0" t="s">
        <v>1709</v>
      </c>
      <c r="C1151" s="0" t="s">
        <v>5541</v>
      </c>
      <c r="D1151" s="0" t="n">
        <v>0.5</v>
      </c>
    </row>
    <row r="1152" customFormat="false" ht="15" hidden="false" customHeight="false" outlineLevel="0" collapsed="false">
      <c r="A1152" s="0" t="s">
        <v>14</v>
      </c>
      <c r="B1152" s="0" t="s">
        <v>1709</v>
      </c>
      <c r="C1152" s="0" t="s">
        <v>5547</v>
      </c>
      <c r="D1152" s="0" t="n">
        <v>0</v>
      </c>
    </row>
    <row r="1153" customFormat="false" ht="15" hidden="false" customHeight="false" outlineLevel="0" collapsed="false">
      <c r="A1153" s="0" t="s">
        <v>14</v>
      </c>
      <c r="B1153" s="0" t="s">
        <v>1709</v>
      </c>
      <c r="C1153" s="0" t="s">
        <v>5548</v>
      </c>
      <c r="D1153" s="0" t="n">
        <v>0.8</v>
      </c>
    </row>
    <row r="1154" customFormat="false" ht="15" hidden="false" customHeight="false" outlineLevel="0" collapsed="false">
      <c r="A1154" s="0" t="s">
        <v>14</v>
      </c>
      <c r="B1154" s="0" t="s">
        <v>1712</v>
      </c>
      <c r="C1154" s="0" t="s">
        <v>5541</v>
      </c>
      <c r="D1154" s="0" t="n">
        <v>0</v>
      </c>
    </row>
    <row r="1155" customFormat="false" ht="15" hidden="false" customHeight="false" outlineLevel="0" collapsed="false">
      <c r="A1155" s="0" t="s">
        <v>14</v>
      </c>
      <c r="B1155" s="0" t="s">
        <v>1712</v>
      </c>
      <c r="C1155" s="0" t="s">
        <v>5547</v>
      </c>
      <c r="D1155" s="0" t="n">
        <v>0</v>
      </c>
    </row>
    <row r="1156" customFormat="false" ht="15" hidden="false" customHeight="false" outlineLevel="0" collapsed="false">
      <c r="A1156" s="0" t="s">
        <v>14</v>
      </c>
      <c r="B1156" s="0" t="s">
        <v>1712</v>
      </c>
      <c r="C1156" s="0" t="s">
        <v>5548</v>
      </c>
      <c r="D1156" s="0" t="n">
        <v>1</v>
      </c>
    </row>
    <row r="1157" customFormat="false" ht="15" hidden="false" customHeight="false" outlineLevel="0" collapsed="false">
      <c r="A1157" s="0" t="s">
        <v>14</v>
      </c>
      <c r="B1157" s="0" t="s">
        <v>1719</v>
      </c>
      <c r="C1157" s="0" t="s">
        <v>5541</v>
      </c>
      <c r="D1157" s="0" t="n">
        <v>1</v>
      </c>
    </row>
    <row r="1158" customFormat="false" ht="15" hidden="false" customHeight="false" outlineLevel="0" collapsed="false">
      <c r="A1158" s="0" t="s">
        <v>14</v>
      </c>
      <c r="B1158" s="0" t="s">
        <v>1719</v>
      </c>
      <c r="C1158" s="0" t="s">
        <v>5547</v>
      </c>
      <c r="D1158" s="0" t="n">
        <v>1</v>
      </c>
    </row>
    <row r="1159" customFormat="false" ht="15" hidden="false" customHeight="false" outlineLevel="0" collapsed="false">
      <c r="A1159" s="0" t="s">
        <v>14</v>
      </c>
      <c r="B1159" s="0" t="s">
        <v>1719</v>
      </c>
      <c r="C1159" s="0" t="s">
        <v>5548</v>
      </c>
      <c r="D1159" s="0" t="n">
        <v>1</v>
      </c>
    </row>
    <row r="1160" customFormat="false" ht="15" hidden="false" customHeight="false" outlineLevel="0" collapsed="false">
      <c r="A1160" s="0" t="s">
        <v>14</v>
      </c>
      <c r="B1160" s="0" t="s">
        <v>1722</v>
      </c>
      <c r="C1160" s="0" t="s">
        <v>5541</v>
      </c>
      <c r="D1160" s="0" t="n">
        <v>2030</v>
      </c>
    </row>
    <row r="1161" customFormat="false" ht="15" hidden="false" customHeight="false" outlineLevel="0" collapsed="false">
      <c r="A1161" s="0" t="s">
        <v>14</v>
      </c>
      <c r="B1161" s="0" t="s">
        <v>1722</v>
      </c>
      <c r="C1161" s="0" t="s">
        <v>5547</v>
      </c>
      <c r="D1161" s="0" t="n">
        <v>2030</v>
      </c>
    </row>
    <row r="1162" customFormat="false" ht="15" hidden="false" customHeight="false" outlineLevel="0" collapsed="false">
      <c r="A1162" s="0" t="s">
        <v>14</v>
      </c>
      <c r="B1162" s="0" t="s">
        <v>1722</v>
      </c>
      <c r="C1162" s="0" t="s">
        <v>5548</v>
      </c>
      <c r="D1162" s="0" t="n">
        <v>2030</v>
      </c>
    </row>
    <row r="1163" customFormat="false" ht="15" hidden="false" customHeight="false" outlineLevel="0" collapsed="false">
      <c r="A1163" s="0" t="s">
        <v>14</v>
      </c>
      <c r="B1163" s="0" t="s">
        <v>1725</v>
      </c>
      <c r="C1163" s="0" t="s">
        <v>5541</v>
      </c>
      <c r="D1163" s="0" t="n">
        <v>2</v>
      </c>
    </row>
    <row r="1164" customFormat="false" ht="15" hidden="false" customHeight="false" outlineLevel="0" collapsed="false">
      <c r="A1164" s="0" t="s">
        <v>14</v>
      </c>
      <c r="B1164" s="0" t="s">
        <v>1725</v>
      </c>
      <c r="C1164" s="0" t="s">
        <v>5547</v>
      </c>
      <c r="D1164" s="0" t="n">
        <v>2</v>
      </c>
    </row>
    <row r="1165" customFormat="false" ht="15" hidden="false" customHeight="false" outlineLevel="0" collapsed="false">
      <c r="A1165" s="0" t="s">
        <v>14</v>
      </c>
      <c r="B1165" s="0" t="s">
        <v>1725</v>
      </c>
      <c r="C1165" s="0" t="s">
        <v>5548</v>
      </c>
      <c r="D1165" s="0" t="n">
        <v>2</v>
      </c>
    </row>
    <row r="1166" customFormat="false" ht="15" hidden="false" customHeight="false" outlineLevel="0" collapsed="false">
      <c r="A1166" s="0" t="s">
        <v>14</v>
      </c>
      <c r="B1166" s="0" t="s">
        <v>1730</v>
      </c>
      <c r="C1166" s="0" t="s">
        <v>5541</v>
      </c>
      <c r="D1166" s="0" t="n">
        <v>1</v>
      </c>
    </row>
    <row r="1167" customFormat="false" ht="15" hidden="false" customHeight="false" outlineLevel="0" collapsed="false">
      <c r="A1167" s="0" t="s">
        <v>14</v>
      </c>
      <c r="B1167" s="0" t="s">
        <v>1730</v>
      </c>
      <c r="C1167" s="0" t="s">
        <v>5547</v>
      </c>
      <c r="D1167" s="0" t="n">
        <v>1</v>
      </c>
    </row>
    <row r="1168" customFormat="false" ht="15" hidden="false" customHeight="false" outlineLevel="0" collapsed="false">
      <c r="A1168" s="0" t="s">
        <v>14</v>
      </c>
      <c r="B1168" s="0" t="s">
        <v>1730</v>
      </c>
      <c r="C1168" s="0" t="s">
        <v>5548</v>
      </c>
      <c r="D1168" s="0" t="n">
        <v>2</v>
      </c>
    </row>
    <row r="1169" customFormat="false" ht="15" hidden="false" customHeight="false" outlineLevel="0" collapsed="false">
      <c r="A1169" s="0" t="s">
        <v>14</v>
      </c>
      <c r="B1169" s="0" t="s">
        <v>1736</v>
      </c>
      <c r="C1169" s="0" t="s">
        <v>5541</v>
      </c>
      <c r="D1169" s="0" t="n">
        <v>0.55</v>
      </c>
    </row>
    <row r="1170" customFormat="false" ht="15" hidden="false" customHeight="false" outlineLevel="0" collapsed="false">
      <c r="A1170" s="0" t="s">
        <v>14</v>
      </c>
      <c r="B1170" s="0" t="s">
        <v>1736</v>
      </c>
      <c r="C1170" s="0" t="s">
        <v>5547</v>
      </c>
      <c r="D1170" s="0" t="n">
        <v>0.3</v>
      </c>
    </row>
    <row r="1171" customFormat="false" ht="15" hidden="false" customHeight="false" outlineLevel="0" collapsed="false">
      <c r="A1171" s="0" t="s">
        <v>14</v>
      </c>
      <c r="B1171" s="0" t="s">
        <v>1736</v>
      </c>
      <c r="C1171" s="0" t="s">
        <v>5548</v>
      </c>
      <c r="D1171" s="0" t="n">
        <v>0.8</v>
      </c>
    </row>
    <row r="1172" customFormat="false" ht="15" hidden="false" customHeight="false" outlineLevel="0" collapsed="false">
      <c r="A1172" s="0" t="s">
        <v>14</v>
      </c>
      <c r="B1172" s="0" t="s">
        <v>1742</v>
      </c>
      <c r="C1172" s="0" t="s">
        <v>5541</v>
      </c>
      <c r="D1172" s="0" t="n">
        <v>0.3</v>
      </c>
    </row>
    <row r="1173" customFormat="false" ht="15" hidden="false" customHeight="false" outlineLevel="0" collapsed="false">
      <c r="A1173" s="0" t="s">
        <v>14</v>
      </c>
      <c r="B1173" s="0" t="s">
        <v>1742</v>
      </c>
      <c r="C1173" s="0" t="s">
        <v>5547</v>
      </c>
      <c r="D1173" s="0" t="n">
        <v>0.1</v>
      </c>
    </row>
    <row r="1174" customFormat="false" ht="15" hidden="false" customHeight="false" outlineLevel="0" collapsed="false">
      <c r="A1174" s="0" t="s">
        <v>14</v>
      </c>
      <c r="B1174" s="0" t="s">
        <v>1742</v>
      </c>
      <c r="C1174" s="0" t="s">
        <v>5548</v>
      </c>
      <c r="D1174" s="0" t="n">
        <v>0.5</v>
      </c>
    </row>
    <row r="1175" customFormat="false" ht="15" hidden="false" customHeight="false" outlineLevel="0" collapsed="false">
      <c r="A1175" s="0" t="s">
        <v>14</v>
      </c>
      <c r="B1175" s="0" t="s">
        <v>1744</v>
      </c>
      <c r="C1175" s="0" t="s">
        <v>5541</v>
      </c>
      <c r="D1175" s="0" t="n">
        <v>0.2</v>
      </c>
    </row>
    <row r="1176" customFormat="false" ht="15" hidden="false" customHeight="false" outlineLevel="0" collapsed="false">
      <c r="A1176" s="0" t="s">
        <v>14</v>
      </c>
      <c r="B1176" s="0" t="s">
        <v>1744</v>
      </c>
      <c r="C1176" s="0" t="s">
        <v>5547</v>
      </c>
      <c r="D1176" s="0" t="n">
        <v>0.05</v>
      </c>
    </row>
    <row r="1177" customFormat="false" ht="15" hidden="false" customHeight="false" outlineLevel="0" collapsed="false">
      <c r="A1177" s="0" t="s">
        <v>14</v>
      </c>
      <c r="B1177" s="0" t="s">
        <v>1744</v>
      </c>
      <c r="C1177" s="0" t="s">
        <v>5548</v>
      </c>
      <c r="D1177" s="0" t="n">
        <v>0.35</v>
      </c>
    </row>
    <row r="1178" customFormat="false" ht="15" hidden="false" customHeight="false" outlineLevel="0" collapsed="false">
      <c r="A1178" s="0" t="s">
        <v>14</v>
      </c>
      <c r="B1178" s="0" t="s">
        <v>1745</v>
      </c>
      <c r="C1178" s="0" t="s">
        <v>5541</v>
      </c>
      <c r="D1178" s="0" t="n">
        <v>0.15</v>
      </c>
    </row>
    <row r="1179" customFormat="false" ht="15" hidden="false" customHeight="false" outlineLevel="0" collapsed="false">
      <c r="A1179" s="0" t="s">
        <v>14</v>
      </c>
      <c r="B1179" s="0" t="s">
        <v>1745</v>
      </c>
      <c r="C1179" s="0" t="s">
        <v>5547</v>
      </c>
      <c r="D1179" s="0" t="n">
        <v>0</v>
      </c>
    </row>
    <row r="1180" customFormat="false" ht="15" hidden="false" customHeight="false" outlineLevel="0" collapsed="false">
      <c r="A1180" s="0" t="s">
        <v>14</v>
      </c>
      <c r="B1180" s="0" t="s">
        <v>1745</v>
      </c>
      <c r="C1180" s="0" t="s">
        <v>5548</v>
      </c>
      <c r="D1180" s="0" t="n">
        <v>0.3</v>
      </c>
    </row>
    <row r="1181" customFormat="false" ht="15" hidden="false" customHeight="false" outlineLevel="0" collapsed="false">
      <c r="A1181" s="0" t="s">
        <v>14</v>
      </c>
      <c r="B1181" s="0" t="s">
        <v>1746</v>
      </c>
      <c r="C1181" s="0" t="s">
        <v>5541</v>
      </c>
      <c r="D1181" s="0" t="n">
        <v>0.1</v>
      </c>
    </row>
    <row r="1182" customFormat="false" ht="15" hidden="false" customHeight="false" outlineLevel="0" collapsed="false">
      <c r="A1182" s="0" t="s">
        <v>14</v>
      </c>
      <c r="B1182" s="0" t="s">
        <v>1746</v>
      </c>
      <c r="C1182" s="0" t="s">
        <v>5547</v>
      </c>
      <c r="D1182" s="0" t="n">
        <v>0</v>
      </c>
    </row>
    <row r="1183" customFormat="false" ht="15" hidden="false" customHeight="false" outlineLevel="0" collapsed="false">
      <c r="A1183" s="0" t="s">
        <v>14</v>
      </c>
      <c r="B1183" s="0" t="s">
        <v>1746</v>
      </c>
      <c r="C1183" s="0" t="s">
        <v>5548</v>
      </c>
      <c r="D1183" s="0" t="n">
        <v>0.25</v>
      </c>
    </row>
    <row r="1184" customFormat="false" ht="15" hidden="false" customHeight="false" outlineLevel="0" collapsed="false">
      <c r="A1184" s="0" t="s">
        <v>14</v>
      </c>
      <c r="B1184" s="0" t="s">
        <v>1747</v>
      </c>
      <c r="C1184" s="0" t="s">
        <v>5541</v>
      </c>
      <c r="D1184" s="0" t="n">
        <v>0.03</v>
      </c>
    </row>
    <row r="1185" customFormat="false" ht="15" hidden="false" customHeight="false" outlineLevel="0" collapsed="false">
      <c r="A1185" s="0" t="s">
        <v>14</v>
      </c>
      <c r="B1185" s="0" t="s">
        <v>1747</v>
      </c>
      <c r="C1185" s="0" t="s">
        <v>5547</v>
      </c>
      <c r="D1185" s="0" t="n">
        <v>0</v>
      </c>
    </row>
    <row r="1186" customFormat="false" ht="15" hidden="false" customHeight="false" outlineLevel="0" collapsed="false">
      <c r="A1186" s="0" t="s">
        <v>14</v>
      </c>
      <c r="B1186" s="0" t="s">
        <v>1747</v>
      </c>
      <c r="C1186" s="0" t="s">
        <v>5548</v>
      </c>
      <c r="D1186" s="0" t="n">
        <v>0.08</v>
      </c>
    </row>
    <row r="1187" customFormat="false" ht="15" hidden="false" customHeight="false" outlineLevel="0" collapsed="false">
      <c r="A1187" s="0" t="s">
        <v>14</v>
      </c>
      <c r="B1187" s="0" t="s">
        <v>1752</v>
      </c>
      <c r="C1187" s="0" t="s">
        <v>5541</v>
      </c>
      <c r="D1187" s="0" t="n">
        <v>0</v>
      </c>
    </row>
    <row r="1188" customFormat="false" ht="15" hidden="false" customHeight="false" outlineLevel="0" collapsed="false">
      <c r="A1188" s="0" t="s">
        <v>14</v>
      </c>
      <c r="B1188" s="0" t="s">
        <v>1752</v>
      </c>
      <c r="C1188" s="0" t="s">
        <v>5547</v>
      </c>
      <c r="D1188" s="0" t="n">
        <v>-0.2</v>
      </c>
    </row>
    <row r="1189" customFormat="false" ht="15" hidden="false" customHeight="false" outlineLevel="0" collapsed="false">
      <c r="A1189" s="0" t="s">
        <v>14</v>
      </c>
      <c r="B1189" s="0" t="s">
        <v>1752</v>
      </c>
      <c r="C1189" s="0" t="s">
        <v>5548</v>
      </c>
      <c r="D1189" s="0" t="n">
        <v>0.2</v>
      </c>
    </row>
    <row r="1190" customFormat="false" ht="15" hidden="false" customHeight="false" outlineLevel="0" collapsed="false">
      <c r="A1190" s="0" t="s">
        <v>14</v>
      </c>
      <c r="B1190" s="0" t="s">
        <v>1756</v>
      </c>
      <c r="C1190" s="0" t="s">
        <v>5541</v>
      </c>
      <c r="D1190" s="0" t="n">
        <v>1000000000</v>
      </c>
    </row>
    <row r="1191" customFormat="false" ht="15" hidden="false" customHeight="false" outlineLevel="0" collapsed="false">
      <c r="A1191" s="0" t="s">
        <v>14</v>
      </c>
      <c r="B1191" s="0" t="s">
        <v>1756</v>
      </c>
      <c r="C1191" s="0" t="s">
        <v>5547</v>
      </c>
      <c r="D1191" s="0" t="n">
        <v>1000000000</v>
      </c>
    </row>
    <row r="1192" customFormat="false" ht="15" hidden="false" customHeight="false" outlineLevel="0" collapsed="false">
      <c r="A1192" s="0" t="s">
        <v>14</v>
      </c>
      <c r="B1192" s="0" t="s">
        <v>1756</v>
      </c>
      <c r="C1192" s="0" t="s">
        <v>5548</v>
      </c>
      <c r="D1192" s="0" t="n">
        <v>1000000000</v>
      </c>
    </row>
    <row r="1193" customFormat="false" ht="15" hidden="false" customHeight="false" outlineLevel="0" collapsed="false">
      <c r="A1193" s="0" t="s">
        <v>14</v>
      </c>
      <c r="B1193" s="0" t="s">
        <v>1762</v>
      </c>
      <c r="C1193" s="0" t="s">
        <v>5541</v>
      </c>
      <c r="D1193" s="0" t="n">
        <v>75.1</v>
      </c>
    </row>
    <row r="1194" customFormat="false" ht="15" hidden="false" customHeight="false" outlineLevel="0" collapsed="false">
      <c r="A1194" s="0" t="s">
        <v>14</v>
      </c>
      <c r="B1194" s="0" t="s">
        <v>1762</v>
      </c>
      <c r="C1194" s="0" t="s">
        <v>5547</v>
      </c>
      <c r="D1194" s="0" t="n">
        <v>75.1</v>
      </c>
    </row>
    <row r="1195" customFormat="false" ht="15" hidden="false" customHeight="false" outlineLevel="0" collapsed="false">
      <c r="A1195" s="0" t="s">
        <v>14</v>
      </c>
      <c r="B1195" s="0" t="s">
        <v>1762</v>
      </c>
      <c r="C1195" s="0" t="s">
        <v>5548</v>
      </c>
      <c r="D1195" s="0" t="n">
        <v>75.1</v>
      </c>
    </row>
    <row r="1196" customFormat="false" ht="15" hidden="false" customHeight="false" outlineLevel="0" collapsed="false">
      <c r="A1196" s="0" t="s">
        <v>14</v>
      </c>
      <c r="B1196" s="0" t="s">
        <v>1768</v>
      </c>
      <c r="C1196" s="0" t="s">
        <v>5541</v>
      </c>
      <c r="D1196" s="0" t="n">
        <v>141.5</v>
      </c>
    </row>
    <row r="1197" customFormat="false" ht="15" hidden="false" customHeight="false" outlineLevel="0" collapsed="false">
      <c r="A1197" s="0" t="s">
        <v>14</v>
      </c>
      <c r="B1197" s="0" t="s">
        <v>1768</v>
      </c>
      <c r="C1197" s="0" t="s">
        <v>5547</v>
      </c>
      <c r="D1197" s="0" t="n">
        <v>141.5</v>
      </c>
    </row>
    <row r="1198" customFormat="false" ht="15" hidden="false" customHeight="false" outlineLevel="0" collapsed="false">
      <c r="A1198" s="0" t="s">
        <v>14</v>
      </c>
      <c r="B1198" s="0" t="s">
        <v>1768</v>
      </c>
      <c r="C1198" s="0" t="s">
        <v>5548</v>
      </c>
      <c r="D1198" s="0" t="n">
        <v>141.5</v>
      </c>
    </row>
    <row r="1199" customFormat="false" ht="15" hidden="false" customHeight="false" outlineLevel="0" collapsed="false">
      <c r="A1199" s="0" t="s">
        <v>14</v>
      </c>
      <c r="B1199" s="0" t="s">
        <v>1769</v>
      </c>
      <c r="C1199" s="0" t="s">
        <v>5541</v>
      </c>
      <c r="D1199" s="0" t="n">
        <v>2026</v>
      </c>
    </row>
    <row r="1200" customFormat="false" ht="15" hidden="false" customHeight="false" outlineLevel="0" collapsed="false">
      <c r="A1200" s="0" t="s">
        <v>14</v>
      </c>
      <c r="B1200" s="0" t="s">
        <v>1769</v>
      </c>
      <c r="C1200" s="0" t="s">
        <v>5547</v>
      </c>
      <c r="D1200" s="0" t="n">
        <v>2026</v>
      </c>
    </row>
    <row r="1201" customFormat="false" ht="15" hidden="false" customHeight="false" outlineLevel="0" collapsed="false">
      <c r="A1201" s="0" t="s">
        <v>14</v>
      </c>
      <c r="B1201" s="0" t="s">
        <v>1769</v>
      </c>
      <c r="C1201" s="0" t="s">
        <v>5548</v>
      </c>
      <c r="D1201" s="0" t="n">
        <v>2027</v>
      </c>
    </row>
    <row r="1202" customFormat="false" ht="15" hidden="false" customHeight="false" outlineLevel="0" collapsed="false">
      <c r="A1202" s="0" t="s">
        <v>14</v>
      </c>
      <c r="B1202" s="0" t="s">
        <v>1774</v>
      </c>
      <c r="C1202" s="0" t="s">
        <v>5541</v>
      </c>
      <c r="D1202" s="0" t="n">
        <v>0</v>
      </c>
    </row>
    <row r="1203" customFormat="false" ht="15" hidden="false" customHeight="false" outlineLevel="0" collapsed="false">
      <c r="A1203" s="0" t="s">
        <v>14</v>
      </c>
      <c r="B1203" s="0" t="s">
        <v>1774</v>
      </c>
      <c r="C1203" s="0" t="s">
        <v>5547</v>
      </c>
      <c r="D1203" s="0" t="n">
        <v>0</v>
      </c>
    </row>
    <row r="1204" customFormat="false" ht="15" hidden="false" customHeight="false" outlineLevel="0" collapsed="false">
      <c r="A1204" s="0" t="s">
        <v>14</v>
      </c>
      <c r="B1204" s="0" t="s">
        <v>1774</v>
      </c>
      <c r="C1204" s="0" t="s">
        <v>5548</v>
      </c>
      <c r="D1204" s="0" t="n">
        <v>1</v>
      </c>
    </row>
    <row r="1205" customFormat="false" ht="15" hidden="false" customHeight="false" outlineLevel="0" collapsed="false">
      <c r="A1205" s="0" t="s">
        <v>14</v>
      </c>
      <c r="B1205" s="0" t="s">
        <v>1778</v>
      </c>
      <c r="C1205" s="0" t="s">
        <v>5541</v>
      </c>
      <c r="D1205" s="0" t="n">
        <v>2026</v>
      </c>
    </row>
    <row r="1206" customFormat="false" ht="15" hidden="false" customHeight="false" outlineLevel="0" collapsed="false">
      <c r="A1206" s="0" t="s">
        <v>14</v>
      </c>
      <c r="B1206" s="0" t="s">
        <v>1778</v>
      </c>
      <c r="C1206" s="0" t="s">
        <v>5547</v>
      </c>
      <c r="D1206" s="0" t="n">
        <v>2026</v>
      </c>
    </row>
    <row r="1207" customFormat="false" ht="15" hidden="false" customHeight="false" outlineLevel="0" collapsed="false">
      <c r="A1207" s="0" t="s">
        <v>14</v>
      </c>
      <c r="B1207" s="0" t="s">
        <v>1778</v>
      </c>
      <c r="C1207" s="0" t="s">
        <v>5548</v>
      </c>
      <c r="D1207" s="0" t="n">
        <v>2027</v>
      </c>
    </row>
    <row r="1208" customFormat="false" ht="15" hidden="false" customHeight="false" outlineLevel="0" collapsed="false">
      <c r="A1208" s="0" t="s">
        <v>14</v>
      </c>
      <c r="B1208" s="0" t="s">
        <v>1782</v>
      </c>
      <c r="C1208" s="0" t="s">
        <v>5541</v>
      </c>
      <c r="D1208" s="0" t="n">
        <v>0</v>
      </c>
    </row>
    <row r="1209" customFormat="false" ht="15" hidden="false" customHeight="false" outlineLevel="0" collapsed="false">
      <c r="A1209" s="0" t="s">
        <v>14</v>
      </c>
      <c r="B1209" s="0" t="s">
        <v>1782</v>
      </c>
      <c r="C1209" s="0" t="s">
        <v>5547</v>
      </c>
      <c r="D1209" s="0" t="n">
        <v>0</v>
      </c>
    </row>
    <row r="1210" customFormat="false" ht="15" hidden="false" customHeight="false" outlineLevel="0" collapsed="false">
      <c r="A1210" s="0" t="s">
        <v>14</v>
      </c>
      <c r="B1210" s="0" t="s">
        <v>1782</v>
      </c>
      <c r="C1210" s="0" t="s">
        <v>5548</v>
      </c>
      <c r="D1210" s="0" t="n">
        <v>1</v>
      </c>
    </row>
    <row r="1211" customFormat="false" ht="15" hidden="false" customHeight="false" outlineLevel="0" collapsed="false">
      <c r="A1211" s="0" t="s">
        <v>14</v>
      </c>
      <c r="B1211" s="0" t="s">
        <v>1788</v>
      </c>
      <c r="C1211" s="0" t="s">
        <v>5541</v>
      </c>
      <c r="D1211" s="0" t="n">
        <v>3</v>
      </c>
    </row>
    <row r="1212" customFormat="false" ht="15" hidden="false" customHeight="false" outlineLevel="0" collapsed="false">
      <c r="A1212" s="0" t="s">
        <v>14</v>
      </c>
      <c r="B1212" s="0" t="s">
        <v>1788</v>
      </c>
      <c r="C1212" s="0" t="s">
        <v>5547</v>
      </c>
      <c r="D1212" s="0" t="n">
        <v>2.5</v>
      </c>
    </row>
    <row r="1213" customFormat="false" ht="15" hidden="false" customHeight="false" outlineLevel="0" collapsed="false">
      <c r="A1213" s="0" t="s">
        <v>14</v>
      </c>
      <c r="B1213" s="0" t="s">
        <v>1788</v>
      </c>
      <c r="C1213" s="0" t="s">
        <v>5548</v>
      </c>
      <c r="D1213" s="0" t="n">
        <v>3.8</v>
      </c>
    </row>
    <row r="1214" customFormat="false" ht="15" hidden="false" customHeight="false" outlineLevel="0" collapsed="false">
      <c r="A1214" s="0" t="s">
        <v>14</v>
      </c>
      <c r="B1214" s="0" t="s">
        <v>1794</v>
      </c>
      <c r="C1214" s="0" t="s">
        <v>5541</v>
      </c>
      <c r="D1214" s="0" t="n">
        <v>2.5</v>
      </c>
    </row>
    <row r="1215" customFormat="false" ht="15" hidden="false" customHeight="false" outlineLevel="0" collapsed="false">
      <c r="A1215" s="0" t="s">
        <v>14</v>
      </c>
      <c r="B1215" s="0" t="s">
        <v>1794</v>
      </c>
      <c r="C1215" s="0" t="s">
        <v>5547</v>
      </c>
      <c r="D1215" s="0" t="n">
        <v>2.5</v>
      </c>
    </row>
    <row r="1216" customFormat="false" ht="15" hidden="false" customHeight="false" outlineLevel="0" collapsed="false">
      <c r="A1216" s="0" t="s">
        <v>14</v>
      </c>
      <c r="B1216" s="0" t="s">
        <v>1794</v>
      </c>
      <c r="C1216" s="0" t="s">
        <v>5548</v>
      </c>
      <c r="D1216" s="0" t="n">
        <v>2.5</v>
      </c>
    </row>
    <row r="1217" customFormat="false" ht="15" hidden="false" customHeight="false" outlineLevel="0" collapsed="false">
      <c r="A1217" s="0" t="s">
        <v>14</v>
      </c>
      <c r="B1217" s="0" t="s">
        <v>1797</v>
      </c>
      <c r="C1217" s="0" t="s">
        <v>5541</v>
      </c>
      <c r="D1217" s="0" t="n">
        <v>3.8</v>
      </c>
    </row>
    <row r="1218" customFormat="false" ht="15" hidden="false" customHeight="false" outlineLevel="0" collapsed="false">
      <c r="A1218" s="0" t="s">
        <v>14</v>
      </c>
      <c r="B1218" s="0" t="s">
        <v>1797</v>
      </c>
      <c r="C1218" s="0" t="s">
        <v>5547</v>
      </c>
      <c r="D1218" s="0" t="n">
        <v>3.8</v>
      </c>
    </row>
    <row r="1219" customFormat="false" ht="15" hidden="false" customHeight="false" outlineLevel="0" collapsed="false">
      <c r="A1219" s="0" t="s">
        <v>14</v>
      </c>
      <c r="B1219" s="0" t="s">
        <v>1797</v>
      </c>
      <c r="C1219" s="0" t="s">
        <v>5548</v>
      </c>
      <c r="D1219" s="0" t="n">
        <v>3.8</v>
      </c>
    </row>
    <row r="1220" customFormat="false" ht="15" hidden="false" customHeight="false" outlineLevel="0" collapsed="false">
      <c r="A1220" s="0" t="s">
        <v>14</v>
      </c>
      <c r="B1220" s="0" t="s">
        <v>1800</v>
      </c>
      <c r="C1220" s="0" t="s">
        <v>5541</v>
      </c>
      <c r="D1220" s="0" t="n">
        <v>0</v>
      </c>
    </row>
    <row r="1221" customFormat="false" ht="15" hidden="false" customHeight="false" outlineLevel="0" collapsed="false">
      <c r="A1221" s="0" t="s">
        <v>14</v>
      </c>
      <c r="B1221" s="0" t="s">
        <v>1800</v>
      </c>
      <c r="C1221" s="0" t="s">
        <v>5547</v>
      </c>
      <c r="D1221" s="0" t="n">
        <v>0</v>
      </c>
    </row>
    <row r="1222" customFormat="false" ht="15" hidden="false" customHeight="false" outlineLevel="0" collapsed="false">
      <c r="A1222" s="0" t="s">
        <v>14</v>
      </c>
      <c r="B1222" s="0" t="s">
        <v>1800</v>
      </c>
      <c r="C1222" s="0" t="s">
        <v>5548</v>
      </c>
      <c r="D1222" s="0" t="n">
        <v>1</v>
      </c>
    </row>
    <row r="1223" customFormat="false" ht="15" hidden="false" customHeight="false" outlineLevel="0" collapsed="false">
      <c r="A1223" s="0" t="s">
        <v>14</v>
      </c>
      <c r="B1223" s="0" t="s">
        <v>1805</v>
      </c>
      <c r="C1223" s="0" t="s">
        <v>5541</v>
      </c>
      <c r="D1223" s="0" t="n">
        <v>0.25</v>
      </c>
    </row>
    <row r="1224" customFormat="false" ht="15" hidden="false" customHeight="false" outlineLevel="0" collapsed="false">
      <c r="A1224" s="0" t="s">
        <v>14</v>
      </c>
      <c r="B1224" s="0" t="s">
        <v>1805</v>
      </c>
      <c r="C1224" s="0" t="s">
        <v>5547</v>
      </c>
    </row>
    <row r="1225" customFormat="false" ht="15" hidden="false" customHeight="false" outlineLevel="0" collapsed="false">
      <c r="A1225" s="0" t="s">
        <v>14</v>
      </c>
      <c r="B1225" s="0" t="s">
        <v>1805</v>
      </c>
      <c r="C1225" s="0" t="s">
        <v>5548</v>
      </c>
    </row>
    <row r="1226" customFormat="false" ht="15" hidden="false" customHeight="false" outlineLevel="0" collapsed="false">
      <c r="A1226" s="0" t="s">
        <v>14</v>
      </c>
      <c r="B1226" s="0" t="s">
        <v>1808</v>
      </c>
      <c r="C1226" s="0" t="s">
        <v>5541</v>
      </c>
      <c r="D1226" s="0" t="n">
        <v>0.45</v>
      </c>
    </row>
    <row r="1227" customFormat="false" ht="15" hidden="false" customHeight="false" outlineLevel="0" collapsed="false">
      <c r="A1227" s="0" t="s">
        <v>14</v>
      </c>
      <c r="B1227" s="0" t="s">
        <v>1808</v>
      </c>
      <c r="C1227" s="0" t="s">
        <v>5547</v>
      </c>
    </row>
    <row r="1228" customFormat="false" ht="15" hidden="false" customHeight="false" outlineLevel="0" collapsed="false">
      <c r="A1228" s="0" t="s">
        <v>14</v>
      </c>
      <c r="B1228" s="0" t="s">
        <v>1808</v>
      </c>
      <c r="C1228" s="0" t="s">
        <v>5548</v>
      </c>
    </row>
    <row r="1229" customFormat="false" ht="15" hidden="false" customHeight="false" outlineLevel="0" collapsed="false">
      <c r="A1229" s="0" t="s">
        <v>14</v>
      </c>
      <c r="B1229" s="0" t="s">
        <v>1810</v>
      </c>
      <c r="C1229" s="0" t="s">
        <v>5541</v>
      </c>
      <c r="D1229" s="0" t="n">
        <v>0.25</v>
      </c>
    </row>
    <row r="1230" customFormat="false" ht="15" hidden="false" customHeight="false" outlineLevel="0" collapsed="false">
      <c r="A1230" s="0" t="s">
        <v>14</v>
      </c>
      <c r="B1230" s="0" t="s">
        <v>1810</v>
      </c>
      <c r="C1230" s="0" t="s">
        <v>5547</v>
      </c>
    </row>
    <row r="1231" customFormat="false" ht="15" hidden="false" customHeight="false" outlineLevel="0" collapsed="false">
      <c r="A1231" s="0" t="s">
        <v>14</v>
      </c>
      <c r="B1231" s="0" t="s">
        <v>1810</v>
      </c>
      <c r="C1231" s="0" t="s">
        <v>5548</v>
      </c>
    </row>
    <row r="1232" customFormat="false" ht="15" hidden="false" customHeight="false" outlineLevel="0" collapsed="false">
      <c r="A1232" s="0" t="s">
        <v>14</v>
      </c>
      <c r="B1232" s="0" t="s">
        <v>1812</v>
      </c>
      <c r="C1232" s="0" t="s">
        <v>5541</v>
      </c>
      <c r="D1232" s="0" t="n">
        <v>0.05</v>
      </c>
    </row>
    <row r="1233" customFormat="false" ht="15" hidden="false" customHeight="false" outlineLevel="0" collapsed="false">
      <c r="A1233" s="0" t="s">
        <v>14</v>
      </c>
      <c r="B1233" s="0" t="s">
        <v>1812</v>
      </c>
      <c r="C1233" s="0" t="s">
        <v>5547</v>
      </c>
    </row>
    <row r="1234" customFormat="false" ht="15" hidden="false" customHeight="false" outlineLevel="0" collapsed="false">
      <c r="A1234" s="0" t="s">
        <v>14</v>
      </c>
      <c r="B1234" s="0" t="s">
        <v>1812</v>
      </c>
      <c r="C1234" s="0" t="s">
        <v>5548</v>
      </c>
    </row>
    <row r="1235" customFormat="false" ht="15" hidden="false" customHeight="false" outlineLevel="0" collapsed="false">
      <c r="A1235" s="0" t="s">
        <v>14</v>
      </c>
      <c r="B1235" s="0" t="s">
        <v>1814</v>
      </c>
      <c r="C1235" s="0" t="s">
        <v>5541</v>
      </c>
      <c r="D1235" s="0" t="n">
        <v>0</v>
      </c>
    </row>
    <row r="1236" customFormat="false" ht="15" hidden="false" customHeight="false" outlineLevel="0" collapsed="false">
      <c r="A1236" s="0" t="s">
        <v>14</v>
      </c>
      <c r="B1236" s="0" t="s">
        <v>1814</v>
      </c>
      <c r="C1236" s="0" t="s">
        <v>5547</v>
      </c>
    </row>
    <row r="1237" customFormat="false" ht="15" hidden="false" customHeight="false" outlineLevel="0" collapsed="false">
      <c r="A1237" s="0" t="s">
        <v>14</v>
      </c>
      <c r="B1237" s="0" t="s">
        <v>1814</v>
      </c>
      <c r="C1237" s="0" t="s">
        <v>5548</v>
      </c>
    </row>
    <row r="1238" customFormat="false" ht="15" hidden="false" customHeight="false" outlineLevel="0" collapsed="false">
      <c r="A1238" s="0" t="s">
        <v>14</v>
      </c>
      <c r="B1238" s="0" t="s">
        <v>1816</v>
      </c>
      <c r="C1238" s="0" t="s">
        <v>5541</v>
      </c>
      <c r="D1238" s="0" t="n">
        <v>0</v>
      </c>
    </row>
    <row r="1239" customFormat="false" ht="15" hidden="false" customHeight="false" outlineLevel="0" collapsed="false">
      <c r="A1239" s="0" t="s">
        <v>14</v>
      </c>
      <c r="B1239" s="0" t="s">
        <v>1816</v>
      </c>
      <c r="C1239" s="0" t="s">
        <v>5547</v>
      </c>
    </row>
    <row r="1240" customFormat="false" ht="15" hidden="false" customHeight="false" outlineLevel="0" collapsed="false">
      <c r="A1240" s="0" t="s">
        <v>14</v>
      </c>
      <c r="B1240" s="0" t="s">
        <v>1816</v>
      </c>
      <c r="C1240" s="0" t="s">
        <v>5548</v>
      </c>
    </row>
    <row r="1241" customFormat="false" ht="15" hidden="false" customHeight="false" outlineLevel="0" collapsed="false">
      <c r="A1241" s="0" t="s">
        <v>14</v>
      </c>
      <c r="B1241" s="0" t="s">
        <v>1818</v>
      </c>
      <c r="C1241" s="0" t="s">
        <v>5541</v>
      </c>
      <c r="D1241" s="0" t="n">
        <v>0</v>
      </c>
    </row>
    <row r="1242" customFormat="false" ht="15" hidden="false" customHeight="false" outlineLevel="0" collapsed="false">
      <c r="A1242" s="0" t="s">
        <v>14</v>
      </c>
      <c r="B1242" s="0" t="s">
        <v>1818</v>
      </c>
      <c r="C1242" s="0" t="s">
        <v>5547</v>
      </c>
      <c r="D1242" s="0" t="n">
        <v>0</v>
      </c>
    </row>
    <row r="1243" customFormat="false" ht="15" hidden="false" customHeight="false" outlineLevel="0" collapsed="false">
      <c r="A1243" s="0" t="s">
        <v>14</v>
      </c>
      <c r="B1243" s="0" t="s">
        <v>1818</v>
      </c>
      <c r="C1243" s="0" t="s">
        <v>5548</v>
      </c>
      <c r="D1243" s="0" t="n">
        <v>1</v>
      </c>
    </row>
    <row r="1244" customFormat="false" ht="15" hidden="false" customHeight="false" outlineLevel="0" collapsed="false">
      <c r="A1244" s="0" t="s">
        <v>14</v>
      </c>
      <c r="B1244" s="0" t="s">
        <v>1823</v>
      </c>
      <c r="C1244" s="0" t="s">
        <v>5541</v>
      </c>
      <c r="D1244" s="0" t="n">
        <v>0.005</v>
      </c>
    </row>
    <row r="1245" customFormat="false" ht="15" hidden="false" customHeight="false" outlineLevel="0" collapsed="false">
      <c r="A1245" s="0" t="s">
        <v>14</v>
      </c>
      <c r="B1245" s="0" t="s">
        <v>1823</v>
      </c>
      <c r="C1245" s="0" t="s">
        <v>5547</v>
      </c>
      <c r="D1245" s="0" t="n">
        <v>0.005</v>
      </c>
    </row>
    <row r="1246" customFormat="false" ht="15" hidden="false" customHeight="false" outlineLevel="0" collapsed="false">
      <c r="A1246" s="0" t="s">
        <v>14</v>
      </c>
      <c r="B1246" s="0" t="s">
        <v>1823</v>
      </c>
      <c r="C1246" s="0" t="s">
        <v>5548</v>
      </c>
      <c r="D1246" s="0" t="n">
        <v>0.005</v>
      </c>
    </row>
    <row r="1247" customFormat="false" ht="15" hidden="false" customHeight="false" outlineLevel="0" collapsed="false">
      <c r="A1247" s="0" t="s">
        <v>14</v>
      </c>
      <c r="B1247" s="0" t="s">
        <v>1828</v>
      </c>
      <c r="C1247" s="0" t="s">
        <v>5541</v>
      </c>
      <c r="D1247" s="0" t="n">
        <v>2.26</v>
      </c>
    </row>
    <row r="1248" customFormat="false" ht="15" hidden="false" customHeight="false" outlineLevel="0" collapsed="false">
      <c r="A1248" s="0" t="s">
        <v>14</v>
      </c>
      <c r="B1248" s="0" t="s">
        <v>1828</v>
      </c>
      <c r="C1248" s="0" t="s">
        <v>5547</v>
      </c>
      <c r="D1248" s="0" t="n">
        <v>2.17</v>
      </c>
    </row>
    <row r="1249" customFormat="false" ht="15" hidden="false" customHeight="false" outlineLevel="0" collapsed="false">
      <c r="A1249" s="0" t="s">
        <v>14</v>
      </c>
      <c r="B1249" s="0" t="s">
        <v>1828</v>
      </c>
      <c r="C1249" s="0" t="s">
        <v>5548</v>
      </c>
      <c r="D1249" s="0" t="n">
        <v>2.35</v>
      </c>
    </row>
    <row r="1250" customFormat="false" ht="15" hidden="false" customHeight="false" outlineLevel="0" collapsed="false">
      <c r="A1250" s="0" t="s">
        <v>14</v>
      </c>
      <c r="B1250" s="0" t="s">
        <v>1835</v>
      </c>
      <c r="C1250" s="0" t="s">
        <v>5541</v>
      </c>
      <c r="D1250" s="0" t="n">
        <v>2.17</v>
      </c>
    </row>
    <row r="1251" customFormat="false" ht="15" hidden="false" customHeight="false" outlineLevel="0" collapsed="false">
      <c r="A1251" s="0" t="s">
        <v>14</v>
      </c>
      <c r="B1251" s="0" t="s">
        <v>1835</v>
      </c>
      <c r="C1251" s="0" t="s">
        <v>5547</v>
      </c>
      <c r="D1251" s="0" t="n">
        <v>2.17</v>
      </c>
    </row>
    <row r="1252" customFormat="false" ht="15" hidden="false" customHeight="false" outlineLevel="0" collapsed="false">
      <c r="A1252" s="0" t="s">
        <v>14</v>
      </c>
      <c r="B1252" s="0" t="s">
        <v>1835</v>
      </c>
      <c r="C1252" s="0" t="s">
        <v>5548</v>
      </c>
      <c r="D1252" s="0" t="n">
        <v>2.17</v>
      </c>
    </row>
    <row r="1253" customFormat="false" ht="15" hidden="false" customHeight="false" outlineLevel="0" collapsed="false">
      <c r="A1253" s="0" t="s">
        <v>14</v>
      </c>
      <c r="B1253" s="0" t="s">
        <v>1838</v>
      </c>
      <c r="C1253" s="0" t="s">
        <v>5541</v>
      </c>
      <c r="D1253" s="0" t="n">
        <v>2.35</v>
      </c>
    </row>
    <row r="1254" customFormat="false" ht="15" hidden="false" customHeight="false" outlineLevel="0" collapsed="false">
      <c r="A1254" s="0" t="s">
        <v>14</v>
      </c>
      <c r="B1254" s="0" t="s">
        <v>1838</v>
      </c>
      <c r="C1254" s="0" t="s">
        <v>5547</v>
      </c>
      <c r="D1254" s="0" t="n">
        <v>2.35</v>
      </c>
    </row>
    <row r="1255" customFormat="false" ht="15" hidden="false" customHeight="false" outlineLevel="0" collapsed="false">
      <c r="A1255" s="0" t="s">
        <v>14</v>
      </c>
      <c r="B1255" s="0" t="s">
        <v>1838</v>
      </c>
      <c r="C1255" s="0" t="s">
        <v>5548</v>
      </c>
      <c r="D1255" s="0" t="n">
        <v>2.35</v>
      </c>
    </row>
    <row r="1256" customFormat="false" ht="15" hidden="false" customHeight="false" outlineLevel="0" collapsed="false">
      <c r="A1256" s="0" t="s">
        <v>14</v>
      </c>
      <c r="B1256" s="0" t="s">
        <v>1841</v>
      </c>
      <c r="C1256" s="0" t="s">
        <v>5541</v>
      </c>
      <c r="D1256" s="0" t="n">
        <v>4.6</v>
      </c>
    </row>
    <row r="1257" customFormat="false" ht="15" hidden="false" customHeight="false" outlineLevel="0" collapsed="false">
      <c r="A1257" s="0" t="s">
        <v>14</v>
      </c>
      <c r="B1257" s="0" t="s">
        <v>1841</v>
      </c>
      <c r="C1257" s="0" t="s">
        <v>5547</v>
      </c>
      <c r="D1257" s="0" t="n">
        <v>3.5</v>
      </c>
    </row>
    <row r="1258" customFormat="false" ht="15" hidden="false" customHeight="false" outlineLevel="0" collapsed="false">
      <c r="A1258" s="0" t="s">
        <v>14</v>
      </c>
      <c r="B1258" s="0" t="s">
        <v>1841</v>
      </c>
      <c r="C1258" s="0" t="s">
        <v>5548</v>
      </c>
      <c r="D1258" s="0" t="n">
        <v>5.7</v>
      </c>
    </row>
    <row r="1259" customFormat="false" ht="15" hidden="false" customHeight="false" outlineLevel="0" collapsed="false">
      <c r="A1259" s="0" t="s">
        <v>14</v>
      </c>
      <c r="B1259" s="0" t="s">
        <v>1847</v>
      </c>
      <c r="C1259" s="0" t="s">
        <v>5541</v>
      </c>
      <c r="D1259" s="0" t="n">
        <v>3.5</v>
      </c>
    </row>
    <row r="1260" customFormat="false" ht="15" hidden="false" customHeight="false" outlineLevel="0" collapsed="false">
      <c r="A1260" s="0" t="s">
        <v>14</v>
      </c>
      <c r="B1260" s="0" t="s">
        <v>1847</v>
      </c>
      <c r="C1260" s="0" t="s">
        <v>5547</v>
      </c>
      <c r="D1260" s="0" t="n">
        <v>3.5</v>
      </c>
    </row>
    <row r="1261" customFormat="false" ht="15" hidden="false" customHeight="false" outlineLevel="0" collapsed="false">
      <c r="A1261" s="0" t="s">
        <v>14</v>
      </c>
      <c r="B1261" s="0" t="s">
        <v>1847</v>
      </c>
      <c r="C1261" s="0" t="s">
        <v>5548</v>
      </c>
      <c r="D1261" s="0" t="n">
        <v>3.5</v>
      </c>
    </row>
    <row r="1262" customFormat="false" ht="15" hidden="false" customHeight="false" outlineLevel="0" collapsed="false">
      <c r="A1262" s="0" t="s">
        <v>14</v>
      </c>
      <c r="B1262" s="0" t="s">
        <v>1850</v>
      </c>
      <c r="C1262" s="0" t="s">
        <v>5541</v>
      </c>
      <c r="D1262" s="0" t="n">
        <v>5.7</v>
      </c>
    </row>
    <row r="1263" customFormat="false" ht="15" hidden="false" customHeight="false" outlineLevel="0" collapsed="false">
      <c r="A1263" s="0" t="s">
        <v>14</v>
      </c>
      <c r="B1263" s="0" t="s">
        <v>1850</v>
      </c>
      <c r="C1263" s="0" t="s">
        <v>5547</v>
      </c>
      <c r="D1263" s="0" t="n">
        <v>5.7</v>
      </c>
    </row>
    <row r="1264" customFormat="false" ht="15" hidden="false" customHeight="false" outlineLevel="0" collapsed="false">
      <c r="A1264" s="0" t="s">
        <v>14</v>
      </c>
      <c r="B1264" s="0" t="s">
        <v>1850</v>
      </c>
      <c r="C1264" s="0" t="s">
        <v>5548</v>
      </c>
      <c r="D1264" s="0" t="n">
        <v>5.7</v>
      </c>
    </row>
    <row r="1265" customFormat="false" ht="15" hidden="false" customHeight="false" outlineLevel="0" collapsed="false">
      <c r="A1265" s="0" t="s">
        <v>14</v>
      </c>
      <c r="B1265" s="0" t="s">
        <v>1853</v>
      </c>
      <c r="C1265" s="0" t="s">
        <v>5541</v>
      </c>
      <c r="D1265" s="0" t="n">
        <v>2.21</v>
      </c>
    </row>
    <row r="1266" customFormat="false" ht="15" hidden="false" customHeight="false" outlineLevel="0" collapsed="false">
      <c r="A1266" s="0" t="s">
        <v>14</v>
      </c>
      <c r="B1266" s="0" t="s">
        <v>1853</v>
      </c>
      <c r="C1266" s="0" t="s">
        <v>5547</v>
      </c>
    </row>
    <row r="1267" customFormat="false" ht="15" hidden="false" customHeight="false" outlineLevel="0" collapsed="false">
      <c r="A1267" s="0" t="s">
        <v>14</v>
      </c>
      <c r="B1267" s="0" t="s">
        <v>1853</v>
      </c>
      <c r="C1267" s="0" t="s">
        <v>5548</v>
      </c>
    </row>
    <row r="1268" customFormat="false" ht="15" hidden="false" customHeight="false" outlineLevel="0" collapsed="false">
      <c r="A1268" s="0" t="s">
        <v>14</v>
      </c>
      <c r="B1268" s="0" t="s">
        <v>1858</v>
      </c>
      <c r="C1268" s="0" t="s">
        <v>5541</v>
      </c>
      <c r="D1268" s="0" t="n">
        <v>2.39</v>
      </c>
    </row>
    <row r="1269" customFormat="false" ht="15" hidden="false" customHeight="false" outlineLevel="0" collapsed="false">
      <c r="A1269" s="0" t="s">
        <v>14</v>
      </c>
      <c r="B1269" s="0" t="s">
        <v>1858</v>
      </c>
      <c r="C1269" s="0" t="s">
        <v>5547</v>
      </c>
    </row>
    <row r="1270" customFormat="false" ht="15" hidden="false" customHeight="false" outlineLevel="0" collapsed="false">
      <c r="A1270" s="0" t="s">
        <v>14</v>
      </c>
      <c r="B1270" s="0" t="s">
        <v>1858</v>
      </c>
      <c r="C1270" s="0" t="s">
        <v>5548</v>
      </c>
    </row>
    <row r="1271" customFormat="false" ht="15" hidden="false" customHeight="false" outlineLevel="0" collapsed="false">
      <c r="A1271" s="0" t="s">
        <v>14</v>
      </c>
      <c r="B1271" s="0" t="s">
        <v>1861</v>
      </c>
      <c r="C1271" s="0" t="s">
        <v>5541</v>
      </c>
      <c r="D1271" s="0" t="n">
        <v>2.34</v>
      </c>
    </row>
    <row r="1272" customFormat="false" ht="15" hidden="false" customHeight="false" outlineLevel="0" collapsed="false">
      <c r="A1272" s="0" t="s">
        <v>14</v>
      </c>
      <c r="B1272" s="0" t="s">
        <v>1861</v>
      </c>
      <c r="C1272" s="0" t="s">
        <v>5547</v>
      </c>
    </row>
    <row r="1273" customFormat="false" ht="15" hidden="false" customHeight="false" outlineLevel="0" collapsed="false">
      <c r="A1273" s="0" t="s">
        <v>14</v>
      </c>
      <c r="B1273" s="0" t="s">
        <v>1861</v>
      </c>
      <c r="C1273" s="0" t="s">
        <v>5548</v>
      </c>
    </row>
    <row r="1274" customFormat="false" ht="15" hidden="false" customHeight="false" outlineLevel="0" collapsed="false">
      <c r="A1274" s="0" t="s">
        <v>14</v>
      </c>
      <c r="B1274" s="0" t="s">
        <v>1864</v>
      </c>
      <c r="C1274" s="0" t="s">
        <v>5541</v>
      </c>
      <c r="D1274" s="0" t="n">
        <v>2.59</v>
      </c>
    </row>
    <row r="1275" customFormat="false" ht="15" hidden="false" customHeight="false" outlineLevel="0" collapsed="false">
      <c r="A1275" s="0" t="s">
        <v>14</v>
      </c>
      <c r="B1275" s="0" t="s">
        <v>1864</v>
      </c>
      <c r="C1275" s="0" t="s">
        <v>5547</v>
      </c>
    </row>
    <row r="1276" customFormat="false" ht="15" hidden="false" customHeight="false" outlineLevel="0" collapsed="false">
      <c r="A1276" s="0" t="s">
        <v>14</v>
      </c>
      <c r="B1276" s="0" t="s">
        <v>1864</v>
      </c>
      <c r="C1276" s="0" t="s">
        <v>5548</v>
      </c>
    </row>
    <row r="1277" customFormat="false" ht="15" hidden="false" customHeight="false" outlineLevel="0" collapsed="false">
      <c r="A1277" s="0" t="s">
        <v>14</v>
      </c>
      <c r="B1277" s="0" t="s">
        <v>1867</v>
      </c>
      <c r="C1277" s="0" t="s">
        <v>5541</v>
      </c>
      <c r="D1277" s="0" t="n">
        <v>2.53</v>
      </c>
    </row>
    <row r="1278" customFormat="false" ht="15" hidden="false" customHeight="false" outlineLevel="0" collapsed="false">
      <c r="A1278" s="0" t="s">
        <v>14</v>
      </c>
      <c r="B1278" s="0" t="s">
        <v>1867</v>
      </c>
      <c r="C1278" s="0" t="s">
        <v>5547</v>
      </c>
    </row>
    <row r="1279" customFormat="false" ht="15" hidden="false" customHeight="false" outlineLevel="0" collapsed="false">
      <c r="A1279" s="0" t="s">
        <v>14</v>
      </c>
      <c r="B1279" s="0" t="s">
        <v>1867</v>
      </c>
      <c r="C1279" s="0" t="s">
        <v>5548</v>
      </c>
    </row>
    <row r="1280" customFormat="false" ht="15" hidden="false" customHeight="false" outlineLevel="0" collapsed="false">
      <c r="A1280" s="0" t="s">
        <v>14</v>
      </c>
      <c r="B1280" s="0" t="s">
        <v>1870</v>
      </c>
      <c r="C1280" s="0" t="s">
        <v>5541</v>
      </c>
      <c r="D1280" s="0" t="n">
        <v>2.85</v>
      </c>
    </row>
    <row r="1281" customFormat="false" ht="15" hidden="false" customHeight="false" outlineLevel="0" collapsed="false">
      <c r="A1281" s="0" t="s">
        <v>14</v>
      </c>
      <c r="B1281" s="0" t="s">
        <v>1870</v>
      </c>
      <c r="C1281" s="0" t="s">
        <v>5547</v>
      </c>
    </row>
    <row r="1282" customFormat="false" ht="15" hidden="false" customHeight="false" outlineLevel="0" collapsed="false">
      <c r="A1282" s="0" t="s">
        <v>14</v>
      </c>
      <c r="B1282" s="0" t="s">
        <v>1870</v>
      </c>
      <c r="C1282" s="0" t="s">
        <v>5548</v>
      </c>
    </row>
    <row r="1283" customFormat="false" ht="15" hidden="false" customHeight="false" outlineLevel="0" collapsed="false">
      <c r="A1283" s="0" t="s">
        <v>14</v>
      </c>
      <c r="B1283" s="0" t="s">
        <v>1873</v>
      </c>
      <c r="C1283" s="0" t="s">
        <v>5541</v>
      </c>
      <c r="D1283" s="0" t="n">
        <v>1.11</v>
      </c>
    </row>
    <row r="1284" customFormat="false" ht="15" hidden="false" customHeight="false" outlineLevel="0" collapsed="false">
      <c r="A1284" s="0" t="s">
        <v>14</v>
      </c>
      <c r="B1284" s="0" t="s">
        <v>1873</v>
      </c>
      <c r="C1284" s="0" t="s">
        <v>5547</v>
      </c>
    </row>
    <row r="1285" customFormat="false" ht="15" hidden="false" customHeight="false" outlineLevel="0" collapsed="false">
      <c r="A1285" s="0" t="s">
        <v>14</v>
      </c>
      <c r="B1285" s="0" t="s">
        <v>1873</v>
      </c>
      <c r="C1285" s="0" t="s">
        <v>5548</v>
      </c>
    </row>
    <row r="1286" customFormat="false" ht="15" hidden="false" customHeight="false" outlineLevel="0" collapsed="false">
      <c r="A1286" s="0" t="s">
        <v>14</v>
      </c>
      <c r="B1286" s="0" t="s">
        <v>1878</v>
      </c>
      <c r="C1286" s="0" t="s">
        <v>5541</v>
      </c>
      <c r="D1286" s="0" t="n">
        <v>1.06</v>
      </c>
    </row>
    <row r="1287" customFormat="false" ht="15" hidden="false" customHeight="false" outlineLevel="0" collapsed="false">
      <c r="A1287" s="0" t="s">
        <v>14</v>
      </c>
      <c r="B1287" s="0" t="s">
        <v>1878</v>
      </c>
      <c r="C1287" s="0" t="s">
        <v>5547</v>
      </c>
    </row>
    <row r="1288" customFormat="false" ht="15" hidden="false" customHeight="false" outlineLevel="0" collapsed="false">
      <c r="A1288" s="0" t="s">
        <v>14</v>
      </c>
      <c r="B1288" s="0" t="s">
        <v>1878</v>
      </c>
      <c r="C1288" s="0" t="s">
        <v>5548</v>
      </c>
    </row>
    <row r="1289" customFormat="false" ht="15" hidden="false" customHeight="false" outlineLevel="0" collapsed="false">
      <c r="A1289" s="0" t="s">
        <v>14</v>
      </c>
      <c r="B1289" s="0" t="s">
        <v>1881</v>
      </c>
      <c r="C1289" s="0" t="s">
        <v>5541</v>
      </c>
      <c r="D1289" s="0" t="n">
        <v>1.397</v>
      </c>
    </row>
    <row r="1290" customFormat="false" ht="15" hidden="false" customHeight="false" outlineLevel="0" collapsed="false">
      <c r="A1290" s="0" t="s">
        <v>14</v>
      </c>
      <c r="B1290" s="0" t="s">
        <v>1881</v>
      </c>
      <c r="C1290" s="0" t="s">
        <v>5547</v>
      </c>
      <c r="D1290" s="0" t="n">
        <v>1.397</v>
      </c>
    </row>
    <row r="1291" customFormat="false" ht="15" hidden="false" customHeight="false" outlineLevel="0" collapsed="false">
      <c r="A1291" s="0" t="s">
        <v>14</v>
      </c>
      <c r="B1291" s="0" t="s">
        <v>1881</v>
      </c>
      <c r="C1291" s="0" t="s">
        <v>5548</v>
      </c>
      <c r="D1291" s="0" t="n">
        <v>1.397</v>
      </c>
    </row>
    <row r="1292" customFormat="false" ht="15" hidden="false" customHeight="false" outlineLevel="0" collapsed="false">
      <c r="A1292" s="0" t="s">
        <v>14</v>
      </c>
      <c r="B1292" s="0" t="s">
        <v>1887</v>
      </c>
      <c r="C1292" s="0" t="s">
        <v>5541</v>
      </c>
      <c r="D1292" s="0" t="n">
        <v>3.6</v>
      </c>
    </row>
    <row r="1293" customFormat="false" ht="15" hidden="false" customHeight="false" outlineLevel="0" collapsed="false">
      <c r="A1293" s="0" t="s">
        <v>14</v>
      </c>
      <c r="B1293" s="0" t="s">
        <v>1887</v>
      </c>
      <c r="C1293" s="0" t="s">
        <v>5547</v>
      </c>
      <c r="D1293" s="0" t="n">
        <v>3.2</v>
      </c>
    </row>
    <row r="1294" customFormat="false" ht="15" hidden="false" customHeight="false" outlineLevel="0" collapsed="false">
      <c r="A1294" s="0" t="s">
        <v>14</v>
      </c>
      <c r="B1294" s="0" t="s">
        <v>1887</v>
      </c>
      <c r="C1294" s="0" t="s">
        <v>5548</v>
      </c>
      <c r="D1294" s="0" t="n">
        <v>3.8</v>
      </c>
    </row>
    <row r="1295" customFormat="false" ht="15" hidden="false" customHeight="false" outlineLevel="0" collapsed="false">
      <c r="A1295" s="0" t="s">
        <v>14</v>
      </c>
      <c r="B1295" s="0" t="s">
        <v>1892</v>
      </c>
      <c r="C1295" s="0" t="s">
        <v>5541</v>
      </c>
      <c r="D1295" s="0" t="n">
        <v>4000</v>
      </c>
    </row>
    <row r="1296" customFormat="false" ht="15" hidden="false" customHeight="false" outlineLevel="0" collapsed="false">
      <c r="A1296" s="0" t="s">
        <v>14</v>
      </c>
      <c r="B1296" s="0" t="s">
        <v>1892</v>
      </c>
      <c r="C1296" s="0" t="s">
        <v>5547</v>
      </c>
      <c r="D1296" s="0" t="n">
        <v>2000</v>
      </c>
    </row>
    <row r="1297" customFormat="false" ht="15" hidden="false" customHeight="false" outlineLevel="0" collapsed="false">
      <c r="A1297" s="0" t="s">
        <v>14</v>
      </c>
      <c r="B1297" s="0" t="s">
        <v>1892</v>
      </c>
      <c r="C1297" s="0" t="s">
        <v>5548</v>
      </c>
      <c r="D1297" s="0" t="n">
        <v>11000</v>
      </c>
    </row>
    <row r="1298" customFormat="false" ht="15" hidden="false" customHeight="false" outlineLevel="0" collapsed="false">
      <c r="A1298" s="0" t="s">
        <v>14</v>
      </c>
      <c r="B1298" s="0" t="s">
        <v>1896</v>
      </c>
      <c r="C1298" s="0" t="s">
        <v>5541</v>
      </c>
      <c r="D1298" s="0" t="n">
        <v>0.6</v>
      </c>
    </row>
    <row r="1299" customFormat="false" ht="15" hidden="false" customHeight="false" outlineLevel="0" collapsed="false">
      <c r="A1299" s="0" t="s">
        <v>14</v>
      </c>
      <c r="B1299" s="0" t="s">
        <v>1896</v>
      </c>
      <c r="C1299" s="0" t="s">
        <v>5547</v>
      </c>
      <c r="D1299" s="0" t="n">
        <v>0.4</v>
      </c>
    </row>
    <row r="1300" customFormat="false" ht="15" hidden="false" customHeight="false" outlineLevel="0" collapsed="false">
      <c r="A1300" s="0" t="s">
        <v>14</v>
      </c>
      <c r="B1300" s="0" t="s">
        <v>1896</v>
      </c>
      <c r="C1300" s="0" t="s">
        <v>5548</v>
      </c>
      <c r="D1300" s="0" t="n">
        <v>0.8</v>
      </c>
    </row>
    <row r="1301" customFormat="false" ht="15" hidden="false" customHeight="false" outlineLevel="0" collapsed="false">
      <c r="A1301" s="0" t="s">
        <v>14</v>
      </c>
      <c r="B1301" s="0" t="s">
        <v>1899</v>
      </c>
      <c r="C1301" s="0" t="s">
        <v>5541</v>
      </c>
      <c r="D1301" s="0" t="n">
        <v>0.01</v>
      </c>
    </row>
    <row r="1302" customFormat="false" ht="15" hidden="false" customHeight="false" outlineLevel="0" collapsed="false">
      <c r="A1302" s="0" t="s">
        <v>14</v>
      </c>
      <c r="B1302" s="0" t="s">
        <v>1899</v>
      </c>
      <c r="C1302" s="0" t="s">
        <v>5547</v>
      </c>
      <c r="D1302" s="0" t="n">
        <v>0.01</v>
      </c>
    </row>
    <row r="1303" customFormat="false" ht="15" hidden="false" customHeight="false" outlineLevel="0" collapsed="false">
      <c r="A1303" s="0" t="s">
        <v>14</v>
      </c>
      <c r="B1303" s="0" t="s">
        <v>1899</v>
      </c>
      <c r="C1303" s="0" t="s">
        <v>5548</v>
      </c>
      <c r="D1303" s="0" t="n">
        <v>0.01</v>
      </c>
    </row>
    <row r="1304" customFormat="false" ht="15" hidden="false" customHeight="false" outlineLevel="0" collapsed="false">
      <c r="A1304" s="0" t="s">
        <v>14</v>
      </c>
      <c r="B1304" s="0" t="s">
        <v>1904</v>
      </c>
      <c r="C1304" s="0" t="s">
        <v>5541</v>
      </c>
      <c r="D1304" s="0" t="n">
        <v>0.2</v>
      </c>
    </row>
    <row r="1305" customFormat="false" ht="15" hidden="false" customHeight="false" outlineLevel="0" collapsed="false">
      <c r="A1305" s="0" t="s">
        <v>14</v>
      </c>
      <c r="B1305" s="0" t="s">
        <v>1904</v>
      </c>
      <c r="C1305" s="0" t="s">
        <v>5547</v>
      </c>
      <c r="D1305" s="0" t="n">
        <v>0.1</v>
      </c>
    </row>
    <row r="1306" customFormat="false" ht="15" hidden="false" customHeight="false" outlineLevel="0" collapsed="false">
      <c r="A1306" s="0" t="s">
        <v>14</v>
      </c>
      <c r="B1306" s="0" t="s">
        <v>1904</v>
      </c>
      <c r="C1306" s="0" t="s">
        <v>5548</v>
      </c>
      <c r="D1306" s="0" t="n">
        <v>0.3</v>
      </c>
    </row>
    <row r="1307" customFormat="false" ht="15" hidden="false" customHeight="false" outlineLevel="0" collapsed="false">
      <c r="A1307" s="0" t="s">
        <v>14</v>
      </c>
      <c r="B1307" s="0" t="s">
        <v>1910</v>
      </c>
      <c r="C1307" s="0" t="s">
        <v>5541</v>
      </c>
      <c r="D1307" s="0" t="n">
        <v>0.1</v>
      </c>
    </row>
    <row r="1308" customFormat="false" ht="15" hidden="false" customHeight="false" outlineLevel="0" collapsed="false">
      <c r="A1308" s="0" t="s">
        <v>14</v>
      </c>
      <c r="B1308" s="0" t="s">
        <v>1910</v>
      </c>
      <c r="C1308" s="0" t="s">
        <v>5547</v>
      </c>
      <c r="D1308" s="0" t="n">
        <v>0.1</v>
      </c>
    </row>
    <row r="1309" customFormat="false" ht="15" hidden="false" customHeight="false" outlineLevel="0" collapsed="false">
      <c r="A1309" s="0" t="s">
        <v>14</v>
      </c>
      <c r="B1309" s="0" t="s">
        <v>1910</v>
      </c>
      <c r="C1309" s="0" t="s">
        <v>5548</v>
      </c>
      <c r="D1309" s="0" t="n">
        <v>0.1</v>
      </c>
    </row>
    <row r="1310" customFormat="false" ht="15" hidden="false" customHeight="false" outlineLevel="0" collapsed="false">
      <c r="A1310" s="0" t="s">
        <v>14</v>
      </c>
      <c r="B1310" s="0" t="s">
        <v>1912</v>
      </c>
      <c r="C1310" s="0" t="s">
        <v>5541</v>
      </c>
      <c r="D1310" s="0" t="n">
        <v>0.3</v>
      </c>
    </row>
    <row r="1311" customFormat="false" ht="15" hidden="false" customHeight="false" outlineLevel="0" collapsed="false">
      <c r="A1311" s="0" t="s">
        <v>14</v>
      </c>
      <c r="B1311" s="0" t="s">
        <v>1912</v>
      </c>
      <c r="C1311" s="0" t="s">
        <v>5547</v>
      </c>
      <c r="D1311" s="0" t="n">
        <v>0.3</v>
      </c>
    </row>
    <row r="1312" customFormat="false" ht="15" hidden="false" customHeight="false" outlineLevel="0" collapsed="false">
      <c r="A1312" s="0" t="s">
        <v>14</v>
      </c>
      <c r="B1312" s="0" t="s">
        <v>1912</v>
      </c>
      <c r="C1312" s="0" t="s">
        <v>5548</v>
      </c>
      <c r="D1312" s="0" t="n">
        <v>0.3</v>
      </c>
    </row>
    <row r="1313" customFormat="false" ht="15" hidden="false" customHeight="false" outlineLevel="0" collapsed="false">
      <c r="A1313" s="0" t="s">
        <v>14</v>
      </c>
      <c r="B1313" s="0" t="s">
        <v>1914</v>
      </c>
      <c r="C1313" s="0" t="s">
        <v>5541</v>
      </c>
      <c r="D1313" s="0" t="n">
        <v>0.7</v>
      </c>
    </row>
    <row r="1314" customFormat="false" ht="15" hidden="false" customHeight="false" outlineLevel="0" collapsed="false">
      <c r="A1314" s="0" t="s">
        <v>14</v>
      </c>
      <c r="B1314" s="0" t="s">
        <v>1914</v>
      </c>
      <c r="C1314" s="0" t="s">
        <v>5547</v>
      </c>
      <c r="D1314" s="0" t="n">
        <v>0.7</v>
      </c>
    </row>
    <row r="1315" customFormat="false" ht="15" hidden="false" customHeight="false" outlineLevel="0" collapsed="false">
      <c r="A1315" s="0" t="s">
        <v>14</v>
      </c>
      <c r="B1315" s="0" t="s">
        <v>1914</v>
      </c>
      <c r="C1315" s="0" t="s">
        <v>5548</v>
      </c>
      <c r="D1315" s="0" t="n">
        <v>0.7</v>
      </c>
    </row>
    <row r="1316" customFormat="false" ht="15" hidden="false" customHeight="false" outlineLevel="0" collapsed="false">
      <c r="A1316" s="0" t="s">
        <v>14</v>
      </c>
      <c r="B1316" s="0" t="s">
        <v>1918</v>
      </c>
      <c r="C1316" s="0" t="s">
        <v>5541</v>
      </c>
      <c r="D1316" s="0" t="n">
        <v>1</v>
      </c>
    </row>
    <row r="1317" customFormat="false" ht="15" hidden="false" customHeight="false" outlineLevel="0" collapsed="false">
      <c r="A1317" s="0" t="s">
        <v>14</v>
      </c>
      <c r="B1317" s="0" t="s">
        <v>1918</v>
      </c>
      <c r="C1317" s="0" t="s">
        <v>5547</v>
      </c>
      <c r="D1317" s="0" t="n">
        <v>1</v>
      </c>
    </row>
    <row r="1318" customFormat="false" ht="15" hidden="false" customHeight="false" outlineLevel="0" collapsed="false">
      <c r="A1318" s="0" t="s">
        <v>14</v>
      </c>
      <c r="B1318" s="0" t="s">
        <v>1918</v>
      </c>
      <c r="C1318" s="0" t="s">
        <v>5548</v>
      </c>
      <c r="D1318" s="0" t="n">
        <v>2</v>
      </c>
    </row>
    <row r="1319" customFormat="false" ht="15" hidden="false" customHeight="false" outlineLevel="0" collapsed="false">
      <c r="A1319" s="0" t="s">
        <v>14</v>
      </c>
      <c r="B1319" s="0" t="s">
        <v>1922</v>
      </c>
      <c r="C1319" s="0" t="s">
        <v>5541</v>
      </c>
      <c r="D1319" s="0" t="n">
        <v>2</v>
      </c>
    </row>
    <row r="1320" customFormat="false" ht="15" hidden="false" customHeight="false" outlineLevel="0" collapsed="false">
      <c r="A1320" s="0" t="s">
        <v>14</v>
      </c>
      <c r="B1320" s="0" t="s">
        <v>1922</v>
      </c>
      <c r="C1320" s="0" t="s">
        <v>5547</v>
      </c>
      <c r="D1320" s="0" t="n">
        <v>2</v>
      </c>
    </row>
    <row r="1321" customFormat="false" ht="15" hidden="false" customHeight="false" outlineLevel="0" collapsed="false">
      <c r="A1321" s="0" t="s">
        <v>14</v>
      </c>
      <c r="B1321" s="0" t="s">
        <v>1922</v>
      </c>
      <c r="C1321" s="0" t="s">
        <v>5548</v>
      </c>
      <c r="D1321" s="0" t="n">
        <v>2</v>
      </c>
    </row>
    <row r="1322" customFormat="false" ht="15" hidden="false" customHeight="false" outlineLevel="0" collapsed="false">
      <c r="A1322" s="0" t="s">
        <v>14</v>
      </c>
      <c r="B1322" s="0" t="s">
        <v>1925</v>
      </c>
      <c r="C1322" s="0" t="s">
        <v>5541</v>
      </c>
      <c r="D1322" s="0" t="n">
        <v>6000</v>
      </c>
    </row>
    <row r="1323" customFormat="false" ht="15" hidden="false" customHeight="false" outlineLevel="0" collapsed="false">
      <c r="A1323" s="0" t="s">
        <v>14</v>
      </c>
      <c r="B1323" s="0" t="s">
        <v>1925</v>
      </c>
      <c r="C1323" s="0" t="s">
        <v>5547</v>
      </c>
      <c r="D1323" s="0" t="n">
        <v>4000</v>
      </c>
    </row>
    <row r="1324" customFormat="false" ht="15" hidden="false" customHeight="false" outlineLevel="0" collapsed="false">
      <c r="A1324" s="0" t="s">
        <v>14</v>
      </c>
      <c r="B1324" s="0" t="s">
        <v>1925</v>
      </c>
      <c r="C1324" s="0" t="s">
        <v>5548</v>
      </c>
      <c r="D1324" s="0" t="n">
        <v>11000</v>
      </c>
    </row>
    <row r="1325" customFormat="false" ht="15" hidden="false" customHeight="false" outlineLevel="0" collapsed="false">
      <c r="A1325" s="0" t="s">
        <v>14</v>
      </c>
      <c r="B1325" s="0" t="s">
        <v>1929</v>
      </c>
      <c r="C1325" s="0" t="s">
        <v>5541</v>
      </c>
      <c r="D1325" s="0" t="n">
        <v>0.5</v>
      </c>
    </row>
    <row r="1326" customFormat="false" ht="15" hidden="false" customHeight="false" outlineLevel="0" collapsed="false">
      <c r="A1326" s="0" t="s">
        <v>14</v>
      </c>
      <c r="B1326" s="0" t="s">
        <v>1929</v>
      </c>
      <c r="C1326" s="0" t="s">
        <v>5547</v>
      </c>
      <c r="D1326" s="0" t="n">
        <v>0.3</v>
      </c>
    </row>
    <row r="1327" customFormat="false" ht="15" hidden="false" customHeight="false" outlineLevel="0" collapsed="false">
      <c r="A1327" s="0" t="s">
        <v>14</v>
      </c>
      <c r="B1327" s="0" t="s">
        <v>1929</v>
      </c>
      <c r="C1327" s="0" t="s">
        <v>5548</v>
      </c>
      <c r="D1327" s="0" t="n">
        <v>0.8</v>
      </c>
    </row>
    <row r="1328" customFormat="false" ht="15" hidden="false" customHeight="false" outlineLevel="0" collapsed="false">
      <c r="A1328" s="0" t="s">
        <v>14</v>
      </c>
      <c r="B1328" s="0" t="s">
        <v>1935</v>
      </c>
      <c r="C1328" s="0" t="s">
        <v>5541</v>
      </c>
      <c r="D1328" s="0" t="n">
        <v>1</v>
      </c>
    </row>
    <row r="1329" customFormat="false" ht="15" hidden="false" customHeight="false" outlineLevel="0" collapsed="false">
      <c r="A1329" s="0" t="s">
        <v>14</v>
      </c>
      <c r="B1329" s="0" t="s">
        <v>1935</v>
      </c>
      <c r="C1329" s="0" t="s">
        <v>5547</v>
      </c>
      <c r="D1329" s="0" t="n">
        <v>0.5</v>
      </c>
    </row>
    <row r="1330" customFormat="false" ht="15" hidden="false" customHeight="false" outlineLevel="0" collapsed="false">
      <c r="A1330" s="0" t="s">
        <v>14</v>
      </c>
      <c r="B1330" s="0" t="s">
        <v>1935</v>
      </c>
      <c r="C1330" s="0" t="s">
        <v>5548</v>
      </c>
      <c r="D1330" s="0" t="n">
        <v>1.5</v>
      </c>
    </row>
    <row r="1331" customFormat="false" ht="15" hidden="false" customHeight="false" outlineLevel="0" collapsed="false">
      <c r="A1331" s="0" t="s">
        <v>14</v>
      </c>
      <c r="B1331" s="0" t="s">
        <v>1938</v>
      </c>
      <c r="C1331" s="0" t="s">
        <v>5541</v>
      </c>
      <c r="D1331" s="0" t="n">
        <v>4</v>
      </c>
    </row>
    <row r="1332" customFormat="false" ht="15" hidden="false" customHeight="false" outlineLevel="0" collapsed="false">
      <c r="A1332" s="0" t="s">
        <v>14</v>
      </c>
      <c r="B1332" s="0" t="s">
        <v>1938</v>
      </c>
      <c r="C1332" s="0" t="s">
        <v>5547</v>
      </c>
      <c r="D1332" s="0" t="n">
        <v>4</v>
      </c>
    </row>
    <row r="1333" customFormat="false" ht="15" hidden="false" customHeight="false" outlineLevel="0" collapsed="false">
      <c r="A1333" s="0" t="s">
        <v>14</v>
      </c>
      <c r="B1333" s="0" t="s">
        <v>1938</v>
      </c>
      <c r="C1333" s="0" t="s">
        <v>5548</v>
      </c>
      <c r="D1333" s="0" t="n">
        <v>4</v>
      </c>
    </row>
    <row r="1334" customFormat="false" ht="15" hidden="false" customHeight="false" outlineLevel="0" collapsed="false">
      <c r="A1334" s="0" t="s">
        <v>14</v>
      </c>
      <c r="B1334" s="0" t="s">
        <v>1943</v>
      </c>
      <c r="C1334" s="0" t="s">
        <v>5541</v>
      </c>
      <c r="D1334" s="0" t="n">
        <f aca="false">SRC_OAI_005*INP_317</f>
        <v>26.8</v>
      </c>
    </row>
    <row r="1335" customFormat="false" ht="15" hidden="false" customHeight="false" outlineLevel="0" collapsed="false">
      <c r="A1335" s="0" t="s">
        <v>14</v>
      </c>
      <c r="B1335" s="0" t="s">
        <v>1943</v>
      </c>
      <c r="C1335" s="0" t="s">
        <v>5547</v>
      </c>
      <c r="D1335" s="0" t="n">
        <f aca="false">INP_318</f>
        <v>26.8</v>
      </c>
    </row>
    <row r="1336" customFormat="false" ht="15" hidden="false" customHeight="false" outlineLevel="0" collapsed="false">
      <c r="A1336" s="0" t="s">
        <v>14</v>
      </c>
      <c r="B1336" s="0" t="s">
        <v>1943</v>
      </c>
      <c r="C1336" s="0" t="s">
        <v>5548</v>
      </c>
      <c r="D1336" s="0" t="n">
        <f aca="false">INP_318</f>
        <v>26.8</v>
      </c>
    </row>
    <row r="1337" customFormat="false" ht="15" hidden="false" customHeight="false" outlineLevel="0" collapsed="false">
      <c r="A1337" s="0" t="s">
        <v>14</v>
      </c>
      <c r="B1337" s="0" t="s">
        <v>1946</v>
      </c>
      <c r="C1337" s="0" t="s">
        <v>5541</v>
      </c>
      <c r="D1337" s="0" t="n">
        <f aca="false">INP_318-INP_315</f>
        <v>26.3</v>
      </c>
    </row>
    <row r="1338" customFormat="false" ht="15" hidden="false" customHeight="false" outlineLevel="0" collapsed="false">
      <c r="A1338" s="0" t="s">
        <v>14</v>
      </c>
      <c r="B1338" s="0" t="s">
        <v>1946</v>
      </c>
      <c r="C1338" s="0" t="s">
        <v>5547</v>
      </c>
      <c r="D1338" s="0" t="n">
        <f aca="false">INP_318-Inputs!$G$307</f>
        <v>26</v>
      </c>
    </row>
    <row r="1339" customFormat="false" ht="15" hidden="false" customHeight="false" outlineLevel="0" collapsed="false">
      <c r="A1339" s="0" t="s">
        <v>14</v>
      </c>
      <c r="B1339" s="0" t="s">
        <v>1946</v>
      </c>
      <c r="C1339" s="0" t="s">
        <v>5548</v>
      </c>
      <c r="D1339" s="0" t="n">
        <f aca="false">INP_318-Inputs!$F$307</f>
        <v>26.5</v>
      </c>
    </row>
    <row r="1340" customFormat="false" ht="15" hidden="false" customHeight="false" outlineLevel="0" collapsed="false">
      <c r="A1340" s="0" t="s">
        <v>14</v>
      </c>
      <c r="B1340" s="0" t="s">
        <v>1949</v>
      </c>
      <c r="C1340" s="0" t="s">
        <v>5541</v>
      </c>
      <c r="D1340" s="0" t="n">
        <f aca="false">SRC_OAI_043-INP_316</f>
        <v>35</v>
      </c>
    </row>
    <row r="1341" customFormat="false" ht="15" hidden="false" customHeight="false" outlineLevel="0" collapsed="false">
      <c r="A1341" s="0" t="s">
        <v>14</v>
      </c>
      <c r="B1341" s="0" t="s">
        <v>1949</v>
      </c>
      <c r="C1341" s="0" t="s">
        <v>5547</v>
      </c>
      <c r="D1341" s="0" t="n">
        <f aca="false">SRC_OAI_043-Inputs!$G$308</f>
        <v>34.5</v>
      </c>
    </row>
    <row r="1342" customFormat="false" ht="15" hidden="false" customHeight="false" outlineLevel="0" collapsed="false">
      <c r="A1342" s="0" t="s">
        <v>14</v>
      </c>
      <c r="B1342" s="0" t="s">
        <v>1949</v>
      </c>
      <c r="C1342" s="0" t="s">
        <v>5548</v>
      </c>
      <c r="D1342" s="0" t="n">
        <f aca="false">SRC_OAI_043-Inputs!$F$308</f>
        <v>35.5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2026-10-29T06:06:16Z</dcterms:created>
  <dc:creator>openpyxl</dc:creator>
  <dc:description/>
  <dc:language>en-US</dc:language>
  <cp:lastModifiedBy/>
  <dcterms:modified xsi:type="dcterms:W3CDTF">2026-10-29T06:06:18Z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