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RC_OAI" sheetId="2" state="visible" r:id="rId4"/>
    <sheet name="TK_Link" sheetId="3" state="visible" r:id="rId5"/>
    <sheet name="Inputs" sheetId="4" state="visible" r:id="rId6"/>
    <sheet name="Derived_V9" sheetId="5" state="visible" r:id="rId7"/>
    <sheet name="Demand" sheetId="6" state="visible" r:id="rId8"/>
    <sheet name="Revenue" sheetId="7" state="visible" r:id="rId9"/>
    <sheet name="Checks" sheetId="8" state="visible" r:id="rId10"/>
    <sheet name="Map_v05" sheetId="9" state="visible" r:id="rId11"/>
    <sheet name="_Defaults" sheetId="10" state="hidden" r:id="rId12"/>
  </sheets>
  <definedNames>
    <definedName function="false" hidden="false" name="CHK_Errors" vbProcedure="false">Checks!$C$44</definedName>
    <definedName function="false" hidden="false" name="DEM_ApiBilledRatio2025" vbProcedure="false">Demand!$D$59</definedName>
    <definedName function="false" hidden="false" name="DEM_TkGap2025" vbProcedure="false">Demand!$D$56</definedName>
    <definedName function="false" hidden="false" name="DEM_TkRatio2025" vbProcedure="false">Demand!$D$57</definedName>
    <definedName function="false" hidden="false" name="DEM_Tok_API" vbProcedure="false">Demand!$D$38:$I$38</definedName>
    <definedName function="false" hidden="false" name="DEM_Tok_API_Low" vbProcedure="false">Demand!$D$41:$I$41</definedName>
    <definedName function="false" hidden="false" name="DEM_Tok_API_Mid" vbProcedure="false">Demand!$D$40:$I$40</definedName>
    <definedName function="false" hidden="false" name="DEM_Tok_API_Top" vbProcedure="false">Demand!$D$39:$I$39</definedName>
    <definedName function="false" hidden="false" name="DEM_Tok_Free" vbProcedure="false">Demand!$D$49:$I$49</definedName>
    <definedName function="false" hidden="false" name="DEM_Tok_Free_Low" vbProcedure="false">Demand!$D$45:$I$45</definedName>
    <definedName function="false" hidden="false" name="DEM_Tok_Free_Mid" vbProcedure="false">Demand!$D$44:$I$44</definedName>
    <definedName function="false" hidden="false" name="DEM_Tok_Free_Top" vbProcedure="false">Demand!$D$43:$I$43</definedName>
    <definedName function="false" hidden="false" name="DEM_Tok_Paid" vbProcedure="false">Demand!$D$50:$I$50</definedName>
    <definedName function="false" hidden="false" name="DEM_Tok_Paid_Low" vbProcedure="false">Demand!$D$48:$I$48</definedName>
    <definedName function="false" hidden="false" name="DEM_Tok_Paid_Mid" vbProcedure="false">Demand!$D$47:$I$47</definedName>
    <definedName function="false" hidden="false" name="DEM_Tok_Paid_Top" vbProcedure="false">Demand!$D$46:$I$46</definedName>
    <definedName function="false" hidden="false" name="DEM_Tok_Plan_Free" vbProcedure="false">Demand!$D$28:$I$28</definedName>
    <definedName function="false" hidden="false" name="DEM_Tok_Plan_Go" vbProcedure="false">Demand!$D$29:$I$29</definedName>
    <definedName function="false" hidden="false" name="DEM_Tok_Plan_Plus" vbProcedure="false">Demand!$D$30:$I$30</definedName>
    <definedName function="false" hidden="false" name="DEM_Tok_Plan_Pro" vbProcedure="false">Demand!$D$31:$I$31</definedName>
    <definedName function="false" hidden="false" name="DEM_Tok_Plan_Seats" vbProcedure="false">Demand!$D$32:$I$32</definedName>
    <definedName function="false" hidden="false" name="DEM_Tok_Total" vbProcedure="false">Demand!$D$51:$I$51</definedName>
    <definedName function="false" hidden="false" name="DEM_Users_Free" vbProcedure="false">Demand!$D$10:$I$10</definedName>
    <definedName function="false" hidden="false" name="DEM_Users_Go" vbProcedure="false">Demand!$D$11:$I$11</definedName>
    <definedName function="false" hidden="false" name="DEM_Users_Paid" vbProcedure="false">Demand!$D$15:$I$15</definedName>
    <definedName function="false" hidden="false" name="DEM_Users_Plus" vbProcedure="false">Demand!$D$12:$I$12</definedName>
    <definedName function="false" hidden="false" name="DEM_Users_Pro" vbProcedure="false">Demand!$D$13:$I$13</definedName>
    <definedName function="false" hidden="false" name="DEM_Users_Seats" vbProcedure="false">Demand!$D$14:$I$14</definedName>
    <definedName function="false" hidden="false" name="INP_001" vbProcedure="false">Inputs!$E$5</definedName>
    <definedName function="false" hidden="false" name="INP_002" vbProcedure="false">Inputs!$E$6</definedName>
    <definedName function="false" hidden="false" name="INP_003" vbProcedure="false">Inputs!$E$7</definedName>
    <definedName function="false" hidden="false" name="INP_004" vbProcedure="false">Inputs!$E$8</definedName>
    <definedName function="false" hidden="false" name="INP_005" vbProcedure="false">Inputs!$E$9</definedName>
    <definedName function="false" hidden="false" name="INP_006" vbProcedure="false">Inputs!$E$10</definedName>
    <definedName function="false" hidden="false" name="INP_007" vbProcedure="false">Inputs!$E$11</definedName>
    <definedName function="false" hidden="false" name="INP_008" vbProcedure="false">Inputs!$E$12</definedName>
    <definedName function="false" hidden="false" name="INP_009" vbProcedure="false">Inputs!$E$13</definedName>
    <definedName function="false" hidden="false" name="INP_010" vbProcedure="false">Inputs!$E$14</definedName>
    <definedName function="false" hidden="false" name="INP_011" vbProcedure="false">Inputs!$E$15</definedName>
    <definedName function="false" hidden="false" name="INP_012" vbProcedure="false">Inputs!$E$16</definedName>
    <definedName function="false" hidden="false" name="INP_013" vbProcedure="false">Inputs!$E$17</definedName>
    <definedName function="false" hidden="false" name="INP_014" vbProcedure="false">Inputs!$E$18</definedName>
    <definedName function="false" hidden="false" name="INP_015" vbProcedure="false">Inputs!$E$19</definedName>
    <definedName function="false" hidden="false" name="INP_016" vbProcedure="false">Inputs!$E$20</definedName>
    <definedName function="false" hidden="false" name="INP_017" vbProcedure="false">Inputs!$E$21</definedName>
    <definedName function="false" hidden="false" name="INP_018" vbProcedure="false">Inputs!$E$22</definedName>
    <definedName function="false" hidden="false" name="INP_019" vbProcedure="false">Inputs!$E$23</definedName>
    <definedName function="false" hidden="false" name="INP_020" vbProcedure="false">Inputs!$E$24</definedName>
    <definedName function="false" hidden="false" name="INP_021" vbProcedure="false">Inputs!$E$25</definedName>
    <definedName function="false" hidden="false" name="INP_022" vbProcedure="false">Inputs!$E$26</definedName>
    <definedName function="false" hidden="false" name="INP_023" vbProcedure="false">Inputs!$E$27</definedName>
    <definedName function="false" hidden="false" name="INP_024" vbProcedure="false">Inputs!$E$28</definedName>
    <definedName function="false" hidden="false" name="INP_025" vbProcedure="false">Inputs!$E$29</definedName>
    <definedName function="false" hidden="false" name="INP_026" vbProcedure="false">Inputs!$E$30</definedName>
    <definedName function="false" hidden="false" name="INP_027" vbProcedure="false">Inputs!$E$31</definedName>
    <definedName function="false" hidden="false" name="INP_028" vbProcedure="false">Inputs!$E$32</definedName>
    <definedName function="false" hidden="false" name="INP_029" vbProcedure="false">Inputs!$E$33</definedName>
    <definedName function="false" hidden="false" name="INP_030" vbProcedure="false">Inputs!$E$34</definedName>
    <definedName function="false" hidden="false" name="INP_031" vbProcedure="false">Inputs!$E$35</definedName>
    <definedName function="false" hidden="false" name="INP_032" vbProcedure="false">Inputs!$E$36</definedName>
    <definedName function="false" hidden="false" name="INP_033" vbProcedure="false">Inputs!$E$37</definedName>
    <definedName function="false" hidden="false" name="INP_034" vbProcedure="false">Inputs!$E$38</definedName>
    <definedName function="false" hidden="false" name="INP_035" vbProcedure="false">Inputs!$E$39</definedName>
    <definedName function="false" hidden="false" name="INP_036" vbProcedure="false">Inputs!$E$40</definedName>
    <definedName function="false" hidden="false" name="INP_037" vbProcedure="false">Inputs!$E$41</definedName>
    <definedName function="false" hidden="false" name="INP_038" vbProcedure="false">Inputs!$E$42</definedName>
    <definedName function="false" hidden="false" name="INP_039" vbProcedure="false">Inputs!$E$43</definedName>
    <definedName function="false" hidden="false" name="INP_040" vbProcedure="false">Inputs!$E$44</definedName>
    <definedName function="false" hidden="false" name="INP_041" vbProcedure="false">Inputs!$E$45</definedName>
    <definedName function="false" hidden="false" name="INP_042" vbProcedure="false">Inputs!$E$46</definedName>
    <definedName function="false" hidden="false" name="INP_043" vbProcedure="false">Inputs!$E$47</definedName>
    <definedName function="false" hidden="false" name="INP_044" vbProcedure="false">Inputs!$E$48</definedName>
    <definedName function="false" hidden="false" name="INP_045" vbProcedure="false">Inputs!$E$49</definedName>
    <definedName function="false" hidden="false" name="INP_046" vbProcedure="false">Inputs!$E$50</definedName>
    <definedName function="false" hidden="false" name="INP_047" vbProcedure="false">Inputs!$E$51</definedName>
    <definedName function="false" hidden="false" name="INP_048" vbProcedure="false">Inputs!$E$52</definedName>
    <definedName function="false" hidden="false" name="INP_049" vbProcedure="false">Inputs!$E$53</definedName>
    <definedName function="false" hidden="false" name="INP_050" vbProcedure="false">Inputs!$E$54</definedName>
    <definedName function="false" hidden="false" name="INP_051" vbProcedure="false">Inputs!$E$55</definedName>
    <definedName function="false" hidden="false" name="INP_052" vbProcedure="false">Inputs!$E$56</definedName>
    <definedName function="false" hidden="false" name="INP_053" vbProcedure="false">Inputs!$E$57</definedName>
    <definedName function="false" hidden="false" name="INP_054" vbProcedure="false">Inputs!$E$58</definedName>
    <definedName function="false" hidden="false" name="INP_055" vbProcedure="false">Inputs!$E$59</definedName>
    <definedName function="false" hidden="false" name="INP_056" vbProcedure="false">Inputs!$E$60</definedName>
    <definedName function="false" hidden="false" name="INP_058" vbProcedure="false">Inputs!$E$61</definedName>
    <definedName function="false" hidden="false" name="INP_059" vbProcedure="false">Inputs!$E$62</definedName>
    <definedName function="false" hidden="false" name="INP_060" vbProcedure="false">Inputs!$E$63</definedName>
    <definedName function="false" hidden="false" name="INP_061" vbProcedure="false">Inputs!$E$64</definedName>
    <definedName function="false" hidden="false" name="INP_062" vbProcedure="false">Inputs!$E$65</definedName>
    <definedName function="false" hidden="false" name="INP_063" vbProcedure="false">Inputs!$E$66</definedName>
    <definedName function="false" hidden="false" name="INP_064" vbProcedure="false">Inputs!$E$67</definedName>
    <definedName function="false" hidden="false" name="INP_065" vbProcedure="false">Inputs!$E$68</definedName>
    <definedName function="false" hidden="false" name="INP_066" vbProcedure="false">Inputs!$E$69</definedName>
    <definedName function="false" hidden="false" name="INP_067" vbProcedure="false">Inputs!$E$70</definedName>
    <definedName function="false" hidden="false" name="INP_068" vbProcedure="false">Inputs!$E$71</definedName>
    <definedName function="false" hidden="false" name="INP_069" vbProcedure="false">Inputs!$E$72</definedName>
    <definedName function="false" hidden="false" name="INP_070" vbProcedure="false">Inputs!$E$73</definedName>
    <definedName function="false" hidden="false" name="INP_071" vbProcedure="false">Inputs!$E$74</definedName>
    <definedName function="false" hidden="false" name="INP_073" vbProcedure="false">Inputs!$E$75</definedName>
    <definedName function="false" hidden="false" name="INP_074" vbProcedure="false">Inputs!$E$76</definedName>
    <definedName function="false" hidden="false" name="INP_075" vbProcedure="false">Inputs!$E$77</definedName>
    <definedName function="false" hidden="false" name="INP_076" vbProcedure="false">Inputs!$E$78</definedName>
    <definedName function="false" hidden="false" name="INP_077" vbProcedure="false">Inputs!$E$79</definedName>
    <definedName function="false" hidden="false" name="INP_078" vbProcedure="false">Inputs!$E$80</definedName>
    <definedName function="false" hidden="false" name="INP_079" vbProcedure="false">Inputs!$E$81</definedName>
    <definedName function="false" hidden="false" name="INP_088" vbProcedure="false">Inputs!$E$82</definedName>
    <definedName function="false" hidden="false" name="INP_089" vbProcedure="false">Inputs!$E$83</definedName>
    <definedName function="false" hidden="false" name="INP_090" vbProcedure="false">Inputs!$E$84</definedName>
    <definedName function="false" hidden="false" name="INP_091" vbProcedure="false">Inputs!$E$85</definedName>
    <definedName function="false" hidden="false" name="INP_092" vbProcedure="false">Inputs!$E$86</definedName>
    <definedName function="false" hidden="false" name="INP_093" vbProcedure="false">Inputs!$E$87</definedName>
    <definedName function="false" hidden="false" name="INP_094" vbProcedure="false">Inputs!$E$88</definedName>
    <definedName function="false" hidden="false" name="INP_095" vbProcedure="false">Inputs!$E$89</definedName>
    <definedName function="false" hidden="false" name="INP_096" vbProcedure="false">Inputs!$E$90</definedName>
    <definedName function="false" hidden="false" name="INP_097" vbProcedure="false">Inputs!$E$91</definedName>
    <definedName function="false" hidden="false" name="INP_098" vbProcedure="false">Inputs!$E$92</definedName>
    <definedName function="false" hidden="false" name="INP_099" vbProcedure="false">Inputs!$E$93</definedName>
    <definedName function="false" hidden="false" name="INP_100" vbProcedure="false">Inputs!$E$94</definedName>
    <definedName function="false" hidden="false" name="INP_101" vbProcedure="false">Inputs!$E$95</definedName>
    <definedName function="false" hidden="false" name="INP_102" vbProcedure="false">Inputs!$E$96</definedName>
    <definedName function="false" hidden="false" name="INP_103" vbProcedure="false">Inputs!$E$97</definedName>
    <definedName function="false" hidden="false" name="INP_104" vbProcedure="false">Inputs!$E$98</definedName>
    <definedName function="false" hidden="false" name="INP_105" vbProcedure="false">Inputs!$E$99</definedName>
    <definedName function="false" hidden="false" name="INP_106" vbProcedure="false">Inputs!$E$100</definedName>
    <definedName function="false" hidden="false" name="INP_107" vbProcedure="false">Inputs!$E$101</definedName>
    <definedName function="false" hidden="false" name="INP_108" vbProcedure="false">Inputs!$E$102</definedName>
    <definedName function="false" hidden="false" name="INP_109" vbProcedure="false">Inputs!$E$103</definedName>
    <definedName function="false" hidden="false" name="INP_110" vbProcedure="false">Inputs!$E$104</definedName>
    <definedName function="false" hidden="false" name="INP_111" vbProcedure="false">Inputs!$E$105</definedName>
    <definedName function="false" hidden="false" name="INP_112" vbProcedure="false">Inputs!$E$106</definedName>
    <definedName function="false" hidden="false" name="INP_113" vbProcedure="false">Inputs!$E$107</definedName>
    <definedName function="false" hidden="false" name="INP_114" vbProcedure="false">Inputs!$E$108</definedName>
    <definedName function="false" hidden="false" name="INP_115" vbProcedure="false">Inputs!$E$109</definedName>
    <definedName function="false" hidden="false" name="INP_116" vbProcedure="false">Inputs!$E$110</definedName>
    <definedName function="false" hidden="false" name="INP_117" vbProcedure="false">Inputs!$E$111</definedName>
    <definedName function="false" hidden="false" name="INP_118" vbProcedure="false">Inputs!$E$112</definedName>
    <definedName function="false" hidden="false" name="INP_119" vbProcedure="false">Inputs!$E$113</definedName>
    <definedName function="false" hidden="false" name="INP_120" vbProcedure="false">Inputs!$E$114</definedName>
    <definedName function="false" hidden="false" name="INP_121" vbProcedure="false">Inputs!$E$115</definedName>
    <definedName function="false" hidden="false" name="INP_122" vbProcedure="false">Inputs!$E$116</definedName>
    <definedName function="false" hidden="false" name="INP_123" vbProcedure="false">Inputs!$E$117</definedName>
    <definedName function="false" hidden="false" name="INP_124" vbProcedure="false">Inputs!$E$118</definedName>
    <definedName function="false" hidden="false" name="INP_125" vbProcedure="false">Inputs!$E$119</definedName>
    <definedName function="false" hidden="false" name="INP_126" vbProcedure="false">Inputs!$E$120</definedName>
    <definedName function="false" hidden="false" name="INP_127" vbProcedure="false">Inputs!$E$121</definedName>
    <definedName function="false" hidden="false" name="INP_128" vbProcedure="false">Inputs!$E$122</definedName>
    <definedName function="false" hidden="false" name="INP_129" vbProcedure="false">Inputs!$E$123</definedName>
    <definedName function="false" hidden="false" name="INP_130" vbProcedure="false">Inputs!$E$124</definedName>
    <definedName function="false" hidden="false" name="INP_131" vbProcedure="false">Inputs!$E$125</definedName>
    <definedName function="false" hidden="false" name="INP_132" vbProcedure="false">Inputs!$E$126</definedName>
    <definedName function="false" hidden="false" name="INP_133" vbProcedure="false">Inputs!$E$127</definedName>
    <definedName function="false" hidden="false" name="INP_134" vbProcedure="false">Inputs!$E$128</definedName>
    <definedName function="false" hidden="false" name="INP_135" vbProcedure="false">Inputs!$E$129</definedName>
    <definedName function="false" hidden="false" name="INP_136" vbProcedure="false">Inputs!$E$130</definedName>
    <definedName function="false" hidden="false" name="INP_137" vbProcedure="false">Inputs!$E$131</definedName>
    <definedName function="false" hidden="false" name="INP_138" vbProcedure="false">Inputs!$E$132</definedName>
    <definedName function="false" hidden="false" name="INP_139" vbProcedure="false">Inputs!$E$133</definedName>
    <definedName function="false" hidden="false" name="INP_140" vbProcedure="false">Inputs!$E$134</definedName>
    <definedName function="false" hidden="false" name="INP_141" vbProcedure="false">Inputs!$E$135</definedName>
    <definedName function="false" hidden="false" name="INP_142" vbProcedure="false">Inputs!$E$136</definedName>
    <definedName function="false" hidden="false" name="INP_143" vbProcedure="false">Inputs!$E$137</definedName>
    <definedName function="false" hidden="false" name="INP_144" vbProcedure="false">Inputs!$E$138</definedName>
    <definedName function="false" hidden="false" name="INP_145" vbProcedure="false">Inputs!$E$139</definedName>
    <definedName function="false" hidden="false" name="INP_146" vbProcedure="false">Inputs!$E$140</definedName>
    <definedName function="false" hidden="false" name="INP_147" vbProcedure="false">Inputs!$E$141</definedName>
    <definedName function="false" hidden="false" name="INP_148" vbProcedure="false">Inputs!$E$142</definedName>
    <definedName function="false" hidden="false" name="INP_149" vbProcedure="false">Inputs!$E$143</definedName>
    <definedName function="false" hidden="false" name="INP_150" vbProcedure="false">Inputs!$E$144</definedName>
    <definedName function="false" hidden="false" name="INP_151" vbProcedure="false">Inputs!$E$145</definedName>
    <definedName function="false" hidden="false" name="INP_152" vbProcedure="false">Inputs!$E$146</definedName>
    <definedName function="false" hidden="false" name="INP_153" vbProcedure="false">Inputs!$E$147</definedName>
    <definedName function="false" hidden="false" name="INP_154" vbProcedure="false">Inputs!$E$148</definedName>
    <definedName function="false" hidden="false" name="INP_155" vbProcedure="false">Inputs!$E$149</definedName>
    <definedName function="false" hidden="false" name="INP_156" vbProcedure="false">Inputs!$E$150</definedName>
    <definedName function="false" hidden="false" name="INP_157" vbProcedure="false">Inputs!$E$151</definedName>
    <definedName function="false" hidden="false" name="INP_158" vbProcedure="false">Inputs!$E$152</definedName>
    <definedName function="false" hidden="false" name="INP_159" vbProcedure="false">Inputs!$E$153</definedName>
    <definedName function="false" hidden="false" name="INP_160" vbProcedure="false">Inputs!$E$154</definedName>
    <definedName function="false" hidden="false" name="INP_161" vbProcedure="false">Inputs!$E$155</definedName>
    <definedName function="false" hidden="false" name="INP_162" vbProcedure="false">Inputs!$E$156</definedName>
    <definedName function="false" hidden="false" name="INP_163" vbProcedure="false">Inputs!$E$157</definedName>
    <definedName function="false" hidden="false" name="INP_164" vbProcedure="false">Inputs!$E$158</definedName>
    <definedName function="false" hidden="false" name="INP_165" vbProcedure="false">Inputs!$E$159</definedName>
    <definedName function="false" hidden="false" name="INP_166" vbProcedure="false">Inputs!$E$160</definedName>
    <definedName function="false" hidden="false" name="INP_167" vbProcedure="false">Inputs!$E$161</definedName>
    <definedName function="false" hidden="false" name="INP_168" vbProcedure="false">Inputs!$E$162</definedName>
    <definedName function="false" hidden="false" name="INP_169" vbProcedure="false">Inputs!$E$163</definedName>
    <definedName function="false" hidden="false" name="INP_170" vbProcedure="false">Inputs!$E$164</definedName>
    <definedName function="false" hidden="false" name="INP_171" vbProcedure="false">Inputs!$E$165</definedName>
    <definedName function="false" hidden="false" name="INP_172" vbProcedure="false">Inputs!$E$166</definedName>
    <definedName function="false" hidden="false" name="INP_173" vbProcedure="false">Inputs!$E$167</definedName>
    <definedName function="false" hidden="false" name="INP_174" vbProcedure="false">Inputs!$E$168</definedName>
    <definedName function="false" hidden="false" name="INP_175" vbProcedure="false">Inputs!$E$169</definedName>
    <definedName function="false" hidden="false" name="INP_176" vbProcedure="false">Inputs!$E$170</definedName>
    <definedName function="false" hidden="false" name="INP_177" vbProcedure="false">Inputs!$E$171</definedName>
    <definedName function="false" hidden="false" name="INP_178" vbProcedure="false">Inputs!$E$172</definedName>
    <definedName function="false" hidden="false" name="INP_179" vbProcedure="false">Inputs!$E$173</definedName>
    <definedName function="false" hidden="false" name="INP_180" vbProcedure="false">Inputs!$E$174</definedName>
    <definedName function="false" hidden="false" name="INP_181" vbProcedure="false">Inputs!$E$175</definedName>
    <definedName function="false" hidden="false" name="INP_182" vbProcedure="false">Inputs!$E$176</definedName>
    <definedName function="false" hidden="false" name="INP_183" vbProcedure="false">Inputs!$E$177</definedName>
    <definedName function="false" hidden="false" name="INP_184" vbProcedure="false">Inputs!$E$178</definedName>
    <definedName function="false" hidden="false" name="INP_185" vbProcedure="false">Inputs!$E$179</definedName>
    <definedName function="false" hidden="false" name="INP_186" vbProcedure="false">Inputs!$E$180</definedName>
    <definedName function="false" hidden="false" name="INP_187" vbProcedure="false">Inputs!$E$181</definedName>
    <definedName function="false" hidden="false" name="INP_188" vbProcedure="false">Inputs!$E$182</definedName>
    <definedName function="false" hidden="false" name="INP_189" vbProcedure="false">Inputs!$E$183</definedName>
    <definedName function="false" hidden="false" name="INP_190" vbProcedure="false">Inputs!$E$184</definedName>
    <definedName function="false" hidden="false" name="INP_191" vbProcedure="false">Inputs!$E$185</definedName>
    <definedName function="false" hidden="false" name="INP_192" vbProcedure="false">Inputs!$E$186</definedName>
    <definedName function="false" hidden="false" name="INP_193" vbProcedure="false">Inputs!$E$187</definedName>
    <definedName function="false" hidden="false" name="INP_194" vbProcedure="false">Inputs!$E$188</definedName>
    <definedName function="false" hidden="false" name="INP_196" vbProcedure="false">Inputs!$E$189</definedName>
    <definedName function="false" hidden="false" name="INP_197" vbProcedure="false">Inputs!$E$190</definedName>
    <definedName function="false" hidden="false" name="INP_198" vbProcedure="false">Inputs!$E$191</definedName>
    <definedName function="false" hidden="false" name="INP_199" vbProcedure="false">Inputs!$E$192</definedName>
    <definedName function="false" hidden="false" name="INP_200" vbProcedure="false">Inputs!$E$193</definedName>
    <definedName function="false" hidden="false" name="INP_201" vbProcedure="false">Inputs!$E$194</definedName>
    <definedName function="false" hidden="false" name="INP_202" vbProcedure="false">Inputs!$E$195</definedName>
    <definedName function="false" hidden="false" name="INP_203" vbProcedure="false">Inputs!$E$196</definedName>
    <definedName function="false" hidden="false" name="INP_204" vbProcedure="false">Inputs!$E$197</definedName>
    <definedName function="false" hidden="false" name="INP_205" vbProcedure="false">Inputs!$E$198</definedName>
    <definedName function="false" hidden="false" name="INP_206" vbProcedure="false">Inputs!$E$199</definedName>
    <definedName function="false" hidden="false" name="INP_207" vbProcedure="false">Inputs!$E$200</definedName>
    <definedName function="false" hidden="false" name="INP_208" vbProcedure="false">Inputs!$E$201</definedName>
    <definedName function="false" hidden="false" name="INP_209" vbProcedure="false">Inputs!$E$202</definedName>
    <definedName function="false" hidden="false" name="INP_210" vbProcedure="false">Inputs!$E$203</definedName>
    <definedName function="false" hidden="false" name="INP_211" vbProcedure="false">Inputs!$E$204</definedName>
    <definedName function="false" hidden="false" name="INP_212" vbProcedure="false">Inputs!$E$205</definedName>
    <definedName function="false" hidden="false" name="INP_213" vbProcedure="false">Inputs!$E$206</definedName>
    <definedName function="false" hidden="false" name="INP_214" vbProcedure="false">Inputs!$E$207</definedName>
    <definedName function="false" hidden="false" name="INP_215" vbProcedure="false">Inputs!$E$208</definedName>
    <definedName function="false" hidden="false" name="INP_216" vbProcedure="false">Inputs!$E$209</definedName>
    <definedName function="false" hidden="false" name="INP_217" vbProcedure="false">Inputs!$E$210</definedName>
    <definedName function="false" hidden="false" name="INP_218" vbProcedure="false">Inputs!$E$211</definedName>
    <definedName function="false" hidden="false" name="INP_219" vbProcedure="false">Inputs!$E$212</definedName>
    <definedName function="false" hidden="false" name="INP_220" vbProcedure="false">Inputs!$E$213</definedName>
    <definedName function="false" hidden="false" name="INP_221" vbProcedure="false">Inputs!$E$214</definedName>
    <definedName function="false" hidden="false" name="INP_222" vbProcedure="false">Inputs!$E$215</definedName>
    <definedName function="false" hidden="false" name="INP_223" vbProcedure="false">Inputs!$E$216</definedName>
    <definedName function="false" hidden="false" name="INP_224" vbProcedure="false">Inputs!$E$217</definedName>
    <definedName function="false" hidden="false" name="INP_225" vbProcedure="false">Inputs!$E$218</definedName>
    <definedName function="false" hidden="false" name="INP_226" vbProcedure="false">Inputs!$E$219</definedName>
    <definedName function="false" hidden="false" name="INP_227" vbProcedure="false">Inputs!$E$220</definedName>
    <definedName function="false" hidden="false" name="INP_228" vbProcedure="false">Inputs!$E$221</definedName>
    <definedName function="false" hidden="false" name="INP_229" vbProcedure="false">Inputs!$E$222</definedName>
    <definedName function="false" hidden="false" name="INP_230" vbProcedure="false">Inputs!$E$223</definedName>
    <definedName function="false" hidden="false" name="INP_232" vbProcedure="false">Inputs!$E$224</definedName>
    <definedName function="false" hidden="false" name="INP_233" vbProcedure="false">Inputs!$E$225</definedName>
    <definedName function="false" hidden="false" name="INP_234" vbProcedure="false">Inputs!$E$226</definedName>
    <definedName function="false" hidden="false" name="INP_235" vbProcedure="false">Inputs!$E$227</definedName>
    <definedName function="false" hidden="false" name="INP_236" vbProcedure="false">Inputs!$E$228</definedName>
    <definedName function="false" hidden="false" name="INP_237" vbProcedure="false">Inputs!$E$229</definedName>
    <definedName function="false" hidden="false" name="INP_238" vbProcedure="false">Inputs!$E$230</definedName>
    <definedName function="false" hidden="false" name="INP_239" vbProcedure="false">Inputs!$E$231</definedName>
    <definedName function="false" hidden="false" name="INP_240" vbProcedure="false">Inputs!$E$232</definedName>
    <definedName function="false" hidden="false" name="INP_241" vbProcedure="false">Inputs!$E$233</definedName>
    <definedName function="false" hidden="false" name="INP_242" vbProcedure="false">Inputs!$E$234</definedName>
    <definedName function="false" hidden="false" name="INP_243" vbProcedure="false">Inputs!$E$235</definedName>
    <definedName function="false" hidden="false" name="INP_244" vbProcedure="false">Inputs!$E$236</definedName>
    <definedName function="false" hidden="false" name="INP_245" vbProcedure="false">Inputs!$E$237</definedName>
    <definedName function="false" hidden="false" name="INP_246" vbProcedure="false">Inputs!$E$238</definedName>
    <definedName function="false" hidden="false" name="INP_247" vbProcedure="false">Inputs!$E$239</definedName>
    <definedName function="false" hidden="false" name="INP_248" vbProcedure="false">Inputs!$E$240</definedName>
    <definedName function="false" hidden="false" name="INP_249" vbProcedure="false">Inputs!$E$241</definedName>
    <definedName function="false" hidden="false" name="INP_250" vbProcedure="false">Inputs!$E$242</definedName>
    <definedName function="false" hidden="false" name="INP_251" vbProcedure="false">Inputs!$E$243</definedName>
    <definedName function="false" hidden="false" name="INP_252" vbProcedure="false">Inputs!$E$244</definedName>
    <definedName function="false" hidden="false" name="INP_253" vbProcedure="false">Inputs!$E$245</definedName>
    <definedName function="false" hidden="false" name="INP_254" vbProcedure="false">Inputs!$E$246</definedName>
    <definedName function="false" hidden="false" name="INP_255" vbProcedure="false">Inputs!$E$247</definedName>
    <definedName function="false" hidden="false" name="REV_Ads" vbProcedure="false">Revenue!$D$30:$I$30</definedName>
    <definedName function="false" hidden="false" name="REV_API" vbProcedure="false">Revenue!$D$34:$I$34</definedName>
    <definedName function="false" hidden="false" name="REV_ApiPrice" vbProcedure="false">Revenue!$D$21:$I$21</definedName>
    <definedName function="false" hidden="false" name="REV_API_Low" vbProcedure="false">Revenue!$D$37:$I$37</definedName>
    <definedName function="false" hidden="false" name="REV_API_Mid" vbProcedure="false">Revenue!$D$36:$I$36</definedName>
    <definedName function="false" hidden="false" name="REV_API_Top" vbProcedure="false">Revenue!$D$35:$I$35</definedName>
    <definedName function="false" hidden="false" name="REV_Gap2025" vbProcedure="false">Revenue!$D$49</definedName>
    <definedName function="false" hidden="false" name="REV_GapUncal2025" vbProcedure="false">Revenue!$D$51</definedName>
    <definedName function="false" hidden="false" name="REV_Gross" vbProcedure="false">Revenue!$D$38:$I$38</definedName>
    <definedName function="false" hidden="false" name="REV_Indep2026" vbProcedure="false">Revenue!$E$53</definedName>
    <definedName function="false" hidden="false" name="REV_ListPrice_Low_In" vbProcedure="false">Revenue!$D$12:$I$12</definedName>
    <definedName function="false" hidden="false" name="REV_ListPrice_Low_Out" vbProcedure="false">Revenue!$D$13:$I$13</definedName>
    <definedName function="false" hidden="false" name="REV_ListPrice_Mid_In" vbProcedure="false">Revenue!$D$10:$I$10</definedName>
    <definedName function="false" hidden="false" name="REV_ListPrice_Mid_Out" vbProcedure="false">Revenue!$D$11:$I$11</definedName>
    <definedName function="false" hidden="false" name="REV_ListPrice_Top_In" vbProcedure="false">Revenue!$D$8:$I$8</definedName>
    <definedName function="false" hidden="false" name="REV_ListPrice_Top_Out" vbProcedure="false">Revenue!$D$9:$I$9</definedName>
    <definedName function="false" hidden="false" name="REV_LP2026_Low_In_Hi" vbProcedure="false">Revenue!$H$69</definedName>
    <definedName function="false" hidden="false" name="REV_LP2026_Low_In_Lo" vbProcedure="false">Revenue!$G$69</definedName>
    <definedName function="false" hidden="false" name="REV_LP2026_Low_Out_Hi" vbProcedure="false">Revenue!$H$70</definedName>
    <definedName function="false" hidden="false" name="REV_LP2026_Low_Out_Lo" vbProcedure="false">Revenue!$G$70</definedName>
    <definedName function="false" hidden="false" name="REV_LP2026_Mid_In_Hi" vbProcedure="false">Revenue!$H$67</definedName>
    <definedName function="false" hidden="false" name="REV_LP2026_Mid_In_Lo" vbProcedure="false">Revenue!$G$67</definedName>
    <definedName function="false" hidden="false" name="REV_LP2026_Mid_Out_Hi" vbProcedure="false">Revenue!$H$68</definedName>
    <definedName function="false" hidden="false" name="REV_LP2026_Mid_Out_Lo" vbProcedure="false">Revenue!$G$68</definedName>
    <definedName function="false" hidden="false" name="REV_LP2026_Top_In_Hi" vbProcedure="false">Revenue!$H$65</definedName>
    <definedName function="false" hidden="false" name="REV_LP2026_Top_In_Lo" vbProcedure="false">Revenue!$G$65</definedName>
    <definedName function="false" hidden="false" name="REV_LP2026_Top_Out_Hi" vbProcedure="false">Revenue!$H$66</definedName>
    <definedName function="false" hidden="false" name="REV_LP2026_Top_Out_Lo" vbProcedure="false">Revenue!$G$66</definedName>
    <definedName function="false" hidden="false" name="REV_MSCum" vbProcedure="false">Revenue!$D$40:$I$40</definedName>
    <definedName function="false" hidden="false" name="REV_MSShare" vbProcedure="false">Revenue!$D$39:$I$39</definedName>
    <definedName function="false" hidden="false" name="REV_Net" vbProcedure="false">Revenue!$D$41:$I$41</definedName>
    <definedName function="false" hidden="false" name="REV_Other" vbProcedure="false">Revenue!$D$31:$I$31</definedName>
    <definedName function="false" hidden="false" name="REV_Sub" vbProcedure="false">Revenue!$D$27:$I$27</definedName>
    <definedName function="false" hidden="false" name="REV_Sub_Go" vbProcedure="false">Revenue!$D$23:$I$23</definedName>
    <definedName function="false" hidden="false" name="REV_Sub_Plus" vbProcedure="false">Revenue!$D$24:$I$24</definedName>
    <definedName function="false" hidden="false" name="REV_Sub_Pro" vbProcedure="false">Revenue!$D$25:$I$25</definedName>
    <definedName function="false" hidden="false" name="REV_Sub_Seats" vbProcedure="false">Revenue!$D$26:$I$26</definedName>
    <definedName function="false" hidden="false" name="SRC_OAI_001" vbProcedure="false">SRC_OAI!$C$5</definedName>
    <definedName function="false" hidden="false" name="SRC_OAI_002" vbProcedure="false">SRC_OAI!$C$6</definedName>
    <definedName function="false" hidden="false" name="SRC_OAI_003" vbProcedure="false">SRC_OAI!$C$7</definedName>
    <definedName function="false" hidden="false" name="SRC_OAI_004" vbProcedure="false">SRC_OAI!$C$8</definedName>
    <definedName function="false" hidden="false" name="SRC_OAI_005" vbProcedure="false">SRC_OAI!$C$9</definedName>
    <definedName function="false" hidden="false" name="SRC_OAI_006" vbProcedure="false">SRC_OAI!$C$10</definedName>
    <definedName function="false" hidden="false" name="SRC_OAI_007" vbProcedure="false">SRC_OAI!$C$11</definedName>
    <definedName function="false" hidden="false" name="SRC_OAI_008" vbProcedure="false">SRC_OAI!$C$12</definedName>
    <definedName function="false" hidden="false" name="SRC_OAI_009" vbProcedure="false">SRC_OAI!$C$13</definedName>
    <definedName function="false" hidden="false" name="SRC_OAI_010" vbProcedure="false">SRC_OAI!$C$14</definedName>
    <definedName function="false" hidden="false" name="SRC_OAI_011" vbProcedure="false">SRC_OAI!$C$15</definedName>
    <definedName function="false" hidden="false" name="SRC_OAI_012" vbProcedure="false">SRC_OAI!$C$16</definedName>
    <definedName function="false" hidden="false" name="SRC_OAI_013" vbProcedure="false">SRC_OAI!$C$17</definedName>
    <definedName function="false" hidden="false" name="SRC_OAI_014" vbProcedure="false">SRC_OAI!$C$18</definedName>
    <definedName function="false" hidden="false" name="SRC_OAI_015" vbProcedure="false">SRC_OAI!$C$19</definedName>
    <definedName function="false" hidden="false" name="SRC_OAI_016" vbProcedure="false">SRC_OAI!$C$20</definedName>
    <definedName function="false" hidden="false" name="SRC_OAI_017" vbProcedure="false">SRC_OAI!$C$21</definedName>
    <definedName function="false" hidden="false" name="SRC_OAI_018" vbProcedure="false">SRC_OAI!$C$22</definedName>
    <definedName function="false" hidden="false" name="SRC_OAI_019" vbProcedure="false">SRC_OAI!$C$23</definedName>
    <definedName function="false" hidden="false" name="SRC_OAI_020" vbProcedure="false">SRC_OAI!$C$24</definedName>
    <definedName function="false" hidden="false" name="SRC_OAI_021" vbProcedure="false">SRC_OAI!$C$25</definedName>
    <definedName function="false" hidden="false" name="SRC_OAI_022" vbProcedure="false">SRC_OAI!$C$26</definedName>
    <definedName function="false" hidden="false" name="SRC_OAI_023" vbProcedure="false">SRC_OAI!$C$27</definedName>
    <definedName function="false" hidden="false" name="SRC_OAI_024" vbProcedure="false">SRC_OAI!$C$28</definedName>
    <definedName function="false" hidden="false" name="SRC_OAI_025" vbProcedure="false">SRC_OAI!$C$29</definedName>
    <definedName function="false" hidden="false" name="SRC_OAI_026" vbProcedure="false">SRC_OAI!$C$30</definedName>
    <definedName function="false" hidden="false" name="SRC_OAI_027" vbProcedure="false">SRC_OAI!$C$31</definedName>
    <definedName function="false" hidden="false" name="SRC_OAI_028" vbProcedure="false">SRC_OAI!$C$32</definedName>
    <definedName function="false" hidden="false" name="SRC_OAI_029" vbProcedure="false">SRC_OAI!$C$33</definedName>
    <definedName function="false" hidden="false" name="SRC_OAI_030" vbProcedure="false">SRC_OAI!$C$34</definedName>
    <definedName function="false" hidden="false" name="SRC_OAI_031" vbProcedure="false">SRC_OAI!$C$35</definedName>
    <definedName function="false" hidden="false" name="SRC_OAI_032" vbProcedure="false">SRC_OAI!$C$36</definedName>
    <definedName function="false" hidden="false" name="SRC_OAI_033" vbProcedure="false">SRC_OAI!$C$37</definedName>
    <definedName function="false" hidden="false" name="SRC_OAI_034" vbProcedure="false">SRC_OAI!$C$38</definedName>
    <definedName function="false" hidden="false" name="SRC_OAI_036" vbProcedure="false">SRC_OAI!$C$40</definedName>
    <definedName function="false" hidden="false" name="SRC_OAI_037" vbProcedure="false">SRC_OAI!$C$41</definedName>
    <definedName function="false" hidden="false" name="SRC_OAI_038" vbProcedure="false">SRC_OAI!$C$42</definedName>
    <definedName function="false" hidden="false" name="SRC_OAI_039" vbProcedure="false">SRC_OAI!$C$43</definedName>
    <definedName function="false" hidden="false" name="SRC_OAI_040" vbProcedure="false">SRC_OAI!$C$44</definedName>
    <definedName function="false" hidden="false" name="SRC_OAI_041" vbProcedure="false">SRC_OAI!$C$45</definedName>
    <definedName function="false" hidden="false" name="SRC_OAI_042" vbProcedure="false">SRC_OAI!$C$46</definedName>
    <definedName function="false" hidden="false" name="SRC_OAI_043" vbProcedure="false">SRC_OAI!$C$47</definedName>
    <definedName function="false" hidden="false" name="SRC_OAI_044" vbProcedure="false">SRC_OAI!$C$48</definedName>
    <definedName function="false" hidden="false" name="SRC_OAI_045" vbProcedure="false">SRC_OAI!$C$49</definedName>
    <definedName function="false" hidden="false" name="SRC_OAI_046" vbProcedure="false">SRC_OAI!$C$50</definedName>
    <definedName function="false" hidden="false" name="SRC_OAI_047" vbProcedure="false">SRC_OAI!$C$51</definedName>
    <definedName function="false" hidden="false" name="SRC_OAI_048" vbProcedure="false">SRC_OAI!$C$52</definedName>
    <definedName function="false" hidden="false" name="SRC_OAI_049" vbProcedure="false">SRC_OAI!$C$53</definedName>
    <definedName function="false" hidden="false" name="SRC_OAI_050" vbProcedure="false">SRC_OAI!$C$54</definedName>
    <definedName function="false" hidden="false" name="SRC_OAI_051" vbProcedure="false">SRC_OAI!$C$55</definedName>
    <definedName function="false" hidden="false" name="SRC_OAI_054" vbProcedure="false">SRC_OAI!$C$56</definedName>
    <definedName function="false" hidden="false" name="SRC_OAI_055" vbProcedure="false">SRC_OAI!$C$57</definedName>
    <definedName function="false" hidden="false" name="SRC_OAI_056" vbProcedure="false">SRC_OAI!$C$58</definedName>
    <definedName function="false" hidden="false" name="SRC_OAI_057" vbProcedure="false">SRC_OAI!$C$59</definedName>
    <definedName function="false" hidden="false" name="SRC_OAI_058" vbProcedure="false">SRC_OAI!$C$60</definedName>
    <definedName function="false" hidden="false" name="SRC_OAI_059" vbProcedure="false">SRC_OAI!$C$61</definedName>
    <definedName function="false" hidden="false" name="SRC_OAI_060" vbProcedure="false">SRC_OAI!$C$62</definedName>
    <definedName function="false" hidden="false" name="SRC_OAI_061" vbProcedure="false">SRC_OAI!$C$63</definedName>
    <definedName function="false" hidden="false" name="SRC_OAI_062" vbProcedure="false">SRC_OAI!$C$64</definedName>
    <definedName function="false" hidden="false" name="SRC_OAI_063" vbProcedure="false">SRC_OAI!$C$65</definedName>
    <definedName function="false" hidden="false" name="SRC_OAI_064" vbProcedure="false">SRC_OAI!$C$66</definedName>
    <definedName function="false" hidden="false" name="SRC_OAI_065" vbProcedure="false">SRC_OAI!$C$67</definedName>
    <definedName function="false" hidden="false" name="SRC_OAI_066" vbProcedure="false">SRC_OAI!$C$68</definedName>
    <definedName function="false" hidden="false" name="SRC_OAI_067" vbProcedure="false">SRC_OAI!$C$69</definedName>
    <definedName function="false" hidden="false" name="SRC_OAI_068" vbProcedure="false">SRC_OAI!$C$70</definedName>
    <definedName function="false" hidden="false" name="SRC_OAI_070" vbProcedure="false">SRC_OAI!$C$71</definedName>
    <definedName function="false" hidden="false" name="SRC_OAI_071" vbProcedure="false">SRC_OAI!$C$72</definedName>
    <definedName function="false" hidden="false" name="SRC_OAI_072" vbProcedure="false">SRC_OAI!$C$73</definedName>
    <definedName function="false" hidden="false" name="SRC_OAI_073" vbProcedure="false">SRC_OAI!$C$74</definedName>
    <definedName function="false" hidden="false" name="SRC_OAI_074" vbProcedure="false">SRC_OAI!$C$75</definedName>
    <definedName function="false" hidden="false" name="SRC_OAI_075" vbProcedure="false">SRC_OAI!$C$76</definedName>
    <definedName function="false" hidden="false" name="SRC_OAI_076" vbProcedure="false">SRC_OAI!$C$77</definedName>
    <definedName function="false" hidden="false" name="SRC_OAI_077" vbProcedure="false">SRC_OAI!$C$78</definedName>
    <definedName function="false" hidden="false" name="SRC_OAI_078" vbProcedure="false">SRC_OAI!$C$79</definedName>
    <definedName function="false" hidden="false" name="SRC_OAI_079" vbProcedure="false">SRC_OAI!$C$80</definedName>
    <definedName function="false" hidden="false" name="SRC_OAI_080" vbProcedure="false">SRC_OAI!$C$81</definedName>
    <definedName function="false" hidden="false" name="SRC_OAI_082" vbProcedure="false">SRC_OAI!$C$82</definedName>
    <definedName function="false" hidden="false" name="SRC_OAI_083" vbProcedure="false">SRC_OAI!$C$83</definedName>
    <definedName function="false" hidden="false" name="SRC_OAI_084" vbProcedure="false">SRC_OAI!$C$84</definedName>
    <definedName function="false" hidden="false" name="SRC_OAI_085" vbProcedure="false">SRC_OAI!$C$85</definedName>
    <definedName function="false" hidden="false" name="SRC_OAI_087" vbProcedure="false">SRC_OAI!$C$86</definedName>
    <definedName function="false" hidden="false" name="SRC_OAI_088" vbProcedure="false">SRC_OAI!$C$87</definedName>
    <definedName function="false" hidden="false" name="SRC_OAI_089" vbProcedure="false">SRC_OAI!$C$88</definedName>
    <definedName function="false" hidden="false" name="SRC_OAI_090" vbProcedure="false">SRC_OAI!$C$89</definedName>
    <definedName function="false" hidden="false" name="SRC_OAI_091" vbProcedure="false">SRC_OAI!$C$90</definedName>
    <definedName function="false" hidden="false" name="SRC_OAI_092" vbProcedure="false">SRC_OAI!$C$91</definedName>
    <definedName function="false" hidden="false" name="SRC_OAI_093" vbProcedure="false">SRC_OAI!$C$92</definedName>
    <definedName function="false" hidden="false" name="SRC_OAI_094" vbProcedure="false">SRC_OAI!$C$93</definedName>
    <definedName function="false" hidden="false" name="SRC_OAI_095" vbProcedure="false">SRC_OAI!$C$94</definedName>
    <definedName function="false" hidden="false" name="SRC_OAI_097" vbProcedure="false">SRC_OAI!$C$95</definedName>
    <definedName function="false" hidden="false" name="SRC_OAI_098" vbProcedure="false">SRC_OAI!$C$96</definedName>
    <definedName function="false" hidden="false" name="SRC_OAI_099" vbProcedure="false">SRC_OAI!$C$97</definedName>
    <definedName function="false" hidden="false" name="SRC_OAI_100" vbProcedure="false">SRC_OAI!$C$98</definedName>
    <definedName function="false" hidden="false" name="SRC_OAI_101" vbProcedure="false">SRC_OAI!$C$99</definedName>
    <definedName function="false" hidden="false" name="SRC_OAI_103" vbProcedure="false">SRC_OAI!$C$101</definedName>
    <definedName function="false" hidden="false" name="SRC_OAI_104" vbProcedure="false">SRC_OAI!$C$102</definedName>
    <definedName function="false" hidden="false" name="SRC_OAI_105" vbProcedure="false">SRC_OAI!$C$103</definedName>
    <definedName function="false" hidden="false" name="SRC_OAI_106" vbProcedure="false">SRC_OAI!$C$104</definedName>
    <definedName function="false" hidden="false" name="SRC_OAI_107" vbProcedure="false">SRC_OAI!$C$105</definedName>
    <definedName function="false" hidden="false" name="SRC_OAI_108" vbProcedure="false">SRC_OAI!$C$106</definedName>
    <definedName function="false" hidden="false" name="SRC_OAI_109" vbProcedure="false">SRC_OAI!$C$107</definedName>
    <definedName function="false" hidden="false" name="SRC_OAI_110" vbProcedure="false">SRC_OAI!$C$108</definedName>
    <definedName function="false" hidden="false" name="SRC_OAI_111" vbProcedure="false">SRC_OAI!$C$109</definedName>
    <definedName function="false" hidden="false" name="SRC_OAI_112" vbProcedure="false">SRC_OAI!$C$110</definedName>
    <definedName function="false" hidden="false" name="SRC_OAI_113" vbProcedure="false">SRC_OAI!$C$111</definedName>
    <definedName function="false" hidden="false" name="SRC_OAI_114" vbProcedure="false">SRC_OAI!$C$112</definedName>
    <definedName function="false" hidden="false" name="SRC_OAI_115" vbProcedure="false">SRC_OAI!$C$113</definedName>
    <definedName function="false" hidden="false" name="SRC_OAI_116" vbProcedure="false">SRC_OAI!$C$114</definedName>
    <definedName function="false" hidden="false" name="SRC_OAI_117" vbProcedure="false">SRC_OAI!$C$115</definedName>
    <definedName function="false" hidden="false" name="SRC_OAI_118" vbProcedure="false">SRC_OAI!$C$116</definedName>
    <definedName function="false" hidden="false" name="SRC_OAI_119" vbProcedure="false">SRC_OAI!$C$117</definedName>
    <definedName function="false" hidden="false" name="SRC_OAI_120" vbProcedure="false">SRC_OAI!$C$118</definedName>
    <definedName function="false" hidden="false" name="SRC_OAI_121" vbProcedure="false">SRC_OAI!$C$119</definedName>
    <definedName function="false" hidden="false" name="SRC_OAI_122" vbProcedure="false">SRC_OAI!$C$120</definedName>
    <definedName function="false" hidden="false" name="SRC_OAI_123" vbProcedure="false">SRC_OAI!$C$121</definedName>
    <definedName function="false" hidden="false" name="SRC_OAI_124" vbProcedure="false">SRC_OAI!$C$122</definedName>
    <definedName function="false" hidden="false" name="SRC_OAI_125" vbProcedure="false">SRC_OAI!$C$123</definedName>
    <definedName function="false" hidden="false" name="SRC_OAI_126" vbProcedure="false">SRC_OAI!$C$124</definedName>
    <definedName function="false" hidden="false" name="SRC_OAI_127" vbProcedure="false">SRC_OAI!$C$125</definedName>
    <definedName function="false" hidden="false" name="SRC_OAI_128" vbProcedure="false">SRC_OAI!$C$126</definedName>
    <definedName function="false" hidden="false" name="TK_Commit" vbProcedure="false">TK_Link!$B$5</definedName>
    <definedName function="false" hidden="false" name="TK_File" vbProcedure="false">TK_Link!$B$3</definedName>
    <definedName function="false" hidden="false" name="TK_HdrCost" vbProcedure="false">TK_Link!$J$8:$X$8</definedName>
    <definedName function="false" hidden="false" name="TK_HdrGen" vbProcedure="false">TK_Link!$J$7:$X$7</definedName>
    <definedName function="false" hidden="false" name="TK_IF_AllocDemand" vbProcedure="false">TK_Link!$J$58</definedName>
    <definedName function="false" hidden="false" name="TK_IF_AllocImpliedNk" vbProcedure="false">TK_Link!$J$59</definedName>
    <definedName function="false" hidden="false" name="TK_IF_AllocQ1" vbProcedure="false">TK_Link!$J$53</definedName>
    <definedName function="false" hidden="false" name="TK_IF_AllocQ1_R2" vbProcedure="false">TK_Link!$J$54</definedName>
    <definedName function="false" hidden="false" name="TK_IF_AllocQ2" vbProcedure="false">TK_Link!$J$55</definedName>
    <definedName function="false" hidden="false" name="TK_IF_AllocRDGW" vbProcedure="false">TK_Link!$J$57</definedName>
    <definedName function="false" hidden="false" name="TK_IF_AllocServeGW" vbProcedure="false">TK_Link!$J$56</definedName>
    <definedName function="false" hidden="false" name="TK_IF_FrontRef_Astra" vbProcedure="false">TK_Link!$J$33</definedName>
    <definedName function="false" hidden="false" name="TK_IF_FrontRef_Luna" vbProcedure="false">TK_Link!$J$34</definedName>
    <definedName function="false" hidden="false" name="TK_IF_FrontRef_Sol" vbProcedure="false">TK_Link!$J$35</definedName>
    <definedName function="false" hidden="false" name="TK_IF_FullCostDefault_Astra" vbProcedure="false">TK_Link!$J$66:$X$66</definedName>
    <definedName function="false" hidden="false" name="TK_IF_FullCostDefault_Luna" vbProcedure="false">TK_Link!$J$67:$X$67</definedName>
    <definedName function="false" hidden="false" name="TK_IF_FullCostDefault_Sol" vbProcedure="false">TK_Link!$J$68:$X$68</definedName>
    <definedName function="false" hidden="false" name="TK_IF_FullCost_Astra" vbProcedure="false">TK_Link!$J$15:$X$15</definedName>
    <definedName function="false" hidden="false" name="TK_IF_FullCost_Luna" vbProcedure="false">TK_Link!$J$16:$X$16</definedName>
    <definedName function="false" hidden="false" name="TK_IF_FullCost_Sol" vbProcedure="false">TK_Link!$J$17:$X$17</definedName>
    <definedName function="false" hidden="false" name="TK_IF_HoldEcon" vbProcedure="false">TK_Link!$J$14:$X$14</definedName>
    <definedName function="false" hidden="false" name="TK_IF_PriceCached_Astra" vbProcedure="false">TK_Link!$J$18</definedName>
    <definedName function="false" hidden="false" name="TK_IF_PriceCached_Luna" vbProcedure="false">TK_Link!$J$19</definedName>
    <definedName function="false" hidden="false" name="TK_IF_PriceCached_Sol" vbProcedure="false">TK_Link!$J$20</definedName>
    <definedName function="false" hidden="false" name="TK_IF_PriceFresh_Astra" vbProcedure="false">TK_Link!$J$21</definedName>
    <definedName function="false" hidden="false" name="TK_IF_PriceFresh_Luna" vbProcedure="false">TK_Link!$J$22</definedName>
    <definedName function="false" hidden="false" name="TK_IF_PriceFresh_Sol" vbProcedure="false">TK_Link!$J$23</definedName>
    <definedName function="false" hidden="false" name="TK_IF_PriceOut_Astra" vbProcedure="false">TK_Link!$J$24</definedName>
    <definedName function="false" hidden="false" name="TK_IF_PriceOut_Luna" vbProcedure="false">TK_Link!$J$25</definedName>
    <definedName function="false" hidden="false" name="TK_IF_PriceOut_Sol" vbProcedure="false">TK_Link!$J$26</definedName>
    <definedName function="false" hidden="false" name="TK_IF_PriceRef_Astra" vbProcedure="false">TK_Link!$J$27</definedName>
    <definedName function="false" hidden="false" name="TK_IF_PriceRef_Luna" vbProcedure="false">TK_Link!$J$28</definedName>
    <definedName function="false" hidden="false" name="TK_IF_PriceRef_Sol" vbProcedure="false">TK_Link!$J$29</definedName>
    <definedName function="false" hidden="false" name="TK_IF_PriceThink_Astra" vbProcedure="false">TK_Link!$J$30</definedName>
    <definedName function="false" hidden="false" name="TK_IF_PriceThink_Luna" vbProcedure="false">TK_Link!$J$31</definedName>
    <definedName function="false" hidden="false" name="TK_IF_PriceThink_Sol" vbProcedure="false">TK_Link!$J$32</definedName>
    <definedName function="false" hidden="false" name="TK_IF_ProgGWyr_Astra" vbProcedure="false">TK_Link!$J$36:$X$36</definedName>
    <definedName function="false" hidden="false" name="TK_IF_ProgGWyr_Luna" vbProcedure="false">TK_Link!$J$37:$X$37</definedName>
    <definedName function="false" hidden="false" name="TK_IF_ProgGWyr_Sol" vbProcedure="false">TK_Link!$J$38:$X$38</definedName>
    <definedName function="false" hidden="false" name="TK_IF_RDMult" vbProcedure="false">TK_Link!$J$39</definedName>
    <definedName function="false" hidden="false" name="TK_IF_RevGW_Astra" vbProcedure="false">TK_Link!$J$63:$X$63</definedName>
    <definedName function="false" hidden="false" name="TK_IF_RevGW_Luna" vbProcedure="false">TK_Link!$J$64:$X$64</definedName>
    <definedName function="false" hidden="false" name="TK_IF_RevGW_Sol" vbProcedure="false">TK_Link!$J$65:$X$65</definedName>
    <definedName function="false" hidden="false" name="TK_IF_TokGW_Astra" vbProcedure="false">TK_Link!$J$10:$X$10</definedName>
    <definedName function="false" hidden="false" name="TK_IF_TokGW_Luna" vbProcedure="false">TK_Link!$J$11:$X$11</definedName>
    <definedName function="false" hidden="false" name="TK_IF_TokGW_Sol" vbProcedure="false">TK_Link!$J$12:$X$12</definedName>
    <definedName function="false" hidden="false" name="TK_IF_TrainCost_Astra" vbProcedure="false">TK_Link!$J$60:$X$60</definedName>
    <definedName function="false" hidden="false" name="TK_IF_TrainCost_Luna" vbProcedure="false">TK_Link!$J$61:$X$61</definedName>
    <definedName function="false" hidden="false" name="TK_IF_TrainCost_Sol" vbProcedure="false">TK_Link!$J$62:$X$62</definedName>
    <definedName function="false" hidden="false" name="TK_IF_TrainGenDefault" vbProcedure="false">TK_Link!$J$40</definedName>
    <definedName function="false" hidden="false" name="TK_IF_Util" vbProcedure="false">TK_Link!$J$13</definedName>
    <definedName function="false" hidden="false" name="TK_L1_Ans3" vbProcedure="false">TK_Link!$J$69</definedName>
    <definedName function="false" hidden="false" name="TK_L1_Ans3_Hi" vbProcedure="false">TK_Link!$J$71</definedName>
    <definedName function="false" hidden="false" name="TK_L1_Ans3_Lo" vbProcedure="false">TK_Link!$J$70</definedName>
    <definedName function="false" hidden="false" name="TK_ReadDate" vbProcedure="false">TK_Link!$B$6</definedName>
    <definedName function="false" hidden="false" name="TK_SRC_DEM_004" vbProcedure="false">TK_Link!$J$41</definedName>
    <definedName function="false" hidden="false" name="TK_SRC_DEM_005" vbProcedure="false">TK_Link!$J$42</definedName>
    <definedName function="false" hidden="false" name="TK_SRC_DEM_006" vbProcedure="false">TK_Link!$J$43</definedName>
    <definedName function="false" hidden="false" name="TK_SRC_DEM_007" vbProcedure="false">TK_Link!$J$44</definedName>
    <definedName function="false" hidden="false" name="TK_SRC_DEM_008" vbProcedure="false">TK_Link!$J$45</definedName>
    <definedName function="false" hidden="false" name="TK_SRC_DEM_009" vbProcedure="false">TK_Link!$J$46</definedName>
    <definedName function="false" hidden="false" name="TK_SRC_DEM_010" vbProcedure="false">TK_Link!$J$47</definedName>
    <definedName function="false" hidden="false" name="TK_SRC_DEM_011" vbProcedure="false">TK_Link!$J$48</definedName>
    <definedName function="false" hidden="false" name="TK_SRC_DEM_012" vbProcedure="false">TK_Link!$J$49</definedName>
    <definedName function="false" hidden="false" name="TK_SRC_DEM_013" vbProcedure="false">TK_Link!$J$50</definedName>
    <definedName function="false" hidden="false" name="TK_SRC_DEM_013_Hi" vbProcedure="false">TK_Link!$J$52</definedName>
    <definedName function="false" hidden="false" name="TK_SRC_DEM_013_Lo" vbProcedure="false">TK_Link!$J$51</definedName>
    <definedName function="false" hidden="false" name="TK_Version" vbProcedure="false">TK_Link!$B$4</definedName>
    <definedName function="false" hidden="false" name="V9_ApiTok" vbProcedure="false">Derived_V9!$C$26</definedName>
    <definedName function="false" hidden="false" name="V9_AwsWsj" vbProcedure="false">Derived_V9!$C$30</definedName>
    <definedName function="false" hidden="false" name="V9_Free2026" vbProcedure="false">Derived_V9!$C$5</definedName>
    <definedName function="false" hidden="false" name="V9_OracleAnnual" vbProcedure="false">Derived_V9!$C$29</definedName>
    <definedName function="false" hidden="false" name="V9_Plus2025" vbProcedure="false">Derived_V9!$C$6</definedName>
    <definedName function="false" hidden="false" name="V9_Pro2025" vbProcedure="false">Derived_V9!$C$8</definedName>
    <definedName function="false" hidden="false" name="V9_Pro2026" vbProcedure="false">Derived_V9!$C$7</definedName>
    <definedName function="false" hidden="false" name="V9_Pro2027" vbProcedure="false">Derived_V9!$C$14</definedName>
    <definedName function="false" hidden="false" name="V9_Pro2028" vbProcedure="false">Derived_V9!$C$15</definedName>
    <definedName function="false" hidden="false" name="V9_Pro2029" vbProcedure="false">Derived_V9!$C$16</definedName>
    <definedName function="false" hidden="false" name="V9_Pro2030" vbProcedure="false">Derived_V9!$C$17</definedName>
    <definedName function="false" hidden="false" name="V9_ProRev2025" vbProcedure="false">Derived_V9!$C$12</definedName>
    <definedName function="false" hidden="false" name="V9_ProRev2026" vbProcedure="false">Derived_V9!$C$13</definedName>
    <definedName function="false" hidden="false" name="V9_ProRev2027" vbProcedure="false">Derived_V9!$C$22</definedName>
    <definedName function="false" hidden="false" name="V9_ProRev2028" vbProcedure="false">Derived_V9!$C$23</definedName>
    <definedName function="false" hidden="false" name="V9_ProRev2029" vbProcedure="false">Derived_V9!$C$24</definedName>
    <definedName function="false" hidden="false" name="V9_ProRev2030" vbProcedure="false">Derived_V9!$C$25</definedName>
    <definedName function="false" hidden="false" name="V9_ProShare2026" vbProcedure="false">Derived_V9!$C$9</definedName>
    <definedName function="false" hidden="false" name="V9_ProViolation" vbProcedure="false">Derived_V9!$C$10</definedName>
    <definedName function="false" hidden="false" name="V9_Uncond2026" vbProcedure="false">Derived_V9!$C$31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<sst xmlns="http://schemas.openxmlformats.org/spreadsheetml/2006/main" count="12819" uniqueCount="3340">
  <si>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收支模型 </t>
    </r>
    <r>
      <rPr>
        <b val="true"/>
        <sz val="13"/>
        <rFont val="Arial"/>
        <family val="0"/>
        <charset val="1"/>
      </rPr>
      <t xml:space="preserve">v0.6-P2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2026-10-07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</si>
  <si>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命題（</t>
    </r>
    <r>
      <rPr>
        <sz val="9"/>
        <color rgb="FF595959"/>
        <rFont val="Arial"/>
        <family val="0"/>
        <charset val="1"/>
      </rPr>
      <t xml:space="preserve">Andy 2026-09-30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等值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的營收能否覆蓋每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全成本；若不能，缺口由誰、以什麼條件融資。</t>
    </r>
    <r>
      <rPr>
        <sz val="9"/>
        <color rgb="FF595959"/>
        <rFont val="Arial"/>
        <family val="0"/>
        <charset val="1"/>
      </rPr>
      <t xml:space="preserve">FY2025–FY2030</t>
    </r>
    <r>
      <rPr>
        <sz val="9"/>
        <color rgb="FF595959"/>
        <rFont val="Noto Sans CJK SC"/>
        <family val="2"/>
      </rPr>
      <t xml:space="preserve">，曆年制。</t>
    </r>
  </si>
  <si>
    <t xml:space="preserve">本版範圍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</si>
  <si>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骨架、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（公司財務原始數據）、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快照）、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Assumed </t>
    </r>
    <r>
      <rPr>
        <sz val="10"/>
        <color rgb="FF000000"/>
        <rFont val="Noto Sans CJK SC"/>
        <family val="2"/>
      </rPr>
      <t xml:space="preserve">項目遷入）。</t>
    </r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Demand</t>
    </r>
    <r>
      <rPr>
        <sz val="10"/>
        <color rgb="FF000000"/>
        <rFont val="Noto Sans CJK SC"/>
        <family val="2"/>
      </rPr>
      <t xml:space="preserve">（需求與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量）、</t>
    </r>
    <r>
      <rPr>
        <sz val="10"/>
        <color rgb="FF000000"/>
        <rFont val="Arial"/>
        <family val="0"/>
        <charset val="1"/>
      </rPr>
      <t xml:space="preserve">Revenue</t>
    </r>
    <r>
      <rPr>
        <sz val="10"/>
        <color rgb="FF000000"/>
        <rFont val="Noto Sans CJK SC"/>
        <family val="2"/>
      </rPr>
      <t xml:space="preserve">（營收、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分成、淨額）。算力、成本、融資於 </t>
    </r>
    <r>
      <rPr>
        <sz val="10"/>
        <color rgb="FF000000"/>
        <rFont val="Arial"/>
        <family val="0"/>
        <charset val="1"/>
      </rPr>
      <t xml:space="preserve">P3–P5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</si>
  <si>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為唯一計算引擎</t>
    </r>
  </si>
  <si>
    <r>
      <rPr>
        <sz val="10"/>
        <color rgb="FF000000"/>
        <rFont val="Noto Sans CJK SC"/>
        <family val="2"/>
      </rPr>
      <t xml:space="preserve">藍字＝輸入（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擁有）；黑字＝公式；綠字＝跨頁連結。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只產生結構，重建時保留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內已改過的藍字。</t>
    </r>
  </si>
  <si>
    <t xml:space="preserve">SRC_OAI</t>
  </si>
  <si>
    <r>
      <rPr>
        <sz val="10"/>
        <color rgb="FF000000"/>
        <rFont val="Arial"/>
        <family val="0"/>
        <charset val="1"/>
      </rPr>
      <t xml:space="preserve">122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『已取得的原始訊息』逐筆遷入（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）。</t>
    </r>
  </si>
  <si>
    <t xml:space="preserve">TK_Link</t>
  </si>
  <si>
    <r>
      <rPr>
        <sz val="10"/>
        <color rgb="FF000000"/>
        <rFont val="Arial"/>
        <family val="0"/>
        <charset val="1"/>
      </rPr>
      <t xml:space="preserve">Tokenomics 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20261007_Tokenomics_v5.24.xlsx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master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bdb0de7</t>
    </r>
    <r>
      <rPr>
        <sz val="10"/>
        <color rgb="FF000000"/>
        <rFont val="Noto Sans CJK SC"/>
        <family val="2"/>
      </rPr>
      <t xml:space="preserve">，讀取日 </t>
    </r>
    <r>
      <rPr>
        <sz val="10"/>
        <color rgb="FF000000"/>
        <rFont val="Arial"/>
        <family val="0"/>
        <charset val="1"/>
      </rPr>
      <t xml:space="preserve">2026-10-07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個名稱有值、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個待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提供。</t>
    </r>
  </si>
  <si>
    <t xml:space="preserve">Inputs</t>
  </si>
  <si>
    <r>
      <rPr>
        <sz val="10"/>
        <color rgb="FF000000"/>
        <rFont val="Arial"/>
        <family val="0"/>
        <charset val="1"/>
      </rPr>
      <t xml:space="preserve">243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v0.5 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項目（長表）。</t>
    </r>
  </si>
  <si>
    <t xml:space="preserve">Map_v05</t>
  </si>
  <si>
    <r>
      <rPr>
        <sz val="10"/>
        <color rgb="FF000000"/>
        <rFont val="Arial"/>
        <family val="0"/>
        <charset val="1"/>
      </rPr>
      <t xml:space="preserve">v0.5 JSON 849 </t>
    </r>
    <r>
      <rPr>
        <sz val="10"/>
        <color rgb="FF000000"/>
        <rFont val="Noto Sans CJK SC"/>
        <family val="2"/>
      </rPr>
      <t xml:space="preserve">個葉節點的去處。</t>
    </r>
  </si>
  <si>
    <t xml:space="preserve">Demand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</si>
  <si>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需求：訂閱各方案人數、每日任務數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任務數與計費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量（層級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付費／免費，具名範圍 </t>
    </r>
    <r>
      <rPr>
        <sz val="10"/>
        <color rgb="FF000000"/>
        <rFont val="Arial"/>
        <family val="0"/>
        <charset val="1"/>
      </rPr>
      <t xml:space="preserve">DEM_Tok_*</t>
    </r>
    <r>
      <rPr>
        <sz val="10"/>
        <color rgb="FF000000"/>
        <rFont val="Noto Sans CJK SC"/>
        <family val="2"/>
      </rPr>
      <t xml:space="preserve">，供 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）。</t>
    </r>
  </si>
  <si>
    <t xml:space="preserve">Revenue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</si>
  <si>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單價路徑（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依價格事件時點天數加權）、訂閱、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、廣告、其他、總額、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分成、淨額（具名範圍 </t>
    </r>
    <r>
      <rPr>
        <sz val="10"/>
        <color rgb="FF000000"/>
        <rFont val="Arial"/>
        <family val="0"/>
        <charset val="1"/>
      </rPr>
      <t xml:space="preserve">REV_*</t>
    </r>
    <r>
      <rPr>
        <sz val="10"/>
        <color rgb="FF000000"/>
        <rFont val="Noto Sans CJK SC"/>
        <family val="2"/>
      </rPr>
      <t xml:space="preserve">）。</t>
    </r>
  </si>
  <si>
    <t xml:space="preserve">Checks</t>
  </si>
  <si>
    <r>
      <rPr>
        <sz val="10"/>
        <color rgb="FF000000"/>
        <rFont val="Arial"/>
        <family val="0"/>
        <charset val="1"/>
      </rPr>
      <t xml:space="preserve">P1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CHK_Errors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。</t>
    </r>
  </si>
  <si>
    <t xml:space="preserve">一手／二手圖例</t>
  </si>
  <si>
    <r>
      <rPr>
        <sz val="10"/>
        <color rgb="FF000000"/>
        <rFont val="Noto Sans CJK SC"/>
        <family val="2"/>
      </rPr>
      <t xml:space="preserve">『二手（含一手公告轉載）』＝媒體轉載公司公開公告；『二手（含一手轉載）』＝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，媒體轉載外流財報或內部文件；兩者不合併。（同文見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頁首說明）</t>
    </r>
  </si>
  <si>
    <t xml:space="preserve">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</si>
  <si>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一律附區間）。</t>
    </r>
  </si>
  <si>
    <t xml:space="preserve">分層</t>
  </si>
  <si>
    <r>
      <rPr>
        <sz val="10"/>
        <color rgb="FF000000"/>
        <rFont val="Noto Sans CJK SC"/>
        <family val="2"/>
      </rPr>
      <t xml:space="preserve">公司財務原始數據→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技術與算力→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（取自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名稱）；假設→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</si>
  <si>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SRC_OAI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公司財務原始數據（營收、合約、現金、融資輪、算力規模）</t>
    </r>
  </si>
  <si>
    <r>
      <rPr>
        <sz val="9"/>
        <color rgb="FF595959"/>
        <rFont val="Noto Sans CJK SC"/>
        <family val="2"/>
      </rPr>
      <t xml:space="preserve">只存已取得的原始訊息（非計算、非假設；</t>
    </r>
    <r>
      <rPr>
        <sz val="9"/>
        <color rgb="FF595959"/>
        <rFont val="Arial"/>
        <family val="0"/>
        <charset val="1"/>
      </rPr>
      <t xml:space="preserve">V5</t>
    </r>
    <r>
      <rPr>
        <sz val="9"/>
        <color rgb="FF595959"/>
        <rFont val="Noto Sans CJK SC"/>
        <family val="2"/>
      </rPr>
      <t xml:space="preserve">）。藍字＝原始值，由本活頁簿擁有；格式比照 </t>
    </r>
    <r>
      <rPr>
        <sz val="9"/>
        <color rgb="FF595959"/>
        <rFont val="Arial"/>
        <family val="0"/>
        <charset val="1"/>
      </rPr>
      <t xml:space="preserve">Tokenomics SRC_Demand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技術與算力原始數據不在此登錄（取自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</si>
  <si>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來源等級（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一手已讀原文／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二手已讀或轉載／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待查核）、立場、立場說明、一手／二手：依 </t>
    </r>
    <r>
      <rPr>
        <sz val="9"/>
        <color rgb="FF595959"/>
        <rFont val="Arial"/>
        <family val="0"/>
        <charset val="1"/>
      </rPr>
      <t xml:space="preserve">builder/source_rules.py </t>
    </r>
    <r>
      <rPr>
        <sz val="9"/>
        <color rgb="FF595959"/>
        <rFont val="Noto Sans CJK SC"/>
        <family val="2"/>
      </rPr>
      <t xml:space="preserve">的機械規則由 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初評（欄 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標『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初評』；</t>
    </r>
    <r>
      <rPr>
        <sz val="9"/>
        <color rgb="FF595959"/>
        <rFont val="Arial"/>
        <family val="0"/>
        <charset val="1"/>
      </rPr>
      <t xml:space="preserve">V10</t>
    </r>
    <r>
      <rPr>
        <sz val="9"/>
        <color rgb="FF595959"/>
        <rFont val="Noto Sans CJK SC"/>
        <family val="2"/>
      </rPr>
      <t xml:space="preserve">）；規則無法判定者填『未評』。本包不做新查核。　圖例：『二手（含一手公告轉載）』＝媒體轉載公司公開公告；『二手（含一手轉載）』＝媒體轉載外流財報或內部文件（</t>
    </r>
    <r>
      <rPr>
        <sz val="9"/>
        <color rgb="FF595959"/>
        <rFont val="Arial"/>
        <family val="0"/>
        <charset val="1"/>
      </rPr>
      <t xml:space="preserve">F2</t>
    </r>
    <r>
      <rPr>
        <sz val="9"/>
        <color rgb="FF595959"/>
        <rFont val="Noto Sans CJK SC"/>
        <family val="2"/>
      </rPr>
      <t xml:space="preserve">）；兩者不合併。</t>
    </r>
  </si>
  <si>
    <t xml:space="preserve">SRC_ID</t>
  </si>
  <si>
    <t xml:space="preserve">指標</t>
  </si>
  <si>
    <t xml:space="preserve">數值</t>
  </si>
  <si>
    <t xml:space="preserve">低</t>
  </si>
  <si>
    <t xml:space="preserve">高</t>
  </si>
  <si>
    <t xml:space="preserve">單位</t>
  </si>
  <si>
    <t xml:space="preserve">口徑</t>
  </si>
  <si>
    <t xml:space="preserve">適用對象</t>
  </si>
  <si>
    <t xml:space="preserve">日期</t>
  </si>
  <si>
    <r>
      <rPr>
        <b val="true"/>
        <sz val="10"/>
        <rFont val="Noto Sans CJK SC"/>
        <family val="2"/>
      </rPr>
      <t xml:space="preserve">出處（</t>
    </r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原文）</t>
    </r>
  </si>
  <si>
    <t xml:space="preserve">來源等級</t>
  </si>
  <si>
    <t xml:space="preserve">立場</t>
  </si>
  <si>
    <t xml:space="preserve">立場說明</t>
  </si>
  <si>
    <t xml:space="preserve">一手／二手</t>
  </si>
  <si>
    <t xml:space="preserve">狀態</t>
  </si>
  <si>
    <t xml:space="preserve">取代者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</si>
  <si>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標記</t>
    </r>
  </si>
  <si>
    <r>
      <rPr>
        <b val="true"/>
        <sz val="10"/>
        <rFont val="Noto Sans CJK SC"/>
        <family val="2"/>
      </rPr>
      <t xml:space="preserve">查核狀態（</t>
    </r>
    <r>
      <rPr>
        <b val="true"/>
        <sz val="10"/>
        <rFont val="Arial"/>
        <family val="0"/>
        <charset val="1"/>
      </rPr>
      <t xml:space="preserve">v0.5 chk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</si>
  <si>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路徑</t>
    </r>
  </si>
  <si>
    <t xml:space="preserve">模型使用位置</t>
  </si>
  <si>
    <t xml:space="preserve">備註</t>
  </si>
  <si>
    <t xml:space="preserve">缺值（公式）</t>
  </si>
  <si>
    <t xml:space="preserve">缺出處（公式）</t>
  </si>
  <si>
    <t xml:space="preserve">區間順序異常（公式）</t>
  </si>
  <si>
    <t xml:space="preserve">四欄標註</t>
  </si>
  <si>
    <t xml:space="preserve">SRC_OAI_001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</si>
  <si>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FY2024</t>
    </r>
  </si>
  <si>
    <t xml:space="preserve">$B</t>
  </si>
  <si>
    <r>
      <rPr>
        <sz val="10"/>
        <color rgb="FF000000"/>
        <rFont val="Arial"/>
        <family val="0"/>
        <charset val="1"/>
      </rPr>
      <t xml:space="preserve">FY2024 </t>
    </r>
    <r>
      <rPr>
        <sz val="10"/>
        <color rgb="FF000000"/>
        <rFont val="Noto Sans CJK SC"/>
        <family val="2"/>
      </rPr>
      <t xml:space="preserve">認列營收</t>
    </r>
  </si>
  <si>
    <t xml:space="preserve">OpenAI</t>
  </si>
  <si>
    <t xml:space="preserve">—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</si>
  <si>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</t>
    </r>
  </si>
  <si>
    <t xml:space="preserve">2</t>
  </si>
  <si>
    <t xml:space="preserve">利害關係方</t>
  </si>
  <si>
    <t xml:space="preserve">公司公告：誘因為宣傳成長與用戶規模</t>
  </si>
  <si>
    <t xml:space="preserve">二手（含一手公告轉載）</t>
  </si>
  <si>
    <t xml:space="preserve">Active</t>
  </si>
  <si>
    <t xml:space="preserve">Interested-party</t>
  </si>
  <si>
    <t xml:space="preserve">tokenRevenue.actuals.revenue2024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</si>
  <si>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對帳</t>
    </r>
  </si>
  <si>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初評</t>
    </r>
  </si>
  <si>
    <t xml:space="preserve">SRC_OAI_002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</si>
  <si>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</si>
  <si>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認列營收（外流經查核財報）</t>
    </r>
  </si>
  <si>
    <t xml:space="preserve">2026-06</t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</si>
  <si>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</si>
  <si>
    <t xml:space="preserve">管理層、內部文件或外流數據：誘因為募資與議價，傾向呈現成長與算力需求</t>
  </si>
  <si>
    <t xml:space="preserve">二手（含一手轉載）</t>
  </si>
  <si>
    <t xml:space="preserve">tokenRevenue.actuals.revenue2025</t>
  </si>
  <si>
    <t xml:space="preserve">SRC_OAI_003</t>
  </si>
  <si>
    <r>
      <rPr>
        <sz val="10"/>
        <color rgb="FF000000"/>
        <rFont val="Noto Sans CJK SC"/>
        <family val="2"/>
      </rPr>
      <t xml:space="preserve">營業成本（</t>
    </r>
    <r>
      <rPr>
        <sz val="10"/>
        <color rgb="FF000000"/>
        <rFont val="Arial"/>
        <family val="0"/>
        <charset val="1"/>
      </rPr>
      <t xml:space="preserve">cost of revenue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</si>
  <si>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Noto Sans CJK SC"/>
        <family val="2"/>
      </rPr>
      <t xml:space="preserve">含推論；</t>
    </r>
    <r>
      <rPr>
        <sz val="10"/>
        <color rgb="FF000000"/>
        <rFont val="Arial"/>
        <family val="0"/>
        <charset val="1"/>
      </rPr>
      <t xml:space="preserve">FY2025</t>
    </r>
  </si>
  <si>
    <r>
      <rPr>
        <sz val="10"/>
        <color rgb="FF000000"/>
        <rFont val="Arial"/>
        <family val="0"/>
        <charset val="1"/>
      </rPr>
      <t xml:space="preserve">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認列營收（經查核數字外流）（追溯自「同上」鏈：本列←『營收：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』；原文：同上；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含推論）</t>
    </r>
  </si>
  <si>
    <t xml:space="preserve">tokenRevenue.actuals.cogs2025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</si>
  <si>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對帳</t>
    </r>
  </si>
  <si>
    <t xml:space="preserve">SRC_OAI_004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</si>
  <si>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Q1</t>
    </r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</si>
  <si>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（股東文件）</t>
    </r>
  </si>
  <si>
    <t xml:space="preserve">2026-06-16</t>
  </si>
  <si>
    <r>
      <rPr>
        <sz val="10"/>
        <color rgb="FF000000"/>
        <rFont val="Arial"/>
        <family val="0"/>
        <charset val="1"/>
      </rPr>
      <t xml:space="preserve">The Information 2026-06-16</t>
    </r>
    <r>
      <rPr>
        <sz val="10"/>
        <color rgb="FF000000"/>
        <rFont val="Noto Sans CJK SC"/>
        <family val="2"/>
      </rPr>
      <t xml:space="preserve">（股東文件）</t>
    </r>
  </si>
  <si>
    <t xml:space="preserve">二手</t>
  </si>
  <si>
    <t xml:space="preserve">tokenRevenue.actuals.revenueQ1_2026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</si>
  <si>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fy2026Independent </t>
    </r>
    <r>
      <rPr>
        <sz val="10"/>
        <color rgb="FF000000"/>
        <rFont val="Noto Sans CJK SC"/>
        <family val="2"/>
      </rPr>
      <t xml:space="preserve">的組成）</t>
    </r>
  </si>
  <si>
    <t xml:space="preserve">SRC_OAI_005</t>
  </si>
  <si>
    <r>
      <rPr>
        <sz val="10"/>
        <color rgb="FF000000"/>
        <rFont val="Noto Sans CJK SC"/>
        <family val="2"/>
      </rPr>
      <t xml:space="preserve">營收：</t>
    </r>
    <r>
      <rPr>
        <sz val="10"/>
        <color rgb="FF000000"/>
        <rFont val="Arial"/>
        <family val="0"/>
        <charset val="1"/>
      </rPr>
      <t xml:space="preserve">2026 Q2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</si>
  <si>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（告知投資人）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</si>
  <si>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</si>
  <si>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 2026-08-18</t>
    </r>
    <r>
      <rPr>
        <sz val="10"/>
        <color rgb="FF000000"/>
        <rFont val="Noto Sans CJK SC"/>
        <family val="2"/>
      </rPr>
      <t xml:space="preserve">（告知投資人）</t>
    </r>
  </si>
  <si>
    <t xml:space="preserve">tokenRevenue.actuals.revenueQ2_2026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</si>
  <si>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</t>
    </r>
  </si>
  <si>
    <t xml:space="preserve">SRC_OAI_006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</si>
  <si>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2026-08</t>
    </r>
  </si>
  <si>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</t>
    </r>
  </si>
  <si>
    <t xml:space="preserve">2026-08-13</t>
  </si>
  <si>
    <r>
      <rPr>
        <sz val="10"/>
        <color rgb="FF000000"/>
        <rFont val="Arial"/>
        <family val="0"/>
        <charset val="1"/>
      </rPr>
      <t xml:space="preserve">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</si>
  <si>
    <t xml:space="preserve">未評</t>
  </si>
  <si>
    <t xml:space="preserve">tokenRevenue.actuals.arrAug2026</t>
  </si>
  <si>
    <t xml:space="preserve">SRC_OAI_007</t>
  </si>
  <si>
    <r>
      <rPr>
        <sz val="10"/>
        <color rgb="FF000000"/>
        <rFont val="Noto Sans CJK SC"/>
        <family val="2"/>
      </rPr>
      <t xml:space="preserve">消費端營收占比：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年初</t>
    </r>
  </si>
  <si>
    <t xml:space="preserve">比例</t>
  </si>
  <si>
    <r>
      <rPr>
        <sz val="10"/>
        <color rgb="FF000000"/>
        <rFont val="Noto Sans CJK SC"/>
        <family val="2"/>
      </rPr>
      <t xml:space="preserve">年初消費／企業 </t>
    </r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</t>
    </r>
  </si>
  <si>
    <t xml:space="preserve">2026-08-14</t>
  </si>
  <si>
    <r>
      <rPr>
        <sz val="10"/>
        <color rgb="FF000000"/>
        <rFont val="Arial"/>
        <family val="0"/>
        <charset val="1"/>
      </rPr>
      <t xml:space="preserve">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</si>
  <si>
    <t xml:space="preserve">tokenRevenue.actuals.consumerShareStart2026</t>
  </si>
  <si>
    <t xml:space="preserve">SRC_OAI_008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</si>
  <si>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2025-10</t>
    </r>
  </si>
  <si>
    <t xml:space="preserve">B tok/min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</si>
  <si>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DevDay </t>
    </r>
    <r>
      <rPr>
        <sz val="10"/>
        <color rgb="FF000000"/>
        <rFont val="Noto Sans CJK SC"/>
        <family val="2"/>
      </rPr>
      <t xml:space="preserve">揭露</t>
    </r>
  </si>
  <si>
    <t xml:space="preserve">2025-10</t>
  </si>
  <si>
    <r>
      <rPr>
        <sz val="10"/>
        <color rgb="FF000000"/>
        <rFont val="Arial"/>
        <family val="0"/>
        <charset val="1"/>
      </rPr>
      <t xml:space="preserve">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</si>
  <si>
    <t xml:space="preserve">一手</t>
  </si>
  <si>
    <t xml:space="preserve">tokenRevenue.actuals.apiTokensPerMinOct2025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</si>
  <si>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校準檢查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</si>
  <si>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註記）</t>
    </r>
  </si>
  <si>
    <t xml:space="preserve">SRC_OAI_009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</si>
  <si>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</si>
  <si>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之營收分成</t>
    </r>
  </si>
  <si>
    <t xml:space="preserve">Microsoft</t>
  </si>
  <si>
    <t xml:space="preserve">2026-04-27</t>
  </si>
  <si>
    <r>
      <rPr>
        <sz val="10"/>
        <color rgb="FF000000"/>
        <rFont val="Arial"/>
        <family val="0"/>
        <charset val="1"/>
      </rPr>
      <t xml:space="preserve">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</si>
  <si>
    <t xml:space="preserve">交易對手公告或轉述：誘因為宣傳合約規模與客戶關係</t>
  </si>
  <si>
    <t xml:space="preserve">tokenRevenue.msShare.rate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</si>
  <si>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淨額</t>
    </r>
  </si>
  <si>
    <t xml:space="preserve">SRC_OAI_010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</si>
  <si>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分成總額上限</t>
    </r>
  </si>
  <si>
    <t xml:space="preserve">分成累計上限</t>
  </si>
  <si>
    <t xml:space="preserve">2026-05</t>
  </si>
  <si>
    <r>
      <rPr>
        <sz val="10"/>
        <color rgb="FF000000"/>
        <rFont val="Arial"/>
        <family val="0"/>
        <charset val="1"/>
      </rPr>
      <t xml:space="preserve">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</si>
  <si>
    <t xml:space="preserve">tokenRevenue.msShare.capTotal</t>
  </si>
  <si>
    <t xml:space="preserve">SRC_OAI_011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</si>
  <si>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分成付款持續至</t>
    </r>
  </si>
  <si>
    <t xml:space="preserve">年</t>
  </si>
  <si>
    <t xml:space="preserve">付款持續至該年；受總額上限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</si>
  <si>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</si>
  <si>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</t>
    </r>
  </si>
  <si>
    <t xml:space="preserve">Verified</t>
  </si>
  <si>
    <t xml:space="preserve">tokenRevenue.msShare.capThroughYear</t>
  </si>
  <si>
    <t xml:space="preserve">SRC_OAI_012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</si>
  <si>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的分潤（</t>
    </r>
    <r>
      <rPr>
        <sz val="10"/>
        <color rgb="FF000000"/>
        <rFont val="Arial"/>
        <family val="0"/>
        <charset val="1"/>
      </rPr>
      <t xml:space="preserve">2026-04 </t>
    </r>
    <r>
      <rPr>
        <sz val="10"/>
        <color rgb="FF000000"/>
        <rFont val="Noto Sans CJK SC"/>
        <family val="2"/>
      </rPr>
      <t xml:space="preserve">後）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</si>
  <si>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</si>
  <si>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r>
      <rPr>
        <sz val="10"/>
        <color rgb="FF000000"/>
        <rFont val="Arial"/>
        <family val="0"/>
        <charset val="1"/>
      </rPr>
      <t xml:space="preserve">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</si>
  <si>
    <t xml:space="preserve">tokenRevenue.msShare.azureInflowAfterApr2026</t>
  </si>
  <si>
    <t xml:space="preserve">SRC_OAI_013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</si>
  <si>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</t>
    </r>
  </si>
  <si>
    <t xml:space="preserve">$/M tokens</t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</si>
  <si>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gpt-6-astra</t>
    </r>
  </si>
  <si>
    <t xml:space="preserve">2026-09-25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</si>
  <si>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</si>
  <si>
    <t xml:space="preserve">公開且具約束力的報價，誤報誘因低</t>
  </si>
  <si>
    <t xml:space="preserve">tokenRevenue.api.listPriceSnapshot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</si>
  <si>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單價路徑起點</t>
    </r>
  </si>
  <si>
    <t xml:space="preserve">SRC_OAI_014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</si>
  <si>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</si>
  <si>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</si>
  <si>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</t>
    </r>
  </si>
  <si>
    <t xml:space="preserve">SRC_OAI_016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</si>
  <si>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</si>
  <si>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gpt-6-sol</t>
    </r>
  </si>
  <si>
    <t xml:space="preserve">SRC_OAI_017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</si>
  <si>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</si>
  <si>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</si>
  <si>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</t>
    </r>
  </si>
  <si>
    <t xml:space="preserve">SRC_OAI_019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</si>
  <si>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</t>
    </r>
  </si>
  <si>
    <r>
      <rPr>
        <sz val="10"/>
        <color rgb="FF000000"/>
        <rFont val="Noto Sans CJK SC"/>
        <family val="2"/>
      </rPr>
      <t xml:space="preserve">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；層級＝</t>
    </r>
    <r>
      <rPr>
        <sz val="10"/>
        <color rgb="FF000000"/>
        <rFont val="Arial"/>
        <family val="0"/>
        <charset val="1"/>
      </rPr>
      <t xml:space="preserve">gpt-6-luna</t>
    </r>
  </si>
  <si>
    <t xml:space="preserve">SRC_OAI_020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</si>
  <si>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快取輸入</t>
    </r>
  </si>
  <si>
    <t xml:space="preserve">SRC_OAI_021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</si>
  <si>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</t>
    </r>
  </si>
  <si>
    <t xml:space="preserve">SRC_OAI_022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</si>
  <si>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top</t>
    </r>
  </si>
  <si>
    <t xml:space="preserve">gpt-6-astra</t>
  </si>
  <si>
    <t xml:space="preserve">文字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</si>
  <si>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各層級的旗艦型號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</si>
  <si>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價格頁 </t>
    </r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2026-09-25</t>
    </r>
    <r>
      <rPr>
        <sz val="10"/>
        <color rgb="FF000000"/>
        <rFont val="Noto Sans CJK SC"/>
        <family val="2"/>
      </rPr>
      <t xml:space="preserve">）</t>
    </r>
  </si>
  <si>
    <t xml:space="preserve">tokenRevenue.api.tierMapSep2026.top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</si>
  <si>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層級對照</t>
    </r>
  </si>
  <si>
    <r>
      <rPr>
        <sz val="10"/>
        <color rgb="FF000000"/>
        <rFont val="Arial"/>
        <family val="0"/>
        <charset val="1"/>
      </rPr>
      <t xml:space="preserve">E8b</t>
    </r>
    <r>
      <rPr>
        <sz val="10"/>
        <color rgb="FF000000"/>
        <rFont val="Noto Sans CJK SC"/>
        <family val="2"/>
      </rPr>
      <t xml:space="preserve">：文字列，只作標籤（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</t>
    </r>
  </si>
  <si>
    <t xml:space="preserve">SRC_OAI_023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</si>
  <si>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mid</t>
    </r>
  </si>
  <si>
    <t xml:space="preserve">gpt-6-sol</t>
  </si>
  <si>
    <t xml:space="preserve">tokenRevenue.api.tierMapSep2026.mid</t>
  </si>
  <si>
    <t xml:space="preserve">SRC_OAI_024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</si>
  <si>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層級對應：</t>
    </r>
    <r>
      <rPr>
        <sz val="10"/>
        <color rgb="FF000000"/>
        <rFont val="Arial"/>
        <family val="0"/>
        <charset val="1"/>
      </rPr>
      <t xml:space="preserve">low</t>
    </r>
  </si>
  <si>
    <t xml:space="preserve">gpt-6-luna</t>
  </si>
  <si>
    <t xml:space="preserve">tokenRevenue.api.tierMapSep2026.low</t>
  </si>
  <si>
    <t xml:space="preserve">SRC_OAI_025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</si>
  <si>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</si>
  <si>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</t>
    </r>
  </si>
  <si>
    <r>
      <rPr>
        <sz val="10"/>
        <color rgb="FF000000"/>
        <rFont val="Noto Sans CJK SC"/>
        <family val="2"/>
      </rPr>
      <t xml:space="preserve">價格事件（輸入／輸出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</t>
    </r>
  </si>
  <si>
    <t xml:space="preserve">2026-07-09</t>
  </si>
  <si>
    <r>
      <rPr>
        <sz val="10"/>
        <color rgb="FF000000"/>
        <rFont val="Arial"/>
        <family val="0"/>
        <charset val="1"/>
      </rPr>
      <t xml:space="preserve">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</t>
    </r>
  </si>
  <si>
    <t xml:space="preserve">tokenRevenue.api.priceEvents2026</t>
  </si>
  <si>
    <r>
      <rPr>
        <sz val="10"/>
        <color rgb="FF000000"/>
        <rFont val="Arial"/>
        <family val="0"/>
        <charset val="1"/>
      </rPr>
      <t xml:space="preserve">P2 FY </t>
    </r>
    <r>
      <rPr>
        <sz val="10"/>
        <color rgb="FF000000"/>
        <rFont val="Noto Sans CJK SC"/>
        <family val="2"/>
      </rPr>
      <t xml:space="preserve">平均牌價（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）的月加權依據</t>
    </r>
  </si>
  <si>
    <t xml:space="preserve">SRC_OAI_026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</si>
  <si>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</si>
  <si>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10"/>
        <color rgb="FF000000"/>
        <rFont val="Arial"/>
        <family val="0"/>
        <charset val="1"/>
      </rPr>
      <t xml:space="preserve">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</si>
  <si>
    <t xml:space="preserve">2026-07-30</t>
  </si>
  <si>
    <t xml:space="preserve">SRC_OAI_027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</si>
  <si>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</si>
  <si>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</t>
    </r>
  </si>
  <si>
    <t xml:space="preserve">2026-08-22</t>
  </si>
  <si>
    <t xml:space="preserve">SRC_OAI_028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</si>
  <si>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</si>
  <si>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09-03 GPT-6 Astra 10/50</t>
    </r>
    <r>
      <rPr>
        <sz val="10"/>
        <color rgb="FF000000"/>
        <rFont val="Noto Sans CJK SC"/>
        <family val="2"/>
      </rPr>
      <t xml:space="preserve">（新旗艦，層級價格上升）</t>
    </r>
  </si>
  <si>
    <t xml:space="preserve">2026-09-03</t>
  </si>
  <si>
    <t xml:space="preserve">SRC_OAI_029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</si>
  <si>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</si>
  <si>
    <r>
      <rPr>
        <sz val="10"/>
        <color rgb="FF000000"/>
        <rFont val="Arial"/>
        <family val="0"/>
        <charset val="1"/>
      </rPr>
      <t xml:space="preserve">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</t>
    </r>
  </si>
  <si>
    <t xml:space="preserve">2026-09-22</t>
  </si>
  <si>
    <t xml:space="preserve">SRC_OAI_030</t>
  </si>
  <si>
    <t xml:space="preserve">快取輸入價占輸入價比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</si>
  <si>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</t>
    </r>
    <r>
      <rPr>
        <sz val="10"/>
        <color rgb="FF000000"/>
        <rFont val="Noto Sans CJK SC"/>
        <family val="2"/>
      </rPr>
      <t xml:space="preserve">＝輸入價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</si>
  <si>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2026-09</t>
  </si>
  <si>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</t>
    </r>
  </si>
  <si>
    <t xml:space="preserve">tokenRevenue.api.cachedInputRatio</t>
  </si>
  <si>
    <t xml:space="preserve">P2</t>
  </si>
  <si>
    <t xml:space="preserve">SRC_OAI_031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</si>
  <si>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Go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</si>
  <si>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</si>
  <si>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定價頁；美國牌價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</si>
  <si>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</si>
  <si>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tokenRevenue.subscription.listPriceSep2026</t>
  </si>
  <si>
    <r>
      <rPr>
        <sz val="10"/>
        <color rgb="FF000000"/>
        <rFont val="Arial"/>
        <family val="0"/>
        <charset val="1"/>
      </rPr>
      <t xml:space="preserve">P2 ARPU </t>
    </r>
    <r>
      <rPr>
        <sz val="10"/>
        <color rgb="FF000000"/>
        <rFont val="Noto Sans CJK SC"/>
        <family val="2"/>
      </rPr>
      <t xml:space="preserve">上限參照</t>
    </r>
  </si>
  <si>
    <t xml:space="preserve">SRC_OAI_032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</si>
  <si>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Plus</t>
    </r>
  </si>
  <si>
    <t xml:space="preserve">SRC_OAI_033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</si>
  <si>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（低檔）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</si>
  <si>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兩檔之一</t>
    </r>
  </si>
  <si>
    <t xml:space="preserve">SRC_OAI_034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</si>
  <si>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（高檔）</t>
    </r>
  </si>
  <si>
    <t xml:space="preserve">SRC_OAI_035</t>
  </si>
  <si>
    <r>
      <rPr>
        <sz val="10"/>
        <color rgb="FF000000"/>
        <rFont val="Noto Sans CJK SC"/>
        <family val="2"/>
      </rPr>
      <t xml:space="preserve">訂閱牌價：</t>
    </r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每席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</si>
  <si>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席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</si>
  <si>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Arial"/>
        <family val="0"/>
        <charset val="1"/>
      </rPr>
      <t xml:space="preserve">Business </t>
    </r>
    <r>
      <rPr>
        <sz val="10"/>
        <color rgb="FF000000"/>
        <rFont val="Noto Sans CJK SC"/>
        <family val="2"/>
      </rPr>
      <t xml:space="preserve">席位區間；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</si>
  <si>
    <t xml:space="preserve">SRC_OAI_036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</si>
  <si>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</t>
    </r>
  </si>
  <si>
    <t xml:space="preserve">M</t>
  </si>
  <si>
    <t xml:space="preserve">年初內部預測</t>
  </si>
  <si>
    <t xml:space="preserve">2026-04-28</t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</si>
  <si>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</t>
    </r>
  </si>
  <si>
    <t xml:space="preserve">3</t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</si>
  <si>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</si>
  <si>
    <t xml:space="preserve">tokenRevenue.subscription.migration.planGo2026</t>
  </si>
  <si>
    <r>
      <rPr>
        <sz val="10"/>
        <color rgb="FF000000"/>
        <rFont val="Arial"/>
        <family val="0"/>
        <charset val="1"/>
      </rPr>
      <t xml:space="preserve">P2 T4 </t>
    </r>
    <r>
      <rPr>
        <sz val="10"/>
        <color rgb="FF000000"/>
        <rFont val="Noto Sans CJK SC"/>
        <family val="2"/>
      </rPr>
      <t xml:space="preserve">遷移幅度</t>
    </r>
  </si>
  <si>
    <t xml:space="preserve">SRC_OAI_037</t>
  </si>
  <si>
    <r>
      <rPr>
        <sz val="10"/>
        <color rgb="FF000000"/>
        <rFont val="Noto Sans CJK SC"/>
        <family val="2"/>
      </rPr>
      <t xml:space="preserve">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用戶數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</si>
  <si>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（年初內部預測）（追溯自「同上」鏈：本列←『公司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計畫：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用戶數』；原文：同上）</t>
    </r>
  </si>
  <si>
    <t xml:space="preserve">tokenRevenue.subscription.migration.planPlus2026</t>
  </si>
  <si>
    <t xml:space="preserve">SRC_OAI_038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</si>
  <si>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</si>
  <si>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Noto Sans CJK SC"/>
        <family val="2"/>
      </rPr>
      <t xml:space="preserve">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週用戶；僅對照</t>
    </r>
  </si>
  <si>
    <t xml:space="preserve">2026-04-09</t>
  </si>
  <si>
    <r>
      <rPr>
        <sz val="10"/>
        <color rgb="FF000000"/>
        <rFont val="Arial"/>
        <family val="0"/>
        <charset val="1"/>
      </rPr>
      <t xml:space="preserve">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</si>
  <si>
    <t xml:space="preserve">tokenRevenue.other.ads.comparisonInternalTarget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</si>
  <si>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對照（廣告）</t>
    </r>
  </si>
  <si>
    <t xml:space="preserve">SRC_OAI_039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</si>
  <si>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2027</t>
    </r>
  </si>
  <si>
    <t xml:space="preserve">SRC_OAI_040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</si>
  <si>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2028</t>
    </r>
  </si>
  <si>
    <t xml:space="preserve">SRC_OAI_041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</si>
  <si>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2029</t>
    </r>
  </si>
  <si>
    <t xml:space="preserve">SRC_OAI_042</t>
  </si>
  <si>
    <r>
      <rPr>
        <sz val="10"/>
        <color rgb="FF000000"/>
        <rFont val="Noto Sans CJK SC"/>
        <family val="2"/>
      </rPr>
      <t xml:space="preserve">內部廣告營收目標：</t>
    </r>
    <r>
      <rPr>
        <sz val="10"/>
        <color rgb="FF000000"/>
        <rFont val="Arial"/>
        <family val="0"/>
        <charset val="1"/>
      </rPr>
      <t xml:space="preserve">2030</t>
    </r>
  </si>
  <si>
    <t xml:space="preserve">SRC_OAI_043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</si>
  <si>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</si>
  <si>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未揭露</t>
    </r>
  </si>
  <si>
    <t xml:space="preserve">2026-09-18</t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</si>
  <si>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</si>
  <si>
    <t xml:space="preserve">tokenRevenue.comparison.deckJul2026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</si>
  <si>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反向模式</t>
    </r>
  </si>
  <si>
    <t xml:space="preserve">SRC_OAI_044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</si>
  <si>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</si>
  <si>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</t>
    </r>
  </si>
  <si>
    <t xml:space="preserve">SRC_OAI_045</t>
  </si>
  <si>
    <r>
      <rPr>
        <sz val="10"/>
        <color rgb="FF000000"/>
        <rFont val="Noto Sans CJK SC"/>
        <family val="2"/>
      </rPr>
      <t xml:space="preserve">管理層營收目標：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</si>
  <si>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t xml:space="preserve">SRC_OAI_046</t>
  </si>
  <si>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週用戶數計畫</t>
    </r>
  </si>
  <si>
    <t xml:space="preserve">廣告預測之用戶假設</t>
  </si>
  <si>
    <r>
      <rPr>
        <sz val="10"/>
        <color rgb="FF000000"/>
        <rFont val="Arial"/>
        <family val="0"/>
        <charset val="1"/>
      </rPr>
      <t xml:space="preserve">Axios 2026-04-09 </t>
    </r>
    <r>
      <rPr>
        <sz val="10"/>
        <color rgb="FF000000"/>
        <rFont val="Noto Sans CJK SC"/>
        <family val="2"/>
      </rPr>
      <t xml:space="preserve">廣告預測之用戶假設</t>
    </r>
  </si>
  <si>
    <t xml:space="preserve">tokenRevenue.comparison.weeklyUsers2030Plan</t>
  </si>
  <si>
    <t xml:space="preserve">SRC_OAI_047</t>
  </si>
  <si>
    <r>
      <rPr>
        <sz val="10"/>
        <color rgb="FF000000"/>
        <rFont val="Noto Sans CJK SC"/>
        <family val="2"/>
      </rPr>
      <t xml:space="preserve">推論成本合計：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</si>
  <si>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推論支出（含付費與非付費用戶）</t>
    </r>
  </si>
  <si>
    <t xml:space="preserve">2026-02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</si>
  <si>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</si>
  <si>
    <t xml:space="preserve">tokenRevenue.inferenceCost.calibration2025.inferenceTotal</t>
  </si>
  <si>
    <r>
      <rPr>
        <sz val="10"/>
        <color rgb="FF000000"/>
        <rFont val="Arial"/>
        <family val="0"/>
        <charset val="1"/>
      </rPr>
      <t xml:space="preserve">P3 V2 η </t>
    </r>
    <r>
      <rPr>
        <sz val="10"/>
        <color rgb="FF000000"/>
        <rFont val="Noto Sans CJK SC"/>
        <family val="2"/>
      </rPr>
      <t xml:space="preserve">的支出換算分子</t>
    </r>
  </si>
  <si>
    <t xml:space="preserve">T1(a)</t>
  </si>
  <si>
    <t xml:space="preserve">SRC_OAI_048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</si>
  <si>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</t>
    </r>
  </si>
  <si>
    <t xml:space="preserve">非付費用戶推論支出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</si>
  <si>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』；原文：同上：非付費用戶約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</si>
  <si>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tokenRevenue.inferenceCost.calibration2025.freeUsers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</si>
  <si>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對照</t>
    </r>
  </si>
  <si>
    <t xml:space="preserve">SRC_OAI_049</t>
  </si>
  <si>
    <r>
      <rPr>
        <sz val="10"/>
        <color rgb="FF000000"/>
        <rFont val="Noto Sans CJK SC"/>
        <family val="2"/>
      </rPr>
      <t xml:space="preserve">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付費用戶</t>
    </r>
  </si>
  <si>
    <t xml:space="preserve">付費用戶推論支出</t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</si>
  <si>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</t>
    </r>
    <r>
      <rPr>
        <sz val="10"/>
        <color rgb="FF000000"/>
        <rFont val="Noto Sans CJK SC"/>
        <family val="2"/>
      </rPr>
      <t xml:space="preserve">（追溯自「同上」鏈：本列←『推論成本：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非付費用戶』←『推論成本合計：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』；原文：同上：付費用戶 </t>
    </r>
    <r>
      <rPr>
        <sz val="10"/>
        <color rgb="FF000000"/>
        <rFont val="Arial"/>
        <family val="0"/>
        <charset val="1"/>
      </rPr>
      <t xml:space="preserve">$4.5B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</si>
  <si>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tokenRevenue.inferenceCost.calibration2025.paidUsers</t>
  </si>
  <si>
    <t xml:space="preserve">SRC_OAI_050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</si>
  <si>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2026</t>
    </r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</si>
  <si>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預測；付費占比見下列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</si>
  <si>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</si>
  <si>
    <t xml:space="preserve">tokenRevenue.inferenceCost.checks2026.inference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</si>
  <si>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</t>
    </r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</si>
  <si>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</si>
  <si>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SRC_OAI_051</t>
  </si>
  <si>
    <r>
      <rPr>
        <sz val="10"/>
        <color rgb="FF000000"/>
        <rFont val="Noto Sans CJK SC"/>
        <family val="2"/>
      </rPr>
      <t xml:space="preserve">計畫推論成本：</t>
    </r>
    <r>
      <rPr>
        <sz val="10"/>
        <color rgb="FF000000"/>
        <rFont val="Arial"/>
        <family val="0"/>
        <charset val="1"/>
      </rPr>
      <t xml:space="preserve">2030</t>
    </r>
  </si>
  <si>
    <r>
      <rPr>
        <sz val="10"/>
        <color rgb="FF000000"/>
        <rFont val="Arial"/>
        <family val="0"/>
        <charset val="1"/>
      </rPr>
      <t xml:space="preserve">OpenAI 2030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</si>
  <si>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預測（追溯自「同上」鏈：本列←『計畫推論成本：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』；原文：同上）</t>
    </r>
  </si>
  <si>
    <t xml:space="preserve">tokenRevenue.inferenceCost.checks2026.inference2030</t>
  </si>
  <si>
    <r>
      <rPr>
        <sz val="10"/>
        <color rgb="FF000000"/>
        <rFont val="Noto Sans CJK SC"/>
        <family val="2"/>
      </rPr>
      <t xml:space="preserve">含付費占比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、毛利率目標 </t>
    </r>
    <r>
      <rPr>
        <sz val="10"/>
        <color rgb="FF000000"/>
        <rFont val="Arial"/>
        <family val="0"/>
        <charset val="1"/>
      </rPr>
      <t xml:space="preserve">0.67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同節點）</t>
    </r>
  </si>
  <si>
    <t xml:space="preserve">SRC_OAI_054</t>
  </si>
  <si>
    <r>
      <rPr>
        <sz val="10"/>
        <color rgb="FF000000"/>
        <rFont val="Noto Sans CJK SC"/>
        <family val="2"/>
      </rPr>
      <t xml:space="preserve">管理層目標：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累計自由現金流</t>
    </r>
  </si>
  <si>
    <r>
      <rPr>
        <sz val="10"/>
        <color rgb="FF000000"/>
        <rFont val="Arial"/>
        <family val="0"/>
        <charset val="1"/>
      </rPr>
      <t xml:space="preserve">Jul-2026 </t>
    </r>
    <r>
      <rPr>
        <sz val="10"/>
        <color rgb="FF000000"/>
        <rFont val="Noto Sans CJK SC"/>
        <family val="2"/>
      </rPr>
      <t xml:space="preserve">簡報</t>
    </r>
  </si>
  <si>
    <t xml:space="preserve">FT 2026-09-18</t>
  </si>
  <si>
    <t xml:space="preserve">reverse.targetFCFcum2026_2030</t>
  </si>
  <si>
    <t xml:space="preserve">SRC_OAI_055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</si>
  <si>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</si>
  <si>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</si>
  <si>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</si>
  <si>
    <t xml:space="preserve">training.planCompute2026_2030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</si>
  <si>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檢查（計畫算力）；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反向目標</t>
    </r>
  </si>
  <si>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reverse.targetComputeCum2026_2030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spending.anchors.computeCum2026_2030_FT</t>
    </r>
    <r>
      <rPr>
        <sz val="10"/>
        <color rgb="FF000000"/>
        <rFont val="Noto Sans CJK SC"/>
        <family val="2"/>
      </rPr>
      <t xml:space="preserve">（同值同源）</t>
    </r>
  </si>
  <si>
    <t xml:space="preserve">SRC_OAI_056</t>
  </si>
  <si>
    <r>
      <rPr>
        <sz val="10"/>
        <color rgb="FF000000"/>
        <rFont val="Noto Sans CJK SC"/>
        <family val="2"/>
      </rPr>
      <t xml:space="preserve">管理層營收目標（舊版）：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</si>
  <si>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版本的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營收目標；只對照</t>
    </r>
  </si>
  <si>
    <r>
      <rPr>
        <sz val="10"/>
        <color rgb="FF000000"/>
        <rFont val="Arial"/>
        <family val="0"/>
        <charset val="1"/>
      </rPr>
      <t xml:space="preserve">The Information 2026-02</t>
    </r>
    <r>
      <rPr>
        <sz val="10"/>
        <color rgb="FF000000"/>
        <rFont val="Noto Sans CJK SC"/>
        <family val="2"/>
      </rPr>
      <t xml:space="preserve">；只對照</t>
    </r>
  </si>
  <si>
    <t xml:space="preserve">reverse.priorVintages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</si>
  <si>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對照</t>
    </r>
  </si>
  <si>
    <t xml:space="preserve">SRC_OAI_057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</si>
  <si>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Microsoft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增購）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</si>
  <si>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承諾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</si>
  <si>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）</t>
    </r>
  </si>
  <si>
    <t xml:space="preserve">spending.contracts.microsoftAzure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</si>
  <si>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成本</t>
    </r>
  </si>
  <si>
    <t xml:space="preserve">SRC_OAI_058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</si>
  <si>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</si>
  <si>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</si>
  <si>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Oracle</t>
  </si>
  <si>
    <t xml:space="preserve">2025-09</t>
  </si>
  <si>
    <r>
      <rPr>
        <sz val="10"/>
        <color rgb="FF000000"/>
        <rFont val="Arial"/>
        <family val="0"/>
        <charset val="1"/>
      </rPr>
      <t xml:space="preserve">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</t>
    </r>
  </si>
  <si>
    <t xml:space="preserve">spending.contracts.oracle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</si>
  <si>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供給；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</si>
  <si>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SRC_OAI_059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</si>
  <si>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</si>
  <si>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</t>
    </r>
  </si>
  <si>
    <t xml:space="preserve">P3</t>
  </si>
  <si>
    <t xml:space="preserve">SRC_OAI_060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</si>
  <si>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Oracle</t>
    </r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</si>
  <si>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2027–2031</t>
    </r>
    <r>
      <rPr>
        <sz val="10"/>
        <color rgb="FF000000"/>
        <rFont val="Noto Sans CJK SC"/>
        <family val="2"/>
      </rPr>
      <t xml:space="preserve">）</t>
    </r>
  </si>
  <si>
    <t xml:space="preserve">SRC_OAI_061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</si>
  <si>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Oracle</t>
    </r>
  </si>
  <si>
    <t xml:space="preserve">GW</t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</si>
  <si>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4.5GW</t>
    </r>
    <r>
      <rPr>
        <sz val="10"/>
        <color rgb="FF000000"/>
        <rFont val="Noto Sans CJK SC"/>
        <family val="2"/>
      </rPr>
      <t xml:space="preserve">；電力口徑未明</t>
    </r>
  </si>
  <si>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合約價</t>
    </r>
  </si>
  <si>
    <t xml:space="preserve">SRC_OAI_062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</si>
  <si>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</si>
  <si>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</si>
  <si>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AWS</t>
  </si>
  <si>
    <t xml:space="preserve">2025-11-03</t>
  </si>
  <si>
    <r>
      <rPr>
        <sz val="10"/>
        <color rgb="FF000000"/>
        <rFont val="Arial"/>
        <family val="0"/>
        <charset val="1"/>
      </rPr>
      <t xml:space="preserve">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</si>
  <si>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spending.contracts.awsNvidia</t>
  </si>
  <si>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</t>
    </r>
  </si>
  <si>
    <t xml:space="preserve">SRC_OAI_063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</si>
  <si>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</si>
  <si>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t xml:space="preserve">同上</t>
  </si>
  <si>
    <t xml:space="preserve">SRC_OAI_064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</si>
  <si>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晶片）</t>
    </r>
  </si>
  <si>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</si>
  <si>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SRC_OAI_065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</si>
  <si>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</si>
  <si>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追加；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</si>
  <si>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</t>
    </r>
  </si>
  <si>
    <t xml:space="preserve">spending.contracts.awsTrainium</t>
  </si>
  <si>
    <t xml:space="preserve">SRC_OAI_066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</si>
  <si>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</si>
  <si>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SRC_OAI_067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</si>
  <si>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</si>
  <si>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</t>
    </r>
  </si>
  <si>
    <t xml:space="preserve">SRC_OAI_068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</si>
  <si>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</si>
  <si>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</si>
  <si>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供給</t>
    </r>
  </si>
  <si>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</si>
  <si>
    <t xml:space="preserve">SRC_OAI_070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</si>
  <si>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</si>
  <si>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</si>
  <si>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CoreWeave</t>
  </si>
  <si>
    <t xml:space="preserve">2025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</si>
  <si>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</si>
  <si>
    <t xml:space="preserve">spending.contracts.coreweave</t>
  </si>
  <si>
    <t xml:space="preserve">SRC_OAI_071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</si>
  <si>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CoreWeave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</si>
  <si>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揭露</t>
    </r>
  </si>
  <si>
    <t xml:space="preserve">SRC_OAI_072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</si>
  <si>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CoreWeave</t>
    </r>
  </si>
  <si>
    <t xml:space="preserve">SRC_OAI_073</t>
  </si>
  <si>
    <r>
      <rPr>
        <sz val="10"/>
        <color rgb="FF000000"/>
        <rFont val="Noto Sans CJK SC"/>
        <family val="2"/>
      </rPr>
      <t xml:space="preserve">合約總額：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</si>
  <si>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Noto Sans CJK SC"/>
        <family val="2"/>
      </rPr>
      <t xml:space="preserve">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（下限）；</t>
    </r>
    <r>
      <rPr>
        <sz val="10"/>
        <color rgb="FF000000"/>
        <rFont val="Arial"/>
        <family val="0"/>
        <charset val="1"/>
      </rPr>
      <t xml:space="preserve">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</si>
  <si>
    <t xml:space="preserve">Cerebras</t>
  </si>
  <si>
    <t xml:space="preserve">2026</t>
  </si>
  <si>
    <r>
      <rPr>
        <sz val="10"/>
        <color rgb="FF000000"/>
        <rFont val="Arial"/>
        <family val="0"/>
        <charset val="1"/>
      </rPr>
      <t xml:space="preserve">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</si>
  <si>
    <t xml:space="preserve">spending.contracts.cerebras</t>
  </si>
  <si>
    <r>
      <rPr>
        <sz val="10"/>
        <color rgb="FF000000"/>
        <rFont val="Arial"/>
        <family val="0"/>
        <charset val="1"/>
      </rPr>
      <t xml:space="preserve">v0.5 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；上緣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</si>
  <si>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SRC_OAI_074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</si>
  <si>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</si>
  <si>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</t>
    </r>
  </si>
  <si>
    <t xml:space="preserve">SRC_OAI_075</t>
  </si>
  <si>
    <r>
      <rPr>
        <sz val="10"/>
        <color rgb="FF000000"/>
        <rFont val="Noto Sans CJK SC"/>
        <family val="2"/>
      </rPr>
      <t xml:space="preserve">合約容量：</t>
    </r>
    <r>
      <rPr>
        <sz val="10"/>
        <color rgb="FF000000"/>
        <rFont val="Arial"/>
        <family val="0"/>
        <charset val="1"/>
      </rPr>
      <t xml:space="preserve">Cerebras</t>
    </r>
  </si>
  <si>
    <t xml:space="preserve">750MW</t>
  </si>
  <si>
    <t xml:space="preserve">SRC_OAI_076</t>
  </si>
  <si>
    <r>
      <rPr>
        <sz val="10"/>
        <color rgb="FF000000"/>
        <rFont val="Noto Sans CJK SC"/>
        <family val="2"/>
      </rPr>
      <t xml:space="preserve">計畫算力支出：</t>
    </r>
    <r>
      <rPr>
        <sz val="10"/>
        <color rgb="FF000000"/>
        <rFont val="Arial"/>
        <family val="0"/>
        <charset val="1"/>
      </rPr>
      <t xml:space="preserve">2026–2030 </t>
    </r>
    <r>
      <rPr>
        <sz val="10"/>
        <color rgb="FF000000"/>
        <rFont val="Noto Sans CJK SC"/>
        <family val="2"/>
      </rPr>
      <t xml:space="preserve">累計（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</t>
    </r>
  </si>
  <si>
    <t xml:space="preserve">WSJ 2026-07-22</t>
  </si>
  <si>
    <t xml:space="preserve">2026-07-22</t>
  </si>
  <si>
    <t xml:space="preserve">spending.anchors.computeCum2026_2030_WSJ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</si>
  <si>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P5</t>
    </r>
  </si>
  <si>
    <t xml:space="preserve">SRC_OAI_077</t>
  </si>
  <si>
    <t xml:space="preserve">表外承諾存量</t>
  </si>
  <si>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</si>
  <si>
    <t xml:space="preserve">spending.anchors.offBalanceCommitmentsStock</t>
  </si>
  <si>
    <t xml:space="preserve">SRC_OAI_078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</si>
  <si>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算力支出（證詞）</t>
    </r>
  </si>
  <si>
    <r>
      <rPr>
        <sz val="10"/>
        <color rgb="FF000000"/>
        <rFont val="Arial"/>
        <family val="0"/>
        <charset val="1"/>
      </rPr>
      <t xml:space="preserve">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</si>
  <si>
    <t xml:space="preserve">spending.anchors.compute2026Testimony</t>
  </si>
  <si>
    <t xml:space="preserve">SRC_OAI_079</t>
  </si>
  <si>
    <r>
      <rPr>
        <sz val="10"/>
        <color rgb="FF000000"/>
        <rFont val="Noto Sans CJK SC"/>
        <family val="2"/>
      </rPr>
      <t xml:space="preserve">現金：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</si>
  <si>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</si>
  <si>
    <t xml:space="preserve">funding.cashEnd2025</t>
  </si>
  <si>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融資起點</t>
    </r>
  </si>
  <si>
    <t xml:space="preserve">SRC_OAI_080</t>
  </si>
  <si>
    <r>
      <rPr>
        <sz val="10"/>
        <color rgb="FF000000"/>
        <rFont val="Noto Sans CJK SC"/>
        <family val="2"/>
      </rPr>
      <t xml:space="preserve">股權融資：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輪總額</t>
    </r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</si>
  <si>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輪（</t>
    </r>
    <r>
      <rPr>
        <sz val="10"/>
        <color rgb="FF000000"/>
        <rFont val="Arial"/>
        <family val="0"/>
        <charset val="1"/>
      </rPr>
      <t xml:space="preserve">headline</t>
    </r>
    <r>
      <rPr>
        <sz val="10"/>
        <color rgb="FF000000"/>
        <rFont val="Noto Sans CJK SC"/>
        <family val="2"/>
      </rPr>
      <t xml:space="preserve">）</t>
    </r>
  </si>
  <si>
    <t xml:space="preserve">2026-03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</si>
  <si>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該葉節點無出處，依 </t>
    </r>
    <r>
      <rPr>
        <sz val="10"/>
        <color rgb="FF000000"/>
        <rFont val="Arial"/>
        <family val="0"/>
        <charset val="1"/>
      </rPr>
      <t xml:space="preserve">E8i </t>
    </r>
    <r>
      <rPr>
        <sz val="10"/>
        <color rgb="FF000000"/>
        <rFont val="Noto Sans CJK SC"/>
        <family val="2"/>
      </rPr>
      <t xml:space="preserve">補記）</t>
    </r>
  </si>
  <si>
    <t xml:space="preserve">funding.equityRound2026Mar</t>
  </si>
  <si>
    <t xml:space="preserve">P5</t>
  </si>
  <si>
    <t xml:space="preserve">SRC_OAI_082</t>
  </si>
  <si>
    <r>
      <rPr>
        <sz val="10"/>
        <color rgb="FF000000"/>
        <rFont val="Noto Sans CJK SC"/>
        <family val="2"/>
      </rPr>
      <t xml:space="preserve">股權融資：條件式部分（</t>
    </r>
    <r>
      <rPr>
        <sz val="10"/>
        <color rgb="FF000000"/>
        <rFont val="Arial"/>
        <family val="0"/>
        <charset val="1"/>
      </rPr>
      <t xml:space="preserve">Amazon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</si>
  <si>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</si>
  <si>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</si>
  <si>
    <r>
      <rPr>
        <sz val="10"/>
        <color rgb="FF000000"/>
        <rFont val="Noto Sans CJK SC"/>
        <family val="2"/>
      </rPr>
      <t xml:space="preserve">原始發布者不明（多家報導）；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情境使用時再評</t>
    </r>
  </si>
  <si>
    <t xml:space="preserve">funding.equityRound2026Mar.conditional</t>
  </si>
  <si>
    <t xml:space="preserve">SRC_OAI_083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</si>
  <si>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擔保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</si>
  <si>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</si>
  <si>
    <t xml:space="preserve">funding.contingentLiabilities.nvidiaGuarantees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</si>
  <si>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只列示）</t>
    </r>
  </si>
  <si>
    <t xml:space="preserve">SRC_OAI_084</t>
  </si>
  <si>
    <r>
      <rPr>
        <sz val="10"/>
        <color rgb="FF000000"/>
        <rFont val="Noto Sans CJK SC"/>
        <family val="2"/>
      </rPr>
      <t xml:space="preserve">或有負債：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晶片融資洽談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</si>
  <si>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；洽談中</t>
    </r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</si>
  <si>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，洽談中</t>
    </r>
  </si>
  <si>
    <t xml:space="preserve">funding.contingentLiabilities.nvidiaChipFinancingTalks</t>
  </si>
  <si>
    <t xml:space="preserve">SRC_OAI_085</t>
  </si>
  <si>
    <r>
      <rPr>
        <sz val="10"/>
        <color rgb="FF000000"/>
        <rFont val="Noto Sans CJK SC"/>
        <family val="2"/>
      </rPr>
      <t xml:space="preserve">訓練算力支出：</t>
    </r>
    <r>
      <rPr>
        <sz val="10"/>
        <color rgb="FF000000"/>
        <rFont val="Arial"/>
        <family val="0"/>
        <charset val="1"/>
      </rPr>
      <t xml:space="preserve">2024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</si>
  <si>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</t>
    </r>
  </si>
  <si>
    <t xml:space="preserve">training.actual2024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</si>
  <si>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</t>
    </r>
  </si>
  <si>
    <t xml:space="preserve">SRC_OAI_087</t>
  </si>
  <si>
    <r>
      <rPr>
        <sz val="10"/>
        <color rgb="FF000000"/>
        <rFont val="Noto Sans CJK SC"/>
        <family val="2"/>
      </rPr>
      <t xml:space="preserve">研發費用總額：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</si>
  <si>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</si>
  <si>
    <t xml:space="preserve">training.rd2025</t>
  </si>
  <si>
    <t xml:space="preserve">P4 V4</t>
  </si>
  <si>
    <t xml:space="preserve">SRC_OAI_088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</si>
  <si>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2023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</si>
  <si>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／設施未標）</t>
    </r>
  </si>
  <si>
    <t xml:space="preserve">2026-01-18</t>
  </si>
  <si>
    <r>
      <rPr>
        <sz val="10"/>
        <color rgb="FF000000"/>
        <rFont val="Arial"/>
        <family val="0"/>
        <charset val="1"/>
      </rPr>
      <t xml:space="preserve">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</t>
    </r>
  </si>
  <si>
    <t xml:space="preserve">computeMW.actuals.gwEnd2023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</si>
  <si>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總需求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對照</t>
    </r>
  </si>
  <si>
    <t xml:space="preserve">SRC_OAI_089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</si>
  <si>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</si>
  <si>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t xml:space="preserve">computeMW.actuals.gwEnd2024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</si>
  <si>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</t>
    </r>
  </si>
  <si>
    <t xml:space="preserve">SRC_OAI_090</t>
  </si>
  <si>
    <r>
      <rPr>
        <sz val="10"/>
        <color rgb="FF000000"/>
        <rFont val="Noto Sans CJK SC"/>
        <family val="2"/>
      </rPr>
      <t xml:space="preserve">算力規模：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</si>
  <si>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</si>
  <si>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computeMW.actuals.gwEnd2025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</si>
  <si>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對照（工作單 </t>
    </r>
    <r>
      <rPr>
        <sz val="10"/>
        <color rgb="FF000000"/>
        <rFont val="Arial"/>
        <family val="0"/>
        <charset val="1"/>
      </rPr>
      <t xml:space="preserve">P3-5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）</t>
    </r>
  </si>
  <si>
    <t xml:space="preserve">SRC_OAI_091</t>
  </si>
  <si>
    <r>
      <rPr>
        <sz val="10"/>
        <color rgb="FF000000"/>
        <rFont val="Noto Sans CJK SC"/>
        <family val="2"/>
      </rPr>
      <t xml:space="preserve">年化營收（</t>
    </r>
    <r>
      <rPr>
        <sz val="10"/>
        <color rgb="FF000000"/>
        <rFont val="Arial"/>
        <family val="0"/>
        <charset val="1"/>
      </rPr>
      <t xml:space="preserve">ARR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</si>
  <si>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$20B+</t>
    </r>
    <r>
      <rPr>
        <sz val="10"/>
        <color rgb="FF000000"/>
        <rFont val="Noto Sans CJK SC"/>
        <family val="2"/>
      </rPr>
      <t xml:space="preserve">）</t>
    </r>
  </si>
  <si>
    <t xml:space="preserve">computeMW.actuals.arrEnd2025</t>
  </si>
  <si>
    <t xml:space="preserve">SRC_OAI_092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</si>
  <si>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週活躍用戶（</t>
    </r>
    <r>
      <rPr>
        <sz val="10"/>
        <color rgb="FF000000"/>
        <rFont val="Arial"/>
        <family val="0"/>
        <charset val="1"/>
      </rPr>
      <t xml:space="preserve">WAU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</si>
  <si>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公告；週活躍用戶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</si>
  <si>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WAU 900M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</si>
  <si>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tokenRevenue.subscription.subsFYAvg.free.r2.V9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</si>
  <si>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免費用戶人數（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公式的依據）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</si>
  <si>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出處文字內的觀測值（</t>
    </r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：拆出為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列）</t>
    </r>
  </si>
  <si>
    <t xml:space="preserve">SRC_OAI_093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</si>
  <si>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付費用戶：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</si>
  <si>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Noto Sans CJK SC"/>
        <family val="2"/>
      </rPr>
      <t xml:space="preserve">年底人數（非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</si>
  <si>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</si>
  <si>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go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，年底）</t>
    </r>
  </si>
  <si>
    <r>
      <rPr>
        <sz val="10"/>
        <color rgb="FF000000"/>
        <rFont val="Arial"/>
        <family val="0"/>
        <charset val="1"/>
      </rPr>
      <t xml:space="preserve">tokenRevenue.subscription.subsFYAvg.go.r2.V9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</si>
  <si>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Go 2025 </t>
    </r>
    <r>
      <rPr>
        <sz val="10"/>
        <color rgb="FF000000"/>
        <rFont val="Noto Sans CJK SC"/>
        <family val="2"/>
      </rPr>
      <t xml:space="preserve">起點（錨點；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</si>
  <si>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SRC_OAI_094</t>
  </si>
  <si>
    <r>
      <rPr>
        <sz val="10"/>
        <color rgb="FF000000"/>
        <rFont val="Arial"/>
        <family val="0"/>
        <charset val="1"/>
      </rPr>
      <t xml:space="preserve">ChatGPT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</si>
  <si>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合計約 </t>
    </r>
    <r>
      <rPr>
        <sz val="10"/>
        <color rgb="FF000000"/>
        <rFont val="Arial"/>
        <family val="0"/>
        <charset val="1"/>
      </rPr>
      <t xml:space="preserve">35M</t>
    </r>
  </si>
  <si>
    <t xml:space="preserve">2025-07</t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</si>
  <si>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The Information 2025-11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</si>
  <si>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tokenRevenue.subscription.subsFYAvg.plus.r2.V9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</si>
  <si>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Plus 2025 FY </t>
    </r>
    <r>
      <rPr>
        <sz val="10"/>
        <color rgb="FF000000"/>
        <rFont val="Noto Sans CJK SC"/>
        <family val="2"/>
      </rPr>
      <t xml:space="preserve">平均（公式依據）</t>
    </r>
  </si>
  <si>
    <t xml:space="preserve">SRC_OAI_095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</si>
  <si>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付費訂閱：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年（內部文件）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</si>
  <si>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</si>
  <si>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plus </t>
    </r>
    <r>
      <rPr>
        <sz val="10"/>
        <color rgb="FF000000"/>
        <rFont val="Noto Sans CJK SC"/>
        <family val="2"/>
      </rPr>
      <t xml:space="preserve">出處）</t>
    </r>
  </si>
  <si>
    <t xml:space="preserve">SRC_OAI_097</t>
  </si>
  <si>
    <r>
      <rPr>
        <sz val="10"/>
        <color rgb="FF000000"/>
        <rFont val="Noto Sans CJK SC"/>
        <family val="2"/>
      </rPr>
      <t xml:space="preserve">付費企業用戶：</t>
    </r>
    <r>
      <rPr>
        <sz val="10"/>
        <color rgb="FF000000"/>
        <rFont val="Arial"/>
        <family val="0"/>
        <charset val="1"/>
      </rPr>
      <t xml:space="preserve">2026-02</t>
    </r>
  </si>
  <si>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付費企業用戶（『逾』＝下限）</t>
    </r>
  </si>
  <si>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seats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</si>
  <si>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tokenRevenue.subscription.subsFYAvg.seats.r2.V9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</si>
  <si>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企業席位錨點（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平均仍為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</si>
  <si>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SRC_OAI_098</t>
  </si>
  <si>
    <r>
      <rPr>
        <sz val="10"/>
        <color rgb="FF000000"/>
        <rFont val="Noto Sans CJK SC"/>
        <family val="2"/>
      </rPr>
      <t xml:space="preserve">研發費用中付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部分：</t>
    </r>
    <r>
      <rPr>
        <sz val="10"/>
        <color rgb="FF000000"/>
        <rFont val="Arial"/>
        <family val="0"/>
        <charset val="1"/>
      </rPr>
      <t xml:space="preserve">2025</t>
    </r>
  </si>
  <si>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（外流財報）</t>
    </r>
  </si>
  <si>
    <r>
      <rPr>
        <sz val="10"/>
        <color rgb="FF000000"/>
        <rFont val="Noto Sans CJK SC"/>
        <family val="2"/>
      </rPr>
      <t xml:space="preserve">外流財報（</t>
    </r>
    <r>
      <rPr>
        <sz val="10"/>
        <color rgb="FF000000"/>
        <rFont val="Arial"/>
        <family val="0"/>
        <charset val="1"/>
      </rPr>
      <t xml:space="preserve">v0.5 training.actual2025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</si>
  <si>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training.actual2025.src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r1 V6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</si>
  <si>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P4 V4</t>
    </r>
    <r>
      <rPr>
        <sz val="10"/>
        <color rgb="FF000000"/>
        <rFont val="Noto Sans CJK SC"/>
        <family val="2"/>
      </rPr>
      <t xml:space="preserve">（訓練支出＝</t>
    </r>
    <r>
      <rPr>
        <sz val="10"/>
        <color rgb="FF000000"/>
        <rFont val="Arial"/>
        <family val="0"/>
        <charset val="1"/>
      </rPr>
      <t xml:space="preserve">10.59</t>
    </r>
    <r>
      <rPr>
        <sz val="10"/>
        <color rgb="FF000000"/>
        <rFont val="Noto Sans CJK SC"/>
        <family val="2"/>
      </rPr>
      <t xml:space="preserve">＋其他雲端）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</si>
  <si>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：訓練支出 </t>
    </r>
    <r>
      <rPr>
        <sz val="10"/>
        <color rgb="FF000000"/>
        <rFont val="Arial"/>
        <family val="0"/>
        <charset val="1"/>
      </rPr>
      <t xml:space="preserve">12.0 </t>
    </r>
    <r>
      <rPr>
        <sz val="10"/>
        <color rgb="FF000000"/>
        <rFont val="Noto Sans CJK SC"/>
        <family val="2"/>
      </rPr>
      <t xml:space="preserve">拆開，付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10.59 </t>
    </r>
    <r>
      <rPr>
        <sz val="10"/>
        <color rgb="FF000000"/>
        <rFont val="Noto Sans CJK SC"/>
        <family val="2"/>
      </rPr>
      <t xml:space="preserve">進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；其他雲端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10.59–13.50</t>
    </r>
    <r>
      <rPr>
        <sz val="10"/>
        <color rgb="FF000000"/>
        <rFont val="Noto Sans CJK SC"/>
        <family val="2"/>
      </rPr>
      <t xml:space="preserve">）＝兩者相加的公式（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</si>
  <si>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t xml:space="preserve">SRC_OAI_099</t>
  </si>
  <si>
    <r>
      <rPr>
        <sz val="10"/>
        <color rgb="FF000000"/>
        <rFont val="Noto Sans CJK SC"/>
        <family val="2"/>
      </rPr>
      <t xml:space="preserve">自有園區資本支出例：</t>
    </r>
    <r>
      <rPr>
        <sz val="10"/>
        <color rgb="FF000000"/>
        <rFont val="Arial"/>
        <family val="0"/>
        <charset val="1"/>
      </rPr>
      <t xml:space="preserve">Project Camellia</t>
    </r>
  </si>
  <si>
    <t xml:space="preserve">自有園區與晶片（例）</t>
  </si>
  <si>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ownedCapex </t>
    </r>
    <r>
      <rPr>
        <sz val="10"/>
        <color rgb="FF000000"/>
        <rFont val="Noto Sans CJK SC"/>
        <family val="2"/>
      </rPr>
      <t xml:space="preserve">出處）</t>
    </r>
  </si>
  <si>
    <r>
      <rPr>
        <sz val="10"/>
        <color rgb="FF000000"/>
        <rFont val="Arial"/>
        <family val="0"/>
        <charset val="1"/>
      </rPr>
      <t xml:space="preserve">spending.ownedCapex.src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</si>
  <si>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自有資本支出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的參照（錨點）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</si>
  <si>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出處為『例』；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整體額，不等於此單一專案</t>
    </r>
  </si>
  <si>
    <t xml:space="preserve">SRC_OAI_100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</si>
  <si>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每日訊息數：</t>
    </r>
    <r>
      <rPr>
        <sz val="10"/>
        <color rgb="FF000000"/>
        <rFont val="Arial"/>
        <family val="0"/>
        <charset val="1"/>
      </rPr>
      <t xml:space="preserve">2025-07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</si>
  <si>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</si>
  <si>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則訊息（總量對照）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</si>
  <si>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tasksPerDay </t>
    </r>
    <r>
      <rPr>
        <sz val="10"/>
        <color rgb="FF000000"/>
        <rFont val="Noto Sans CJK SC"/>
        <family val="2"/>
      </rPr>
      <t xml:space="preserve">出處：總量對照）</t>
    </r>
  </si>
  <si>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</t>
    </r>
  </si>
  <si>
    <r>
      <rPr>
        <sz val="10"/>
        <color rgb="FF000000"/>
        <rFont val="Arial"/>
        <family val="0"/>
        <charset val="1"/>
      </rPr>
      <t xml:space="preserve">tokenRevenue.subscription.tasksPerDay.src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V9 </t>
    </r>
    <r>
      <rPr>
        <sz val="10"/>
        <color rgb="FF000000"/>
        <rFont val="Noto Sans CJK SC"/>
        <family val="2"/>
      </rPr>
      <t xml:space="preserve">掃描）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</si>
  <si>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每日任務數的總量對照</t>
    </r>
  </si>
  <si>
    <t xml:space="preserve">SRC_OAI_101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</si>
  <si>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用戶倍數：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（內部預測：倍增）</t>
    </r>
  </si>
  <si>
    <t xml:space="preserve">倍</t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</si>
  <si>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用戶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</si>
  <si>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pro </t>
    </r>
    <r>
      <rPr>
        <sz val="10"/>
        <color rgb="FF000000"/>
        <rFont val="Noto Sans CJK SC"/>
        <family val="2"/>
      </rPr>
      <t xml:space="preserve">出處：內部預測）</t>
    </r>
  </si>
  <si>
    <r>
      <rPr>
        <sz val="10"/>
        <color rgb="FF000000"/>
        <rFont val="Arial"/>
        <family val="0"/>
        <charset val="1"/>
      </rPr>
      <t xml:space="preserve">tokenRevenue.subscription.subsFYAvg.pro.r2.V9 </t>
    </r>
    <r>
      <rPr>
        <sz val="10"/>
        <color rgb="FF000000"/>
        <rFont val="Noto Sans CJK SC"/>
        <family val="2"/>
      </rPr>
      <t xml:space="preserve">出處文字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</si>
  <si>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約束一：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</t>
    </r>
    <r>
      <rPr>
        <sz val="10"/>
        <color rgb="FF000000"/>
        <rFont val="Noto Sans CJK SC"/>
        <family val="2"/>
      </rPr>
      <t xml:space="preserve">此倍數</t>
    </r>
  </si>
  <si>
    <t xml:space="preserve">SRC_OAI_102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</si>
  <si>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上限（內部預測：</t>
    </r>
    <r>
      <rPr>
        <sz val="10"/>
        <color rgb="FF000000"/>
        <rFont val="Arial"/>
        <family val="0"/>
        <charset val="1"/>
      </rPr>
      <t xml:space="preserve">&lt;1%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</si>
  <si>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占付費總數低於 </t>
    </r>
    <r>
      <rPr>
        <sz val="10"/>
        <color rgb="FF000000"/>
        <rFont val="Arial"/>
        <family val="0"/>
        <charset val="1"/>
      </rPr>
      <t xml:space="preserve">1%</t>
    </r>
    <r>
      <rPr>
        <sz val="10"/>
        <color rgb="FF000000"/>
        <rFont val="Noto Sans CJK SC"/>
        <family val="2"/>
      </rPr>
      <t xml:space="preserve">（上限，非點值）</t>
    </r>
  </si>
  <si>
    <r>
      <rPr>
        <sz val="10"/>
        <color rgb="FF000000"/>
        <rFont val="Arial"/>
        <family val="0"/>
        <charset val="1"/>
      </rPr>
      <t xml:space="preserve">V12 </t>
    </r>
    <r>
      <rPr>
        <sz val="10"/>
        <color rgb="FF000000"/>
        <rFont val="Noto Sans CJK SC"/>
        <family val="2"/>
      </rPr>
      <t xml:space="preserve">約束二：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占比不得超過此上限</t>
    </r>
  </si>
  <si>
    <t xml:space="preserve">SRC_OAI_103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</si>
  <si>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推論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</si>
  <si>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</si>
  <si>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</si>
  <si>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gwNote </t>
    </r>
    <r>
      <rPr>
        <sz val="10"/>
        <color rgb="FF000000"/>
        <rFont val="Noto Sans CJK SC"/>
        <family val="2"/>
      </rPr>
      <t xml:space="preserve">轉述）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</si>
  <si>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</si>
  <si>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spending.contracts.awsTrainium.src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</si>
  <si>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區間上緣（與下列訓練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相加＝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公式）</t>
    </r>
  </si>
  <si>
    <r>
      <rPr>
        <sz val="10"/>
        <color rgb="FF000000"/>
        <rFont val="Noto Sans CJK SC"/>
        <family val="2"/>
      </rPr>
      <t xml:space="preserve">揭露口徑衝突：公告 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WSJ 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</si>
  <si>
    <t xml:space="preserve">SRC_OAI_104</t>
  </si>
  <si>
    <r>
      <rPr>
        <sz val="10"/>
        <color rgb="FF000000"/>
        <rFont val="Noto Sans CJK SC"/>
        <family val="2"/>
      </rPr>
      <t xml:space="preserve">合約容量（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口徑）：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</si>
  <si>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WSJ 2026-07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</si>
  <si>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區間上緣</t>
    </r>
  </si>
  <si>
    <t xml:space="preserve">SRC_OAI_105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</si>
  <si>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</si>
  <si>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意向書，非約束性；比較用，不計入現金流（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</si>
  <si>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Nvidia</t>
  </si>
  <si>
    <t xml:space="preserve">2025-09-22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</si>
  <si>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2025-09-22 </t>
    </r>
    <r>
      <rPr>
        <sz val="10"/>
        <color rgb="FF000000"/>
        <rFont val="Noto Sans CJK SC"/>
        <family val="2"/>
      </rPr>
      <t xml:space="preserve">聯合公告（意向書，非約束性）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</si>
  <si>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有募資與算力規模訊號誘因，供應商有營收與股價訊號誘因；金額為承諾總額，非實付；協議性質：非約束性意向書</t>
    </r>
  </si>
  <si>
    <r>
      <rPr>
        <sz val="10"/>
        <color rgb="FF000000"/>
        <rFont val="Noto Sans CJK SC"/>
        <family val="2"/>
      </rPr>
      <t xml:space="preserve">未標（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決策文字）</t>
    </r>
  </si>
  <si>
    <r>
      <rPr>
        <sz val="10"/>
        <color rgb="FF000000"/>
        <rFont val="Arial"/>
        <family val="0"/>
        <charset val="1"/>
      </rPr>
      <t xml:space="preserve">spending.excludedOrComparison.src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E8h</t>
    </r>
    <r>
      <rPr>
        <sz val="10"/>
        <color rgb="FF000000"/>
        <rFont val="Noto Sans CJK SC"/>
        <family val="2"/>
      </rPr>
      <t xml:space="preserve">）</t>
    </r>
  </si>
  <si>
    <t xml:space="preserve">比較用</t>
  </si>
  <si>
    <r>
      <rPr>
        <sz val="10"/>
        <color rgb="FF000000"/>
        <rFont val="Noto Sans CJK SC"/>
        <family val="2"/>
      </rPr>
      <t xml:space="preserve">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：避免與股權重複）；</t>
    </r>
    <r>
      <rPr>
        <sz val="10"/>
        <color rgb="FF000000"/>
        <rFont val="Arial"/>
        <family val="0"/>
        <charset val="1"/>
      </rPr>
      <t xml:space="preserve">v0.5 excludedOrComparison </t>
    </r>
    <r>
      <rPr>
        <sz val="10"/>
        <color rgb="FF000000"/>
        <rFont val="Noto Sans CJK SC"/>
        <family val="2"/>
      </rPr>
      <t xml:space="preserve">決策文字</t>
    </r>
  </si>
  <si>
    <t xml:space="preserve">SRC_OAI_106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</si>
  <si>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意向：</t>
    </r>
    <r>
      <rPr>
        <sz val="10"/>
        <color rgb="FF000000"/>
        <rFont val="Arial"/>
        <family val="0"/>
        <charset val="1"/>
      </rPr>
      <t xml:space="preserve">$100B</t>
    </r>
  </si>
  <si>
    <r>
      <rPr>
        <sz val="10"/>
        <color rgb="FF000000"/>
        <rFont val="Noto Sans CJK SC"/>
        <family val="2"/>
      </rPr>
      <t xml:space="preserve">意向書，非約束性；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的投資上限，隨每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部署逐步投入，不是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的算力支出；比較用，不計入現金流（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</si>
  <si>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SRC_OAI_107</t>
  </si>
  <si>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10GW</t>
    </r>
  </si>
  <si>
    <r>
      <rPr>
        <sz val="10"/>
        <color rgb="FF000000"/>
        <rFont val="Noto Sans CJK SC"/>
        <family val="2"/>
      </rPr>
      <t xml:space="preserve">自研加速器部署；條款書；比較用，不計入現金流（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</si>
  <si>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Broadcom</t>
  </si>
  <si>
    <t xml:space="preserve">2025-10-13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</si>
  <si>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Broadcom 2025-10-13 </t>
    </r>
    <r>
      <rPr>
        <sz val="10"/>
        <color rgb="FF000000"/>
        <rFont val="Noto Sans CJK SC"/>
        <family val="2"/>
      </rPr>
      <t xml:space="preserve">聯合公告（自研加速器部署，條款書）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</si>
  <si>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有募資與算力規模訊號誘因，供應商有營收與股價訊號誘因；金額為承諾總額，非實付；協議性質：條款書</t>
    </r>
  </si>
  <si>
    <t xml:space="preserve">SRC_OAI_108</t>
  </si>
  <si>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晶片：</t>
    </r>
    <r>
      <rPr>
        <sz val="10"/>
        <color rgb="FF000000"/>
        <rFont val="Arial"/>
        <family val="0"/>
        <charset val="1"/>
      </rPr>
      <t xml:space="preserve">6GW</t>
    </r>
  </si>
  <si>
    <r>
      <rPr>
        <sz val="10"/>
        <color rgb="FF000000"/>
        <rFont val="Noto Sans CJK SC"/>
        <family val="2"/>
      </rPr>
      <t xml:space="preserve">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認股權證；比較用，不計入現金流（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：避免與股權重複）</t>
    </r>
  </si>
  <si>
    <t xml:space="preserve">AMD</t>
  </si>
  <si>
    <t xml:space="preserve">2025-10-06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</si>
  <si>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AMD 2025-10-06 </t>
    </r>
    <r>
      <rPr>
        <sz val="10"/>
        <color rgb="FF000000"/>
        <rFont val="Noto Sans CJK SC"/>
        <family val="2"/>
      </rPr>
      <t xml:space="preserve">聯合公告（最終協議，附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認股權證）</t>
    </r>
  </si>
  <si>
    <r>
      <rPr>
        <sz val="10"/>
        <color rgb="FF000000"/>
        <rFont val="Noto Sans CJK SC"/>
        <family val="2"/>
      </rPr>
      <t xml:space="preserve">合約雙方公告；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有募資與算力規模訊號誘因，供應商有營收與股價訊號誘因；金額為承諾總額，非實付；協議性質：最終協議，附 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認股權證</t>
    </r>
  </si>
  <si>
    <t xml:space="preserve">SRC_OAI_109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</si>
  <si>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</si>
  <si>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</t>
    </r>
  </si>
  <si>
    <r>
      <rPr>
        <sz val="10"/>
        <color rgb="FF000000"/>
        <rFont val="Arial"/>
        <family val="0"/>
        <charset val="1"/>
      </rPr>
      <t xml:space="preserve">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</si>
  <si>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10"/>
        <color rgb="FF000000"/>
        <rFont val="Arial"/>
        <family val="0"/>
        <charset val="1"/>
      </rPr>
      <t xml:space="preserve">funding.equityRound2026Mar.unconditional2026.src</t>
    </r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</si>
  <si>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無條件部分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）</t>
    </r>
  </si>
  <si>
    <t xml:space="preserve">SRC_OAI_110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</si>
  <si>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SoftBank</t>
    </r>
    <r>
      <rPr>
        <sz val="10"/>
        <color rgb="FF000000"/>
        <rFont val="Noto Sans CJK SC"/>
        <family val="2"/>
      </rPr>
      <t xml:space="preserve">（三期）</t>
    </r>
  </si>
  <si>
    <t xml:space="preserve">SRC_OAI_111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</si>
  <si>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</t>
    </r>
    <r>
      <rPr>
        <sz val="10"/>
        <color rgb="FF000000"/>
        <rFont val="Arial"/>
        <family val="0"/>
        <charset val="1"/>
      </rPr>
      <t xml:space="preserve">Nvidia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</si>
  <si>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以現金計為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的處理（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），另有報導稱多為算力</t>
    </r>
  </si>
  <si>
    <t xml:space="preserve">SRC_OAI_112</t>
  </si>
  <si>
    <r>
      <rPr>
        <sz val="10"/>
        <color rgb="FF000000"/>
        <rFont val="Noto Sans CJK SC"/>
        <family val="2"/>
      </rPr>
      <t xml:space="preserve">股權融資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輪：其他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</si>
  <si>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無條件部分的組成（約）</t>
    </r>
  </si>
  <si>
    <t xml:space="preserve">SRC_OAI_113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</si>
  <si>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</si>
  <si>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輸入；</t>
    </r>
    <r>
      <rPr>
        <sz val="10"/>
        <color rgb="FF000000"/>
        <rFont val="Arial"/>
        <family val="0"/>
        <charset val="1"/>
      </rPr>
      <t xml:space="preserve">N3a </t>
    </r>
    <r>
      <rPr>
        <sz val="10"/>
        <color rgb="FF000000"/>
        <rFont val="Noto Sans CJK SC"/>
        <family val="2"/>
      </rPr>
      <t xml:space="preserve">層級角色＝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上市前）</t>
    </r>
  </si>
  <si>
    <r>
      <rPr>
        <sz val="10"/>
        <color rgb="FF000000"/>
        <rFont val="Arial"/>
        <family val="0"/>
        <charset val="1"/>
      </rPr>
      <t xml:space="preserve">tokenRevenue.api.priceEvents2026.</t>
    </r>
    <r>
      <rPr>
        <sz val="10"/>
        <color rgb="FF000000"/>
        <rFont val="Noto Sans CJK SC"/>
        <family val="2"/>
      </rPr>
      <t xml:space="preserve">數值拆分（</t>
    </r>
    <r>
      <rPr>
        <sz val="10"/>
        <color rgb="FF000000"/>
        <rFont val="Arial"/>
        <family val="0"/>
        <charset val="1"/>
      </rPr>
      <t xml:space="preserve">P2 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</si>
  <si>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P2 FY2026 </t>
    </r>
    <r>
      <rPr>
        <sz val="10"/>
        <color rgb="FF000000"/>
        <rFont val="Noto Sans CJK SC"/>
        <family val="2"/>
      </rPr>
      <t xml:space="preserve">平均牌價（事件時點天數加權）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</si>
  <si>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價格事件文字列拆出的數值（同一出處）；事件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之後的價格＝</t>
    </r>
    <r>
      <rPr>
        <sz val="10"/>
        <color rgb="FF000000"/>
        <rFont val="Arial"/>
        <family val="0"/>
        <charset val="1"/>
      </rPr>
      <t xml:space="preserve">2026-09-25 </t>
    </r>
    <r>
      <rPr>
        <sz val="10"/>
        <color rgb="FF000000"/>
        <rFont val="Noto Sans CJK SC"/>
        <family val="2"/>
      </rPr>
      <t xml:space="preserve">牌價快照列</t>
    </r>
  </si>
  <si>
    <t xml:space="preserve">SRC_OAI_114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</si>
  <si>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</si>
  <si>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Sol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top</t>
    </r>
  </si>
  <si>
    <t xml:space="preserve">SRC_OAI_115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</si>
  <si>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</si>
  <si>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</si>
  <si>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</si>
  <si>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Terra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</si>
  <si>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Terra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mid</t>
    </r>
  </si>
  <si>
    <t xml:space="preserve">SRC_OAI_117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</si>
  <si>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</si>
  <si>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輸入；層級角色＝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</si>
  <si>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</si>
  <si>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</si>
  <si>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07-09 GPT-5.6 Luna </t>
    </r>
    <r>
      <rPr>
        <sz val="10"/>
        <color rgb="FF000000"/>
        <rFont val="Noto Sans CJK SC"/>
        <family val="2"/>
      </rPr>
      <t xml:space="preserve">輸出；層級角色＝</t>
    </r>
    <r>
      <rPr>
        <sz val="10"/>
        <color rgb="FF000000"/>
        <rFont val="Arial"/>
        <family val="0"/>
        <charset val="1"/>
      </rPr>
      <t xml:space="preserve">low</t>
    </r>
  </si>
  <si>
    <t xml:space="preserve">SRC_OAI_119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</si>
  <si>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</si>
  <si>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</si>
  <si>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</si>
  <si>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Terra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</si>
  <si>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Terra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</si>
  <si>
    <t xml:space="preserve">SRC_OAI_121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</si>
  <si>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</si>
  <si>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降價後輸入（−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</si>
  <si>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SRC_OAI_122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</si>
  <si>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</t>
    </r>
  </si>
  <si>
    <r>
      <rPr>
        <sz val="10"/>
        <color rgb="FF000000"/>
        <rFont val="Arial"/>
        <family val="0"/>
        <charset val="1"/>
      </rPr>
      <t xml:space="preserve">07-30 Luna </t>
    </r>
    <r>
      <rPr>
        <sz val="10"/>
        <color rgb="FF000000"/>
        <rFont val="Noto Sans CJK SC"/>
        <family val="2"/>
      </rPr>
      <t xml:space="preserve">降價後輸出（−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</t>
    </r>
  </si>
  <si>
    <t xml:space="preserve">SRC_OAI_123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</si>
  <si>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輸入（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</si>
  <si>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促銷輸入</t>
    </r>
  </si>
  <si>
    <t xml:space="preserve">SRC_OAI_124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</si>
  <si>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 輸出（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</t>
    </r>
  </si>
  <si>
    <r>
      <rPr>
        <sz val="10"/>
        <color rgb="FF000000"/>
        <rFont val="Arial"/>
        <family val="0"/>
        <charset val="1"/>
      </rPr>
      <t xml:space="preserve">08-22 Sol </t>
    </r>
    <r>
      <rPr>
        <sz val="10"/>
        <color rgb="FF000000"/>
        <rFont val="Noto Sans CJK SC"/>
        <family val="2"/>
      </rPr>
      <t xml:space="preserve">促銷輸出</t>
    </r>
  </si>
  <si>
    <t xml:space="preserve">SRC_OAI_125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</si>
  <si>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</si>
  <si>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t xml:space="preserve">日期序列值</t>
  </si>
  <si>
    <r>
      <rPr>
        <sz val="10"/>
        <color rgb="FF000000"/>
        <rFont val="Arial"/>
        <family val="0"/>
        <charset val="1"/>
      </rPr>
      <t xml:space="preserve">2026-07-30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Terra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降價）；公告日＝生效日（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46233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2026-07-30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</si>
  <si>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價格事件時點基準（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</si>
  <si>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：事件時點的基準值（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）；區間由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偏移天數（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）給出</t>
    </r>
  </si>
  <si>
    <t xml:space="preserve">SRC_OAI_126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</si>
  <si>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</si>
  <si>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2026-08-22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促銷）；公告日＝生效日（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46256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2026-08-22</t>
    </r>
  </si>
  <si>
    <t xml:space="preserve">SRC_OAI_127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</si>
  <si>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</si>
  <si>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層價格上升））；公告日＝生效日（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2026-09-03</t>
    </r>
  </si>
  <si>
    <t xml:space="preserve">SRC_OAI_128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</si>
  <si>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</si>
  <si>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上市（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層降價））；公告日＝生效日（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事件清單未區分）；序列值 </t>
    </r>
    <r>
      <rPr>
        <sz val="10"/>
        <color rgb="FF000000"/>
        <rFont val="Arial"/>
        <family val="0"/>
        <charset val="1"/>
      </rPr>
      <t xml:space="preserve">46287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2026-09-22</t>
    </r>
  </si>
  <si>
    <r>
      <rPr>
        <b val="true"/>
        <sz val="13"/>
        <rFont val="Arial"/>
        <family val="0"/>
        <charset val="1"/>
      </rPr>
      <t xml:space="preserve">TK_Link — Tokenomics </t>
    </r>
    <r>
      <rPr>
        <b val="true"/>
        <sz val="13"/>
        <rFont val="Noto Sans CJK SC"/>
        <family val="2"/>
      </rPr>
      <t xml:space="preserve">快照（第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層連結；不用 </t>
    </r>
    <r>
      <rPr>
        <b val="true"/>
        <sz val="13"/>
        <rFont val="Arial"/>
        <family val="0"/>
        <charset val="1"/>
      </rPr>
      <t xml:space="preserve">Excel </t>
    </r>
    <r>
      <rPr>
        <b val="true"/>
        <sz val="13"/>
        <rFont val="Noto Sans CJK SC"/>
        <family val="2"/>
      </rPr>
      <t xml:space="preserve">外部連結）</t>
    </r>
  </si>
  <si>
    <r>
      <rPr>
        <sz val="9"/>
        <color rgb="FF595959"/>
        <rFont val="Noto Sans CJK SC"/>
        <family val="2"/>
      </rPr>
      <t xml:space="preserve">每列一個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名稱（</t>
    </r>
    <r>
      <rPr>
        <sz val="9"/>
        <color rgb="FF595959"/>
        <rFont val="Arial"/>
        <family val="0"/>
        <charset val="1"/>
      </rPr>
      <t xml:space="preserve">SRC_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</t>
    </r>
    <r>
      <rPr>
        <sz val="9"/>
        <color rgb="FF595959"/>
        <rFont val="Noto Sans CJK SC"/>
        <family val="2"/>
      </rPr>
      <t xml:space="preserve">）。值（藍字）由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從 </t>
    </r>
    <r>
      <rPr>
        <sz val="9"/>
        <color rgb="FF595959"/>
        <rFont val="Arial"/>
        <family val="0"/>
        <charset val="1"/>
      </rPr>
      <t xml:space="preserve">Tokenomics master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model/CURRENT </t>
    </r>
    <r>
      <rPr>
        <sz val="9"/>
        <color rgb="FF595959"/>
        <rFont val="Noto Sans CJK SC"/>
        <family val="2"/>
      </rPr>
      <t xml:space="preserve">讀出寫入；本模型公式只引用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具名範圍。更新快照＝本模型的修補版。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</si>
  <si>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檔案</t>
    </r>
  </si>
  <si>
    <t xml:space="preserve">20261007_Tokenomics_v5.24.xlsx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</si>
  <si>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版本</t>
    </r>
  </si>
  <si>
    <t xml:space="preserve">v5.24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</si>
  <si>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master</t>
    </r>
    <r>
      <rPr>
        <b val="true"/>
        <sz val="10"/>
        <rFont val="Noto Sans CJK SC"/>
        <family val="2"/>
      </rPr>
      <t xml:space="preserve">）</t>
    </r>
  </si>
  <si>
    <t xml:space="preserve">bdb0de7c0d94620591d665efa43856193f23fbba</t>
  </si>
  <si>
    <t xml:space="preserve">讀取日期</t>
  </si>
  <si>
    <t xml:space="preserve">2026-10-07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</si>
  <si>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</si>
  <si>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</si>
  <si>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</si>
  <si>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</si>
  <si>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</si>
  <si>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</si>
  <si>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成本情境</t>
  </si>
  <si>
    <t xml:space="preserve">低成本</t>
  </si>
  <si>
    <t xml:space="preserve">基準</t>
  </si>
  <si>
    <t xml:space="preserve">高成本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</si>
  <si>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名稱</t>
    </r>
  </si>
  <si>
    <t xml:space="preserve">本模型名稱</t>
  </si>
  <si>
    <t xml:space="preserve">說明</t>
  </si>
  <si>
    <t xml:space="preserve">欄數</t>
  </si>
  <si>
    <r>
      <rPr>
        <b val="true"/>
        <sz val="10"/>
        <rFont val="Noto Sans CJK SC"/>
        <family val="2"/>
      </rPr>
      <t xml:space="preserve">提交 </t>
    </r>
    <r>
      <rPr>
        <b val="true"/>
        <sz val="10"/>
        <rFont val="Arial"/>
        <family val="0"/>
        <charset val="1"/>
      </rPr>
      <t xml:space="preserve">SHA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</si>
  <si>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</si>
  <si>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</si>
  <si>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</si>
  <si>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</si>
  <si>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5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</si>
  <si>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6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</si>
  <si>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7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</si>
  <si>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8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</si>
  <si>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9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</si>
  <si>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10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</si>
  <si>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11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</si>
  <si>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12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</si>
  <si>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13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</si>
  <si>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14</t>
    </r>
  </si>
  <si>
    <r>
      <rPr>
        <b val="true"/>
        <sz val="10"/>
        <rFont val="Noto Sans CJK SC"/>
        <family val="2"/>
      </rPr>
      <t xml:space="preserve">值</t>
    </r>
    <r>
      <rPr>
        <b val="true"/>
        <sz val="10"/>
        <rFont val="Arial"/>
        <family val="0"/>
        <charset val="1"/>
      </rPr>
      <t xml:space="preserve">15</t>
    </r>
  </si>
  <si>
    <t xml:space="preserve">IF_TokGW_Astra</t>
  </si>
  <si>
    <t xml:space="preserve">TK_IF_TokGW_Astra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</si>
  <si>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</si>
  <si>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</si>
  <si>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t xml:space="preserve">OK</t>
  </si>
  <si>
    <t xml:space="preserve">bdb0de7</t>
  </si>
  <si>
    <t xml:space="preserve">IF_TokGW_Luna</t>
  </si>
  <si>
    <t xml:space="preserve">TK_IF_TokGW_Luna</t>
  </si>
  <si>
    <t xml:space="preserve">IF_TokGW_Sol</t>
  </si>
  <si>
    <t xml:space="preserve">TK_IF_TokGW_Sol</t>
  </si>
  <si>
    <t xml:space="preserve">IF_Util</t>
  </si>
  <si>
    <t xml:space="preserve">TK_IF_Util</t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</si>
  <si>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</t>
    </r>
  </si>
  <si>
    <t xml:space="preserve">%</t>
  </si>
  <si>
    <t xml:space="preserve">IF_HoldEcon</t>
  </si>
  <si>
    <t xml:space="preserve">TK_IF_HoldEcon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</si>
  <si>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— 經濟口徑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</si>
  <si>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</si>
  <si>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t xml:space="preserve">IF_FullCost_Astra</t>
  </si>
  <si>
    <t xml:space="preserve">TK_IF_FullCost_Astra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</si>
  <si>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</t>
    </r>
  </si>
  <si>
    <t xml:space="preserve">$/M</t>
  </si>
  <si>
    <t xml:space="preserve">IF_FullCost_Luna</t>
  </si>
  <si>
    <t xml:space="preserve">TK_IF_FullCost_Luna</t>
  </si>
  <si>
    <t xml:space="preserve">IF_FullCost_Sol</t>
  </si>
  <si>
    <t xml:space="preserve">TK_IF_FullCost_Sol</t>
  </si>
  <si>
    <t xml:space="preserve">IF_PriceCached_Astra</t>
  </si>
  <si>
    <t xml:space="preserve">TK_IF_PriceCached_Astra</t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</si>
  <si>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</si>
  <si>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IF_PriceCached_Luna</t>
  </si>
  <si>
    <t xml:space="preserve">TK_IF_PriceCached_Luna</t>
  </si>
  <si>
    <t xml:space="preserve">IF_PriceCached_Sol</t>
  </si>
  <si>
    <t xml:space="preserve">TK_IF_PriceCached_Sol</t>
  </si>
  <si>
    <t xml:space="preserve">IF_PriceFresh_Astra</t>
  </si>
  <si>
    <t xml:space="preserve">TK_IF_PriceFresh_Astra</t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</si>
  <si>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</si>
  <si>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IF_PriceFresh_Luna</t>
  </si>
  <si>
    <t xml:space="preserve">TK_IF_PriceFresh_Luna</t>
  </si>
  <si>
    <t xml:space="preserve">IF_PriceFresh_Sol</t>
  </si>
  <si>
    <t xml:space="preserve">TK_IF_PriceFresh_Sol</t>
  </si>
  <si>
    <t xml:space="preserve">IF_PriceOut_Astra</t>
  </si>
  <si>
    <t xml:space="preserve">TK_IF_PriceOut_Astra</t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</si>
  <si>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</si>
  <si>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IF_PriceOut_Luna</t>
  </si>
  <si>
    <t xml:space="preserve">TK_IF_PriceOut_Luna</t>
  </si>
  <si>
    <t xml:space="preserve">IF_PriceOut_Sol</t>
  </si>
  <si>
    <t xml:space="preserve">TK_IF_PriceOut_Sol</t>
  </si>
  <si>
    <t xml:space="preserve">IF_PriceRef_Astra</t>
  </si>
  <si>
    <t xml:space="preserve">TK_IF_PriceRef_Astra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</si>
  <si>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</t>
    </r>
  </si>
  <si>
    <t xml:space="preserve">IF_PriceRef_Luna</t>
  </si>
  <si>
    <t xml:space="preserve">TK_IF_PriceRef_Luna</t>
  </si>
  <si>
    <t xml:space="preserve">IF_PriceRef_Sol</t>
  </si>
  <si>
    <t xml:space="preserve">TK_IF_PriceRef_Sol</t>
  </si>
  <si>
    <t xml:space="preserve">IF_PriceThink_Astra</t>
  </si>
  <si>
    <t xml:space="preserve">TK_IF_PriceThink_Astra</t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</si>
  <si>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</t>
    </r>
  </si>
  <si>
    <t xml:space="preserve">IF_PriceThink_Luna</t>
  </si>
  <si>
    <t xml:space="preserve">TK_IF_PriceThink_Luna</t>
  </si>
  <si>
    <t xml:space="preserve">IF_PriceThink_Sol</t>
  </si>
  <si>
    <t xml:space="preserve">TK_IF_PriceThink_Sol</t>
  </si>
  <si>
    <t xml:space="preserve">IF_FrontRef_Astra</t>
  </si>
  <si>
    <t xml:space="preserve">TK_IF_FrontRef_Astra</t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</si>
  <si>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</t>
    </r>
  </si>
  <si>
    <t xml:space="preserve">IF_FrontRef_Luna</t>
  </si>
  <si>
    <t xml:space="preserve">TK_IF_FrontRef_Luna</t>
  </si>
  <si>
    <t xml:space="preserve">IF_FrontRef_Sol</t>
  </si>
  <si>
    <t xml:space="preserve">TK_IF_FrontRef_Sol</t>
  </si>
  <si>
    <t xml:space="preserve">IF_ProgGWyr_Astra</t>
  </si>
  <si>
    <t xml:space="preserve">TK_IF_ProgGWyr_Astra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</si>
  <si>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</si>
  <si>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t xml:space="preserve">IF_ProgGWyr_Luna</t>
  </si>
  <si>
    <t xml:space="preserve">TK_IF_ProgGWyr_Luna</t>
  </si>
  <si>
    <t xml:space="preserve">IF_ProgGWyr_Sol</t>
  </si>
  <si>
    <t xml:space="preserve">TK_IF_ProgGWyr_Sol</t>
  </si>
  <si>
    <t xml:space="preserve">IF_RDMult</t>
  </si>
  <si>
    <t xml:space="preserve">TK_IF_RDMult</t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</si>
  <si>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</t>
    </r>
  </si>
  <si>
    <t xml:space="preserve">x</t>
  </si>
  <si>
    <t xml:space="preserve">IF_TrainGenDefault</t>
  </si>
  <si>
    <t xml:space="preserve">TK_IF_TrainGenDefault</t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</si>
  <si>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</si>
  <si>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t xml:space="preserve">索引</t>
  </si>
  <si>
    <t xml:space="preserve">SRC_DEM_004</t>
  </si>
  <si>
    <t xml:space="preserve">TK_SRC_DEM_004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</si>
  <si>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推論支出（年度）</t>
    </r>
  </si>
  <si>
    <t xml:space="preserve">SRC_DEM_005</t>
  </si>
  <si>
    <t xml:space="preserve">TK_SRC_DEM_005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</si>
  <si>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非付費用戶推論支出（年度）</t>
    </r>
  </si>
  <si>
    <t xml:space="preserve">SRC_DEM_006</t>
  </si>
  <si>
    <t xml:space="preserve">TK_SRC_DEM_006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</si>
  <si>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訓練支出（年度；約值）</t>
    </r>
  </si>
  <si>
    <t xml:space="preserve">SRC_DEM_007</t>
  </si>
  <si>
    <t xml:space="preserve">TK_SRC_DEM_007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</si>
  <si>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營收（年度）</t>
    </r>
  </si>
  <si>
    <t xml:space="preserve">SRC_DEM_008</t>
  </si>
  <si>
    <t xml:space="preserve">TK_SRC_DEM_008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</si>
  <si>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））</t>
    </r>
  </si>
  <si>
    <t xml:space="preserve">SRC_DEM_009</t>
  </si>
  <si>
    <t xml:space="preserve">TK_SRC_DEM_009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</si>
  <si>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年底（約值；口徑未明）</t>
    </r>
  </si>
  <si>
    <t xml:space="preserve">SRC_DEM_010</t>
  </si>
  <si>
    <t xml:space="preserve">TK_SRC_DEM_010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</si>
  <si>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</si>
  <si>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SRC_DEM_011</t>
  </si>
  <si>
    <t xml:space="preserve">TK_SRC_DEM_011</t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</si>
  <si>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處理量（時點值；「超過」；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全部）</t>
    </r>
  </si>
  <si>
    <t xml:space="preserve">SRC_DEM_012</t>
  </si>
  <si>
    <t xml:space="preserve">TK_SRC_DEM_012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</si>
  <si>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每日提示數（全球；其中美國約 </t>
    </r>
    <r>
      <rPr>
        <sz val="10"/>
        <color rgb="FF000000"/>
        <rFont val="Arial"/>
        <family val="0"/>
        <charset val="1"/>
      </rPr>
      <t xml:space="preserve">0.33B</t>
    </r>
    <r>
      <rPr>
        <sz val="10"/>
        <color rgb="FF000000"/>
        <rFont val="Noto Sans CJK SC"/>
        <family val="2"/>
      </rPr>
      <t xml:space="preserve">）</t>
    </r>
  </si>
  <si>
    <t xml:space="preserve">SRC_DEM_013</t>
  </si>
  <si>
    <t xml:space="preserve">TK_SRC_DEM_013</t>
  </si>
  <si>
    <r>
      <rPr>
        <sz val="10"/>
        <color rgb="FF000000"/>
        <rFont val="Noto Sans CJK SC"/>
        <family val="2"/>
      </rPr>
      <t xml:space="preserve">前沿實驗室（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（由算力推估）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</si>
  <si>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</si>
  <si>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t xml:space="preserve">SRC_DEM_013_Lo</t>
  </si>
  <si>
    <t xml:space="preserve">TK_SRC_DEM_013_Lo</t>
  </si>
  <si>
    <t xml:space="preserve">SRC_DEM_013_Hi</t>
  </si>
  <si>
    <t xml:space="preserve">TK_SRC_DEM_013_Hi</t>
  </si>
  <si>
    <t xml:space="preserve">IF_AllocQ1</t>
  </si>
  <si>
    <t xml:space="preserve">TK_IF_AllocQ1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</si>
  <si>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</si>
  <si>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t xml:space="preserve">IF_AllocQ1_R2</t>
  </si>
  <si>
    <t xml:space="preserve">TK_IF_AllocQ1_R2</t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</si>
  <si>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：免費服務算作產品改良）</t>
    </r>
  </si>
  <si>
    <t xml:space="preserve">IF_AllocQ2</t>
  </si>
  <si>
    <t xml:space="preserve">TK_IF_AllocQ2</t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</si>
  <si>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年持有成本；利用率不進入）</t>
    </r>
  </si>
  <si>
    <t xml:space="preserve">IF_AllocServeGW</t>
  </si>
  <si>
    <t xml:space="preserve">TK_IF_AllocServeGW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</si>
  <si>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</t>
    </r>
  </si>
  <si>
    <t xml:space="preserve">IF_AllocRDGW</t>
  </si>
  <si>
    <t xml:space="preserve">TK_IF_AllocRDGW</t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</si>
  <si>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</si>
  <si>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</si>
  <si>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t xml:space="preserve">IF_AllocDemand</t>
  </si>
  <si>
    <t xml:space="preserve">TK_IF_AllocDemand</t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</si>
  <si>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</si>
  <si>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t xml:space="preserve">IF_AllocImpliedNk</t>
  </si>
  <si>
    <t xml:space="preserve">TK_IF_AllocImpliedNk</t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</si>
  <si>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</si>
  <si>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</si>
  <si>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t xml:space="preserve">IF_TrainCost_Astra</t>
  </si>
  <si>
    <t xml:space="preserve">TK_IF_TrainCost_Astra</t>
  </si>
  <si>
    <t xml:space="preserve">最終訓練成本 — 經濟（依成本情境）</t>
  </si>
  <si>
    <t xml:space="preserve">$M</t>
  </si>
  <si>
    <t xml:space="preserve">IF_TrainCost_Luna</t>
  </si>
  <si>
    <t xml:space="preserve">TK_IF_TrainCost_Luna</t>
  </si>
  <si>
    <t xml:space="preserve">IF_TrainCost_Sol</t>
  </si>
  <si>
    <t xml:space="preserve">TK_IF_TrainCost_Sol</t>
  </si>
  <si>
    <t xml:space="preserve">IF_RevGW_Astra</t>
  </si>
  <si>
    <t xml:space="preserve">TK_IF_RevGW_Astra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</si>
  <si>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</t>
    </r>
  </si>
  <si>
    <t xml:space="preserve">IF_RevGW_Luna</t>
  </si>
  <si>
    <t xml:space="preserve">TK_IF_RevGW_Luna</t>
  </si>
  <si>
    <t xml:space="preserve">IF_RevGW_Sol</t>
  </si>
  <si>
    <t xml:space="preserve">TK_IF_RevGW_Sol</t>
  </si>
  <si>
    <t xml:space="preserve">IF_FullCostDefault_Astra</t>
  </si>
  <si>
    <t xml:space="preserve">TK_IF_FullCostDefault_Astra</t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</si>
  <si>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</t>
    </r>
  </si>
  <si>
    <t xml:space="preserve">IF_FullCostDefault_Luna</t>
  </si>
  <si>
    <t xml:space="preserve">TK_IF_FullCostDefault_Luna</t>
  </si>
  <si>
    <t xml:space="preserve">IF_FullCostDefault_Sol</t>
  </si>
  <si>
    <t xml:space="preserve">TK_IF_FullCostDefault_Sol</t>
  </si>
  <si>
    <t xml:space="preserve">L1_Ans3</t>
  </si>
  <si>
    <t xml:space="preserve">TK_L1_Ans3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</si>
  <si>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（算力部分）（基準）</t>
    </r>
  </si>
  <si>
    <t xml:space="preserve">L1_Ans3_Lo</t>
  </si>
  <si>
    <t xml:space="preserve">TK_L1_Ans3_Lo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</si>
  <si>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（算力部分）（低）</t>
    </r>
  </si>
  <si>
    <t xml:space="preserve">L1_Ans3_Hi</t>
  </si>
  <si>
    <t xml:space="preserve">TK_L1_Ans3_Hi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</si>
  <si>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（算力部分）（高）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</si>
  <si>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假設輸入（藍字）；</t>
    </r>
    <r>
      <rPr>
        <b val="true"/>
        <sz val="13"/>
        <rFont val="Arial"/>
        <family val="0"/>
        <charset val="1"/>
      </rPr>
      <t xml:space="preserve">v0.6-P1</t>
    </r>
    <r>
      <rPr>
        <b val="true"/>
        <sz val="13"/>
        <rFont val="Noto Sans CJK SC"/>
        <family val="2"/>
      </rPr>
      <t xml:space="preserve">：只建表頭與 </t>
    </r>
    <r>
      <rPr>
        <b val="true"/>
        <sz val="13"/>
        <rFont val="Arial"/>
        <family val="0"/>
        <charset val="1"/>
      </rPr>
      <t xml:space="preserve">v0.5 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Decision </t>
    </r>
    <r>
      <rPr>
        <b val="true"/>
        <sz val="13"/>
        <rFont val="Noto Sans CJK SC"/>
        <family val="2"/>
      </rPr>
      <t xml:space="preserve">項目的遷入</t>
    </r>
  </si>
  <si>
    <r>
      <rPr>
        <sz val="9"/>
        <color rgb="FF595959"/>
        <rFont val="Noto Sans CJK SC"/>
        <family val="2"/>
      </rPr>
      <t xml:space="preserve">長表格式：一列一個（參數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索引）。標記沿用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；區間倍數（低／高情境倍數）另列。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無區間者保留空白並於備註說明（不自行補值）。</t>
    </r>
  </si>
  <si>
    <r>
      <rPr>
        <sz val="9"/>
        <color rgb="FF595959"/>
        <rFont val="Noto Sans CJK SC"/>
        <family val="2"/>
      </rPr>
      <t xml:space="preserve">屬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領域的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項目（</t>
    </r>
    <r>
      <rPr>
        <sz val="9"/>
        <color rgb="FF595959"/>
        <rFont val="Arial"/>
        <family val="0"/>
        <charset val="1"/>
      </rPr>
      <t xml:space="preserve">rack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classes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serving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hwCostPerM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tokenomicsRef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genFactor.hopper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nextGen</t>
    </r>
    <r>
      <rPr>
        <sz val="9"/>
        <color rgb="FF595959"/>
        <rFont val="Noto Sans CJK SC"/>
        <family val="2"/>
      </rPr>
      <t xml:space="preserve">）不在此頁，見 </t>
    </r>
    <r>
      <rPr>
        <sz val="9"/>
        <color rgb="FF595959"/>
        <rFont val="Arial"/>
        <family val="0"/>
        <charset val="1"/>
      </rPr>
      <t xml:space="preserve">Map_v05</t>
    </r>
    <r>
      <rPr>
        <sz val="9"/>
        <color rgb="FF595959"/>
        <rFont val="Noto Sans CJK SC"/>
        <family val="2"/>
      </rPr>
      <t xml:space="preserve">：『不遷入；改取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』。</t>
    </r>
  </si>
  <si>
    <t xml:space="preserve">INP_ID</t>
  </si>
  <si>
    <t xml:space="preserve">參數</t>
  </si>
  <si>
    <t xml:space="preserve">值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</si>
  <si>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原決策</t>
    </r>
  </si>
  <si>
    <t xml:space="preserve">INP_001</t>
  </si>
  <si>
    <t xml:space="preserve">基準年</t>
  </si>
  <si>
    <t xml:space="preserve">Decision</t>
  </si>
  <si>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沿用</t>
    </r>
  </si>
  <si>
    <t xml:space="preserve">tokenRevenue.meta.baseYear</t>
  </si>
  <si>
    <t xml:space="preserve">INP_002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</si>
  <si>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</si>
  <si>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tokenRevenue.meta.calibrationYears.0</t>
  </si>
  <si>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為預測校準（見 </t>
    </r>
    <r>
      <rPr>
        <sz val="10"/>
        <color rgb="FF000000"/>
        <rFont val="Arial"/>
        <family val="0"/>
        <charset val="1"/>
      </rPr>
      <t xml:space="preserve">demandGrowthExPrice </t>
    </r>
    <r>
      <rPr>
        <sz val="10"/>
        <color rgb="FF000000"/>
        <rFont val="Noto Sans CJK SC"/>
        <family val="2"/>
      </rPr>
      <t xml:space="preserve">註記）</t>
    </r>
  </si>
  <si>
    <t xml:space="preserve">INP_003</t>
  </si>
  <si>
    <r>
      <rPr>
        <sz val="10"/>
        <color rgb="FF000000"/>
        <rFont val="Noto Sans CJK SC"/>
        <family val="2"/>
      </rPr>
      <t xml:space="preserve">校準年（第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個）</t>
    </r>
  </si>
  <si>
    <t xml:space="preserve">tokenRevenue.meta.calibrationYears.1</t>
  </si>
  <si>
    <t xml:space="preserve">INP_004</t>
  </si>
  <si>
    <t xml:space="preserve">彈性起算年</t>
  </si>
  <si>
    <t xml:space="preserve">tokenRevenue.meta.elasticityFromYear</t>
  </si>
  <si>
    <t xml:space="preserve">INP_005</t>
  </si>
  <si>
    <t xml:space="preserve">模型年度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</si>
  <si>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</t>
    </r>
  </si>
  <si>
    <t xml:space="preserve">D10→FY2030</t>
  </si>
  <si>
    <t xml:space="preserve">tokenRevenue.meta.years.0</t>
  </si>
  <si>
    <r>
      <rPr>
        <sz val="10"/>
        <color rgb="FF000000"/>
        <rFont val="Noto Sans CJK SC"/>
        <family val="2"/>
      </rPr>
      <t xml:space="preserve">曆年制；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為實際校準年（工作單第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節）</t>
    </r>
  </si>
  <si>
    <t xml:space="preserve">INP_006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</si>
  <si>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</si>
  <si>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tokenRevenue.meta.years.1</t>
  </si>
  <si>
    <t xml:space="preserve">INP_007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</si>
  <si>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</si>
  <si>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tokenRevenue.meta.years.2</t>
  </si>
  <si>
    <t xml:space="preserve">INP_008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</si>
  <si>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</si>
  <si>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tokenRevenue.meta.years.3</t>
  </si>
  <si>
    <t xml:space="preserve">INP_009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</si>
  <si>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</si>
  <si>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tokenRevenue.meta.years.4</t>
  </si>
  <si>
    <t xml:space="preserve">INP_010</t>
  </si>
  <si>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</si>
  <si>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tokenRevenue.meta.years.5</t>
  </si>
  <si>
    <t xml:space="preserve">INP_011</t>
  </si>
  <si>
    <t xml:space="preserve">分成上限起算年</t>
  </si>
  <si>
    <t xml:space="preserve">Assumed</t>
  </si>
  <si>
    <t xml:space="preserve">N2a</t>
  </si>
  <si>
    <t xml:space="preserve">tokenRevenue.msShare.capCountFromYear</t>
  </si>
  <si>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無區間，待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補）</t>
    </r>
  </si>
  <si>
    <t xml:space="preserve">INP_012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</si>
  <si>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低</t>
    </r>
  </si>
  <si>
    <t xml:space="preserve">T4</t>
  </si>
  <si>
    <t xml:space="preserve">tokenRevenue.subscription.migration.planFraction</t>
  </si>
  <si>
    <r>
      <rPr>
        <sz val="10"/>
        <color rgb="FF000000"/>
        <rFont val="Noto Sans CJK SC"/>
        <family val="2"/>
      </rPr>
      <t xml:space="preserve">情境值：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額外新增的幅度比例</t>
    </r>
  </si>
  <si>
    <t xml:space="preserve">INP_013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</si>
  <si>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基準</t>
    </r>
  </si>
  <si>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</t>
    </r>
  </si>
  <si>
    <t xml:space="preserve">INP_014</t>
  </si>
  <si>
    <r>
      <rPr>
        <sz val="10"/>
        <color rgb="FF000000"/>
        <rFont val="Arial"/>
        <family val="0"/>
        <charset val="1"/>
      </rPr>
      <t xml:space="preserve">T4 </t>
    </r>
    <r>
      <rPr>
        <sz val="10"/>
        <color rgb="FF000000"/>
        <rFont val="Noto Sans CJK SC"/>
        <family val="2"/>
      </rPr>
      <t xml:space="preserve">遷移幅度（占公司計畫）— 高</t>
    </r>
  </si>
  <si>
    <t xml:space="preserve">INP_015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</si>
  <si>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</si>
  <si>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Analogy</t>
  </si>
  <si>
    <t xml:space="preserve">tokenRevenue.api.listPriceFYAvg.in.top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</si>
  <si>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</t>
    </r>
  </si>
  <si>
    <t xml:space="preserve">INP_016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</si>
  <si>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</si>
  <si>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tokenRevenue.api.listPriceFYAvg.in.mid</t>
  </si>
  <si>
    <t xml:space="preserve">INP_017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</si>
  <si>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平均牌價（輸入）：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</si>
  <si>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tokenRevenue.api.listPriceFYAvg.in.low</t>
  </si>
  <si>
    <t xml:space="preserve">INP_018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</si>
  <si>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</si>
  <si>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tokenRevenue.api.listPriceFYAvg.out.top</t>
  </si>
  <si>
    <t xml:space="preserve">INP_019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</si>
  <si>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</si>
  <si>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tokenRevenue.api.listPriceFYAvg.out.mid</t>
  </si>
  <si>
    <t xml:space="preserve">INP_020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</si>
  <si>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平均牌價（輸出）：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</si>
  <si>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tokenRevenue.api.listPriceFYAvg.out.low</t>
  </si>
  <si>
    <t xml:space="preserve">INP_021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</si>
  <si>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</si>
  <si>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</si>
  <si>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D11</t>
  </si>
  <si>
    <t xml:space="preserve">tokenRevenue.api.listPriceAnnualChange.top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</si>
  <si>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起每年；情境軸之一</t>
    </r>
  </si>
  <si>
    <t xml:space="preserve">INP_022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</si>
  <si>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</si>
  <si>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tokenRevenue.api.listPriceAnnualChange.mid</t>
  </si>
  <si>
    <t xml:space="preserve">INP_023</t>
  </si>
  <si>
    <r>
      <rPr>
        <sz val="10"/>
        <color rgb="FF000000"/>
        <rFont val="Noto Sans CJK SC"/>
        <family val="2"/>
      </rPr>
      <t xml:space="preserve">牌價年變動率：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</si>
  <si>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tokenRevenue.api.listPriceAnnualChange.low</t>
  </si>
  <si>
    <t xml:space="preserve">INP_024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</si>
  <si>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</si>
  <si>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[0]</t>
    </r>
  </si>
  <si>
    <t xml:space="preserve">tokenRevenue.api.tokenMix.top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</si>
  <si>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陣列兩位（年份對應待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確認：占比 </t>
    </r>
    <r>
      <rPr>
        <sz val="10"/>
        <color rgb="FF000000"/>
        <rFont val="Arial"/>
        <family val="0"/>
        <charset val="1"/>
      </rPr>
      <t xml:space="preserve">top 0.40→0.15 </t>
    </r>
    <r>
      <rPr>
        <sz val="10"/>
        <color rgb="FF000000"/>
        <rFont val="Noto Sans CJK SC"/>
        <family val="2"/>
      </rPr>
      <t xml:space="preserve">判斷為 </t>
    </r>
    <r>
      <rPr>
        <sz val="10"/>
        <color rgb="FF000000"/>
        <rFont val="Arial"/>
        <family val="0"/>
        <charset val="1"/>
      </rPr>
      <t xml:space="preserve">2025→2026</t>
    </r>
    <r>
      <rPr>
        <sz val="10"/>
        <color rgb="FF000000"/>
        <rFont val="Noto Sans CJK SC"/>
        <family val="2"/>
      </rPr>
      <t xml:space="preserve">）</t>
    </r>
  </si>
  <si>
    <t xml:space="preserve">INP_025</t>
  </si>
  <si>
    <r>
      <rPr>
        <sz val="10"/>
        <color rgb="FF000000"/>
        <rFont val="Noto Sans CJK SC"/>
        <family val="2"/>
      </rPr>
      <t xml:space="preserve">陣列</t>
    </r>
    <r>
      <rPr>
        <sz val="10"/>
        <color rgb="FF000000"/>
        <rFont val="Arial"/>
        <family val="0"/>
        <charset val="1"/>
      </rPr>
      <t xml:space="preserve">[1]</t>
    </r>
  </si>
  <si>
    <t xml:space="preserve">INP_026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</si>
  <si>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層級占比：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</si>
  <si>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tokenRevenue.api.tokenMix.mid</t>
  </si>
  <si>
    <t xml:space="preserve">INP_027</t>
  </si>
  <si>
    <t xml:space="preserve">INP_028</t>
  </si>
  <si>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</si>
  <si>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tokenRevenue.api.outputShare</t>
  </si>
  <si>
    <t xml:space="preserve">INP_029</t>
  </si>
  <si>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</si>
  <si>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tokenRevenue.api.cacheHitRate</t>
  </si>
  <si>
    <t xml:space="preserve">INP_030</t>
  </si>
  <si>
    <r>
      <rPr>
        <sz val="10"/>
        <color rgb="FF000000"/>
        <rFont val="Noto Sans CJK SC"/>
        <family val="2"/>
      </rPr>
      <t xml:space="preserve">加權折扣率（</t>
    </r>
    <r>
      <rPr>
        <sz val="10"/>
        <color rgb="FF000000"/>
        <rFont val="Arial"/>
        <family val="0"/>
        <charset val="1"/>
      </rPr>
      <t xml:space="preserve">Batch/Flex</t>
    </r>
    <r>
      <rPr>
        <sz val="10"/>
        <color rgb="FF000000"/>
        <rFont val="Noto Sans CJK SC"/>
        <family val="2"/>
      </rPr>
      <t xml:space="preserve">／企業）</t>
    </r>
  </si>
  <si>
    <t xml:space="preserve">tokenRevenue.api.discountRate</t>
  </si>
  <si>
    <t xml:space="preserve">INP_031</t>
  </si>
  <si>
    <r>
      <rPr>
        <sz val="10"/>
        <color rgb="FF000000"/>
        <rFont val="Noto Sans CJK SC"/>
        <family val="2"/>
      </rPr>
      <t xml:space="preserve">基準每任務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（層級正規化）</t>
    </r>
  </si>
  <si>
    <t xml:space="preserve">K tok/task</t>
  </si>
  <si>
    <t xml:space="preserve">tokenRevenue.api.tokensPerTaskBase</t>
  </si>
  <si>
    <r>
      <rPr>
        <sz val="10"/>
        <color rgb="FF000000"/>
        <rFont val="Noto Sans CJK SC"/>
        <family val="2"/>
      </rPr>
      <t xml:space="preserve">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</si>
  <si>
    <t xml:space="preserve">INP_032</t>
  </si>
  <si>
    <t xml:space="preserve">任務數成長率（不含價格）</t>
  </si>
  <si>
    <t xml:space="preserve">tokenRevenue.api.demandGrowthExPrice.tasks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</si>
  <si>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（基準年）</t>
    </r>
  </si>
  <si>
    <t xml:space="preserve">INP_033</t>
  </si>
  <si>
    <t xml:space="preserve">INP_034</t>
  </si>
  <si>
    <t xml:space="preserve">2027</t>
  </si>
  <si>
    <t xml:space="preserve">INP_035</t>
  </si>
  <si>
    <t xml:space="preserve">2028</t>
  </si>
  <si>
    <t xml:space="preserve">INP_036</t>
  </si>
  <si>
    <t xml:space="preserve">2029</t>
  </si>
  <si>
    <t xml:space="preserve">INP_037</t>
  </si>
  <si>
    <t xml:space="preserve">2030</t>
  </si>
  <si>
    <t xml:space="preserve">INP_038</t>
  </si>
  <si>
    <t xml:space="preserve">任務數成長率（不含價格）：低情境倍數</t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</si>
  <si>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</t>
    </r>
  </si>
  <si>
    <t xml:space="preserve">INP_039</t>
  </si>
  <si>
    <t xml:space="preserve">任務數成長率（不含價格）：高情境倍數</t>
  </si>
  <si>
    <t xml:space="preserve">INP_040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</si>
  <si>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</t>
    </r>
  </si>
  <si>
    <t xml:space="preserve">tokenRevenue.api.demandGrowthExPrice.tokensPerTask</t>
  </si>
  <si>
    <t xml:space="preserve">INP_041</t>
  </si>
  <si>
    <t xml:space="preserve">INP_042</t>
  </si>
  <si>
    <t xml:space="preserve">INP_043</t>
  </si>
  <si>
    <t xml:space="preserve">INP_044</t>
  </si>
  <si>
    <t xml:space="preserve">INP_045</t>
  </si>
  <si>
    <t xml:space="preserve">INP_046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</si>
  <si>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成長率（不含價格）：低情境倍數</t>
    </r>
  </si>
  <si>
    <t xml:space="preserve">INP_047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</si>
  <si>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成長率（不含價格）：高情境倍數</t>
    </r>
  </si>
  <si>
    <t xml:space="preserve">INP_048</t>
  </si>
  <si>
    <t xml:space="preserve">價格彈性：任務數</t>
  </si>
  <si>
    <t xml:space="preserve">彈性</t>
  </si>
  <si>
    <t xml:space="preserve">tokenRevenue.api.elasticity.tasks</t>
  </si>
  <si>
    <t xml:space="preserve">無法由公開資料分離（價格與能力同時變動）</t>
  </si>
  <si>
    <t xml:space="preserve">INP_049</t>
  </si>
  <si>
    <r>
      <rPr>
        <sz val="10"/>
        <color rgb="FF000000"/>
        <rFont val="Noto Sans CJK SC"/>
        <family val="2"/>
      </rPr>
      <t xml:space="preserve">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</si>
  <si>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tokenRevenue.api.elasticity.tokensPerTask</t>
  </si>
  <si>
    <t xml:space="preserve">INP_050</t>
  </si>
  <si>
    <t xml:space="preserve">價格基準（開關）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</si>
  <si>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tierRole</t>
    </r>
    <r>
      <rPr>
        <sz val="10"/>
        <color rgb="FF000000"/>
        <rFont val="Noto Sans CJK SC"/>
        <family val="2"/>
      </rPr>
      <t xml:space="preserve">）</t>
    </r>
  </si>
  <si>
    <t xml:space="preserve">tierRole</t>
  </si>
  <si>
    <t xml:space="preserve">N3a</t>
  </si>
  <si>
    <t xml:space="preserve">tokenRevenue.api.priceBasis</t>
  </si>
  <si>
    <r>
      <rPr>
        <sz val="10"/>
        <color rgb="FF000000"/>
        <rFont val="Noto Sans CJK SC"/>
        <family val="2"/>
      </rPr>
      <t xml:space="preserve">新旗艦上市視為該層價格上升，不另立層級（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標記 →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開關；補充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點）</t>
    </r>
  </si>
  <si>
    <t xml:space="preserve">INP_051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</si>
  <si>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free</t>
    </r>
  </si>
  <si>
    <t xml:space="preserve">free</t>
  </si>
  <si>
    <t xml:space="preserve">low</t>
  </si>
  <si>
    <t xml:space="preserve">tokenRevenue.subscription.apiEquivalentTier</t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</si>
  <si>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各方案預設模型（定價頁說明）</t>
    </r>
  </si>
  <si>
    <t xml:space="preserve">INP_052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</si>
  <si>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go</t>
    </r>
  </si>
  <si>
    <t xml:space="preserve">go</t>
  </si>
  <si>
    <t xml:space="preserve">INP_053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</si>
  <si>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plus</t>
    </r>
  </si>
  <si>
    <t xml:space="preserve">plus</t>
  </si>
  <si>
    <t xml:space="preserve">mid</t>
  </si>
  <si>
    <t xml:space="preserve">INP_054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</si>
  <si>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pro</t>
    </r>
  </si>
  <si>
    <t xml:space="preserve">pro</t>
  </si>
  <si>
    <t xml:space="preserve">top</t>
  </si>
  <si>
    <t xml:space="preserve">INP_055</t>
  </si>
  <si>
    <r>
      <rPr>
        <sz val="10"/>
        <color rgb="FF000000"/>
        <rFont val="Noto Sans CJK SC"/>
        <family val="2"/>
      </rPr>
      <t xml:space="preserve">方案對應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層級：</t>
    </r>
    <r>
      <rPr>
        <sz val="10"/>
        <color rgb="FF000000"/>
        <rFont val="Arial"/>
        <family val="0"/>
        <charset val="1"/>
      </rPr>
      <t xml:space="preserve">seats</t>
    </r>
  </si>
  <si>
    <t xml:space="preserve">seats</t>
  </si>
  <si>
    <t xml:space="preserve">INP_056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</si>
  <si>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</si>
  <si>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tokenRevenue.subscription.subsFYAvg.free</t>
  </si>
  <si>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元素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標記）</t>
    </r>
  </si>
  <si>
    <t xml:space="preserve">INP_058</t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</si>
  <si>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（無遷移基準）</t>
    </r>
  </si>
  <si>
    <t xml:space="preserve">INP_059</t>
  </si>
  <si>
    <t xml:space="preserve">INP_060</t>
  </si>
  <si>
    <t xml:space="preserve">INP_061</t>
  </si>
  <si>
    <t xml:space="preserve">INP_062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</si>
  <si>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：低情境倍數</t>
    </r>
  </si>
  <si>
    <r>
      <rPr>
        <sz val="10"/>
        <color rgb="FF000000"/>
        <rFont val="Noto Sans CJK SC"/>
        <family val="2"/>
      </rPr>
      <t xml:space="preserve">區間＝基準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倍數（適用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內的年份）</t>
    </r>
  </si>
  <si>
    <t xml:space="preserve">INP_063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</si>
  <si>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：高情境倍數</t>
    </r>
  </si>
  <si>
    <t xml:space="preserve">INP_064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</si>
  <si>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</si>
  <si>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tokenRevenue.subscription.subsFYAvg.go</t>
  </si>
  <si>
    <t xml:space="preserve">INP_065</t>
  </si>
  <si>
    <t xml:space="preserve">INP_066</t>
  </si>
  <si>
    <t xml:space="preserve">INP_067</t>
  </si>
  <si>
    <t xml:space="preserve">INP_068</t>
  </si>
  <si>
    <t xml:space="preserve">INP_069</t>
  </si>
  <si>
    <t xml:space="preserve">INP_070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</si>
  <si>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：低情境倍數</t>
    </r>
  </si>
  <si>
    <t xml:space="preserve">INP_071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</si>
  <si>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：高情境倍數</t>
    </r>
  </si>
  <si>
    <t xml:space="preserve">INP_073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</si>
  <si>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</si>
  <si>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tokenRevenue.subscription.subsFYAvg.plus</t>
  </si>
  <si>
    <t xml:space="preserve">INP_074</t>
  </si>
  <si>
    <t xml:space="preserve">INP_075</t>
  </si>
  <si>
    <t xml:space="preserve">INP_076</t>
  </si>
  <si>
    <t xml:space="preserve">INP_077</t>
  </si>
  <si>
    <t xml:space="preserve">INP_078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</si>
  <si>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：低情境倍數</t>
    </r>
  </si>
  <si>
    <t xml:space="preserve">INP_079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</si>
  <si>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：高情境倍數</t>
    </r>
  </si>
  <si>
    <t xml:space="preserve">INP_088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</si>
  <si>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</si>
  <si>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tokenRevenue.subscription.subsFYAvg.seats</t>
  </si>
  <si>
    <t xml:space="preserve">INP_089</t>
  </si>
  <si>
    <t xml:space="preserve">INP_090</t>
  </si>
  <si>
    <t xml:space="preserve">INP_091</t>
  </si>
  <si>
    <t xml:space="preserve">INP_092</t>
  </si>
  <si>
    <t xml:space="preserve">INP_093</t>
  </si>
  <si>
    <t xml:space="preserve">INP_094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</si>
  <si>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：低情境倍數</t>
    </r>
  </si>
  <si>
    <t xml:space="preserve">INP_095</t>
  </si>
  <si>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平均用戶數：</t>
    </r>
    <r>
      <rPr>
        <sz val="10"/>
        <color rgb="FF000000"/>
        <rFont val="Arial"/>
        <family val="0"/>
        <charset val="1"/>
      </rPr>
      <t xml:space="preserve">seats</t>
    </r>
    <r>
      <rPr>
        <sz val="10"/>
        <color rgb="FF000000"/>
        <rFont val="Noto Sans CJK SC"/>
        <family val="2"/>
      </rPr>
      <t xml:space="preserve">：高情境倍數</t>
    </r>
  </si>
  <si>
    <t xml:space="preserve">INP_096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</si>
  <si>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go</t>
    </r>
  </si>
  <si>
    <t xml:space="preserve">全期</t>
  </si>
  <si>
    <t xml:space="preserve">tokenRevenue.subscription.arpu.go</t>
  </si>
  <si>
    <t xml:space="preserve">INP_097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</si>
  <si>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</si>
  <si>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tokenRevenue.subscription.arpu.plus</t>
  </si>
  <si>
    <t xml:space="preserve">INP_098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</si>
  <si>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未標年份；待 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確認）</t>
    </r>
  </si>
  <si>
    <t xml:space="preserve">INP_099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</si>
  <si>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</si>
  <si>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tokenRevenue.subscription.arpu.pro</t>
  </si>
  <si>
    <t xml:space="preserve">INP_100</t>
  </si>
  <si>
    <t xml:space="preserve">INP_101</t>
  </si>
  <si>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（實收）：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</si>
  <si>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tokenRevenue.subscription.arpu.seats</t>
  </si>
  <si>
    <t xml:space="preserve">INP_102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</si>
  <si>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</si>
  <si>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Noto Sans CJK SC"/>
        <family val="2"/>
      </rPr>
      <t xml:space="preserve">任務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</si>
  <si>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t xml:space="preserve">tokenRevenue.subscription.tasksPerDay.free</t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</si>
  <si>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起年增（見成長率）</t>
    </r>
  </si>
  <si>
    <t xml:space="preserve">INP_103</t>
  </si>
  <si>
    <t xml:space="preserve">INP_104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</si>
  <si>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</si>
  <si>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tokenRevenue.subscription.tasksPerDay.go</t>
  </si>
  <si>
    <t xml:space="preserve">INP_105</t>
  </si>
  <si>
    <t xml:space="preserve">INP_106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</si>
  <si>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</si>
  <si>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tokenRevenue.subscription.tasksPerDay.plus</t>
  </si>
  <si>
    <t xml:space="preserve">INP_107</t>
  </si>
  <si>
    <t xml:space="preserve">INP_108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</si>
  <si>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</si>
  <si>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tokenRevenue.subscription.tasksPerDay.pro</t>
  </si>
  <si>
    <t xml:space="preserve">INP_109</t>
  </si>
  <si>
    <t xml:space="preserve">INP_110</t>
  </si>
  <si>
    <r>
      <rPr>
        <sz val="10"/>
        <color rgb="FF000000"/>
        <rFont val="Noto Sans CJK SC"/>
        <family val="2"/>
      </rPr>
      <t xml:space="preserve">每日任務數：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</si>
  <si>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tokenRevenue.subscription.tasksPerDay.seats</t>
  </si>
  <si>
    <t xml:space="preserve">INP_111</t>
  </si>
  <si>
    <t xml:space="preserve">INP_112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</si>
  <si>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free</t>
    </r>
  </si>
  <si>
    <t xml:space="preserve">tokenRevenue.subscription.tokensPerTask.free</t>
  </si>
  <si>
    <t xml:space="preserve">INP_113</t>
  </si>
  <si>
    <t xml:space="preserve">INP_114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</si>
  <si>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</si>
  <si>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tokenRevenue.subscription.tokensPerTask.go</t>
  </si>
  <si>
    <t xml:space="preserve">INP_115</t>
  </si>
  <si>
    <t xml:space="preserve">INP_116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</si>
  <si>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</si>
  <si>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tokenRevenue.subscription.tokensPerTask.plus</t>
  </si>
  <si>
    <t xml:space="preserve">INP_117</t>
  </si>
  <si>
    <t xml:space="preserve">INP_118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</si>
  <si>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</si>
  <si>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tokenRevenue.subscription.tokensPerTask.pro</t>
  </si>
  <si>
    <t xml:space="preserve">INP_119</t>
  </si>
  <si>
    <t xml:space="preserve">INP_120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</si>
  <si>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</si>
  <si>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tokenRevenue.subscription.tokensPerTask.seats</t>
  </si>
  <si>
    <t xml:space="preserve">INP_121</t>
  </si>
  <si>
    <t xml:space="preserve">INP_122</t>
  </si>
  <si>
    <r>
      <rPr>
        <sz val="10"/>
        <color rgb="FF000000"/>
        <rFont val="Noto Sans CJK SC"/>
        <family val="2"/>
      </rPr>
      <t xml:space="preserve">每日任務數年增率（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</si>
  <si>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tokenRevenue.subscription.tasksPerDayGrowth</t>
  </si>
  <si>
    <t xml:space="preserve">INP_123</t>
  </si>
  <si>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年增率（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起）</t>
    </r>
  </si>
  <si>
    <t xml:space="preserve">tokenRevenue.subscription.tokensPerTaskGrowth</t>
  </si>
  <si>
    <t xml:space="preserve">情境軸</t>
  </si>
  <si>
    <t xml:space="preserve">INP_124</t>
  </si>
  <si>
    <t xml:space="preserve">廣告曝光占比</t>
  </si>
  <si>
    <t xml:space="preserve">N1b</t>
  </si>
  <si>
    <t xml:space="preserve">tokenRevenue.other.ads.exposureShare</t>
  </si>
  <si>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</si>
  <si>
    <t xml:space="preserve">INP_125</t>
  </si>
  <si>
    <t xml:space="preserve">INP_126</t>
  </si>
  <si>
    <t xml:space="preserve">INP_127</t>
  </si>
  <si>
    <t xml:space="preserve">INP_128</t>
  </si>
  <si>
    <t xml:space="preserve">INP_129</t>
  </si>
  <si>
    <t xml:space="preserve">INP_130</t>
  </si>
  <si>
    <t xml:space="preserve">每曝光用戶年廣告收入</t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</si>
  <si>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用戶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</si>
  <si>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tokenRevenue.other.ads.arpuPerExposedUserYear</t>
  </si>
  <si>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</t>
    </r>
  </si>
  <si>
    <t xml:space="preserve">INP_131</t>
  </si>
  <si>
    <t xml:space="preserve">INP_132</t>
  </si>
  <si>
    <t xml:space="preserve">INP_133</t>
  </si>
  <si>
    <t xml:space="preserve">INP_134</t>
  </si>
  <si>
    <t xml:space="preserve">INP_135</t>
  </si>
  <si>
    <t xml:space="preserve">INP_136</t>
  </si>
  <si>
    <t xml:space="preserve">其他營收（授權、一次性交易）</t>
  </si>
  <si>
    <t xml:space="preserve">tokenRevenue.other.residual</t>
  </si>
  <si>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0</t>
    </r>
  </si>
  <si>
    <t xml:space="preserve">INP_137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</si>
  <si>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</si>
  <si>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tokenRevenue.scenarios.low.elasticity.tasks</t>
  </si>
  <si>
    <r>
      <rPr>
        <sz val="10"/>
        <color rgb="FF000000"/>
        <rFont val="Noto Sans CJK SC"/>
        <family val="2"/>
      </rPr>
      <t xml:space="preserve">情境軸（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</si>
  <si>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INP_138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</si>
  <si>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</si>
  <si>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tokenRevenue.scenarios.low.elasticity.tokensPerTask</t>
  </si>
  <si>
    <t xml:space="preserve">INP_139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</si>
  <si>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</si>
  <si>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tokenRevenue.scenarios.low.tokensPerTaskGrowth</t>
  </si>
  <si>
    <t xml:space="preserve">INP_140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</si>
  <si>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</si>
  <si>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tokenRevenue.scenarios.low.listPriceAnnualChange.top</t>
  </si>
  <si>
    <t xml:space="preserve">INP_141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</si>
  <si>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</si>
  <si>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tokenRevenue.scenarios.low.listPriceAnnualChange.mid</t>
  </si>
  <si>
    <t xml:space="preserve">INP_142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</si>
  <si>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</si>
  <si>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tokenRevenue.scenarios.low.listPriceAnnualChange.low</t>
  </si>
  <si>
    <t xml:space="preserve">INP_143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</si>
  <si>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</si>
  <si>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tokenRevenue.scenarios.base.elasticity.tasks</t>
  </si>
  <si>
    <t xml:space="preserve">INP_144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</si>
  <si>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</si>
  <si>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tokenRevenue.scenarios.base.elasticity.tokensPerTask</t>
  </si>
  <si>
    <t xml:space="preserve">INP_145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</si>
  <si>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</si>
  <si>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tokenRevenue.scenarios.base.tokensPerTaskGrowth</t>
  </si>
  <si>
    <t xml:space="preserve">INP_146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</si>
  <si>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</si>
  <si>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tokenRevenue.scenarios.base.listPriceAnnualChange.top</t>
  </si>
  <si>
    <t xml:space="preserve">INP_147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</si>
  <si>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</si>
  <si>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tokenRevenue.scenarios.base.listPriceAnnualChange.mid</t>
  </si>
  <si>
    <t xml:space="preserve">INP_148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</si>
  <si>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</si>
  <si>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tokenRevenue.scenarios.base.listPriceAnnualChange.low</t>
  </si>
  <si>
    <t xml:space="preserve">INP_149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</si>
  <si>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：價格彈性：任務數</t>
    </r>
  </si>
  <si>
    <t xml:space="preserve">tokenRevenue.scenarios.high.elasticity.tasks</t>
  </si>
  <si>
    <t xml:space="preserve">INP_150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</si>
  <si>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：價格彈性：每任務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</si>
  <si>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tokenRevenue.scenarios.high.elasticity.tokensPerTask</t>
  </si>
  <si>
    <t xml:space="preserve">INP_151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</si>
  <si>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年增率</t>
    </r>
  </si>
  <si>
    <t xml:space="preserve">tokenRevenue.scenarios.high.tokensPerTaskGrowth</t>
  </si>
  <si>
    <t xml:space="preserve">INP_152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</si>
  <si>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top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</si>
  <si>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tokenRevenue.scenarios.high.listPriceAnnualChange.top</t>
  </si>
  <si>
    <t xml:space="preserve">INP_153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</si>
  <si>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mid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</si>
  <si>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tokenRevenue.scenarios.high.listPriceAnnualChange.mid</t>
  </si>
  <si>
    <t xml:space="preserve">INP_154</t>
  </si>
  <si>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：牌價年變動率 </t>
    </r>
    <r>
      <rPr>
        <sz val="10"/>
        <color rgb="FF000000"/>
        <rFont val="Arial"/>
        <family val="0"/>
        <charset val="1"/>
      </rPr>
      <t xml:space="preserve">low </t>
    </r>
    <r>
      <rPr>
        <sz val="10"/>
        <color rgb="FF000000"/>
        <rFont val="Noto Sans CJK SC"/>
        <family val="2"/>
      </rPr>
      <t xml:space="preserve">層</t>
    </r>
  </si>
  <si>
    <t xml:space="preserve">tokenRevenue.scenarios.high.listPriceAnnualChange.low</t>
  </si>
  <si>
    <t xml:space="preserve">INP_155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</si>
  <si>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free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</si>
  <si>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</si>
  <si>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分層成本假設；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起產能取自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</si>
  <si>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tokenRevenue.inferenceCost.usage.free</t>
  </si>
  <si>
    <t xml:space="preserve">INP_156</t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</si>
  <si>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占比</t>
    </r>
  </si>
  <si>
    <t xml:space="preserve">INP_157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</si>
  <si>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占比</t>
    </r>
  </si>
  <si>
    <t xml:space="preserve">INP_158</t>
  </si>
  <si>
    <t xml:space="preserve">輸出占比（含思考）</t>
  </si>
  <si>
    <t xml:space="preserve">INP_159</t>
  </si>
  <si>
    <t xml:space="preserve">快取命中</t>
  </si>
  <si>
    <t xml:space="preserve">INP_160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</si>
  <si>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go</t>
    </r>
  </si>
  <si>
    <t xml:space="preserve">tokenRevenue.inferenceCost.usage.go</t>
  </si>
  <si>
    <t xml:space="preserve">INP_161</t>
  </si>
  <si>
    <t xml:space="preserve">INP_162</t>
  </si>
  <si>
    <t xml:space="preserve">INP_163</t>
  </si>
  <si>
    <t xml:space="preserve">INP_164</t>
  </si>
  <si>
    <t xml:space="preserve">INP_165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</si>
  <si>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plus</t>
    </r>
  </si>
  <si>
    <t xml:space="preserve">tokenRevenue.inferenceCost.usage.plus</t>
  </si>
  <si>
    <t xml:space="preserve">INP_166</t>
  </si>
  <si>
    <t xml:space="preserve">INP_167</t>
  </si>
  <si>
    <t xml:space="preserve">INP_168</t>
  </si>
  <si>
    <t xml:space="preserve">INP_169</t>
  </si>
  <si>
    <t xml:space="preserve">INP_170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</si>
  <si>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pro</t>
    </r>
  </si>
  <si>
    <t xml:space="preserve">tokenRevenue.inferenceCost.usage.pro</t>
  </si>
  <si>
    <t xml:space="preserve">INP_171</t>
  </si>
  <si>
    <t xml:space="preserve">INP_172</t>
  </si>
  <si>
    <t xml:space="preserve">INP_173</t>
  </si>
  <si>
    <t xml:space="preserve">INP_174</t>
  </si>
  <si>
    <t xml:space="preserve">INP_175</t>
  </si>
  <si>
    <r>
      <rPr>
        <sz val="10"/>
        <color rgb="FF000000"/>
        <rFont val="Noto Sans CJK SC"/>
        <family val="2"/>
      </rPr>
      <t xml:space="preserve">方案模型組合：</t>
    </r>
    <r>
      <rPr>
        <sz val="10"/>
        <color rgb="FF000000"/>
        <rFont val="Arial"/>
        <family val="0"/>
        <charset val="1"/>
      </rPr>
      <t xml:space="preserve">seats</t>
    </r>
  </si>
  <si>
    <t xml:space="preserve">tokenRevenue.inferenceCost.usage.seats</t>
  </si>
  <si>
    <t xml:space="preserve">INP_176</t>
  </si>
  <si>
    <t xml:space="preserve">INP_177</t>
  </si>
  <si>
    <t xml:space="preserve">INP_178</t>
  </si>
  <si>
    <t xml:space="preserve">INP_179</t>
  </si>
  <si>
    <t xml:space="preserve">INP_180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</si>
  <si>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毛利率（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校準）</t>
    </r>
  </si>
  <si>
    <t xml:space="preserve">T5</t>
  </si>
  <si>
    <t xml:space="preserve">tokenRevenue.inferenceCost.calibration2025.apiMargin</t>
  </si>
  <si>
    <t xml:space="preserve">INP_181</t>
  </si>
  <si>
    <t xml:space="preserve">未揭露時程合約的攤提方式</t>
  </si>
  <si>
    <r>
      <rPr>
        <sz val="10"/>
        <color rgb="FF000000"/>
        <rFont val="Noto Sans CJK SC"/>
        <family val="2"/>
      </rPr>
      <t xml:space="preserve">文字（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</t>
    </r>
  </si>
  <si>
    <t xml:space="preserve">ramp</t>
  </si>
  <si>
    <t xml:space="preserve">N4(b)</t>
  </si>
  <si>
    <t xml:space="preserve">spending.unscheduledProfile</t>
  </si>
  <si>
    <r>
      <rPr>
        <sz val="10"/>
        <color rgb="FF000000"/>
        <rFont val="Noto Sans CJK SC"/>
        <family val="2"/>
      </rPr>
      <t xml:space="preserve">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</t>
    </r>
  </si>
  <si>
    <t xml:space="preserve">INP_182</t>
  </si>
  <si>
    <r>
      <rPr>
        <sz val="10"/>
        <color rgb="FF000000"/>
        <rFont val="Noto Sans CJK SC"/>
        <family val="2"/>
      </rPr>
      <t xml:space="preserve">合約期間起：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</si>
  <si>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V16</t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</si>
  <si>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公告；實際付款可能延至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）</t>
    </r>
  </si>
  <si>
    <t xml:space="preserve">INP_183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</si>
  <si>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Microsoft Azure</t>
    </r>
  </si>
  <si>
    <t xml:space="preserve">V13</t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</si>
  <si>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</si>
  <si>
    <t xml:space="preserve">INP_184</t>
  </si>
  <si>
    <r>
      <rPr>
        <sz val="10"/>
        <color rgb="FF000000"/>
        <rFont val="Noto Sans CJK SC"/>
        <family val="2"/>
      </rPr>
      <t xml:space="preserve">合約總額（估計）：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</si>
  <si>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：總額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20–25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另有觀測『逾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』）；上限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v0.5 hi </t>
    </r>
    <r>
      <rPr>
        <sz val="10"/>
        <color rgb="FF000000"/>
        <rFont val="Noto Sans CJK SC"/>
        <family val="2"/>
      </rPr>
      <t xml:space="preserve">葉節點</t>
    </r>
  </si>
  <si>
    <t xml:space="preserve">INP_185</t>
  </si>
  <si>
    <r>
      <rPr>
        <sz val="10"/>
        <color rgb="FF000000"/>
        <rFont val="Noto Sans CJK SC"/>
        <family val="2"/>
      </rPr>
      <t xml:space="preserve">合約期間迄：</t>
    </r>
    <r>
      <rPr>
        <sz val="10"/>
        <color rgb="FF000000"/>
        <rFont val="Arial"/>
        <family val="0"/>
        <charset val="1"/>
      </rPr>
      <t xml:space="preserve">Cerebras</t>
    </r>
  </si>
  <si>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：終點 </t>
    </r>
    <r>
      <rPr>
        <sz val="10"/>
        <color rgb="FF000000"/>
        <rFont val="Arial"/>
        <family val="0"/>
        <charset val="1"/>
      </rPr>
      <t xml:space="preserve">2031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2029–2032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：期間終點為推估，每批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年）</t>
    </r>
  </si>
  <si>
    <t xml:space="preserve">INP_186</t>
  </si>
  <si>
    <t xml:space="preserve">自有資本支出</t>
  </si>
  <si>
    <t xml:space="preserve">spending.ownedCapex</t>
  </si>
  <si>
    <t xml:space="preserve">INP_187</t>
  </si>
  <si>
    <r>
      <rPr>
        <sz val="10"/>
        <color rgb="FF000000"/>
        <rFont val="Noto Sans CJK SC"/>
        <family val="2"/>
      </rPr>
      <t xml:space="preserve">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</si>
  <si>
    <t xml:space="preserve">INP_188</t>
  </si>
  <si>
    <t xml:space="preserve">INP_189</t>
  </si>
  <si>
    <t xml:space="preserve">INP_190</t>
  </si>
  <si>
    <t xml:space="preserve">INP_191</t>
  </si>
  <si>
    <t xml:space="preserve">INP_192</t>
  </si>
  <si>
    <t xml:space="preserve">自有資本支出：低情境倍數</t>
  </si>
  <si>
    <t xml:space="preserve">INP_193</t>
  </si>
  <si>
    <t xml:space="preserve">自有資本支出：高情境倍數</t>
  </si>
  <si>
    <t xml:space="preserve">INP_194</t>
  </si>
  <si>
    <r>
      <rPr>
        <sz val="10"/>
        <color rgb="FF000000"/>
        <rFont val="Noto Sans CJK SC"/>
        <family val="2"/>
      </rPr>
      <t xml:space="preserve">合作方出資占比（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</si>
  <si>
    <t xml:space="preserve">S3</t>
  </si>
  <si>
    <t xml:space="preserve">spending.partnerFinancedShare</t>
  </si>
  <si>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槓桿；情境軸</t>
    </r>
  </si>
  <si>
    <t xml:space="preserve">INP_196</t>
  </si>
  <si>
    <r>
      <rPr>
        <sz val="10"/>
        <color rgb="FF000000"/>
        <rFont val="Noto Sans CJK SC"/>
        <family val="2"/>
      </rPr>
      <t xml:space="preserve">非算力營運費用占營收比（</t>
    </r>
    <r>
      <rPr>
        <sz val="10"/>
        <color rgb="FF000000"/>
        <rFont val="Arial"/>
        <family val="0"/>
        <charset val="1"/>
      </rPr>
      <t xml:space="preserve">v0.5</t>
    </r>
    <r>
      <rPr>
        <sz val="10"/>
        <color rgb="FF000000"/>
        <rFont val="Noto Sans CJK SC"/>
        <family val="2"/>
      </rPr>
      <t xml:space="preserve">）</t>
    </r>
  </si>
  <si>
    <t xml:space="preserve">S5a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</si>
  <si>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：人數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每人成本）；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值暫留作暫代</t>
    </r>
  </si>
  <si>
    <t xml:space="preserve">spending.opexExComputePctRevenue</t>
  </si>
  <si>
    <t xml:space="preserve">INP_197</t>
  </si>
  <si>
    <t xml:space="preserve">INP_198</t>
  </si>
  <si>
    <t xml:space="preserve">INP_199</t>
  </si>
  <si>
    <t xml:space="preserve">INP_200</t>
  </si>
  <si>
    <t xml:space="preserve">INP_201</t>
  </si>
  <si>
    <t xml:space="preserve">非算力營運費用占營收比：低情境倍數</t>
  </si>
  <si>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將取代</t>
    </r>
  </si>
  <si>
    <t xml:space="preserve">INP_202</t>
  </si>
  <si>
    <t xml:space="preserve">非算力營運費用占營收比：高情境倍數</t>
  </si>
  <si>
    <t xml:space="preserve">INP_203</t>
  </si>
  <si>
    <t xml:space="preserve">最低現金</t>
  </si>
  <si>
    <t xml:space="preserve">S7</t>
  </si>
  <si>
    <t xml:space="preserve">funding.minCash</t>
  </si>
  <si>
    <t xml:space="preserve">INP_204</t>
  </si>
  <si>
    <r>
      <rPr>
        <sz val="10"/>
        <color rgb="FF000000"/>
        <rFont val="Noto Sans CJK SC"/>
        <family val="2"/>
      </rPr>
      <t xml:space="preserve">世代產能係數：自研／其他（相對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</si>
  <si>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沿用（自研／其他產能＝</t>
    </r>
    <r>
      <rPr>
        <sz val="10"/>
        <color rgb="FF000000"/>
        <rFont val="Arial"/>
        <family val="0"/>
        <charset val="1"/>
      </rPr>
      <t xml:space="preserve">VR200 × </t>
    </r>
    <r>
      <rPr>
        <sz val="10"/>
        <color rgb="FF000000"/>
        <rFont val="Noto Sans CJK SC"/>
        <family val="2"/>
      </rPr>
      <t xml:space="preserve">此係數）</t>
    </r>
  </si>
  <si>
    <t xml:space="preserve">computeMW.genFactor.custom</t>
  </si>
  <si>
    <r>
      <rPr>
        <sz val="10"/>
        <color rgb="FF000000"/>
        <rFont val="Arial"/>
        <family val="0"/>
        <charset val="1"/>
      </rPr>
      <t xml:space="preserve">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</t>
    </r>
  </si>
  <si>
    <t xml:space="preserve">INP_205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</si>
  <si>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Hopper</t>
    </r>
  </si>
  <si>
    <t xml:space="preserve">V1</t>
  </si>
  <si>
    <r>
      <rPr>
        <sz val="10"/>
        <color rgb="FF000000"/>
        <rFont val="Arial"/>
        <family val="0"/>
        <charset val="1"/>
      </rPr>
      <t xml:space="preserve">P1 </t>
    </r>
    <r>
      <rPr>
        <sz val="10"/>
        <color rgb="FF000000"/>
        <rFont val="Noto Sans CJK SC"/>
        <family val="2"/>
      </rPr>
      <t xml:space="preserve">照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遷入；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V1 </t>
    </r>
    <r>
      <rPr>
        <sz val="10"/>
        <color rgb="FF000000"/>
        <rFont val="Noto Sans CJK SC"/>
        <family val="2"/>
      </rPr>
      <t xml:space="preserve">改世代拆分</t>
    </r>
  </si>
  <si>
    <t xml:space="preserve">computeMW.fleetMix.hopper</t>
  </si>
  <si>
    <t xml:space="preserve">INP_206</t>
  </si>
  <si>
    <t xml:space="preserve">INP_207</t>
  </si>
  <si>
    <t xml:space="preserve">INP_208</t>
  </si>
  <si>
    <t xml:space="preserve">INP_209</t>
  </si>
  <si>
    <t xml:space="preserve">INP_210</t>
  </si>
  <si>
    <t xml:space="preserve">INP_211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</si>
  <si>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Blackwell</t>
    </r>
  </si>
  <si>
    <t xml:space="preserve">computeMW.fleetMix.blackwell</t>
  </si>
  <si>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P3-2</t>
    </r>
    <r>
      <rPr>
        <sz val="10"/>
        <color rgb="FF000000"/>
        <rFont val="Noto Sans CJK SC"/>
        <family val="2"/>
      </rPr>
      <t xml:space="preserve">）</t>
    </r>
  </si>
  <si>
    <t xml:space="preserve">INP_212</t>
  </si>
  <si>
    <t xml:space="preserve">INP_213</t>
  </si>
  <si>
    <t xml:space="preserve">INP_214</t>
  </si>
  <si>
    <t xml:space="preserve">INP_215</t>
  </si>
  <si>
    <t xml:space="preserve">INP_216</t>
  </si>
  <si>
    <t xml:space="preserve">INP_217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</si>
  <si>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</t>
    </r>
    <r>
      <rPr>
        <sz val="10"/>
        <color rgb="FF000000"/>
        <rFont val="Arial"/>
        <family val="0"/>
        <charset val="1"/>
      </rPr>
      <t xml:space="preserve">Vera Rubin</t>
    </r>
  </si>
  <si>
    <t xml:space="preserve">computeMW.fleetMix.veraRubin</t>
  </si>
  <si>
    <t xml:space="preserve">INP_218</t>
  </si>
  <si>
    <t xml:space="preserve">INP_219</t>
  </si>
  <si>
    <t xml:space="preserve">INP_220</t>
  </si>
  <si>
    <t xml:space="preserve">INP_221</t>
  </si>
  <si>
    <t xml:space="preserve">INP_222</t>
  </si>
  <si>
    <t xml:space="preserve">INP_223</t>
  </si>
  <si>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世代占比：下一代</t>
    </r>
  </si>
  <si>
    <t xml:space="preserve">computeMW.fleetMix.nextGen</t>
  </si>
  <si>
    <t xml:space="preserve">INP_224</t>
  </si>
  <si>
    <t xml:space="preserve">INP_225</t>
  </si>
  <si>
    <t xml:space="preserve">INP_226</t>
  </si>
  <si>
    <t xml:space="preserve">INP_227</t>
  </si>
  <si>
    <t xml:space="preserve">INP_228</t>
  </si>
  <si>
    <t xml:space="preserve">INP_229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</si>
  <si>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leasePricePerGWyr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</si>
  <si>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</si>
  <si>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t xml:space="preserve">V8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</si>
  <si>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：本模型唯一的合約價參數（</t>
    </r>
    <r>
      <rPr>
        <sz val="10"/>
        <color rgb="FF000000"/>
        <rFont val="Arial"/>
        <family val="0"/>
        <charset val="1"/>
      </rPr>
      <t xml:space="preserve">P3 V2 </t>
    </r>
    <r>
      <rPr>
        <sz val="10"/>
        <color rgb="FF000000"/>
        <rFont val="Noto Sans CJK SC"/>
        <family val="2"/>
      </rPr>
      <t xml:space="preserve">使用）</t>
    </r>
  </si>
  <si>
    <t xml:space="preserve">computeMW.leasePricePerGWyr</t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</si>
  <si>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8–20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放寬為 </t>
    </r>
    <r>
      <rPr>
        <sz val="10"/>
        <color rgb="FF000000"/>
        <rFont val="Arial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）。可比：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遠期合約隱含 </t>
    </r>
    <r>
      <rPr>
        <sz val="10"/>
        <color rgb="FF000000"/>
        <rFont val="Arial"/>
        <family val="0"/>
        <charset val="1"/>
      </rPr>
      <t xml:space="preserve">13.3</t>
    </r>
    <r>
      <rPr>
        <sz val="10"/>
        <color rgb="FF000000"/>
        <rFont val="Noto Sans CJK SC"/>
        <family val="2"/>
      </rPr>
      <t xml:space="preserve">；差異：交付年份與世代；另參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GW≈11.8</t>
    </r>
  </si>
  <si>
    <t xml:space="preserve">INP_230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</si>
  <si>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其他雲端研發算力支出（訓練支出的非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部分）</t>
    </r>
  </si>
  <si>
    <t xml:space="preserve">V6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</si>
  <si>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新增</t>
    </r>
  </si>
  <si>
    <r>
      <rPr>
        <sz val="10"/>
        <color rgb="FF000000"/>
        <rFont val="Arial"/>
        <family val="0"/>
        <charset val="1"/>
      </rPr>
      <t xml:space="preserve">r1.</t>
    </r>
    <r>
      <rPr>
        <sz val="10"/>
        <color rgb="FF000000"/>
        <rFont val="Noto Sans CJK SC"/>
        <family val="2"/>
      </rPr>
      <t xml:space="preserve">新增</t>
    </r>
    <r>
      <rPr>
        <sz val="10"/>
        <color rgb="FF000000"/>
        <rFont val="Arial"/>
        <family val="0"/>
        <charset val="1"/>
      </rPr>
      <t xml:space="preserve">.</t>
    </r>
    <r>
      <rPr>
        <sz val="10"/>
        <color rgb="FF000000"/>
        <rFont val="Noto Sans CJK SC"/>
        <family val="2"/>
      </rPr>
      <t xml:space="preserve">其他雲端</t>
    </r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</si>
  <si>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＋本列 </t>
    </r>
    <r>
      <rPr>
        <sz val="10"/>
        <color rgb="FF000000"/>
        <rFont val="Arial"/>
        <family val="0"/>
        <charset val="1"/>
      </rPr>
      <t xml:space="preserve">1.41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0–2.91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13.50−10.59</t>
    </r>
    <r>
      <rPr>
        <sz val="10"/>
        <color rgb="FF000000"/>
        <rFont val="Noto Sans CJK SC"/>
        <family val="2"/>
      </rPr>
      <t xml:space="preserve">）</t>
    </r>
  </si>
  <si>
    <t xml:space="preserve">INP_232</t>
  </si>
  <si>
    <t xml:space="preserve">閒置保留比例</t>
  </si>
  <si>
    <t xml:space="preserve">computeMW.idleReserve</t>
  </si>
  <si>
    <t xml:space="preserve">INP_233</t>
  </si>
  <si>
    <t xml:space="preserve">訓練最低占比</t>
  </si>
  <si>
    <t xml:space="preserve">V1a</t>
  </si>
  <si>
    <t xml:space="preserve">computeMW.minTrainingShare</t>
  </si>
  <si>
    <r>
      <rPr>
        <sz val="10"/>
        <color rgb="FF000000"/>
        <rFont val="Arial"/>
        <family val="0"/>
        <charset val="1"/>
      </rPr>
      <t xml:space="preserve">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</t>
    </r>
  </si>
  <si>
    <t xml:space="preserve">INP_234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</si>
  <si>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2026-02 WAU</t>
    </r>
  </si>
  <si>
    <t xml:space="preserve">E6</t>
  </si>
  <si>
    <r>
      <rPr>
        <sz val="10"/>
        <color rgb="FF000000"/>
        <rFont val="Arial"/>
        <family val="0"/>
        <charset val="1"/>
      </rPr>
      <t xml:space="preserve">tokenRevenue.subscription.subsFYAvg.free.r3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</si>
  <si>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÷ WAU 900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free </t>
    </r>
    <r>
      <rPr>
        <sz val="10"/>
        <color rgb="FF000000"/>
        <rFont val="Noto Sans CJK SC"/>
        <family val="2"/>
      </rPr>
      <t xml:space="preserve">的低／高倍數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（出處無其他區間）。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可改為 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成長路徑</t>
    </r>
  </si>
  <si>
    <t xml:space="preserve">INP_235</t>
  </si>
  <si>
    <r>
      <rPr>
        <sz val="10"/>
        <color rgb="FF000000"/>
        <rFont val="Noto Sans CJK SC"/>
        <family val="2"/>
      </rPr>
      <t xml:space="preserve">換算係數：</t>
    </r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÷ 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付費訂閱</t>
    </r>
  </si>
  <si>
    <r>
      <rPr>
        <sz val="10"/>
        <color rgb="FF000000"/>
        <rFont val="Arial"/>
        <family val="0"/>
        <charset val="1"/>
      </rPr>
      <t xml:space="preserve">tokenRevenue.subscription.subsFYAvg.plus.r3</t>
    </r>
    <r>
      <rPr>
        <sz val="10"/>
        <color rgb="FF000000"/>
        <rFont val="Noto Sans CJK SC"/>
        <family val="2"/>
      </rPr>
      <t xml:space="preserve">換算係數</t>
    </r>
  </si>
  <si>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÷ 35 </t>
    </r>
    <r>
      <rPr>
        <sz val="10"/>
        <color rgb="FF000000"/>
        <rFont val="Noto Sans CJK SC"/>
        <family val="2"/>
      </rPr>
      <t xml:space="preserve">還原；區間取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出處文字『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』</t>
    </r>
    <r>
      <rPr>
        <sz val="10"/>
        <color rgb="FF000000"/>
        <rFont val="Arial"/>
        <family val="0"/>
        <charset val="1"/>
      </rPr>
      <t xml:space="preserve">÷ 35</t>
    </r>
  </si>
  <si>
    <t xml:space="preserve">INP_236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</si>
  <si>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</si>
  <si>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t xml:space="preserve">V12</t>
  </si>
  <si>
    <r>
      <rPr>
        <sz val="10"/>
        <color rgb="FF000000"/>
        <rFont val="Arial"/>
        <family val="0"/>
        <charset val="1"/>
      </rPr>
      <t xml:space="preserve">tokenRevenue.subscription.subsFYAvg.pro.r3</t>
    </r>
    <r>
      <rPr>
        <sz val="10"/>
        <color rgb="FF000000"/>
        <rFont val="Noto Sans CJK SC"/>
        <family val="2"/>
      </rPr>
      <t xml:space="preserve">比例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</si>
  <si>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0.5–1.0%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pro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付費總數（含席位）；須低於 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1%</t>
    </r>
  </si>
  <si>
    <t xml:space="preserve">INP_237</t>
  </si>
  <si>
    <r>
      <rPr>
        <sz val="10"/>
        <color rgb="FF000000"/>
        <rFont val="Arial"/>
        <family val="0"/>
        <charset val="1"/>
      </rPr>
      <t xml:space="preserve">API FY2025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（驅動值）</t>
    </r>
  </si>
  <si>
    <t xml:space="preserve">E8a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</si>
  <si>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每分鐘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</si>
  <si>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出處：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估計；</t>
    </r>
    <r>
      <rPr>
        <sz val="10"/>
        <color rgb="FF000000"/>
        <rFont val="Arial"/>
        <family val="0"/>
        <charset val="1"/>
      </rPr>
      <t xml:space="preserve">DevDay 2025-10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6.0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</t>
    </r>
  </si>
  <si>
    <t xml:space="preserve">INP_238</t>
  </si>
  <si>
    <t xml:space="preserve">每年分鐘數（定義常數）</t>
  </si>
  <si>
    <t xml:space="preserve">分</t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</si>
  <si>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每年分鐘數</t>
    </r>
  </si>
  <si>
    <r>
      <rPr>
        <sz val="10"/>
        <color rgb="FF000000"/>
        <rFont val="Noto Sans CJK SC"/>
        <family val="2"/>
      </rPr>
      <t xml:space="preserve">來源：定義常數（</t>
    </r>
    <r>
      <rPr>
        <sz val="10"/>
        <color rgb="FF000000"/>
        <rFont val="Arial"/>
        <family val="0"/>
        <charset val="1"/>
      </rPr>
      <t xml:space="preserve">365×24×60</t>
    </r>
    <r>
      <rPr>
        <sz val="10"/>
        <color rgb="FF000000"/>
        <rFont val="Noto Sans CJK SC"/>
        <family val="2"/>
      </rPr>
      <t xml:space="preserve">）；區間不適用（低＝高）；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</si>
  <si>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INP_239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</si>
  <si>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B token → T token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</si>
  <si>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</si>
  <si>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Arial"/>
        <family val="0"/>
        <charset val="1"/>
      </rPr>
      <t xml:space="preserve">r3.E8a.</t>
    </r>
    <r>
      <rPr>
        <sz val="10"/>
        <color rgb="FF000000"/>
        <rFont val="Noto Sans CJK SC"/>
        <family val="2"/>
      </rPr>
      <t xml:space="preserve">單位換算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</si>
  <si>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</si>
  <si>
    <t xml:space="preserve">INP_240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</si>
  <si>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占付費訂閱總數比例（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逐年）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</si>
  <si>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</si>
  <si>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約束只是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內部預測，</t>
    </r>
    <r>
      <rPr>
        <sz val="10"/>
        <color rgb="FF000000"/>
        <rFont val="Arial"/>
        <family val="0"/>
        <charset val="1"/>
      </rPr>
      <t xml:space="preserve">2027+ </t>
    </r>
    <r>
      <rPr>
        <sz val="10"/>
        <color rgb="FF000000"/>
        <rFont val="Noto Sans CJK SC"/>
        <family val="2"/>
      </rPr>
      <t xml:space="preserve">無來源，上限放寬至 </t>
    </r>
    <r>
      <rPr>
        <sz val="10"/>
        <color rgb="FF000000"/>
        <rFont val="Arial"/>
        <family val="0"/>
        <charset val="1"/>
      </rPr>
      <t xml:space="preserve">2.0% </t>
    </r>
    <r>
      <rPr>
        <sz val="10"/>
        <color rgb="FF000000"/>
        <rFont val="Noto Sans CJK SC"/>
        <family val="2"/>
      </rPr>
      <t xml:space="preserve">以保留 </t>
    </r>
    <r>
      <rPr>
        <sz val="10"/>
        <color rgb="FF000000"/>
        <rFont val="Arial"/>
        <family val="0"/>
        <charset val="1"/>
      </rPr>
      <t xml:space="preserve">$100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$200 </t>
    </r>
    <r>
      <rPr>
        <sz val="10"/>
        <color rgb="FF000000"/>
        <rFont val="Noto Sans CJK SC"/>
        <family val="2"/>
      </rPr>
      <t xml:space="preserve">兩檔擴大客群的可能</t>
    </r>
  </si>
  <si>
    <t xml:space="preserve">INP_241</t>
  </si>
  <si>
    <t xml:space="preserve">INP_242</t>
  </si>
  <si>
    <t xml:space="preserve">INP_243</t>
  </si>
  <si>
    <t xml:space="preserve">INP_244</t>
  </si>
  <si>
    <r>
      <rPr>
        <sz val="10"/>
        <color rgb="FF000000"/>
        <rFont val="Noto Sans CJK SC"/>
        <family val="2"/>
      </rPr>
      <t xml:space="preserve">合約容量（採用值）：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Trainium</t>
    </r>
    <r>
      <rPr>
        <sz val="10"/>
        <color rgb="FF000000"/>
        <rFont val="Noto Sans CJK SC"/>
        <family val="2"/>
      </rPr>
      <t xml:space="preserve">）</t>
    </r>
  </si>
  <si>
    <t xml:space="preserve">E8g</t>
  </si>
  <si>
    <r>
      <rPr>
        <sz val="10"/>
        <color rgb="FF000000"/>
        <rFont val="Arial"/>
        <family val="0"/>
        <charset val="1"/>
      </rPr>
      <t xml:space="preserve">spending.contracts.awsTrainium.r3</t>
    </r>
    <r>
      <rPr>
        <sz val="10"/>
        <color rgb="FF000000"/>
        <rFont val="Noto Sans CJK SC"/>
        <family val="2"/>
      </rPr>
      <t xml:space="preserve">採用值</t>
    </r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</si>
  <si>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</t>
    </r>
    <r>
      <rPr>
        <sz val="10"/>
        <color rgb="FF000000"/>
        <rFont val="Noto Sans CJK SC"/>
        <family val="2"/>
      </rPr>
      <t xml:space="preserve">（上緣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＋訓練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公式驗證）</t>
    </r>
  </si>
  <si>
    <t xml:space="preserve">INP_245</t>
  </si>
  <si>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現金比例</t>
    </r>
  </si>
  <si>
    <t xml:space="preserve">S4b</t>
  </si>
  <si>
    <r>
      <rPr>
        <sz val="10"/>
        <color rgb="FF000000"/>
        <rFont val="Arial"/>
        <family val="0"/>
        <charset val="1"/>
      </rPr>
      <t xml:space="preserve">funding.r3Nvidia</t>
    </r>
    <r>
      <rPr>
        <sz val="10"/>
        <color rgb="FF000000"/>
        <rFont val="Noto Sans CJK SC"/>
        <family val="2"/>
      </rPr>
      <t xml:space="preserve">現金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</si>
  <si>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以現金計的比例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）；沿用 </t>
    </r>
    <r>
      <rPr>
        <sz val="10"/>
        <color rgb="FF000000"/>
        <rFont val="Arial"/>
        <family val="0"/>
        <charset val="1"/>
      </rPr>
      <t xml:space="preserve">v0.5 S4b</t>
    </r>
    <r>
      <rPr>
        <sz val="10"/>
        <color rgb="FF000000"/>
        <rFont val="Noto Sans CJK SC"/>
        <family val="2"/>
      </rPr>
      <t xml:space="preserve">（另有報導稱多為算力）</t>
    </r>
  </si>
  <si>
    <t xml:space="preserve">INP_246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</si>
  <si>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07-30</t>
    </r>
    <r>
      <rPr>
        <sz val="10"/>
        <color rgb="FF000000"/>
        <rFont val="Noto Sans CJK SC"/>
        <family val="2"/>
      </rPr>
      <t xml:space="preserve">）生效日偏移</t>
    </r>
  </si>
  <si>
    <t xml:space="preserve">天</t>
  </si>
  <si>
    <t xml:space="preserve">E8c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</si>
  <si>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</si>
  <si>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r5.E8c.</t>
    </r>
    <r>
      <rPr>
        <sz val="10"/>
        <color rgb="FF000000"/>
        <rFont val="Noto Sans CJK SC"/>
        <family val="2"/>
      </rPr>
      <t xml:space="preserve">價格事件時點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</si>
  <si>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公告日（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±91 </t>
    </r>
    <r>
      <rPr>
        <sz val="10"/>
        <color rgb="FF000000"/>
        <rFont val="Noto Sans CJK SC"/>
        <family val="2"/>
      </rPr>
      <t xml:space="preserve">天（</t>
    </r>
    <r>
      <rPr>
        <sz val="10"/>
        <color rgb="FF000000"/>
        <rFont val="Arial"/>
        <family val="0"/>
        <charset val="1"/>
      </rPr>
      <t xml:space="preserve">±1 </t>
    </r>
    <r>
      <rPr>
        <sz val="10"/>
        <color rgb="FF000000"/>
        <rFont val="Noto Sans CJK SC"/>
        <family val="2"/>
      </rPr>
      <t xml:space="preserve">季，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工作單預設）。偏移後日期限於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內</t>
    </r>
  </si>
  <si>
    <t xml:space="preserve">INP_247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</si>
  <si>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08-22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</si>
  <si>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INP_248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</si>
  <si>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09-03</t>
    </r>
    <r>
      <rPr>
        <sz val="10"/>
        <color rgb="FF000000"/>
        <rFont val="Noto Sans CJK SC"/>
        <family val="2"/>
      </rPr>
      <t xml:space="preserve">）生效日偏移</t>
    </r>
  </si>
  <si>
    <t xml:space="preserve">INP_249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</si>
  <si>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09-22</t>
    </r>
    <r>
      <rPr>
        <sz val="10"/>
        <color rgb="FF000000"/>
        <rFont val="Noto Sans CJK SC"/>
        <family val="2"/>
      </rPr>
      <t xml:space="preserve">）生效日偏移</t>
    </r>
  </si>
  <si>
    <t xml:space="preserve">INP_250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</si>
  <si>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起日（定義常數；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日期序列值）</t>
    </r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</si>
  <si>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</si>
  <si>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r5.E6.P2 </t>
    </r>
    <r>
      <rPr>
        <sz val="10"/>
        <color rgb="FF000000"/>
        <rFont val="Noto Sans CJK SC"/>
        <family val="2"/>
      </rPr>
      <t xml:space="preserve">定義常數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</si>
  <si>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46023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2026-01-01</t>
    </r>
    <r>
      <rPr>
        <sz val="10"/>
        <color rgb="FF000000"/>
        <rFont val="Noto Sans CJK SC"/>
        <family val="2"/>
      </rPr>
      <t xml:space="preserve">；價格事件天數加權的年度起點</t>
    </r>
  </si>
  <si>
    <t xml:space="preserve">INP_251</t>
  </si>
  <si>
    <t xml:space="preserve">每年天數（定義常數）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</si>
  <si>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。用途：每日→年換算與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天數加權的分母（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365 </t>
    </r>
    <r>
      <rPr>
        <sz val="10"/>
        <color rgb="FF000000"/>
        <rFont val="Noto Sans CJK SC"/>
        <family val="2"/>
      </rPr>
      <t xml:space="preserve">天）</t>
    </r>
  </si>
  <si>
    <t xml:space="preserve">INP_252</t>
  </si>
  <si>
    <t xml:space="preserve">每年月數（定義常數）</t>
  </si>
  <si>
    <t xml:space="preserve">月</t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</si>
  <si>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。用途：月 </t>
    </r>
    <r>
      <rPr>
        <sz val="10"/>
        <color rgb="FF000000"/>
        <rFont val="Arial"/>
        <family val="0"/>
        <charset val="1"/>
      </rPr>
      <t xml:space="preserve">ARPU → </t>
    </r>
    <r>
      <rPr>
        <sz val="10"/>
        <color rgb="FF000000"/>
        <rFont val="Noto Sans CJK SC"/>
        <family val="2"/>
      </rPr>
      <t xml:space="preserve">年營收</t>
    </r>
  </si>
  <si>
    <t xml:space="preserve">INP_253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</si>
  <si>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$M → $B </t>
    </r>
    <r>
      <rPr>
        <sz val="10"/>
        <color rgb="FF000000"/>
        <rFont val="Noto Sans CJK SC"/>
        <family val="2"/>
      </rPr>
      <t xml:space="preserve">的除數（定義常數）</t>
    </r>
  </si>
  <si>
    <r>
      <rPr>
        <sz val="10"/>
        <color rgb="FF000000"/>
        <rFont val="Arial"/>
        <family val="0"/>
        <charset val="1"/>
      </rPr>
      <t xml:space="preserve">$M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$B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</si>
  <si>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$ →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 token × $/M token → $M</t>
    </r>
  </si>
  <si>
    <t xml:space="preserve">INP_254</t>
  </si>
  <si>
    <r>
      <rPr>
        <sz val="10"/>
        <color rgb="FF000000"/>
        <rFont val="Noto Sans CJK SC"/>
        <family val="2"/>
      </rPr>
      <t xml:space="preserve">單位換算：</t>
    </r>
    <r>
      <rPr>
        <sz val="10"/>
        <color rgb="FF000000"/>
        <rFont val="Arial"/>
        <family val="0"/>
        <charset val="1"/>
      </rPr>
      <t xml:space="preserve">T token → M token </t>
    </r>
    <r>
      <rPr>
        <sz val="10"/>
        <color rgb="FF000000"/>
        <rFont val="Noto Sans CJK SC"/>
        <family val="2"/>
      </rPr>
      <t xml:space="preserve">的乘數（定義常數）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</si>
  <si>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</si>
  <si>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。用途：與 </t>
    </r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年）並列</t>
    </r>
  </si>
  <si>
    <t xml:space="preserve">INP_255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</si>
  <si>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獨立推估：下半年月數（定義常數）</t>
    </r>
  </si>
  <si>
    <r>
      <rPr>
        <sz val="10"/>
        <color rgb="FF000000"/>
        <rFont val="Noto Sans CJK SC"/>
        <family val="2"/>
      </rPr>
      <t xml:space="preserve">來源：定義常數；區間不適用（低＝高）；</t>
    </r>
    <r>
      <rPr>
        <sz val="10"/>
        <color rgb="FF000000"/>
        <rFont val="Arial"/>
        <family val="0"/>
        <charset val="1"/>
      </rPr>
      <t xml:space="preserve">E6</t>
    </r>
    <r>
      <rPr>
        <sz val="10"/>
        <color rgb="FF000000"/>
        <rFont val="Noto Sans CJK SC"/>
        <family val="2"/>
      </rPr>
      <t xml:space="preserve">：公式內不得含常數，故進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。用途：</t>
    </r>
    <r>
      <rPr>
        <sz val="10"/>
        <color rgb="FF000000"/>
        <rFont val="Arial"/>
        <family val="0"/>
        <charset val="1"/>
      </rPr>
      <t xml:space="preserve">v0.5 fy2026Independent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＋下半年以 </t>
    </r>
    <r>
      <rPr>
        <sz val="10"/>
        <color rgb="FF000000"/>
        <rFont val="Arial"/>
        <family val="0"/>
        <charset val="1"/>
      </rPr>
      <t xml:space="preserve">2026-08 ARR </t>
    </r>
    <r>
      <rPr>
        <sz val="10"/>
        <color rgb="FF000000"/>
        <rFont val="Noto Sans CJK SC"/>
        <family val="2"/>
      </rPr>
      <t xml:space="preserve">外推</t>
    </r>
  </si>
  <si>
    <r>
      <rPr>
        <b val="true"/>
        <sz val="13"/>
        <rFont val="Arial"/>
        <family val="0"/>
        <charset val="1"/>
      </rPr>
      <t xml:space="preserve">Derived_V9 — </t>
    </r>
    <r>
      <rPr>
        <b val="true"/>
        <sz val="13"/>
        <rFont val="Noto Sans CJK SC"/>
        <family val="2"/>
      </rPr>
      <t xml:space="preserve">跨年混合項目與 </t>
    </r>
    <r>
      <rPr>
        <b val="true"/>
        <sz val="13"/>
        <rFont val="Arial"/>
        <family val="0"/>
        <charset val="1"/>
      </rPr>
      <t xml:space="preserve">Derived </t>
    </r>
    <r>
      <rPr>
        <b val="true"/>
        <sz val="13"/>
        <rFont val="Noto Sans CJK SC"/>
        <family val="2"/>
      </rPr>
      <t xml:space="preserve">項目的公式（</t>
    </r>
    <r>
      <rPr>
        <b val="true"/>
        <sz val="13"/>
        <rFont val="Arial"/>
        <family val="0"/>
        <charset val="1"/>
      </rPr>
      <t xml:space="preserve">V9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V12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V15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E8</t>
    </r>
    <r>
      <rPr>
        <b val="true"/>
        <sz val="13"/>
        <rFont val="Noto Sans CJK SC"/>
        <family val="2"/>
      </rPr>
      <t xml:space="preserve">）；</t>
    </r>
    <r>
      <rPr>
        <b val="true"/>
        <sz val="13"/>
        <rFont val="Arial"/>
        <family val="0"/>
        <charset val="1"/>
      </rPr>
      <t xml:space="preserve">v0.5 </t>
    </r>
    <r>
      <rPr>
        <b val="true"/>
        <sz val="13"/>
        <rFont val="Noto Sans CJK SC"/>
        <family val="2"/>
      </rPr>
      <t xml:space="preserve">原值並列</t>
    </r>
  </si>
  <si>
    <r>
      <rPr>
        <sz val="9"/>
        <color rgb="FF595959"/>
        <rFont val="Arial"/>
        <family val="0"/>
        <charset val="1"/>
      </rPr>
      <t xml:space="preserve">E6</t>
    </r>
    <r>
      <rPr>
        <sz val="9"/>
        <color rgb="FF595959"/>
        <rFont val="Noto Sans CJK SC"/>
        <family val="2"/>
      </rPr>
      <t xml:space="preserve">：公式不內含常數（算式中的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－比例 為恆等式），換算係數與比例都在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（標記＋區間）。『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原值』欄為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v0.5 JSON </t>
    </r>
    <r>
      <rPr>
        <sz val="9"/>
        <color rgb="FF595959"/>
        <rFont val="Noto Sans CJK SC"/>
        <family val="2"/>
      </rPr>
      <t xml:space="preserve">寫入的對照常數，不參與計算。</t>
    </r>
  </si>
  <si>
    <r>
      <rPr>
        <sz val="9"/>
        <color rgb="FF595959"/>
        <rFont val="Noto Sans CJK SC"/>
        <family val="2"/>
      </rPr>
      <t xml:space="preserve">月營收單位 </t>
    </r>
    <r>
      <rPr>
        <sz val="9"/>
        <color rgb="FF595959"/>
        <rFont val="Arial"/>
        <family val="0"/>
        <charset val="1"/>
      </rPr>
      <t xml:space="preserve">$M/</t>
    </r>
    <r>
      <rPr>
        <sz val="9"/>
        <color rgb="FF595959"/>
        <rFont val="Noto Sans CJK SC"/>
        <family val="2"/>
      </rPr>
      <t xml:space="preserve">月＝人數（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ARPU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$/</t>
    </r>
    <r>
      <rPr>
        <sz val="9"/>
        <color rgb="FF595959"/>
        <rFont val="Noto Sans CJK SC"/>
        <family val="2"/>
      </rPr>
      <t xml:space="preserve">月）；年營收＝月營收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月數，月數換算只在報告文字，不進公式。</t>
    </r>
  </si>
  <si>
    <t xml:space="preserve">編號</t>
  </si>
  <si>
    <t xml:space="preserve">項目</t>
  </si>
  <si>
    <t xml:space="preserve">值（公式）</t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</si>
  <si>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原值（對照）</t>
    </r>
  </si>
  <si>
    <r>
      <rPr>
        <b val="true"/>
        <sz val="10"/>
        <rFont val="Noto Sans CJK SC"/>
        <family val="2"/>
      </rPr>
      <t xml:space="preserve">差距＝值−</t>
    </r>
    <r>
      <rPr>
        <b val="true"/>
        <sz val="10"/>
        <rFont val="Arial"/>
        <family val="0"/>
        <charset val="1"/>
      </rPr>
      <t xml:space="preserve">v0.5</t>
    </r>
    <r>
      <rPr>
        <b val="true"/>
        <sz val="10"/>
        <rFont val="Noto Sans CJK SC"/>
        <family val="2"/>
      </rPr>
      <t xml:space="preserve">（公式）</t>
    </r>
  </si>
  <si>
    <t xml:space="preserve">V01</t>
  </si>
  <si>
    <r>
      <rPr>
        <sz val="10"/>
        <color rgb="FF000000"/>
        <rFont val="Arial"/>
        <family val="0"/>
        <charset val="1"/>
      </rPr>
      <t xml:space="preserve">free FY2026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WAU×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</si>
  <si>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WAU × Inputs </t>
    </r>
    <r>
      <rPr>
        <sz val="9"/>
        <color rgb="FF595959"/>
        <rFont val="Noto Sans CJK SC"/>
        <family val="2"/>
      </rPr>
      <t xml:space="preserve">換算係數</t>
    </r>
  </si>
  <si>
    <t xml:space="preserve">V02</t>
  </si>
  <si>
    <r>
      <rPr>
        <sz val="10"/>
        <color rgb="FF000000"/>
        <rFont val="Arial"/>
        <family val="0"/>
        <charset val="1"/>
      </rPr>
      <t xml:space="preserve">Plus FY2025 </t>
    </r>
    <r>
      <rPr>
        <sz val="10"/>
        <color rgb="FF000000"/>
        <rFont val="Noto Sans CJK SC"/>
        <family val="2"/>
      </rPr>
      <t xml:space="preserve">平均用戶（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2025-07 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Pro×</t>
    </r>
    <r>
      <rPr>
        <sz val="10"/>
        <color rgb="FF000000"/>
        <rFont val="Noto Sans CJK SC"/>
        <family val="2"/>
      </rPr>
      <t xml:space="preserve">換算係數</t>
    </r>
  </si>
  <si>
    <r>
      <rPr>
        <sz val="9"/>
        <color rgb="FF595959"/>
        <rFont val="Arial"/>
        <family val="0"/>
        <charset val="1"/>
      </rPr>
      <t xml:space="preserve">SRC_OAI 35M × Inputs </t>
    </r>
    <r>
      <rPr>
        <sz val="9"/>
        <color rgb="FF595959"/>
        <rFont val="Noto Sans CJK SC"/>
        <family val="2"/>
      </rPr>
      <t xml:space="preserve">換算係數</t>
    </r>
  </si>
  <si>
    <t xml:space="preserve">V03</t>
  </si>
  <si>
    <r>
      <rPr>
        <sz val="10"/>
        <color rgb="FF000000"/>
        <rFont val="Arial"/>
        <family val="0"/>
        <charset val="1"/>
      </rPr>
      <t xml:space="preserve">Pro FY2026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</t>
    </r>
  </si>
  <si>
    <r>
      <rPr>
        <sz val="9"/>
        <color rgb="FF595959"/>
        <rFont val="Noto Sans CJK SC"/>
        <family val="2"/>
      </rPr>
      <t xml:space="preserve">付費總數＝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總數 ⇒ </t>
    </r>
    <r>
      <rPr>
        <sz val="9"/>
        <color rgb="FF595959"/>
        <rFont val="Arial"/>
        <family val="0"/>
        <charset val="1"/>
      </rPr>
      <t xml:space="preserve">pro</t>
    </r>
    <r>
      <rPr>
        <sz val="9"/>
        <color rgb="FF595959"/>
        <rFont val="Noto Sans CJK SC"/>
        <family val="2"/>
      </rPr>
      <t xml:space="preserve">＝比例</t>
    </r>
    <r>
      <rPr>
        <sz val="9"/>
        <color rgb="FF595959"/>
        <rFont val="Arial"/>
        <family val="0"/>
        <charset val="1"/>
      </rPr>
      <t xml:space="preserve">/(1−</t>
    </r>
    <r>
      <rPr>
        <sz val="9"/>
        <color rgb="FF595959"/>
        <rFont val="Noto Sans CJK SC"/>
        <family val="2"/>
      </rPr>
      <t xml:space="preserve">比例</t>
    </r>
    <r>
      <rPr>
        <sz val="9"/>
        <color rgb="FF595959"/>
        <rFont val="Arial"/>
        <family val="0"/>
        <charset val="1"/>
      </rPr>
      <t xml:space="preserve">)×(go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seats)</t>
    </r>
    <r>
      <rPr>
        <sz val="9"/>
        <color rgb="FF595959"/>
        <rFont val="Noto Sans CJK SC"/>
        <family val="2"/>
      </rPr>
      <t xml:space="preserve">，無循環</t>
    </r>
  </si>
  <si>
    <t xml:space="preserve">V04</t>
  </si>
  <si>
    <r>
      <rPr>
        <sz val="10"/>
        <color rgb="FF000000"/>
        <rFont val="Arial"/>
        <family val="0"/>
        <charset val="1"/>
      </rPr>
      <t xml:space="preserve">Pro FY2025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</si>
  <si>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SRC_OAI </t>
    </r>
    <r>
      <rPr>
        <sz val="9"/>
        <color rgb="FF595959"/>
        <rFont val="Noto Sans CJK SC"/>
        <family val="2"/>
      </rPr>
      <t xml:space="preserve">倍增約束</t>
    </r>
  </si>
  <si>
    <t xml:space="preserve">V05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</si>
  <si>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</si>
  <si>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原值欄為 </t>
    </r>
    <r>
      <rPr>
        <sz val="9"/>
        <color rgb="FF595959"/>
        <rFont val="Arial"/>
        <family val="0"/>
        <charset val="1"/>
      </rPr>
      <t xml:space="preserve">v0.5 pro 1.0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</si>
  <si>
    <t xml:space="preserve">V06</t>
  </si>
  <si>
    <r>
      <rPr>
        <sz val="10"/>
        <color rgb="FF000000"/>
        <rFont val="Noto Sans CJK SC"/>
        <family val="2"/>
      </rPr>
      <t xml:space="preserve">約束檢查：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占比超出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</si>
  <si>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』上限（僅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）</t>
    </r>
  </si>
  <si>
    <t xml:space="preserve">V07</t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</si>
  <si>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原值對約束的差距（百分點）＝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占比−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</si>
  <si>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正值＝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原值超出內部預測所稱『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</si>
  <si>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V08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</si>
  <si>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</si>
  <si>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</si>
  <si>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欄）</t>
    </r>
  </si>
  <si>
    <t xml:space="preserve">V09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</si>
  <si>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</si>
  <si>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r>
      <rPr>
        <sz val="9"/>
        <color rgb="FF595959"/>
        <rFont val="Arial"/>
        <family val="0"/>
        <charset val="1"/>
      </rPr>
      <t xml:space="preserve">ARPU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起欄）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</si>
  <si>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</si>
  <si>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Pro FY2027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</si>
  <si>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：逐年比例（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0.5–2.0%</t>
    </r>
    <r>
      <rPr>
        <sz val="9"/>
        <color rgb="FF595959"/>
        <rFont val="Noto Sans CJK SC"/>
        <family val="2"/>
      </rPr>
      <t xml:space="preserve">）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</si>
  <si>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</si>
  <si>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Pro FY2028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</si>
  <si>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FY2029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</si>
  <si>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r>
      <rPr>
        <sz val="10"/>
        <color rgb="FF000000"/>
        <rFont val="Arial"/>
        <family val="0"/>
        <charset val="1"/>
      </rPr>
      <t xml:space="preserve">Pro FY2030 </t>
    </r>
    <r>
      <rPr>
        <sz val="10"/>
        <color rgb="FF000000"/>
        <rFont val="Noto Sans CJK SC"/>
        <family val="2"/>
      </rPr>
      <t xml:space="preserve">用戶（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</si>
  <si>
    <t xml:space="preserve">V14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</si>
  <si>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（含席位）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</si>
  <si>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原值欄＝</t>
    </r>
    <r>
      <rPr>
        <sz val="9"/>
        <color rgb="FF595959"/>
        <rFont val="Arial"/>
        <family val="0"/>
        <charset val="1"/>
      </rPr>
      <t xml:space="preserve">v0.5 pro ÷ (go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seats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pro)</t>
    </r>
    <r>
      <rPr>
        <sz val="9"/>
        <color rgb="FF595959"/>
        <rFont val="Noto Sans CJK SC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1.48%→1.7%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</si>
  <si>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（含席位）</t>
    </r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</si>
  <si>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（含席位）</t>
    </r>
  </si>
  <si>
    <t xml:space="preserve">V17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</si>
  <si>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占付費總數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（含席位）</t>
    </r>
  </si>
  <si>
    <t xml:space="preserve">V18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</si>
  <si>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</si>
  <si>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V19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</si>
  <si>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</si>
  <si>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V20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</si>
  <si>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</si>
  <si>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V21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</si>
  <si>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月訂閱營收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月）＝用戶</t>
    </r>
    <r>
      <rPr>
        <sz val="10"/>
        <color rgb="FF000000"/>
        <rFont val="Arial"/>
        <family val="0"/>
        <charset val="1"/>
      </rPr>
      <t xml:space="preserve">×ARPU</t>
    </r>
  </si>
  <si>
    <t xml:space="preserve">V22</t>
  </si>
  <si>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</t>
    </r>
  </si>
  <si>
    <t xml:space="preserve">T</t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</si>
  <si>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：驅動值＝</t>
    </r>
    <r>
      <rPr>
        <sz val="9"/>
        <color rgb="FF595959"/>
        <rFont val="Arial"/>
        <family val="0"/>
        <charset val="1"/>
      </rPr>
      <t xml:space="preserve">Inputs 5B/min</t>
    </r>
  </si>
  <si>
    <t xml:space="preserve">V23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</si>
  <si>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</si>
  <si>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：驅動值低端 </t>
    </r>
    <r>
      <rPr>
        <sz val="9"/>
        <color rgb="FF595959"/>
        <rFont val="Arial"/>
        <family val="0"/>
        <charset val="1"/>
      </rPr>
      <t xml:space="preserve">3.8</t>
    </r>
  </si>
  <si>
    <t xml:space="preserve">V24</t>
  </si>
  <si>
    <r>
      <rPr>
        <sz val="10"/>
        <color rgb="FF000000"/>
        <rFont val="Arial"/>
        <family val="0"/>
        <charset val="1"/>
      </rPr>
      <t xml:space="preserve">API FY2025 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</si>
  <si>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E8a</t>
    </r>
    <r>
      <rPr>
        <sz val="9"/>
        <color rgb="FF595959"/>
        <rFont val="Noto Sans CJK SC"/>
        <family val="2"/>
      </rPr>
      <t xml:space="preserve">：驅動值高端 </t>
    </r>
    <r>
      <rPr>
        <sz val="9"/>
        <color rgb="FF595959"/>
        <rFont val="Arial"/>
        <family val="0"/>
        <charset val="1"/>
      </rPr>
      <t xml:space="preserve">6.1</t>
    </r>
  </si>
  <si>
    <t xml:space="preserve">V25</t>
  </si>
  <si>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年）＝總額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年數</t>
    </r>
  </si>
  <si>
    <r>
      <rPr>
        <sz val="9"/>
        <color rgb="FF595959"/>
        <rFont val="Arial"/>
        <family val="0"/>
        <charset val="1"/>
      </rPr>
      <t xml:space="preserve">E8f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以數值 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寫入，改公式</t>
    </r>
  </si>
  <si>
    <t xml:space="preserve">V26</t>
  </si>
  <si>
    <r>
      <rPr>
        <sz val="10"/>
        <color rgb="FF000000"/>
        <rFont val="Arial"/>
        <family val="0"/>
        <charset val="1"/>
      </rPr>
      <t xml:space="preserve">AWS Trainium WSJ </t>
    </r>
    <r>
      <rPr>
        <sz val="10"/>
        <color rgb="FF000000"/>
        <rFont val="Noto Sans CJK SC"/>
        <family val="2"/>
      </rPr>
      <t xml:space="preserve">口徑合計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＝推論＋訓練</t>
    </r>
  </si>
  <si>
    <r>
      <rPr>
        <sz val="9"/>
        <color rgb="FF595959"/>
        <rFont val="Arial"/>
        <family val="0"/>
        <charset val="1"/>
      </rPr>
      <t xml:space="preserve">E8g</t>
    </r>
    <r>
      <rPr>
        <sz val="9"/>
        <color rgb="FF595959"/>
        <rFont val="Noto Sans CJK SC"/>
        <family val="2"/>
      </rPr>
      <t xml:space="preserve">：『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』改公式（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區間上緣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）</t>
    </r>
  </si>
  <si>
    <t xml:space="preserve">V27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</si>
  <si>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輪無條件部分＝四個組成加總</t>
    </r>
  </si>
  <si>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87 </t>
    </r>
    <r>
      <rPr>
        <sz val="9"/>
        <color rgb="FF595959"/>
        <rFont val="Noto Sans CJK SC"/>
        <family val="2"/>
      </rPr>
      <t xml:space="preserve">拆為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</t>
    </r>
  </si>
  <si>
    <r>
      <rPr>
        <b val="true"/>
        <sz val="13"/>
        <rFont val="Arial"/>
        <family val="0"/>
        <charset val="1"/>
      </rPr>
      <t xml:space="preserve">Demand — </t>
    </r>
    <r>
      <rPr>
        <b val="true"/>
        <sz val="13"/>
        <rFont val="Noto Sans CJK SC"/>
        <family val="2"/>
      </rPr>
      <t xml:space="preserve">需求：訂閱各方案人數、每日任務數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每任務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任務數與計費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量（層級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付費／免費）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</si>
  <si>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「訂閱與廣告」「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」頁（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決定）。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為校準年：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實際營收倒推（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唯一倒推）。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起需求成長（不含價格）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 </t>
    </r>
    <r>
      <rPr>
        <sz val="9"/>
        <color rgb="FF595959"/>
        <rFont val="Arial"/>
        <family val="0"/>
        <charset val="1"/>
      </rPr>
      <t xml:space="preserve">(p/p</t>
    </r>
    <r>
      <rPr>
        <sz val="9"/>
        <color rgb="FF595959"/>
        <rFont val="Noto Sans CJK SC"/>
        <family val="2"/>
      </rPr>
      <t xml:space="preserve">前</t>
    </r>
    <r>
      <rPr>
        <sz val="9"/>
        <color rgb="FF595959"/>
        <rFont val="Arial"/>
        <family val="0"/>
        <charset val="1"/>
      </rPr>
      <t xml:space="preserve">)^ε</t>
    </r>
    <r>
      <rPr>
        <sz val="9"/>
        <color rgb="FF595959"/>
        <rFont val="Noto Sans CJK SC"/>
        <family val="2"/>
      </rPr>
      <t xml:space="preserve">。免費用戶只產生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需求，不產生訂閱營收。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</si>
  <si>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10^12</t>
    </r>
    <r>
      <rPr>
        <sz val="9"/>
        <color rgb="FF595959"/>
        <rFont val="Noto Sans CJK SC"/>
        <family val="2"/>
      </rPr>
      <t xml:space="preserve">；人數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＝百萬；任務數（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）十億。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v0.5 Excel </t>
    </r>
    <r>
      <rPr>
        <sz val="9"/>
        <color rgb="FF595959"/>
        <rFont val="Noto Sans CJK SC"/>
        <family val="2"/>
      </rPr>
      <t xml:space="preserve">快取值，只作對照。容量上限（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加入，本頁不截頂。</t>
    </r>
  </si>
  <si>
    <t xml:space="preserve">v0.5 2025</t>
  </si>
  <si>
    <t xml:space="preserve">v0.5 2026</t>
  </si>
  <si>
    <t xml:space="preserve">v0.5 2027</t>
  </si>
  <si>
    <t xml:space="preserve">v0.5 2028</t>
  </si>
  <si>
    <t xml:space="preserve">v0.5 2029</t>
  </si>
  <si>
    <t xml:space="preserve">v0.5 2030</t>
  </si>
  <si>
    <t xml:space="preserve">年度</t>
  </si>
  <si>
    <r>
      <rPr>
        <b val="true"/>
        <sz val="10"/>
        <rFont val="Noto Sans CJK SC"/>
        <family val="2"/>
      </rPr>
      <t xml:space="preserve">一、訂閱人數（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平均；</t>
    </r>
    <r>
      <rPr>
        <b val="true"/>
        <sz val="10"/>
        <rFont val="Arial"/>
        <family val="0"/>
        <charset val="1"/>
      </rPr>
      <t xml:space="preserve">T4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Plus→Go </t>
    </r>
    <r>
      <rPr>
        <b val="true"/>
        <sz val="10"/>
        <rFont val="Noto Sans CJK SC"/>
        <family val="2"/>
      </rPr>
      <t xml:space="preserve">遷移與 </t>
    </r>
    <r>
      <rPr>
        <b val="true"/>
        <sz val="10"/>
        <rFont val="Arial"/>
        <family val="0"/>
        <charset val="1"/>
      </rPr>
      <t xml:space="preserve">Go </t>
    </r>
    <r>
      <rPr>
        <b val="true"/>
        <sz val="10"/>
        <rFont val="Noto Sans CJK SC"/>
        <family val="2"/>
      </rPr>
      <t xml:space="preserve">額外新增）</t>
    </r>
  </si>
  <si>
    <t xml:space="preserve">D01</t>
  </si>
  <si>
    <r>
      <rPr>
        <sz val="10"/>
        <color rgb="FF000000"/>
        <rFont val="Noto Sans CJK SC"/>
        <family val="2"/>
      </rPr>
      <t xml:space="preserve">遷移率 </t>
    </r>
    <r>
      <rPr>
        <sz val="10"/>
        <color rgb="FF000000"/>
        <rFont val="Arial"/>
        <family val="0"/>
        <charset val="1"/>
      </rPr>
      <t xml:space="preserve">μ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Plus→Go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</si>
  <si>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計畫幅度（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 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Plus 2026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起各年同值（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）</t>
    </r>
  </si>
  <si>
    <t xml:space="preserve">D02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</si>
  <si>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額外新增倍數 </t>
    </r>
    <r>
      <rPr>
        <sz val="10"/>
        <color rgb="FF00000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</si>
  <si>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＝計畫幅度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（公司計畫 </t>
    </r>
    <r>
      <rPr>
        <sz val="9"/>
        <color rgb="FF595959"/>
        <rFont val="Arial"/>
        <family val="0"/>
        <charset val="1"/>
      </rPr>
      <t xml:space="preserve">Go −</t>
    </r>
    <r>
      <rPr>
        <sz val="9"/>
        <color rgb="FF595959"/>
        <rFont val="Noto Sans CJK SC"/>
        <family val="2"/>
      </rPr>
      <t xml:space="preserve">（無遷移 </t>
    </r>
    <r>
      <rPr>
        <sz val="9"/>
        <color rgb="FF595959"/>
        <rFont val="Arial"/>
        <family val="0"/>
        <charset val="1"/>
      </rPr>
      <t xml:space="preserve">Plus 2026 − </t>
    </r>
    <r>
      <rPr>
        <sz val="9"/>
        <color rgb="FF595959"/>
        <rFont val="Noto Sans CJK SC"/>
        <family val="2"/>
      </rPr>
      <t xml:space="preserve">公司計畫 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）− 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無遷移 </t>
    </r>
    <r>
      <rPr>
        <sz val="9"/>
        <color rgb="FF595959"/>
        <rFont val="Arial"/>
        <family val="0"/>
        <charset val="1"/>
      </rPr>
      <t xml:space="preserve">Go 2026</t>
    </r>
    <r>
      <rPr>
        <sz val="9"/>
        <color rgb="FF595959"/>
        <rFont val="Noto Sans CJK SC"/>
        <family val="2"/>
      </rPr>
      <t xml:space="preserve">；計畫幅度＝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時，</t>
    </r>
    <r>
      <rPr>
        <sz val="9"/>
        <color rgb="FF595959"/>
        <rFont val="Arial"/>
        <family val="0"/>
        <charset val="1"/>
      </rPr>
      <t xml:space="preserve">2026 Go </t>
    </r>
    <r>
      <rPr>
        <sz val="9"/>
        <color rgb="FF595959"/>
        <rFont val="Noto Sans CJK SC"/>
        <family val="2"/>
      </rPr>
      <t xml:space="preserve">恰等於公司計畫 </t>
    </r>
    <r>
      <rPr>
        <sz val="9"/>
        <color rgb="FF595959"/>
        <rFont val="Arial"/>
        <family val="0"/>
        <charset val="1"/>
      </rPr>
      <t xml:space="preserve">112M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寫法代數相同）</t>
    </r>
  </si>
  <si>
    <t xml:space="preserve">D03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</si>
  <si>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</si>
  <si>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2027+ Inputs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 WAU × </t>
    </r>
    <r>
      <rPr>
        <sz val="9"/>
        <color rgb="FF595959"/>
        <rFont val="Noto Sans CJK SC"/>
        <family val="2"/>
      </rPr>
      <t xml:space="preserve">換算係數（</t>
    </r>
    <r>
      <rPr>
        <sz val="9"/>
        <color rgb="FF595959"/>
        <rFont val="Arial"/>
        <family val="0"/>
        <charset val="1"/>
      </rPr>
      <t xml:space="preserve">Derived_V9 V01</t>
    </r>
    <r>
      <rPr>
        <sz val="9"/>
        <color rgb="FF595959"/>
        <rFont val="Noto Sans CJK SC"/>
        <family val="2"/>
      </rPr>
      <t xml:space="preserve">）</t>
    </r>
  </si>
  <si>
    <t xml:space="preserve">D04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</si>
  <si>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</si>
  <si>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Go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λ</t>
    </r>
    <r>
      <rPr>
        <sz val="9"/>
        <color rgb="FF595959"/>
        <rFont val="Noto Sans CJK SC"/>
        <family val="2"/>
      </rPr>
      <t xml:space="preserve">）＋無遷移 </t>
    </r>
    <r>
      <rPr>
        <sz val="9"/>
        <color rgb="FF595959"/>
        <rFont val="Arial"/>
        <family val="0"/>
        <charset val="1"/>
      </rPr>
      <t xml:space="preserve">Plus × μ</t>
    </r>
  </si>
  <si>
    <t xml:space="preserve">D05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</si>
  <si>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</si>
  <si>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 35M × </t>
    </r>
    <r>
      <rPr>
        <sz val="9"/>
        <color rgb="FF595959"/>
        <rFont val="Noto Sans CJK SC"/>
        <family val="2"/>
      </rPr>
      <t xml:space="preserve">換算係數）；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起＝無遷移 </t>
    </r>
    <r>
      <rPr>
        <sz val="9"/>
        <color rgb="FF595959"/>
        <rFont val="Arial"/>
        <family val="0"/>
        <charset val="1"/>
      </rPr>
      <t xml:space="preserve">Plus 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μ</t>
    </r>
    <r>
      <rPr>
        <sz val="9"/>
        <color rgb="FF595959"/>
        <rFont val="Noto Sans CJK SC"/>
        <family val="2"/>
      </rPr>
      <t xml:space="preserve">）</t>
    </r>
  </si>
  <si>
    <t xml:space="preserve">D06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</si>
  <si>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人數</t>
    </r>
  </si>
  <si>
    <r>
      <rPr>
        <sz val="9"/>
        <color rgb="FF595959"/>
        <rFont val="Arial"/>
        <family val="0"/>
        <charset val="1"/>
      </rPr>
      <t xml:space="preserve">V12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V15</t>
    </r>
    <r>
      <rPr>
        <sz val="9"/>
        <color rgb="FF595959"/>
        <rFont val="Noto Sans CJK SC"/>
        <family val="2"/>
      </rPr>
      <t xml:space="preserve">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付費總數（</t>
    </r>
    <r>
      <rPr>
        <sz val="9"/>
        <color rgb="FF595959"/>
        <rFont val="Arial"/>
        <family val="0"/>
        <charset val="1"/>
      </rPr>
      <t xml:space="preserve">Derived_V9 V03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V10–V13</t>
    </r>
    <r>
      <rPr>
        <sz val="9"/>
        <color rgb="FF595959"/>
        <rFont val="Noto Sans CJK SC"/>
        <family val="2"/>
      </rPr>
      <t xml:space="preserve">；付費總數口徑＝無遷移基準，沿用 </t>
    </r>
    <r>
      <rPr>
        <sz val="9"/>
        <color rgb="FF595959"/>
        <rFont val="Arial"/>
        <family val="0"/>
        <charset val="1"/>
      </rPr>
      <t xml:space="preserve">P1 </t>
    </r>
    <r>
      <rPr>
        <sz val="9"/>
        <color rgb="FF595959"/>
        <rFont val="Noto Sans CJK SC"/>
        <family val="2"/>
      </rPr>
      <t xml:space="preserve">已審公式）</t>
    </r>
  </si>
  <si>
    <t xml:space="preserve">D07</t>
  </si>
  <si>
    <t xml:space="preserve">企業席位人數</t>
  </si>
  <si>
    <t xml:space="preserve">D08</t>
  </si>
  <si>
    <r>
      <rPr>
        <sz val="10"/>
        <color rgb="FF000000"/>
        <rFont val="Noto Sans CJK SC"/>
        <family val="2"/>
      </rPr>
      <t xml:space="preserve">付費人數合計（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＋席位）</t>
    </r>
  </si>
  <si>
    <t xml:space="preserve">D09</t>
  </si>
  <si>
    <r>
      <rPr>
        <sz val="10"/>
        <color rgb="FF000000"/>
        <rFont val="Noto Sans CJK SC"/>
        <family val="2"/>
      </rPr>
      <t xml:space="preserve">消費端付費人數（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</si>
  <si>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二、訂閱使用量：每日任務數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Inputs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起年增）</t>
    </r>
  </si>
  <si>
    <t xml:space="preserve">D10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</si>
  <si>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每日任務數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</si>
  <si>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＋每日任務數年增率）</t>
    </r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</si>
  <si>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每日任務數</t>
    </r>
  </si>
  <si>
    <t xml:space="preserve">D12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</si>
  <si>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每日任務數</t>
    </r>
  </si>
  <si>
    <t xml:space="preserve">D13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</si>
  <si>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每日任務數</t>
    </r>
  </si>
  <si>
    <t xml:space="preserve">D14</t>
  </si>
  <si>
    <t xml:space="preserve">企業席位 每日任務數</t>
  </si>
  <si>
    <t xml:space="preserve">D15</t>
  </si>
  <si>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</si>
  <si>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K tok/</t>
    </r>
    <r>
      <rPr>
        <sz val="10"/>
        <color rgb="FF000000"/>
        <rFont val="Noto Sans CJK SC"/>
        <family val="2"/>
      </rPr>
      <t xml:space="preserve">任務</t>
    </r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</si>
  <si>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年增率；</t>
    </r>
    <r>
      <rPr>
        <sz val="9"/>
        <color rgb="FF595959"/>
        <rFont val="Arial"/>
        <family val="0"/>
        <charset val="1"/>
      </rPr>
      <t xml:space="preserve">D11 </t>
    </r>
    <r>
      <rPr>
        <sz val="9"/>
        <color rgb="FF595959"/>
        <rFont val="Noto Sans CJK SC"/>
        <family val="2"/>
      </rPr>
      <t xml:space="preserve">情境軸）</t>
    </r>
  </si>
  <si>
    <t xml:space="preserve">D16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</si>
  <si>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</si>
  <si>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D17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</si>
  <si>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</si>
  <si>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D18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</si>
  <si>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</si>
  <si>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D19</t>
  </si>
  <si>
    <r>
      <rPr>
        <sz val="10"/>
        <color rgb="FF000000"/>
        <rFont val="Noto Sans CJK SC"/>
        <family val="2"/>
      </rPr>
      <t xml:space="preserve">企業席位 每任務 </t>
    </r>
    <r>
      <rPr>
        <sz val="10"/>
        <color rgb="FF000000"/>
        <rFont val="Arial"/>
        <family val="0"/>
        <charset val="1"/>
      </rPr>
      <t xml:space="preserve">token</t>
    </r>
  </si>
  <si>
    <t xml:space="preserve">D20</t>
  </si>
  <si>
    <t xml:space="preserve">Free token</t>
  </si>
  <si>
    <r>
      <rPr>
        <sz val="9"/>
        <color rgb="FF595959"/>
        <rFont val="Noto Sans CJK SC"/>
        <family val="2"/>
      </rPr>
      <t xml:space="preserve">人數（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每日任務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每年天數 </t>
    </r>
    <r>
      <rPr>
        <sz val="9"/>
        <color rgb="FF595959"/>
        <rFont val="Arial"/>
        <family val="0"/>
        <charset val="1"/>
      </rPr>
      <t xml:space="preserve">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B→T</t>
    </r>
    <r>
      <rPr>
        <sz val="9"/>
        <color rgb="FF595959"/>
        <rFont val="Noto Sans CJK SC"/>
        <family val="2"/>
      </rPr>
      <t xml:space="preserve">）</t>
    </r>
  </si>
  <si>
    <t xml:space="preserve">D21</t>
  </si>
  <si>
    <t xml:space="preserve">Go token</t>
  </si>
  <si>
    <t xml:space="preserve">D22</t>
  </si>
  <si>
    <t xml:space="preserve">Plus token</t>
  </si>
  <si>
    <t xml:space="preserve">D23</t>
  </si>
  <si>
    <t xml:space="preserve">Pro token</t>
  </si>
  <si>
    <t xml:space="preserve">D24</t>
  </si>
  <si>
    <r>
      <rPr>
        <sz val="10"/>
        <color rgb="FF000000"/>
        <rFont val="Noto Sans CJK SC"/>
        <family val="2"/>
      </rPr>
      <t xml:space="preserve">企業席位 </t>
    </r>
    <r>
      <rPr>
        <sz val="10"/>
        <color rgb="FF000000"/>
        <rFont val="Arial"/>
        <family val="0"/>
        <charset val="1"/>
      </rPr>
      <t xml:space="preserve">token</t>
    </r>
  </si>
  <si>
    <t xml:space="preserve">D25</t>
  </si>
  <si>
    <r>
      <rPr>
        <sz val="10"/>
        <color rgb="FF000000"/>
        <rFont val="Noto Sans CJK SC"/>
        <family val="2"/>
      </rPr>
      <t xml:space="preserve">訂閱＋</t>
    </r>
    <r>
      <rPr>
        <sz val="10"/>
        <color rgb="FF000000"/>
        <rFont val="Arial"/>
        <family val="0"/>
        <charset val="1"/>
      </rPr>
      <t xml:space="preserve">Free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</si>
  <si>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workbook </t>
    </r>
    <r>
      <rPr>
        <sz val="9"/>
        <color rgb="FF595959"/>
        <rFont val="Noto Sans CJK SC"/>
        <family val="2"/>
      </rPr>
      <t xml:space="preserve">口徑（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未校正）</t>
    </r>
  </si>
  <si>
    <r>
      <rPr>
        <b val="true"/>
        <sz val="10"/>
        <rFont val="Noto Sans CJK SC"/>
        <family val="2"/>
      </rPr>
      <t xml:space="preserve">三、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需求：任務數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每任務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由營收倒推；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起價格反應）</t>
    </r>
  </si>
  <si>
    <t xml:space="preserve">D26</t>
  </si>
  <si>
    <r>
      <rPr>
        <sz val="10"/>
        <color rgb="FF000000"/>
        <rFont val="Noto Sans CJK SC"/>
        <family val="2"/>
      </rPr>
      <t xml:space="preserve">價格反應底數 </t>
    </r>
    <r>
      <rPr>
        <sz val="10"/>
        <color rgb="FF000000"/>
        <rFont val="Arial"/>
        <family val="0"/>
        <charset val="1"/>
      </rPr>
      <t xml:space="preserve">p/p</t>
    </r>
    <r>
      <rPr>
        <sz val="10"/>
        <color rgb="FF000000"/>
        <rFont val="Noto Sans CJK SC"/>
        <family val="2"/>
      </rPr>
      <t xml:space="preserve">前（組合有效單價）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</si>
  <si>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Revenue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前一年；價格反應只在年度 ≥ 彈性起算年（</t>
    </r>
    <r>
      <rPr>
        <sz val="9"/>
        <color rgb="FF595959"/>
        <rFont val="Arial"/>
        <family val="0"/>
        <charset val="1"/>
      </rPr>
      <t xml:space="preserve">Inputs 2027</t>
    </r>
    <r>
      <rPr>
        <sz val="9"/>
        <color rgb="FF595959"/>
        <rFont val="Noto Sans CJK SC"/>
        <family val="2"/>
      </rPr>
      <t xml:space="preserve">）生效：底數</t>
    </r>
    <r>
      <rPr>
        <sz val="9"/>
        <color rgb="FF595959"/>
        <rFont val="Arial"/>
        <family val="0"/>
        <charset val="1"/>
      </rPr>
      <t xml:space="preserve">^(ε×(</t>
    </r>
    <r>
      <rPr>
        <sz val="9"/>
        <color rgb="FF595959"/>
        <rFont val="Noto Sans CJK SC"/>
        <family val="2"/>
      </rPr>
      <t xml:space="preserve">年度≥起算年</t>
    </r>
    <r>
      <rPr>
        <sz val="9"/>
        <color rgb="FF595959"/>
        <rFont val="Arial"/>
        <family val="0"/>
        <charset val="1"/>
      </rPr>
      <t xml:space="preserve">))</t>
    </r>
  </si>
  <si>
    <t xml:space="preserve">D27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</si>
  <si>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每任務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</si>
  <si>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層級正規化（只影響任務數與每任務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的水準拆分，不影響營收）</t>
    </r>
  </si>
  <si>
    <t xml:space="preserve">D28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</si>
  <si>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任務數</t>
    </r>
  </si>
  <si>
    <t xml:space="preserve">十億</t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</si>
  <si>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＝計費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；之後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＋成長）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價格反應</t>
    </r>
  </si>
  <si>
    <t xml:space="preserve">D29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</si>
  <si>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</si>
  <si>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：（</t>
    </r>
    <r>
      <rPr>
        <sz val="9"/>
        <color rgb="FF595959"/>
        <rFont val="Arial"/>
        <family val="0"/>
        <charset val="1"/>
      </rPr>
      <t xml:space="preserve">FY2025 </t>
    </r>
    <r>
      <rPr>
        <sz val="9"/>
        <color rgb="FF595959"/>
        <rFont val="Noto Sans CJK SC"/>
        <family val="2"/>
      </rPr>
      <t xml:space="preserve">實際營收 − 訂閱 − 廣告 − 其他）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組合有效單價（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校準，唯一倒推）；之後＝任務數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每任務 </t>
    </r>
    <r>
      <rPr>
        <sz val="9"/>
        <color rgb="FF595959"/>
        <rFont val="Arial"/>
        <family val="0"/>
        <charset val="1"/>
      </rPr>
      <t xml:space="preserve">token</t>
    </r>
  </si>
  <si>
    <t xml:space="preserve">D30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</si>
  <si>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</si>
  <si>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層級占比（</t>
    </r>
    <r>
      <rPr>
        <sz val="9"/>
        <color rgb="FF595959"/>
        <rFont val="Arial"/>
        <family val="0"/>
        <charset val="1"/>
      </rPr>
      <t xml:space="preserve">Revenue</t>
    </r>
    <r>
      <rPr>
        <sz val="9"/>
        <color rgb="FF595959"/>
        <rFont val="Noto Sans CJK SC"/>
        <family val="2"/>
      </rPr>
      <t xml:space="preserve">）</t>
    </r>
  </si>
  <si>
    <t xml:space="preserve">D31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</si>
  <si>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</si>
  <si>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D32</t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</si>
  <si>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</si>
  <si>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四、輸出：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量（層級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付費／免費；供 </t>
    </r>
    <r>
      <rPr>
        <b val="true"/>
        <sz val="10"/>
        <rFont val="Arial"/>
        <family val="0"/>
        <charset val="1"/>
      </rPr>
      <t xml:space="preserve">P3 </t>
    </r>
    <r>
      <rPr>
        <b val="true"/>
        <sz val="10"/>
        <rFont val="Noto Sans CJK SC"/>
        <family val="2"/>
      </rPr>
      <t xml:space="preserve">推論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</si>
  <si>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D33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</si>
  <si>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</si>
  <si>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astra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</si>
  <si>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D34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</si>
  <si>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</si>
  <si>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sol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</si>
  <si>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D35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</si>
  <si>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</si>
  <si>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Free token × </t>
    </r>
    <r>
      <rPr>
        <sz val="9"/>
        <color rgb="FF595959"/>
        <rFont val="Noto Sans CJK SC"/>
        <family val="2"/>
      </rPr>
      <t xml:space="preserve">方案模型組合（</t>
    </r>
    <r>
      <rPr>
        <sz val="9"/>
        <color rgb="FF595959"/>
        <rFont val="Arial"/>
        <family val="0"/>
        <charset val="1"/>
      </rPr>
      <t xml:space="preserve">Inputs luna </t>
    </r>
    <r>
      <rPr>
        <sz val="9"/>
        <color rgb="FF595959"/>
        <rFont val="Noto Sans CJK SC"/>
        <family val="2"/>
      </rPr>
      <t xml:space="preserve">占比；</t>
    </r>
    <r>
      <rPr>
        <sz val="9"/>
        <color rgb="FF595959"/>
        <rFont val="Arial"/>
        <family val="0"/>
        <charset val="1"/>
      </rPr>
      <t xml:space="preserve">v0.5 inferenceCost.usage</t>
    </r>
    <r>
      <rPr>
        <sz val="9"/>
        <color rgb="FF595959"/>
        <rFont val="Noto Sans CJK SC"/>
        <family val="2"/>
      </rPr>
      <t xml:space="preserve">）</t>
    </r>
  </si>
  <si>
    <t xml:space="preserve">D36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</si>
  <si>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</si>
  <si>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付費方案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方案模型組合 ＋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該層級 </t>
    </r>
    <r>
      <rPr>
        <sz val="9"/>
        <color rgb="FF595959"/>
        <rFont val="Arial"/>
        <family val="0"/>
        <charset val="1"/>
      </rPr>
      <t xml:space="preserve">token</t>
    </r>
  </si>
  <si>
    <t xml:space="preserve">D37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</si>
  <si>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</si>
  <si>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D38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</si>
  <si>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</si>
  <si>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D39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</si>
  <si>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</si>
  <si>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D40</t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</si>
  <si>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</t>
    </r>
  </si>
  <si>
    <t xml:space="preserve">D41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</si>
  <si>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合計（付費＋免費）</t>
    </r>
  </si>
  <si>
    <t xml:space="preserve">D42</t>
  </si>
  <si>
    <r>
      <rPr>
        <sz val="10"/>
        <color rgb="FF000000"/>
        <rFont val="Noto Sans CJK SC"/>
        <family val="2"/>
      </rPr>
      <t xml:space="preserve">對照：訂閱＋免費＋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（應＝合計）</t>
    </r>
  </si>
  <si>
    <r>
      <rPr>
        <sz val="9"/>
        <color rgb="FF595959"/>
        <rFont val="Noto Sans CJK SC"/>
        <family val="2"/>
      </rPr>
      <t xml:space="preserve">層級拆分前的總量；與上一列之差應為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</si>
  <si>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對照（只列差距，不校準）</t>
    </r>
  </si>
  <si>
    <t xml:space="preserve">D43</t>
  </si>
  <si>
    <r>
      <rPr>
        <sz val="10"/>
        <color rgb="FF000000"/>
        <rFont val="Arial"/>
        <family val="0"/>
        <charset val="1"/>
      </rPr>
      <t xml:space="preserve">Tokenomics IF_AllocDemand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</si>
  <si>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TK </t>
    </r>
    <r>
      <rPr>
        <sz val="9"/>
        <color rgb="FF595959"/>
        <rFont val="Noto Sans CJK SC"/>
        <family val="2"/>
      </rPr>
      <t xml:space="preserve">快照；口徑：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ChatGPT</t>
    </r>
    <r>
      <rPr>
        <sz val="9"/>
        <color rgb="FF595959"/>
        <rFont val="Noto Sans CJK SC"/>
        <family val="2"/>
      </rPr>
      <t xml:space="preserve">；付費＋免費 </t>
    </r>
    <r>
      <rPr>
        <sz val="9"/>
        <color rgb="FF595959"/>
        <rFont val="Arial"/>
        <family val="0"/>
        <charset val="1"/>
      </rPr>
      <t xml:space="preserve">token</t>
    </r>
  </si>
  <si>
    <t xml:space="preserve">D44</t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</si>
  <si>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</t>
    </r>
  </si>
  <si>
    <r>
      <rPr>
        <sz val="9"/>
        <color rgb="FF595959"/>
        <rFont val="Arial"/>
        <family val="0"/>
        <charset val="1"/>
      </rPr>
      <t xml:space="preserve">T × 10^6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定義常數）</t>
    </r>
  </si>
  <si>
    <t xml:space="preserve">D45</t>
  </si>
  <si>
    <r>
      <rPr>
        <sz val="10"/>
        <color rgb="FF000000"/>
        <rFont val="Noto Sans CJK SC"/>
        <family val="2"/>
      </rPr>
      <t xml:space="preserve">差距：本模型 − </t>
    </r>
    <r>
      <rPr>
        <sz val="10"/>
        <color rgb="FF000000"/>
        <rFont val="Arial"/>
        <family val="0"/>
        <charset val="1"/>
      </rPr>
      <t xml:space="preserve">Tokenomics</t>
    </r>
  </si>
  <si>
    <t xml:space="preserve">D46</t>
  </si>
  <si>
    <r>
      <rPr>
        <sz val="10"/>
        <color rgb="FF000000"/>
        <rFont val="Noto Sans CJK SC"/>
        <family val="2"/>
      </rPr>
      <t xml:space="preserve">比值：本模型 </t>
    </r>
    <r>
      <rPr>
        <sz val="10"/>
        <color rgb="FF000000"/>
        <rFont val="Arial"/>
        <family val="0"/>
        <charset val="1"/>
      </rPr>
      <t xml:space="preserve">÷ Tokenomics</t>
    </r>
  </si>
  <si>
    <t xml:space="preserve">D47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</si>
  <si>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（揭露推估，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</si>
  <si>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每分鐘 </t>
    </r>
    <r>
      <rPr>
        <sz val="9"/>
        <color rgb="FF595959"/>
        <rFont val="Arial"/>
        <family val="0"/>
        <charset val="1"/>
      </rPr>
      <t xml:space="preserve">5B × 525,600 ÷ 1000</t>
    </r>
  </si>
  <si>
    <t xml:space="preserve">D48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</si>
  <si>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計費比例＝計費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</si>
  <si>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檢查項；計費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為營收倒推值</t>
    </r>
  </si>
  <si>
    <r>
      <rPr>
        <b val="true"/>
        <sz val="13"/>
        <rFont val="Arial"/>
        <family val="0"/>
        <charset val="1"/>
      </rPr>
      <t xml:space="preserve">Revenue — </t>
    </r>
    <r>
      <rPr>
        <b val="true"/>
        <sz val="13"/>
        <rFont val="Noto Sans CJK SC"/>
        <family val="2"/>
      </rPr>
      <t xml:space="preserve">營收：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單價路徑、訂閱、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、廣告、其他、總額、</t>
    </r>
    <r>
      <rPr>
        <b val="true"/>
        <sz val="13"/>
        <rFont val="Arial"/>
        <family val="0"/>
        <charset val="1"/>
      </rPr>
      <t xml:space="preserve">Microsoft </t>
    </r>
    <r>
      <rPr>
        <b val="true"/>
        <sz val="13"/>
        <rFont val="Noto Sans CJK SC"/>
        <family val="2"/>
      </rPr>
      <t xml:space="preserve">分成、淨額（估值與命題用淨額）</t>
    </r>
  </si>
  <si>
    <r>
      <rPr>
        <sz val="9"/>
        <color rgb="FF595959"/>
        <rFont val="Noto Sans CJK SC"/>
        <family val="2"/>
      </rPr>
      <t xml:space="preserve">機制沿用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」「訂閱與廣告」「營收彙總」頁。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單價：</t>
    </r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由價格事件按天數加權（</t>
    </r>
    <r>
      <rPr>
        <sz val="9"/>
        <color rgb="FF595959"/>
        <rFont val="Arial"/>
        <family val="0"/>
        <charset val="1"/>
      </rPr>
      <t xml:space="preserve">E8c</t>
    </r>
    <r>
      <rPr>
        <sz val="9"/>
        <color rgb="FF595959"/>
        <rFont val="Noto Sans CJK SC"/>
        <family val="2"/>
      </rPr>
      <t xml:space="preserve">，事件時點見本頁下方）；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＋牌價年變動率）。訂閱營收＝人數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實收 </t>
    </r>
    <r>
      <rPr>
        <sz val="9"/>
        <color rgb="FF595959"/>
        <rFont val="Arial"/>
        <family val="0"/>
        <charset val="1"/>
      </rPr>
      <t xml:space="preserve">ARPU × 12</t>
    </r>
    <r>
      <rPr>
        <sz val="9"/>
        <color rgb="FF595959"/>
        <rFont val="Noto Sans CJK SC"/>
        <family val="2"/>
      </rPr>
      <t xml:space="preserve">。</t>
    </r>
  </si>
  <si>
    <r>
      <rPr>
        <sz val="9"/>
        <color rgb="FF595959"/>
        <rFont val="Noto Sans CJK SC"/>
        <family val="2"/>
      </rPr>
      <t xml:space="preserve">營收單位 </t>
    </r>
    <r>
      <rPr>
        <sz val="9"/>
        <color rgb="FF595959"/>
        <rFont val="Arial"/>
        <family val="0"/>
        <charset val="1"/>
      </rPr>
      <t xml:space="preserve">$B</t>
    </r>
    <r>
      <rPr>
        <sz val="9"/>
        <color rgb="FF595959"/>
        <rFont val="Noto Sans CJK SC"/>
        <family val="2"/>
      </rPr>
      <t xml:space="preserve">；單價 </t>
    </r>
    <r>
      <rPr>
        <sz val="9"/>
        <color rgb="FF595959"/>
        <rFont val="Arial"/>
        <family val="0"/>
        <charset val="1"/>
      </rPr>
      <t xml:space="preserve">$/M tokens</t>
    </r>
    <r>
      <rPr>
        <sz val="9"/>
        <color rgb="FF595959"/>
        <rFont val="Noto Sans CJK SC"/>
        <family val="2"/>
      </rPr>
      <t xml:space="preserve">。容量上限（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加入，本頁營收未截頂。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原值欄（</t>
    </r>
    <r>
      <rPr>
        <sz val="9"/>
        <color rgb="FF595959"/>
        <rFont val="Arial"/>
        <family val="0"/>
        <charset val="1"/>
      </rPr>
      <t xml:space="preserve">K–P</t>
    </r>
    <r>
      <rPr>
        <sz val="9"/>
        <color rgb="FF595959"/>
        <rFont val="Noto Sans CJK SC"/>
        <family val="2"/>
      </rPr>
      <t xml:space="preserve">）只作對照。</t>
    </r>
  </si>
  <si>
    <r>
      <rPr>
        <b val="true"/>
        <sz val="10"/>
        <rFont val="Noto Sans CJK SC"/>
        <family val="2"/>
      </rPr>
      <t xml:space="preserve">一、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牌價（</t>
    </r>
    <r>
      <rPr>
        <b val="true"/>
        <sz val="10"/>
        <rFont val="Arial"/>
        <family val="0"/>
        <charset val="1"/>
      </rPr>
      <t xml:space="preserve">FY </t>
    </r>
    <r>
      <rPr>
        <b val="true"/>
        <sz val="10"/>
        <rFont val="Noto Sans CJK SC"/>
        <family val="2"/>
      </rPr>
      <t xml:space="preserve">平均，</t>
    </r>
    <r>
      <rPr>
        <b val="true"/>
        <sz val="10"/>
        <rFont val="Arial"/>
        <family val="0"/>
        <charset val="1"/>
      </rPr>
      <t xml:space="preserve">$/M tokens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N3a </t>
    </r>
    <r>
      <rPr>
        <b val="true"/>
        <sz val="10"/>
        <rFont val="Noto Sans CJK SC"/>
        <family val="2"/>
      </rPr>
      <t xml:space="preserve">層級角色口徑）</t>
    </r>
  </si>
  <si>
    <t xml:space="preserve">R01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</si>
  <si>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輸入牌價</t>
    </r>
  </si>
  <si>
    <r>
      <rPr>
        <sz val="9"/>
        <color rgb="FF595959"/>
        <rFont val="Arial"/>
        <family val="0"/>
        <charset val="1"/>
      </rPr>
      <t xml:space="preserve">2025 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＝事件時點天數加權（下方第六節）；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＋年變動率）</t>
    </r>
  </si>
  <si>
    <t xml:space="preserve">R02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</si>
  <si>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輸出牌價</t>
    </r>
  </si>
  <si>
    <t xml:space="preserve">R03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</si>
  <si>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輸入牌價</t>
    </r>
  </si>
  <si>
    <t xml:space="preserve">R04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</si>
  <si>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輸出牌價</t>
    </r>
  </si>
  <si>
    <t xml:space="preserve">R05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</si>
  <si>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輸入牌價</t>
    </r>
  </si>
  <si>
    <t xml:space="preserve">R06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</si>
  <si>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輸出牌價</t>
    </r>
  </si>
  <si>
    <r>
      <rPr>
        <b val="true"/>
        <sz val="10"/>
        <rFont val="Noto Sans CJK SC"/>
        <family val="2"/>
      </rPr>
      <t xml:space="preserve">二、有效單價（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；含快取、輸出占比；折扣於組合列扣除）</t>
    </r>
  </si>
  <si>
    <t xml:space="preserve">R07</t>
  </si>
  <si>
    <r>
      <rPr>
        <sz val="10"/>
        <color rgb="FF000000"/>
        <rFont val="Noto Sans CJK SC"/>
        <family val="2"/>
      </rPr>
      <t xml:space="preserve">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</si>
  <si>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輸出占比）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（快取命中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快取價比 ＋（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快取命中））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輸入價 ＋ 輸出占比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輸出價</t>
    </r>
  </si>
  <si>
    <t xml:space="preserve">R08</t>
  </si>
  <si>
    <r>
      <rPr>
        <sz val="10"/>
        <color rgb="FF000000"/>
        <rFont val="Noto Sans CJK SC"/>
        <family val="2"/>
      </rPr>
      <t xml:space="preserve">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</si>
  <si>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R09</t>
  </si>
  <si>
    <r>
      <rPr>
        <sz val="10"/>
        <color rgb="FF000000"/>
        <rFont val="Noto Sans CJK SC"/>
        <family val="2"/>
      </rPr>
      <t xml:space="preserve">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單價</t>
    </r>
  </si>
  <si>
    <t xml:space="preserve">R10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</si>
  <si>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組合：頂層</t>
    </r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</si>
  <si>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起沿用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</t>
    </r>
  </si>
  <si>
    <t xml:space="preserve">R11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</si>
  <si>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組合：中層</t>
    </r>
  </si>
  <si>
    <t xml:space="preserve">R12</t>
  </si>
  <si>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組合：低層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</si>
  <si>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頂層 − 中層（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：不另輸入）</t>
    </r>
  </si>
  <si>
    <t xml:space="preserve">R13</t>
  </si>
  <si>
    <t xml:space="preserve">組合有效單價（扣折扣）</t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</si>
  <si>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層級占比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單價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加權折扣）</t>
    </r>
  </si>
  <si>
    <r>
      <rPr>
        <b val="true"/>
        <sz val="10"/>
        <rFont val="Noto Sans CJK SC"/>
        <family val="2"/>
      </rPr>
      <t xml:space="preserve">三、訂閱營收（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＝人數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實收 </t>
    </r>
    <r>
      <rPr>
        <b val="true"/>
        <sz val="10"/>
        <rFont val="Arial"/>
        <family val="0"/>
        <charset val="1"/>
      </rPr>
      <t xml:space="preserve">ARPU × 12 ÷ 1000</t>
    </r>
    <r>
      <rPr>
        <b val="true"/>
        <sz val="10"/>
        <rFont val="Noto Sans CJK SC"/>
        <family val="2"/>
      </rPr>
      <t xml:space="preserve">）</t>
    </r>
  </si>
  <si>
    <t xml:space="preserve">R14</t>
  </si>
  <si>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訂閱營收</t>
    </r>
  </si>
  <si>
    <r>
      <rPr>
        <sz val="9"/>
        <color rgb="FF595959"/>
        <rFont val="Arial"/>
        <family val="0"/>
        <charset val="1"/>
      </rPr>
      <t xml:space="preserve">ARPU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pro 2025 </t>
    </r>
    <r>
      <rPr>
        <sz val="9"/>
        <color rgb="FF595959"/>
        <rFont val="Noto Sans CJK SC"/>
        <family val="2"/>
      </rPr>
      <t xml:space="preserve">一欄、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起一欄（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以最後一值延伸）；</t>
    </r>
    <r>
      <rPr>
        <sz val="9"/>
        <color rgb="FF595959"/>
        <rFont val="Arial"/>
        <family val="0"/>
        <charset val="1"/>
      </rPr>
      <t xml:space="preserve">go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seats </t>
    </r>
    <r>
      <rPr>
        <sz val="9"/>
        <color rgb="FF595959"/>
        <rFont val="Noto Sans CJK SC"/>
        <family val="2"/>
      </rPr>
      <t xml:space="preserve">全期一欄</t>
    </r>
  </si>
  <si>
    <t xml:space="preserve">R15</t>
  </si>
  <si>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訂閱營收</t>
    </r>
  </si>
  <si>
    <t xml:space="preserve">R16</t>
  </si>
  <si>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訂閱營收</t>
    </r>
  </si>
  <si>
    <t xml:space="preserve">R17</t>
  </si>
  <si>
    <t xml:space="preserve">企業席位 訂閱營收</t>
  </si>
  <si>
    <t xml:space="preserve">R18</t>
  </si>
  <si>
    <t xml:space="preserve">訂閱合計</t>
  </si>
  <si>
    <r>
      <rPr>
        <b val="true"/>
        <sz val="10"/>
        <rFont val="Noto Sans CJK SC"/>
        <family val="2"/>
      </rPr>
      <t xml:space="preserve">四、廣告與其他（廣告為獨立、慢成長的一列，不進核心分析，</t>
    </r>
    <r>
      <rPr>
        <b val="true"/>
        <sz val="10"/>
        <rFont val="Arial"/>
        <family val="0"/>
        <charset val="1"/>
      </rPr>
      <t xml:space="preserve">N1b</t>
    </r>
    <r>
      <rPr>
        <b val="true"/>
        <sz val="10"/>
        <rFont val="Noto Sans CJK SC"/>
        <family val="2"/>
      </rPr>
      <t xml:space="preserve">）</t>
    </r>
  </si>
  <si>
    <t xml:space="preserve">R19</t>
  </si>
  <si>
    <r>
      <rPr>
        <sz val="10"/>
        <color rgb="FF000000"/>
        <rFont val="Noto Sans CJK SC"/>
        <family val="2"/>
      </rPr>
      <t xml:space="preserve">廣告曝光用戶（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</si>
  <si>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曝光占比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2026-09-29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2027→2030 </t>
    </r>
    <r>
      <rPr>
        <sz val="9"/>
        <color rgb="FF595959"/>
        <rFont val="Noto Sans CJK SC"/>
        <family val="2"/>
      </rPr>
      <t xml:space="preserve">不宜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倍）</t>
    </r>
  </si>
  <si>
    <t xml:space="preserve">R20</t>
  </si>
  <si>
    <t xml:space="preserve">廣告營收</t>
  </si>
  <si>
    <r>
      <rPr>
        <sz val="9"/>
        <color rgb="FF595959"/>
        <rFont val="Noto Sans CJK SC"/>
        <family val="2"/>
      </rPr>
      <t xml:space="preserve">每曝光用戶年收入 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；上限參照 </t>
    </r>
    <r>
      <rPr>
        <sz val="9"/>
        <color rgb="FF595959"/>
        <rFont val="Arial"/>
        <family val="0"/>
        <charset val="1"/>
      </rPr>
      <t xml:space="preserve">Meta ARPP</t>
    </r>
    <r>
      <rPr>
        <sz val="9"/>
        <color rgb="FF595959"/>
        <rFont val="Noto Sans CJK SC"/>
        <family val="2"/>
      </rPr>
      <t xml:space="preserve">）</t>
    </r>
  </si>
  <si>
    <t xml:space="preserve">R21</t>
  </si>
  <si>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 residual</t>
    </r>
    <r>
      <rPr>
        <sz val="9"/>
        <color rgb="FF595959"/>
        <rFont val="Noto Sans CJK SC"/>
        <family val="2"/>
      </rPr>
      <t xml:space="preserve">，維持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</si>
  <si>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五、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營收、總額、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分成與淨額</t>
    </r>
  </si>
  <si>
    <t xml:space="preserve">R22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</si>
  <si>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校準：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營收＝實際營收 − 訂閱 − 廣告 − 其他</t>
    </r>
  </si>
  <si>
    <r>
      <rPr>
        <sz val="9"/>
        <color rgb="FF595959"/>
        <rFont val="Arial"/>
        <family val="0"/>
        <charset val="1"/>
      </rPr>
      <t xml:space="preserve">v0.5 calibration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為唯一倒推項</t>
    </r>
  </si>
  <si>
    <t xml:space="preserve">R23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</si>
  <si>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</si>
  <si>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組合有效單價 </t>
    </r>
    <r>
      <rPr>
        <sz val="9"/>
        <color rgb="FF595959"/>
        <rFont val="Arial"/>
        <family val="0"/>
        <charset val="1"/>
      </rPr>
      <t xml:space="preserve">÷ 1000</t>
    </r>
  </si>
  <si>
    <t xml:space="preserve">R24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</si>
  <si>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</si>
  <si>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R25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</si>
  <si>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</si>
  <si>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R26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</si>
  <si>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</si>
  <si>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R27</t>
  </si>
  <si>
    <r>
      <rPr>
        <sz val="10"/>
        <color rgb="FF000000"/>
        <rFont val="Noto Sans CJK SC"/>
        <family val="2"/>
      </rPr>
      <t xml:space="preserve">總額（訂閱＋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＋廣告＋其他）</t>
    </r>
  </si>
  <si>
    <r>
      <rPr>
        <sz val="9"/>
        <color rgb="FF595959"/>
        <rFont val="Noto Sans CJK SC"/>
        <family val="2"/>
      </rPr>
      <t xml:space="preserve">容量上限（</t>
    </r>
    <r>
      <rPr>
        <sz val="9"/>
        <color rgb="FF595959"/>
        <rFont val="Arial"/>
        <family val="0"/>
        <charset val="1"/>
      </rPr>
      <t xml:space="preserve">V1a</t>
    </r>
    <r>
      <rPr>
        <sz val="9"/>
        <color rgb="FF595959"/>
        <rFont val="Noto Sans CJK SC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P3 </t>
    </r>
    <r>
      <rPr>
        <sz val="9"/>
        <color rgb="FF595959"/>
        <rFont val="Noto Sans CJK SC"/>
        <family val="2"/>
      </rPr>
      <t xml:space="preserve">加入</t>
    </r>
  </si>
  <si>
    <t xml:space="preserve">R28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</si>
  <si>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</t>
    </r>
  </si>
  <si>
    <r>
      <rPr>
        <sz val="9"/>
        <color rgb="FF595959"/>
        <rFont val="Noto Sans CJK SC"/>
        <family val="2"/>
      </rPr>
      <t xml:space="preserve">起算年前：比率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總額；起算年至付款終年：</t>
    </r>
    <r>
      <rPr>
        <sz val="9"/>
        <color rgb="FF595959"/>
        <rFont val="Arial"/>
        <family val="0"/>
        <charset val="1"/>
      </rPr>
      <t xml:space="preserve">MIN</t>
    </r>
    <r>
      <rPr>
        <sz val="9"/>
        <color rgb="FF595959"/>
        <rFont val="Noto Sans CJK SC"/>
        <family val="2"/>
      </rPr>
      <t xml:space="preserve">（比率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總額，上限 − 前一年累計）；之後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；以邏輯值相乘表示各期間）</t>
    </r>
  </si>
  <si>
    <t xml:space="preserve">R29</t>
  </si>
  <si>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分成累計（自起算年）</t>
    </r>
  </si>
  <si>
    <r>
      <rPr>
        <sz val="9"/>
        <color rgb="FF595959"/>
        <rFont val="Noto Sans CJK SC"/>
        <family val="2"/>
      </rPr>
      <t xml:space="preserve">上限累計自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起算年（</t>
    </r>
    <r>
      <rPr>
        <sz val="9"/>
        <color rgb="FF595959"/>
        <rFont val="Arial"/>
        <family val="0"/>
        <charset val="1"/>
      </rPr>
      <t xml:space="preserve">N2a</t>
    </r>
    <r>
      <rPr>
        <sz val="9"/>
        <color rgb="FF595959"/>
        <rFont val="Noto Sans CJK SC"/>
        <family val="2"/>
      </rPr>
      <t xml:space="preserve">）</t>
    </r>
  </si>
  <si>
    <t xml:space="preserve">R30</t>
  </si>
  <si>
    <r>
      <rPr>
        <sz val="10"/>
        <color rgb="FF000000"/>
        <rFont val="Noto Sans CJK SC"/>
        <family val="2"/>
      </rPr>
      <t xml:space="preserve">淨額（總額 −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分成）</t>
    </r>
  </si>
  <si>
    <t xml:space="preserve">估值與命題用淨額</t>
  </si>
  <si>
    <t xml:space="preserve">R31</t>
  </si>
  <si>
    <r>
      <rPr>
        <sz val="10"/>
        <color rgb="FF000000"/>
        <rFont val="Noto Sans CJK SC"/>
        <family val="2"/>
      </rPr>
      <t xml:space="preserve">消費端（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＋廣告）</t>
    </r>
  </si>
  <si>
    <t xml:space="preserve">R32</t>
  </si>
  <si>
    <r>
      <rPr>
        <sz val="10"/>
        <color rgb="FF000000"/>
        <rFont val="Noto Sans CJK SC"/>
        <family val="2"/>
      </rPr>
      <t xml:space="preserve">企業端（席位＋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</si>
  <si>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t xml:space="preserve">R33</t>
  </si>
  <si>
    <t xml:space="preserve">企業端占（消費端＋企業端）</t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</si>
  <si>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CFO 2026 </t>
    </r>
    <r>
      <rPr>
        <sz val="9"/>
        <color rgb="FF595959"/>
        <rFont val="Noto Sans CJK SC"/>
        <family val="2"/>
      </rPr>
      <t xml:space="preserve">年初消費／企業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SRC_OAI_007</t>
    </r>
    <r>
      <rPr>
        <sz val="9"/>
        <color rgb="FF595959"/>
        <rFont val="Noto Sans CJK SC"/>
        <family val="2"/>
      </rPr>
      <t xml:space="preserve">）</t>
    </r>
  </si>
  <si>
    <t xml:space="preserve">R34</t>
  </si>
  <si>
    <r>
      <rPr>
        <sz val="10"/>
        <color rgb="FF000000"/>
        <rFont val="Noto Sans CJK SC"/>
        <family val="2"/>
      </rPr>
      <t xml:space="preserve">檢查：消費端＋企業端＋其他 − 總額（應為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</si>
  <si>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R35</t>
  </si>
  <si>
    <t xml:space="preserve">總額年增率</t>
  </si>
  <si>
    <t xml:space="preserve">R36</t>
  </si>
  <si>
    <t xml:space="preserve">廣告占總額</t>
  </si>
  <si>
    <t xml:space="preserve">六、對照與差距（只列差距，不校準）</t>
  </si>
  <si>
    <t xml:space="preserve">R37</t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</si>
  <si>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：模型總額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校準方式，應為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</si>
  <si>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為倒推項，總額恆等於 </t>
    </r>
    <r>
      <rPr>
        <sz val="9"/>
        <color rgb="FF595959"/>
        <rFont val="Arial"/>
        <family val="0"/>
        <charset val="1"/>
      </rPr>
      <t xml:space="preserve">SRC 13.07</t>
    </r>
  </si>
  <si>
    <t xml:space="preserve">R38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</si>
  <si>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未校準總額：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改以處理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組合有效單價</t>
    </r>
  </si>
  <si>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2,628T</t>
    </r>
    <r>
      <rPr>
        <sz val="9"/>
        <color rgb="FF595959"/>
        <rFont val="Noto Sans CJK SC"/>
        <family val="2"/>
      </rPr>
      <t xml:space="preserve">）；顯示自下而上口徑與實際的差距</t>
    </r>
  </si>
  <si>
    <t xml:space="preserve">R39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</si>
  <si>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未校準差距：未校準總額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</t>
    </r>
  </si>
  <si>
    <t xml:space="preserve">R40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</si>
  <si>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未校準差距（占實際）</t>
    </r>
  </si>
  <si>
    <t xml:space="preserve">R41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</si>
  <si>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2026-08 ARR × </t>
    </r>
    <r>
      <rPr>
        <sz val="10"/>
        <color rgb="FF000000"/>
        <rFont val="Noto Sans CJK SC"/>
        <family val="2"/>
      </rPr>
      <t xml:space="preserve">下半年月數 </t>
    </r>
    <r>
      <rPr>
        <sz val="10"/>
        <color rgb="FF000000"/>
        <rFont val="Arial"/>
        <family val="0"/>
        <charset val="1"/>
      </rPr>
      <t xml:space="preserve">÷ 12</t>
    </r>
  </si>
  <si>
    <r>
      <rPr>
        <sz val="9"/>
        <color rgb="FF595959"/>
        <rFont val="Arial"/>
        <family val="0"/>
        <charset val="1"/>
      </rPr>
      <t xml:space="preserve">v0.5 fy2026Independent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32.9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31–36</t>
    </r>
    <r>
      <rPr>
        <sz val="9"/>
        <color rgb="FF595959"/>
        <rFont val="Noto Sans CJK SC"/>
        <family val="2"/>
      </rPr>
      <t xml:space="preserve">）的下半年外推細節未記錄，本列為最簡口徑</t>
    </r>
  </si>
  <si>
    <t xml:space="preserve">R42</t>
  </si>
  <si>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：模型總額 − 獨立推估</t>
    </r>
  </si>
  <si>
    <t xml:space="preserve">R43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</si>
  <si>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下半年隱含（模型全年 − 上半年實際）</t>
    </r>
  </si>
  <si>
    <t xml:space="preserve">R44</t>
  </si>
  <si>
    <r>
      <rPr>
        <sz val="10"/>
        <color rgb="FF000000"/>
        <rFont val="Noto Sans CJK SC"/>
        <family val="2"/>
      </rPr>
      <t xml:space="preserve">對照：管理層營收目標（只對照，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</si>
  <si>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月投資人簡報（</t>
    </r>
    <r>
      <rPr>
        <sz val="9"/>
        <color rgb="FF595959"/>
        <rFont val="Arial"/>
        <family val="0"/>
        <charset val="1"/>
      </rPr>
      <t xml:space="preserve">SRC_OAI_043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044</t>
    </r>
    <r>
      <rPr>
        <sz val="9"/>
        <color rgb="FF595959"/>
        <rFont val="Noto Sans CJK SC"/>
        <family val="2"/>
      </rPr>
      <t xml:space="preserve">）；不驅動任何計算</t>
    </r>
  </si>
  <si>
    <t xml:space="preserve">R45</t>
  </si>
  <si>
    <t xml:space="preserve">模型總額 − 管理層目標</t>
  </si>
  <si>
    <r>
      <rPr>
        <b val="true"/>
        <sz val="10"/>
        <rFont val="Noto Sans CJK SC"/>
        <family val="2"/>
      </rPr>
      <t xml:space="preserve">七、</t>
    </r>
    <r>
      <rPr>
        <b val="true"/>
        <sz val="10"/>
        <rFont val="Arial"/>
        <family val="0"/>
        <charset val="1"/>
      </rPr>
      <t xml:space="preserve">2026 API </t>
    </r>
    <r>
      <rPr>
        <b val="true"/>
        <sz val="10"/>
        <rFont val="Noto Sans CJK SC"/>
        <family val="2"/>
      </rPr>
      <t xml:space="preserve">牌價：價格事件時點天數加權（</t>
    </r>
    <r>
      <rPr>
        <b val="true"/>
        <sz val="10"/>
        <rFont val="Arial"/>
        <family val="0"/>
        <charset val="1"/>
      </rPr>
      <t xml:space="preserve">E8c</t>
    </r>
    <r>
      <rPr>
        <b val="true"/>
        <sz val="10"/>
        <rFont val="Noto Sans CJK SC"/>
        <family val="2"/>
      </rPr>
      <t xml:space="preserve">；事件時點基準＝</t>
    </r>
    <r>
      <rPr>
        <b val="true"/>
        <sz val="10"/>
        <rFont val="Arial"/>
        <family val="0"/>
        <charset val="1"/>
      </rPr>
      <t xml:space="preserve">SRC_OAI </t>
    </r>
    <r>
      <rPr>
        <b val="true"/>
        <sz val="10"/>
        <rFont val="Noto Sans CJK SC"/>
        <family val="2"/>
      </rPr>
      <t xml:space="preserve">公告日，區間＝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偏移 </t>
    </r>
    <r>
      <rPr>
        <b val="true"/>
        <sz val="10"/>
        <rFont val="Arial"/>
        <family val="0"/>
        <charset val="1"/>
      </rPr>
      <t xml:space="preserve">±1 </t>
    </r>
    <r>
      <rPr>
        <b val="true"/>
        <sz val="10"/>
        <rFont val="Noto Sans CJK SC"/>
        <family val="2"/>
      </rPr>
      <t xml:space="preserve">季）</t>
    </r>
  </si>
  <si>
    <t xml:space="preserve">全部提前（偏移取低）</t>
  </si>
  <si>
    <t xml:space="preserve">全部延後（偏移取高）</t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</si>
  <si>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</si>
  <si>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</si>
  <si>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v0.5 2026</t>
    </r>
    <r>
      <rPr>
        <b val="true"/>
        <sz val="10"/>
        <rFont val="Noto Sans CJK SC"/>
        <family val="2"/>
      </rPr>
      <t xml:space="preserve">（對照）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</si>
  <si>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</si>
  <si>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高</t>
    </r>
  </si>
  <si>
    <t xml:space="preserve">E2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</si>
  <si>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</si>
  <si>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r>
      <rPr>
        <sz val="9"/>
        <color rgb="FF595959"/>
        <rFont val="Noto Sans CJK SC"/>
        <family val="2"/>
      </rPr>
      <t xml:space="preserve">＝（年底次日 − 生效日）</t>
    </r>
    <r>
      <rPr>
        <sz val="9"/>
        <color rgb="FF595959"/>
        <rFont val="Arial"/>
        <family val="0"/>
        <charset val="1"/>
      </rPr>
      <t xml:space="preserve">÷ 365</t>
    </r>
    <r>
      <rPr>
        <sz val="9"/>
        <color rgb="FF595959"/>
        <rFont val="Noto Sans CJK SC"/>
        <family val="2"/>
      </rPr>
      <t xml:space="preserve">；生效日＝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公告日＋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偏移，限於 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Noto Sans CJK SC"/>
        <family val="2"/>
      </rPr>
      <t xml:space="preserve">內</t>
    </r>
  </si>
  <si>
    <t xml:space="preserve">E3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</si>
  <si>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</si>
  <si>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E4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</si>
  <si>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</si>
  <si>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E5</t>
  </si>
  <si>
    <r>
      <rPr>
        <sz val="10"/>
        <color rgb="FF000000"/>
        <rFont val="Noto Sans CJK SC"/>
        <family val="2"/>
      </rPr>
      <t xml:space="preserve">價格事件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之後占 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的比例（天數加權）</t>
    </r>
  </si>
  <si>
    <t xml:space="preserve">PTI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</si>
  <si>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</si>
  <si>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Sol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</si>
  <si>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PTO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</si>
  <si>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平均牌價：頂層（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 輸出</t>
    </r>
  </si>
  <si>
    <t xml:space="preserve">PMI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</si>
  <si>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</si>
  <si>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Terra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</si>
  <si>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PMO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</si>
  <si>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平均牌價：中層（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 輸出</t>
    </r>
  </si>
  <si>
    <t xml:space="preserve">PLI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</si>
  <si>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輸入</t>
    </r>
  </si>
  <si>
    <r>
      <rPr>
        <sz val="9"/>
        <color rgb="FF595959"/>
        <rFont val="Noto Sans CJK SC"/>
        <family val="2"/>
      </rPr>
      <t xml:space="preserve">期初（</t>
    </r>
    <r>
      <rPr>
        <sz val="9"/>
        <color rgb="FF595959"/>
        <rFont val="Arial"/>
        <family val="0"/>
        <charset val="1"/>
      </rPr>
      <t xml:space="preserve">1/1 </t>
    </r>
    <r>
      <rPr>
        <sz val="9"/>
        <color rgb="FF595959"/>
        <rFont val="Noto Sans CJK SC"/>
        <family val="2"/>
      </rPr>
      <t xml:space="preserve">至首次變價）回填事件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價（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）；事件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依序變價；事件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後＝</t>
    </r>
    <r>
      <rPr>
        <sz val="9"/>
        <color rgb="FF595959"/>
        <rFont val="Arial"/>
        <family val="0"/>
        <charset val="1"/>
      </rPr>
      <t xml:space="preserve">2026-09-25 </t>
    </r>
    <r>
      <rPr>
        <sz val="9"/>
        <color rgb="FF595959"/>
        <rFont val="Noto Sans CJK SC"/>
        <family val="2"/>
      </rPr>
      <t xml:space="preserve">牌價快照</t>
    </r>
  </si>
  <si>
    <t xml:space="preserve">PLO</t>
  </si>
  <si>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平均牌價：低層（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 輸出</t>
    </r>
  </si>
  <si>
    <r>
      <rPr>
        <b val="true"/>
        <sz val="13"/>
        <rFont val="Arial"/>
        <family val="0"/>
        <charset val="1"/>
      </rPr>
      <t xml:space="preserve">Checks — P1 </t>
    </r>
    <r>
      <rPr>
        <b val="true"/>
        <sz val="13"/>
        <rFont val="Noto Sans CJK SC"/>
        <family val="2"/>
      </rPr>
      <t xml:space="preserve">檢查（公式；結果 </t>
    </r>
    <r>
      <rPr>
        <b val="true"/>
        <sz val="13"/>
        <rFont val="Arial"/>
        <family val="0"/>
        <charset val="1"/>
      </rPr>
      <t xml:space="preserve">ERR </t>
    </r>
    <r>
      <rPr>
        <b val="true"/>
        <sz val="13"/>
        <rFont val="Noto Sans CJK SC"/>
        <family val="2"/>
      </rPr>
      <t xml:space="preserve">的格數＝</t>
    </r>
    <r>
      <rPr>
        <b val="true"/>
        <sz val="13"/>
        <rFont val="Arial"/>
        <family val="0"/>
        <charset val="1"/>
      </rPr>
      <t xml:space="preserve">CHK_Errors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</si>
  <si>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ERR</t>
    </r>
    <r>
      <rPr>
        <sz val="9"/>
        <color rgb="FF595959"/>
        <rFont val="Noto Sans CJK SC"/>
        <family val="2"/>
      </rPr>
      <t xml:space="preserve">：比對期望值；</t>
    </r>
    <r>
      <rPr>
        <sz val="9"/>
        <color rgb="FF595959"/>
        <rFont val="Arial"/>
        <family val="0"/>
        <charset val="1"/>
      </rPr>
      <t xml:space="preserve">INFO</t>
    </r>
    <r>
      <rPr>
        <sz val="9"/>
        <color rgb="FF595959"/>
        <rFont val="Noto Sans CJK SC"/>
        <family val="2"/>
      </rPr>
      <t xml:space="preserve">：只列示。編號（</t>
    </r>
    <r>
      <rPr>
        <sz val="9"/>
        <color rgb="FF595959"/>
        <rFont val="Arial"/>
        <family val="0"/>
        <charset val="1"/>
      </rPr>
      <t xml:space="preserve">C##</t>
    </r>
    <r>
      <rPr>
        <sz val="9"/>
        <color rgb="FF595959"/>
        <rFont val="Noto Sans CJK SC"/>
        <family val="2"/>
      </rPr>
      <t xml:space="preserve">）由 </t>
    </r>
    <r>
      <rPr>
        <sz val="9"/>
        <color rgb="FF595959"/>
        <rFont val="Arial"/>
        <family val="0"/>
        <charset val="1"/>
      </rPr>
      <t xml:space="preserve">builder/id_registry.json </t>
    </r>
    <r>
      <rPr>
        <sz val="9"/>
        <color rgb="FF595959"/>
        <rFont val="Noto Sans CJK SC"/>
        <family val="2"/>
      </rPr>
      <t xml:space="preserve">固定：新檢查取下一個號碼，退役號碼不重用（</t>
    </r>
    <r>
      <rPr>
        <sz val="9"/>
        <color rgb="FF595959"/>
        <rFont val="Arial"/>
        <family val="0"/>
        <charset val="1"/>
      </rPr>
      <t xml:space="preserve">F1</t>
    </r>
    <r>
      <rPr>
        <sz val="9"/>
        <color rgb="FF595959"/>
        <rFont val="Noto Sans CJK SC"/>
        <family val="2"/>
      </rPr>
      <t xml:space="preserve">）。期望值為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寫入的常數（黑字）。</t>
    </r>
  </si>
  <si>
    <t xml:space="preserve">檢查項</t>
  </si>
  <si>
    <t xml:space="preserve">期望</t>
  </si>
  <si>
    <t xml:space="preserve">結果</t>
  </si>
  <si>
    <t xml:space="preserve">C01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</si>
  <si>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列數</t>
    </r>
  </si>
  <si>
    <t xml:space="preserve">報告所列筆數</t>
  </si>
  <si>
    <t xml:space="preserve">C02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</si>
  <si>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缺值列數（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</si>
  <si>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數值、低、高皆空且非文字列</t>
  </si>
  <si>
    <t xml:space="preserve">C03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</si>
  <si>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缺出處列數（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）</t>
    </r>
  </si>
  <si>
    <t xml:space="preserve">C04</t>
  </si>
  <si>
    <r>
      <rPr>
        <sz val="10"/>
        <color rgb="FF000000"/>
        <rFont val="Arial"/>
        <family val="0"/>
        <charset val="1"/>
      </rPr>
      <t xml:space="preserve">SRC_OAI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</si>
  <si>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</t>
  </si>
  <si>
    <t xml:space="preserve">C05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</si>
  <si>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列數</t>
    </r>
  </si>
  <si>
    <t xml:space="preserve">C06</t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</si>
  <si>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區間順序異常列數</t>
    </r>
  </si>
  <si>
    <t xml:space="preserve">低 ≤ 值 ≤ 高（有三值者）</t>
  </si>
  <si>
    <t xml:space="preserve">C07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</si>
  <si>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已取值名稱數</t>
    </r>
  </si>
  <si>
    <t xml:space="preserve">INFO</t>
  </si>
  <si>
    <r>
      <rPr>
        <sz val="9"/>
        <color rgb="FF595959"/>
        <rFont val="Noto Sans CJK SC"/>
        <family val="2"/>
      </rPr>
      <t xml:space="preserve">取自 </t>
    </r>
    <r>
      <rPr>
        <sz val="9"/>
        <color rgb="FF595959"/>
        <rFont val="Arial"/>
        <family val="0"/>
        <charset val="1"/>
      </rPr>
      <t xml:space="preserve">Tokenomics master CURRENT</t>
    </r>
  </si>
  <si>
    <t xml:space="preserve">C08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</si>
  <si>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提供名稱數</t>
    </r>
  </si>
  <si>
    <r>
      <rPr>
        <sz val="9"/>
        <color rgb="FF595959"/>
        <rFont val="Noto Sans CJK SC"/>
        <family val="2"/>
      </rPr>
      <t xml:space="preserve">工作單要求、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現行版尚無的名稱（值留空；</t>
    </r>
    <r>
      <rPr>
        <sz val="9"/>
        <color rgb="FF595959"/>
        <rFont val="Arial"/>
        <family val="0"/>
        <charset val="1"/>
      </rPr>
      <t xml:space="preserve">v5.24 </t>
    </r>
    <r>
      <rPr>
        <sz val="9"/>
        <color rgb="FF595959"/>
        <rFont val="Noto Sans CJK SC"/>
        <family val="2"/>
      </rPr>
      <t xml:space="preserve">快照後為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</si>
  <si>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C09</t>
  </si>
  <si>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錯誤值格數</t>
    </r>
  </si>
  <si>
    <t xml:space="preserve">C10</t>
  </si>
  <si>
    <r>
      <rPr>
        <sz val="10"/>
        <color rgb="FF000000"/>
        <rFont val="Arial"/>
        <family val="0"/>
        <charset val="1"/>
      </rPr>
      <t xml:space="preserve">TK_IF_Util </t>
    </r>
    <r>
      <rPr>
        <sz val="10"/>
        <color rgb="FF000000"/>
        <rFont val="Noto Sans CJK SC"/>
        <family val="2"/>
      </rPr>
      <t xml:space="preserve">介於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</si>
  <si>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基準利用率</t>
    </r>
  </si>
  <si>
    <t xml:space="preserve">C11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</si>
  <si>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推論支出：付費＋非付費−合計（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</si>
  <si>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三項同源（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</si>
  <si>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t xml:space="preserve">C12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</si>
  <si>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融資輪：無條件＋條件式−總額（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</si>
  <si>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122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12)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E8j</t>
    </r>
    <r>
      <rPr>
        <sz val="9"/>
        <color rgb="FF595959"/>
        <rFont val="Noto Sans CJK SC"/>
        <family val="2"/>
      </rPr>
      <t xml:space="preserve">：無條件部分由四個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組成加總）</t>
    </r>
  </si>
  <si>
    <t xml:space="preserve">C13</t>
  </si>
  <si>
    <r>
      <rPr>
        <sz val="10"/>
        <color rgb="FF000000"/>
        <rFont val="Noto Sans CJK SC"/>
        <family val="2"/>
      </rPr>
      <t xml:space="preserve">合約期間起</t>
    </r>
    <r>
      <rPr>
        <sz val="10"/>
        <color rgb="FF000000"/>
        <rFont val="Arial"/>
        <family val="0"/>
        <charset val="1"/>
      </rPr>
      <t xml:space="preserve">&gt;</t>
    </r>
    <r>
      <rPr>
        <sz val="10"/>
        <color rgb="FF000000"/>
        <rFont val="Noto Sans CJK SC"/>
        <family val="2"/>
      </rPr>
      <t xml:space="preserve">迄的合約數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</si>
  <si>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AWS×2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CoreWeave</t>
    </r>
  </si>
  <si>
    <t xml:space="preserve">C14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</si>
  <si>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</si>
  <si>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P3 V2 </t>
    </r>
    <r>
      <rPr>
        <sz val="9"/>
        <color rgb="FF595959"/>
        <rFont val="Noto Sans CJK SC"/>
        <family val="2"/>
      </rPr>
      <t xml:space="preserve">可比（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遠期合約隱含 </t>
    </r>
    <r>
      <rPr>
        <sz val="9"/>
        <color rgb="FF595959"/>
        <rFont val="Arial"/>
        <family val="0"/>
        <charset val="1"/>
      </rPr>
      <t xml:space="preserve">13.3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）</t>
    </r>
  </si>
  <si>
    <t xml:space="preserve">C15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</si>
  <si>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AWS Trainium </t>
    </r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年價（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</si>
  <si>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自研晶片，只並列（工作單 </t>
    </r>
    <r>
      <rPr>
        <sz val="9"/>
        <color rgb="FF595959"/>
        <rFont val="Arial"/>
        <family val="0"/>
        <charset val="1"/>
      </rPr>
      <t xml:space="preserve">P3-3</t>
    </r>
    <r>
      <rPr>
        <sz val="9"/>
        <color rgb="FF595959"/>
        <rFont val="Noto Sans CJK SC"/>
        <family val="2"/>
      </rPr>
      <t xml:space="preserve">）</t>
    </r>
  </si>
  <si>
    <t xml:space="preserve">C16</t>
  </si>
  <si>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推論支出−營業成本（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</si>
  <si>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8.4 </t>
    </r>
    <r>
      <rPr>
        <sz val="9"/>
        <color rgb="FF595959"/>
        <rFont val="Noto Sans CJK SC"/>
        <family val="2"/>
      </rPr>
      <t xml:space="preserve">高於營業成本 </t>
    </r>
    <r>
      <rPr>
        <sz val="9"/>
        <color rgb="FF595959"/>
        <rFont val="Arial"/>
        <family val="0"/>
        <charset val="1"/>
      </rPr>
      <t xml:space="preserve">7.5</t>
    </r>
    <r>
      <rPr>
        <sz val="9"/>
        <color rgb="FF595959"/>
        <rFont val="Noto Sans CJK SC"/>
        <family val="2"/>
      </rPr>
      <t xml:space="preserve">：口徑差異，</t>
    </r>
    <r>
      <rPr>
        <sz val="9"/>
        <color rgb="FF595959"/>
        <rFont val="Arial"/>
        <family val="0"/>
        <charset val="1"/>
      </rPr>
      <t xml:space="preserve">P3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P4 </t>
    </r>
    <r>
      <rPr>
        <sz val="9"/>
        <color rgb="FF595959"/>
        <rFont val="Noto Sans CJK SC"/>
        <family val="2"/>
      </rPr>
      <t xml:space="preserve">對帳時說明</t>
    </r>
  </si>
  <si>
    <t xml:space="preserve">C17</t>
  </si>
  <si>
    <r>
      <rPr>
        <sz val="10"/>
        <color rgb="FF000000"/>
        <rFont val="Noto Sans CJK SC"/>
        <family val="2"/>
      </rPr>
      <t xml:space="preserve">預覽：非算力研發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）＝研發總額−訓練支出公式（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</si>
  <si>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工作單 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：≈</t>
    </r>
    <r>
      <rPr>
        <sz val="9"/>
        <color rgb="FF595959"/>
        <rFont val="Arial"/>
        <family val="0"/>
        <charset val="1"/>
      </rPr>
      <t xml:space="preserve">7.19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5.68–8.59</t>
    </r>
    <r>
      <rPr>
        <sz val="9"/>
        <color rgb="FF595959"/>
        <rFont val="Noto Sans CJK SC"/>
        <family val="2"/>
      </rPr>
      <t xml:space="preserve">）</t>
    </r>
  </si>
  <si>
    <t xml:space="preserve">C18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</si>
  <si>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SRC 10.59</t>
    </r>
    <r>
      <rPr>
        <sz val="10"/>
        <color rgb="FF000000"/>
        <rFont val="Noto Sans CJK SC"/>
        <family val="2"/>
      </rPr>
      <t xml:space="preserve">＋其他雲端 </t>
    </r>
    <r>
      <rPr>
        <sz val="10"/>
        <color rgb="FF000000"/>
        <rFont val="Arial"/>
        <family val="0"/>
        <charset val="1"/>
      </rPr>
      <t xml:space="preserve">1.41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</si>
  <si>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12.0</t>
    </r>
    <r>
      <rPr>
        <sz val="9"/>
        <color rgb="FF595959"/>
        <rFont val="Noto Sans CJK SC"/>
        <family val="2"/>
      </rPr>
      <t xml:space="preserve">（對照）</t>
    </r>
  </si>
  <si>
    <t xml:space="preserve">C19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</si>
  <si>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</si>
  <si>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低 </t>
    </r>
    <r>
      <rPr>
        <sz val="9"/>
        <color rgb="FF595959"/>
        <rFont val="Arial"/>
        <family val="0"/>
        <charset val="1"/>
      </rPr>
      <t xml:space="preserve">10.6</t>
    </r>
  </si>
  <si>
    <t xml:space="preserve">C20</t>
  </si>
  <si>
    <r>
      <rPr>
        <sz val="10"/>
        <color rgb="FF000000"/>
        <rFont val="Arial"/>
        <family val="0"/>
        <charset val="1"/>
      </rPr>
      <t xml:space="preserve">V6 </t>
    </r>
    <r>
      <rPr>
        <sz val="10"/>
        <color rgb="FF000000"/>
        <rFont val="Noto Sans CJK SC"/>
        <family val="2"/>
      </rPr>
      <t xml:space="preserve">衍生值：訓練支出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</si>
  <si>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高 </t>
    </r>
    <r>
      <rPr>
        <sz val="9"/>
        <color rgb="FF595959"/>
        <rFont val="Arial"/>
        <family val="0"/>
        <charset val="1"/>
      </rPr>
      <t xml:space="preserve">13.5</t>
    </r>
  </si>
  <si>
    <t xml:space="preserve">C21</t>
  </si>
  <si>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年合約價參數列數（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）</t>
    </r>
  </si>
  <si>
    <t xml:space="preserve">本模型只有一個合約價參數</t>
  </si>
  <si>
    <t xml:space="preserve">C22</t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</si>
  <si>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 </t>
    </r>
    <r>
      <rPr>
        <sz val="10"/>
        <color rgb="FF000000"/>
        <rFont val="Noto Sans CJK SC"/>
        <family val="2"/>
      </rPr>
      <t xml:space="preserve">占付費總數超出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上限的部分（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＝符合）</t>
    </r>
  </si>
  <si>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比例須使 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占比 ≤ 內部預測『</t>
    </r>
    <r>
      <rPr>
        <sz val="9"/>
        <color rgb="FF595959"/>
        <rFont val="Arial"/>
        <family val="0"/>
        <charset val="1"/>
      </rPr>
      <t xml:space="preserve">&lt;1%</t>
    </r>
    <r>
      <rPr>
        <sz val="9"/>
        <color rgb="FF595959"/>
        <rFont val="Noto Sans CJK SC"/>
        <family val="2"/>
      </rPr>
      <t xml:space="preserve">』</t>
    </r>
  </si>
  <si>
    <t xml:space="preserve">C23</t>
  </si>
  <si>
    <r>
      <rPr>
        <sz val="10"/>
        <color rgb="FF000000"/>
        <rFont val="Arial"/>
        <family val="0"/>
        <charset val="1"/>
      </rPr>
      <t xml:space="preserve">E8d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 </t>
    </r>
    <r>
      <rPr>
        <sz val="10"/>
        <color rgb="FF000000"/>
        <rFont val="Noto Sans CJK SC"/>
        <family val="2"/>
      </rPr>
      <t xml:space="preserve">在基準／低／高情境皆 ∈</t>
    </r>
    <r>
      <rPr>
        <sz val="10"/>
        <color rgb="FF000000"/>
        <rFont val="Arial"/>
        <family val="0"/>
        <charset val="1"/>
      </rPr>
      <t xml:space="preserve">[0,1]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</si>
  <si>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兩個時點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三個情境；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不另設區間</t>
    </r>
  </si>
  <si>
    <t xml:space="preserve">C24</t>
  </si>
  <si>
    <r>
      <rPr>
        <sz val="10"/>
        <color rgb="FF000000"/>
        <rFont val="Arial"/>
        <family val="0"/>
        <charset val="1"/>
      </rPr>
      <t xml:space="preserve">E8g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AWS </t>
    </r>
    <r>
      <rPr>
        <sz val="10"/>
        <color rgb="FF000000"/>
        <rFont val="Noto Sans CJK SC"/>
        <family val="2"/>
      </rPr>
      <t xml:space="preserve">容量上限＝</t>
    </r>
    <r>
      <rPr>
        <sz val="10"/>
        <color rgb="FF000000"/>
        <rFont val="Arial"/>
        <family val="0"/>
        <charset val="1"/>
      </rPr>
      <t xml:space="preserve">WSJ </t>
    </r>
    <r>
      <rPr>
        <sz val="10"/>
        <color rgb="FF000000"/>
        <rFont val="Noto Sans CJK SC"/>
        <family val="2"/>
      </rPr>
      <t xml:space="preserve">推論＋訓練（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</si>
  <si>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『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』由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兩筆揭露相加</t>
    </r>
  </si>
  <si>
    <t xml:space="preserve">C25</t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</si>
  <si>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：無條件部分四個組成加總＝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</si>
  <si>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</t>
    </r>
  </si>
  <si>
    <t xml:space="preserve">C26</t>
  </si>
  <si>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合約年額＝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年）</t>
    </r>
  </si>
  <si>
    <r>
      <rPr>
        <sz val="9"/>
        <color rgb="FF595959"/>
        <rFont val="Noto Sans CJK SC"/>
        <family val="2"/>
      </rPr>
      <t xml:space="preserve">總額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年數</t>
    </r>
  </si>
  <si>
    <t xml:space="preserve">C28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</si>
  <si>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模型營收總額 −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實際營收（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校準恆等式）</t>
    </r>
  </si>
  <si>
    <r>
      <rPr>
        <sz val="9"/>
        <color rgb="FF595959"/>
        <rFont val="Arial"/>
        <family val="0"/>
        <charset val="1"/>
      </rPr>
      <t xml:space="preserve">2025 API </t>
    </r>
    <r>
      <rPr>
        <sz val="9"/>
        <color rgb="FF595959"/>
        <rFont val="Noto Sans CJK SC"/>
        <family val="2"/>
      </rPr>
      <t xml:space="preserve">為倒推項；不為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表示校準鏈斷裂</t>
    </r>
  </si>
  <si>
    <t xml:space="preserve">C29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</si>
  <si>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API </t>
    </r>
    <r>
      <rPr>
        <sz val="10"/>
        <color rgb="FF000000"/>
        <rFont val="Noto Sans CJK SC"/>
        <family val="2"/>
      </rPr>
      <t xml:space="preserve">計費比例 ∈ </t>
    </r>
    <r>
      <rPr>
        <sz val="10"/>
        <color rgb="FF000000"/>
        <rFont val="Arial"/>
        <family val="0"/>
        <charset val="1"/>
      </rPr>
      <t xml:space="preserve">(0,1]</t>
    </r>
    <r>
      <rPr>
        <sz val="10"/>
        <color rgb="FF000000"/>
        <rFont val="Noto Sans CJK SC"/>
        <family val="2"/>
      </rPr>
      <t xml:space="preserve">（違反數）</t>
    </r>
  </si>
  <si>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（營收倒推）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處理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Derived_V9 V22</t>
    </r>
    <r>
      <rPr>
        <sz val="9"/>
        <color rgb="FF595959"/>
        <rFont val="Noto Sans CJK SC"/>
        <family val="2"/>
      </rPr>
      <t xml:space="preserve">）；≤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表示訂閱＋廣告已超過實際營收</t>
    </r>
  </si>
  <si>
    <t xml:space="preserve">C30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</si>
  <si>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：方案模型組合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astra≠1 </t>
    </r>
    <r>
      <rPr>
        <sz val="10"/>
        <color rgb="FF000000"/>
        <rFont val="Noto Sans CJK SC"/>
        <family val="2"/>
      </rPr>
      <t xml:space="preserve">的方案數</t>
    </r>
  </si>
  <si>
    <r>
      <rPr>
        <sz val="9"/>
        <color rgb="FF595959"/>
        <rFont val="Arial"/>
        <family val="0"/>
        <charset val="1"/>
      </rPr>
      <t xml:space="preserve">Inputs INP_155–179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層級拆分的前提</t>
    </r>
  </si>
  <si>
    <t xml:space="preserve">C31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</si>
  <si>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層級拆分合計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拆分前總量（違反年數）</t>
    </r>
  </si>
  <si>
    <r>
      <rPr>
        <sz val="9"/>
        <color rgb="FF595959"/>
        <rFont val="Noto Sans CJK SC"/>
        <family val="2"/>
      </rPr>
      <t xml:space="preserve">付費＋免費（層級）＝訂閱＋免費＋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計費 </t>
    </r>
    <r>
      <rPr>
        <sz val="9"/>
        <color rgb="FF595959"/>
        <rFont val="Arial"/>
        <family val="0"/>
        <charset val="1"/>
      </rPr>
      <t xml:space="preserve">token</t>
    </r>
  </si>
  <si>
    <t xml:space="preserve">C32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</si>
  <si>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：消費端＋企業端＋其他 − 總額（各年絕對值合計，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</si>
  <si>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檢查列</t>
    </r>
  </si>
  <si>
    <t xml:space="preserve">C33</t>
  </si>
  <si>
    <r>
      <rPr>
        <sz val="10"/>
        <color rgb="FF000000"/>
        <rFont val="Arial"/>
        <family val="0"/>
        <charset val="1"/>
      </rPr>
      <t xml:space="preserve">P2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分成累計超出上限的部分（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</si>
  <si>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$38B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）</t>
    </r>
  </si>
  <si>
    <t xml:space="preserve">C34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</si>
  <si>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：價格事件生效日順序違反數（基準／提前／延後三欄）</t>
    </r>
  </si>
  <si>
    <r>
      <rPr>
        <sz val="9"/>
        <color rgb="FF595959"/>
        <rFont val="Arial"/>
        <family val="0"/>
        <charset val="1"/>
      </rPr>
      <t xml:space="preserve">top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（促銷）須不晚於事件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mid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low </t>
    </r>
    <r>
      <rPr>
        <sz val="9"/>
        <color rgb="FF595959"/>
        <rFont val="Noto Sans CJK SC"/>
        <family val="2"/>
      </rPr>
      <t xml:space="preserve">層：事件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須不晚於事件 </t>
    </r>
    <r>
      <rPr>
        <sz val="9"/>
        <color rgb="FF595959"/>
        <rFont val="Arial"/>
        <family val="0"/>
        <charset val="1"/>
      </rPr>
      <t xml:space="preserve">5</t>
    </r>
  </si>
  <si>
    <t xml:space="preserve">C35</t>
  </si>
  <si>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牌價區間 低 ≤ 基準 ≤ 高 的違反數（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</si>
  <si>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listPriceFYAvg 2026 </t>
    </r>
    <r>
      <rPr>
        <sz val="9"/>
        <color rgb="FF595959"/>
        <rFont val="Noto Sans CJK SC"/>
        <family val="2"/>
      </rPr>
      <t xml:space="preserve">區間由事件時點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傳遞（取代 </t>
    </r>
    <r>
      <rPr>
        <sz val="9"/>
        <color rgb="FF595959"/>
        <rFont val="Arial"/>
        <family val="0"/>
        <charset val="1"/>
      </rPr>
      <t xml:space="preserve">C27 WARN</t>
    </r>
    <r>
      <rPr>
        <sz val="9"/>
        <color rgb="FF595959"/>
        <rFont val="Noto Sans CJK SC"/>
        <family val="2"/>
      </rPr>
      <t xml:space="preserve">）</t>
    </r>
  </si>
  <si>
    <t xml:space="preserve">C36</t>
  </si>
  <si>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列＝各參數基準值（違反數）</t>
    </r>
  </si>
  <si>
    <r>
      <rPr>
        <sz val="9"/>
        <color rgb="FF595959"/>
        <rFont val="Noto Sans CJK SC"/>
        <family val="2"/>
      </rPr>
      <t xml:space="preserve">本版未設情境選擇器；基準引用各參數 </t>
    </r>
    <r>
      <rPr>
        <sz val="9"/>
        <color rgb="FF595959"/>
        <rFont val="Arial"/>
        <family val="0"/>
        <charset val="1"/>
      </rPr>
      <t xml:space="preserve">Inputs </t>
    </r>
    <r>
      <rPr>
        <sz val="9"/>
        <color rgb="FF595959"/>
        <rFont val="Noto Sans CJK SC"/>
        <family val="2"/>
      </rPr>
      <t xml:space="preserve">值欄，情境列只作對照</t>
    </r>
  </si>
  <si>
    <t xml:space="preserve">C37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</si>
  <si>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token </t>
    </r>
    <r>
      <rPr>
        <sz val="10"/>
        <color rgb="FF000000"/>
        <rFont val="Noto Sans CJK SC"/>
        <family val="2"/>
      </rPr>
      <t xml:space="preserve">合計 </t>
    </r>
    <r>
      <rPr>
        <sz val="10"/>
        <color rgb="FF000000"/>
        <rFont val="Arial"/>
        <family val="0"/>
        <charset val="1"/>
      </rPr>
      <t xml:space="preserve">÷ Tokenomics IF_AllocDemand</t>
    </r>
  </si>
  <si>
    <r>
      <rPr>
        <sz val="9"/>
        <color rgb="FF595959"/>
        <rFont val="Noto Sans CJK SC"/>
        <family val="2"/>
      </rPr>
      <t xml:space="preserve">口徑不同，只列差距（工作單 </t>
    </r>
    <r>
      <rPr>
        <sz val="9"/>
        <color rgb="FF595959"/>
        <rFont val="Arial"/>
        <family val="0"/>
        <charset val="1"/>
      </rPr>
      <t xml:space="preserve">P2-3</t>
    </r>
    <r>
      <rPr>
        <sz val="9"/>
        <color rgb="FF595959"/>
        <rFont val="Noto Sans CJK SC"/>
        <family val="2"/>
      </rPr>
      <t xml:space="preserve">）</t>
    </r>
  </si>
  <si>
    <t xml:space="preserve">C38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</si>
  <si>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未校準差距（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）＝訂閱＋廣告＋其他＋處理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單價 − 實際</t>
    </r>
  </si>
  <si>
    <t xml:space="preserve">自下而上口徑對實際</t>
  </si>
  <si>
    <t xml:space="preserve">C39</t>
  </si>
  <si>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預覽：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淨營收（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</si>
  <si>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總額 −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分成</t>
    </r>
  </si>
  <si>
    <t xml:space="preserve">CHK_Errors</t>
  </si>
  <si>
    <r>
      <rPr>
        <b val="true"/>
        <sz val="13"/>
        <rFont val="Arial"/>
        <family val="0"/>
        <charset val="1"/>
      </rPr>
      <t xml:space="preserve">Map_v05 — v0.5 JSON </t>
    </r>
    <r>
      <rPr>
        <b val="true"/>
        <sz val="13"/>
        <rFont val="Noto Sans CJK SC"/>
        <family val="2"/>
      </rPr>
      <t xml:space="preserve">每個葉節點的去處（表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的明細）</t>
    </r>
  </si>
  <si>
    <r>
      <rPr>
        <sz val="9"/>
        <color rgb="FF595959"/>
        <rFont val="Noto Sans CJK SC"/>
        <family val="2"/>
      </rPr>
      <t xml:space="preserve">類別：</t>
    </r>
    <r>
      <rPr>
        <sz val="9"/>
        <color rgb="FF595959"/>
        <rFont val="Arial"/>
        <family val="0"/>
        <charset val="1"/>
      </rPr>
      <t xml:space="preserve">SRC_OAI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Inputs</t>
    </r>
    <r>
      <rPr>
        <sz val="9"/>
        <color rgb="FF595959"/>
        <rFont val="Noto Sans CJK SC"/>
        <family val="2"/>
      </rPr>
      <t xml:space="preserve">／公式（後續工作包）／重複併入／不遷入／不遷入；改取 </t>
    </r>
    <r>
      <rPr>
        <sz val="9"/>
        <color rgb="FF595959"/>
        <rFont val="Arial"/>
        <family val="0"/>
        <charset val="1"/>
      </rPr>
      <t xml:space="preserve">TK_Link</t>
    </r>
    <r>
      <rPr>
        <sz val="9"/>
        <color rgb="FF595959"/>
        <rFont val="Noto Sans CJK SC"/>
        <family val="2"/>
      </rPr>
      <t xml:space="preserve">。『值』欄為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原值（含不遷入者）。</t>
    </r>
  </si>
  <si>
    <r>
      <rPr>
        <b val="true"/>
        <sz val="10"/>
        <rFont val="Arial"/>
        <family val="0"/>
        <charset val="1"/>
      </rPr>
      <t xml:space="preserve">v0.5 </t>
    </r>
    <r>
      <rPr>
        <b val="true"/>
        <sz val="10"/>
        <rFont val="Noto Sans CJK SC"/>
        <family val="2"/>
      </rPr>
      <t xml:space="preserve">值</t>
    </r>
  </si>
  <si>
    <t xml:space="preserve">去處類別</t>
  </si>
  <si>
    <t xml:space="preserve">去處</t>
  </si>
  <si>
    <t xml:space="preserve">理由／備註</t>
  </si>
  <si>
    <t xml:space="preserve">_readme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</si>
  <si>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）：核心改為算力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等值，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需求→推論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；合約與自建→供給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；成本＝</t>
    </r>
    <r>
      <rPr>
        <sz val="10"/>
        <color rgb="FF000000"/>
        <rFont val="Arial"/>
        <family val="0"/>
        <charset val="1"/>
      </rPr>
      <t xml:space="preserve">MW×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成本；營收以可用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）；供應商資金僅列或有（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規格預設沿用 </t>
    </r>
    <r>
      <rPr>
        <sz val="10"/>
        <color rgb="FF000000"/>
        <rFont val="Arial"/>
        <family val="0"/>
        <charset val="1"/>
      </rPr>
      <t xml:space="preserve">Tokenomics v4</t>
    </r>
    <r>
      <rPr>
        <sz val="10"/>
        <color rgb="FF000000"/>
        <rFont val="Noto Sans CJK SC"/>
        <family val="2"/>
      </rPr>
      <t xml:space="preserve">，要改一起改。每個輸入附 </t>
    </r>
    <r>
      <rPr>
        <sz val="10"/>
        <color rgb="FF000000"/>
        <rFont val="Arial"/>
        <family val="0"/>
        <charset val="1"/>
      </rPr>
      <t xml:space="preserve">chk </t>
    </r>
    <r>
      <rPr>
        <sz val="10"/>
        <color rgb="FF000000"/>
        <rFont val="Noto Sans CJK SC"/>
        <family val="2"/>
      </rPr>
      <t xml:space="preserve">查核狀態。</t>
    </r>
    <r>
      <rPr>
        <sz val="10"/>
        <color rgb="FF000000"/>
        <rFont val="Arial"/>
        <family val="0"/>
        <charset val="1"/>
      </rPr>
      <t xml:space="preserve">"</t>
    </r>
  </si>
  <si>
    <t xml:space="preserve">不遷入</t>
  </si>
  <si>
    <r>
      <rPr>
        <sz val="10"/>
        <color rgb="FF000000"/>
        <rFont val="Noto Sans CJK SC"/>
        <family val="2"/>
      </rPr>
      <t xml:space="preserve">版本說明文字；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的版本說明在 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CHANGELOG</t>
    </r>
  </si>
  <si>
    <t xml:space="preserve">tokenRevenue.meta.company</t>
  </si>
  <si>
    <t xml:space="preserve">"OpenAI"</t>
  </si>
  <si>
    <t xml:space="preserve">公司名稱：表頭文字，不是參數</t>
  </si>
  <si>
    <t xml:space="preserve">tokenRevenue.meta.fiscalYearEndMonth</t>
  </si>
  <si>
    <t xml:space="preserve">12</t>
  </si>
  <si>
    <r>
      <rPr>
        <sz val="10"/>
        <color rgb="FF000000"/>
        <rFont val="Noto Sans CJK SC"/>
        <family val="2"/>
      </rPr>
      <t xml:space="preserve">工作單第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節已定：曆年制（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月）；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不設此參數</t>
    </r>
  </si>
  <si>
    <t xml:space="preserve">tokenRevenue.meta.units.revenue</t>
  </si>
  <si>
    <t xml:space="preserve">"$B"</t>
  </si>
  <si>
    <r>
      <rPr>
        <sz val="10"/>
        <color rgb="FF000000"/>
        <rFont val="Noto Sans CJK SC"/>
        <family val="2"/>
      </rPr>
      <t xml:space="preserve">單位字串：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每列自帶單位欄</t>
    </r>
  </si>
  <si>
    <t xml:space="preserve">tokenRevenue.meta.units.tokens</t>
  </si>
  <si>
    <t xml:space="preserve">"T (1e12)"</t>
  </si>
  <si>
    <t xml:space="preserve">tokenRevenue.meta.units.price</t>
  </si>
  <si>
    <t xml:space="preserve">"$/M tokens"</t>
  </si>
  <si>
    <t xml:space="preserve">tokenRevenue.meta.units.subs</t>
  </si>
  <si>
    <t xml:space="preserve">"M"</t>
  </si>
  <si>
    <t xml:space="preserve">tokenRevenue.meta.units.arpu</t>
  </si>
  <si>
    <t xml:space="preserve">"$/month"</t>
  </si>
  <si>
    <t xml:space="preserve">tokenRevenue.meta.decisions</t>
  </si>
  <si>
    <r>
      <rPr>
        <sz val="10"/>
        <color rgb="FF000000"/>
        <rFont val="Arial"/>
        <family val="0"/>
        <charset val="1"/>
      </rPr>
      <t xml:space="preserve">"D1c D2b D3b D4→</t>
    </r>
    <r>
      <rPr>
        <sz val="10"/>
        <color rgb="FF000000"/>
        <rFont val="Noto Sans CJK SC"/>
        <family val="2"/>
      </rPr>
      <t xml:space="preserve">正反兩模式 </t>
    </r>
    <r>
      <rPr>
        <sz val="10"/>
        <color rgb="FF000000"/>
        <rFont val="Arial"/>
        <family val="0"/>
        <charset val="1"/>
      </rPr>
      <t xml:space="preserve">D5b D6 D7c D8a D10→FY2030 D11 D12a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N1b N2a N3a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S1c S2 S3 S4b S5a S6c S7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 R2 R3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</si>
  <si>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清單：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逐項在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原決策」欄保留；完整文字見 </t>
    </r>
    <r>
      <rPr>
        <sz val="10"/>
        <color rgb="FF000000"/>
        <rFont val="Arial"/>
        <family val="0"/>
        <charset val="1"/>
      </rPr>
      <t xml:space="preserve">reference/v0.5</t>
    </r>
  </si>
  <si>
    <t xml:space="preserve">tokenRevenue.meta.version</t>
  </si>
  <si>
    <t xml:space="preserve">"0.4"</t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</si>
  <si>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的版本字串，已過時</t>
    </r>
  </si>
  <si>
    <t xml:space="preserve">tokenRevenue.actuals.revenue2024.v</t>
  </si>
  <si>
    <t xml:space="preserve">3.7</t>
  </si>
  <si>
    <t xml:space="preserve">tokenRevenue.actuals.revenue2024.tag</t>
  </si>
  <si>
    <t xml:space="preserve">"Interested-party"</t>
  </si>
  <si>
    <t xml:space="preserve">隨附資訊</t>
  </si>
  <si>
    <t xml:space="preserve">tokenRevenue.actuals.revenue2024.src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</si>
  <si>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揭露經媒體報導；</t>
    </r>
    <r>
      <rPr>
        <sz val="10"/>
        <color rgb="FF000000"/>
        <rFont val="Arial"/>
        <family val="0"/>
        <charset val="1"/>
      </rPr>
      <t xml:space="preserve">workbook OpenAI_Sim B5"</t>
    </r>
  </si>
  <si>
    <t xml:space="preserve">tokenRevenue.actuals.revenue2025.v</t>
  </si>
  <si>
    <t xml:space="preserve">13.07</t>
  </si>
  <si>
    <t xml:space="preserve">tokenRevenue.actuals.revenue2025.tag</t>
  </si>
  <si>
    <t xml:space="preserve">tokenRevenue.actuals.revenue2025.src</t>
  </si>
  <si>
    <r>
      <rPr>
        <sz val="10"/>
        <color rgb="FF000000"/>
        <rFont val="Arial"/>
        <family val="0"/>
        <charset val="1"/>
      </rPr>
      <t xml:space="preserve">"Fortune/FT 2026-06 </t>
    </r>
    <r>
      <rPr>
        <sz val="10"/>
        <color rgb="FF000000"/>
        <rFont val="Noto Sans CJK SC"/>
        <family val="2"/>
      </rPr>
      <t xml:space="preserve">報導之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認列營收（經查核數字外流）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</si>
  <si>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tokenRevenue.actuals.cogs2025.v</t>
  </si>
  <si>
    <t xml:space="preserve">7.5</t>
  </si>
  <si>
    <t xml:space="preserve">tokenRevenue.actuals.cogs2025.tag</t>
  </si>
  <si>
    <t xml:space="preserve">tokenRevenue.actuals.cogs2025.src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</si>
  <si>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cost of revenue </t>
    </r>
    <r>
      <rPr>
        <sz val="10"/>
        <color rgb="FF000000"/>
        <rFont val="Noto Sans CJK SC"/>
        <family val="2"/>
      </rPr>
      <t xml:space="preserve">含推論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</si>
  <si>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tokenRevenue.actuals.revenueQ1_2026.v</t>
  </si>
  <si>
    <t xml:space="preserve">5.7</t>
  </si>
  <si>
    <t xml:space="preserve">tokenRevenue.actuals.revenueQ1_2026.tag</t>
  </si>
  <si>
    <t xml:space="preserve">tokenRevenue.actuals.revenueQ1_2026.src</t>
  </si>
  <si>
    <r>
      <rPr>
        <sz val="10"/>
        <color rgb="FF000000"/>
        <rFont val="Arial"/>
        <family val="0"/>
        <charset val="1"/>
      </rPr>
      <t xml:space="preserve">"The Information 2026-06-16</t>
    </r>
    <r>
      <rPr>
        <sz val="10"/>
        <color rgb="FF000000"/>
        <rFont val="Noto Sans CJK SC"/>
        <family val="2"/>
      </rPr>
      <t xml:space="preserve">（股東文件）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</si>
  <si>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tokenRevenue.actuals.revenueQ2_2026.v</t>
  </si>
  <si>
    <t xml:space="preserve">6.7</t>
  </si>
  <si>
    <t xml:space="preserve">tokenRevenue.actuals.revenueQ2_2026.tag</t>
  </si>
  <si>
    <t xml:space="preserve">tokenRevenue.actuals.revenueQ2_2026.src</t>
  </si>
  <si>
    <r>
      <rPr>
        <sz val="10"/>
        <color rgb="FF000000"/>
        <rFont val="Arial"/>
        <family val="0"/>
        <charset val="1"/>
      </rPr>
      <t xml:space="preserve">"WSJ 2026-08-18</t>
    </r>
    <r>
      <rPr>
        <sz val="10"/>
        <color rgb="FF000000"/>
        <rFont val="Noto Sans CJK SC"/>
        <family val="2"/>
      </rPr>
      <t xml:space="preserve">（告知投資人）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</si>
  <si>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tokenRevenue.actuals.arrAug2026.v</t>
  </si>
  <si>
    <t xml:space="preserve">40</t>
  </si>
  <si>
    <t xml:space="preserve">tokenRevenue.actuals.arrAug2026.tag</t>
  </si>
  <si>
    <t xml:space="preserve">tokenRevenue.actuals.arrAug2026.src</t>
  </si>
  <si>
    <r>
      <rPr>
        <sz val="10"/>
        <color rgb="FF000000"/>
        <rFont val="Arial"/>
        <family val="0"/>
        <charset val="1"/>
      </rPr>
      <t xml:space="preserve">"Bloomberg 2026-08-13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2026-08-14 </t>
    </r>
    <r>
      <rPr>
        <sz val="10"/>
        <color rgb="FF000000"/>
        <rFont val="Noto Sans CJK SC"/>
        <family val="2"/>
      </rPr>
      <t xml:space="preserve">證實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</si>
  <si>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tokenRevenue.actuals.consumerShareStart2026.v</t>
  </si>
  <si>
    <t xml:space="preserve">0.6</t>
  </si>
  <si>
    <t xml:space="preserve">tokenRevenue.actuals.consumerShareStart2026.tag</t>
  </si>
  <si>
    <t xml:space="preserve">tokenRevenue.actuals.consumerShareStart2026.src</t>
  </si>
  <si>
    <r>
      <rPr>
        <sz val="10"/>
        <color rgb="FF000000"/>
        <rFont val="Arial"/>
        <family val="0"/>
        <charset val="1"/>
      </rPr>
      <t xml:space="preserve">"CFO Friar 2026-08-14 </t>
    </r>
    <r>
      <rPr>
        <sz val="10"/>
        <color rgb="FF000000"/>
        <rFont val="Noto Sans CJK SC"/>
        <family val="2"/>
      </rPr>
      <t xml:space="preserve">投資人會議：年初 </t>
    </r>
    <r>
      <rPr>
        <sz val="10"/>
        <color rgb="FF000000"/>
        <rFont val="Arial"/>
        <family val="0"/>
        <charset val="1"/>
      </rPr>
      <t xml:space="preserve">60/40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月企業已超過消費端（</t>
    </r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</si>
  <si>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tokenRevenue.actuals.apiTokensPerMinOct2025.v</t>
  </si>
  <si>
    <t xml:space="preserve">6.0</t>
  </si>
  <si>
    <t xml:space="preserve">tokenRevenue.actuals.apiTokensPerMinOct2025.unit</t>
  </si>
  <si>
    <t xml:space="preserve">"B tok/min"</t>
  </si>
  <si>
    <t xml:space="preserve">tokenRevenue.actuals.apiTokensPerMinOct2025.tag</t>
  </si>
  <si>
    <t xml:space="preserve">tokenRevenue.actuals.apiTokensPerMinOct2025.src</t>
  </si>
  <si>
    <r>
      <rPr>
        <sz val="10"/>
        <color rgb="FF000000"/>
        <rFont val="Arial"/>
        <family val="0"/>
        <charset val="1"/>
      </rPr>
      <t xml:space="preserve">"Altman DevDay 2025-10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年更新揭露檢索未得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</si>
  <si>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tokenRevenue.actuals.apiTokensFY2025.v</t>
  </si>
  <si>
    <t xml:space="preserve">2628</t>
  </si>
  <si>
    <t xml:space="preserve">公式（後續工作包）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</si>
  <si>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V10–V12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FY2025 token</t>
    </r>
    <r>
      <rPr>
        <sz val="10"/>
        <color rgb="FF000000"/>
        <rFont val="Noto Sans CJK SC"/>
        <family val="2"/>
      </rPr>
      <t xml:space="preserve">＝每分鐘 </t>
    </r>
    <r>
      <rPr>
        <sz val="10"/>
        <color rgb="FF000000"/>
        <rFont val="Arial"/>
        <family val="0"/>
        <charset val="1"/>
      </rPr>
      <t xml:space="preserve">token×</t>
    </r>
    <r>
      <rPr>
        <sz val="10"/>
        <color rgb="FF000000"/>
        <rFont val="Noto Sans CJK SC"/>
        <family val="2"/>
      </rPr>
      <t xml:space="preserve">每年分鐘數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單位換算）</t>
    </r>
  </si>
  <si>
    <r>
      <rPr>
        <sz val="10"/>
        <color rgb="FF000000"/>
        <rFont val="Arial"/>
        <family val="0"/>
        <charset val="1"/>
      </rPr>
      <t xml:space="preserve">E8a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公式；驅動值『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平均每分鐘 </t>
    </r>
    <r>
      <rPr>
        <sz val="10"/>
        <color rgb="FF000000"/>
        <rFont val="Arial"/>
        <family val="0"/>
        <charset val="1"/>
      </rPr>
      <t xml:space="preserve">5B token</t>
    </r>
    <r>
      <rPr>
        <sz val="10"/>
        <color rgb="FF000000"/>
        <rFont val="Noto Sans CJK SC"/>
        <family val="2"/>
      </rPr>
      <t xml:space="preserve">』進 </t>
    </r>
    <r>
      <rPr>
        <sz val="10"/>
        <color rgb="FF000000"/>
        <rFont val="Arial"/>
        <family val="0"/>
        <charset val="1"/>
      </rPr>
      <t xml:space="preserve">Inputs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3.8–6.1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2,628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2,000–3,200</t>
    </r>
    <r>
      <rPr>
        <sz val="10"/>
        <color rgb="FF000000"/>
        <rFont val="Noto Sans CJK SC"/>
        <family val="2"/>
      </rPr>
      <t xml:space="preserve">）並列於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</si>
  <si>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tokenRevenue.actuals.apiTokensFY2025.lo</t>
  </si>
  <si>
    <t xml:space="preserve">2000</t>
  </si>
  <si>
    <t xml:space="preserve">tokenRevenue.actuals.apiTokensFY2025.hi</t>
  </si>
  <si>
    <t xml:space="preserve">3200</t>
  </si>
  <si>
    <t xml:space="preserve">tokenRevenue.actuals.apiTokensFY2025.unit</t>
  </si>
  <si>
    <t xml:space="preserve">"T processed"</t>
  </si>
  <si>
    <t xml:space="preserve">tokenRevenue.actuals.apiTokensFY2025.tag</t>
  </si>
  <si>
    <t xml:space="preserve">"Derived"</t>
  </si>
  <si>
    <t xml:space="preserve">tokenRevenue.actuals.apiTokensFY2025.src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</si>
  <si>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5B/min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workbook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估計）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</si>
  <si>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tokenRevenue.actuals.apiTokensFY2025.chk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</si>
  <si>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-workbook"</t>
    </r>
  </si>
  <si>
    <t xml:space="preserve">tokenRevenue.msShare.rate.v</t>
  </si>
  <si>
    <t xml:space="preserve">0.2</t>
  </si>
  <si>
    <t xml:space="preserve">tokenRevenue.msShare.rate.tag</t>
  </si>
  <si>
    <t xml:space="preserve">tokenRevenue.msShare.rate.src</t>
  </si>
  <si>
    <r>
      <rPr>
        <sz val="10"/>
        <color rgb="FF000000"/>
        <rFont val="Arial"/>
        <family val="0"/>
        <charset val="1"/>
      </rPr>
      <t xml:space="preserve">"CNBC 2026-04-27 </t>
    </r>
    <r>
      <rPr>
        <sz val="10"/>
        <color rgb="FF000000"/>
        <rFont val="Noto Sans CJK SC"/>
        <family val="2"/>
      </rPr>
      <t xml:space="preserve">引述知情人士；</t>
    </r>
    <r>
      <rPr>
        <sz val="10"/>
        <color rgb="FF000000"/>
        <rFont val="Arial"/>
        <family val="0"/>
        <charset val="1"/>
      </rPr>
      <t xml:space="preserve">VentureBeat </t>
    </r>
    <r>
      <rPr>
        <sz val="10"/>
        <color rgb="FF000000"/>
        <rFont val="Noto Sans CJK SC"/>
        <family val="2"/>
      </rPr>
      <t xml:space="preserve">同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</si>
  <si>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tokenRevenue.msShare.capTotal.v</t>
  </si>
  <si>
    <t xml:space="preserve">38</t>
  </si>
  <si>
    <t xml:space="preserve">tokenRevenue.msShare.capTotal.tag</t>
  </si>
  <si>
    <t xml:space="preserve">tokenRevenue.msShare.capTotal.src</t>
  </si>
  <si>
    <r>
      <rPr>
        <sz val="10"/>
        <color rgb="FF000000"/>
        <rFont val="Arial"/>
        <family val="0"/>
        <charset val="1"/>
      </rPr>
      <t xml:space="preserve">"The Information 2026-05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AI Magazine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GuruFocus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</si>
  <si>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tokenRevenue.msShare.capThroughYear.v</t>
  </si>
  <si>
    <t xml:space="preserve">tokenRevenue.msShare.capThroughYear.tag</t>
  </si>
  <si>
    <t xml:space="preserve">"Verified"</t>
  </si>
  <si>
    <t xml:space="preserve">tokenRevenue.msShare.capThroughYear.src</t>
  </si>
  <si>
    <r>
      <rPr>
        <sz val="10"/>
        <color rgb="FF000000"/>
        <rFont val="Arial"/>
        <family val="0"/>
        <charset val="1"/>
      </rPr>
      <t xml:space="preserve">"OpenAI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2026-04-27 </t>
    </r>
    <r>
      <rPr>
        <sz val="10"/>
        <color rgb="FF000000"/>
        <rFont val="Noto Sans CJK SC"/>
        <family val="2"/>
      </rPr>
      <t xml:space="preserve">公告：付款持續至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，受總額上限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</si>
  <si>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tokenRevenue.msShare.capCountFromYear.v</t>
  </si>
  <si>
    <t xml:space="preserve">tokenRevenue.msShare.capCountFromYear.tag</t>
  </si>
  <si>
    <t xml:space="preserve">"Assumed"</t>
  </si>
  <si>
    <t xml:space="preserve">tokenRevenue.msShare.capCountFromYear.src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</si>
  <si>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起算點未揭露；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N2a"</t>
    </r>
  </si>
  <si>
    <t xml:space="preserve">tokenRevenue.msShare.azureInflowAfterApr2026.v</t>
  </si>
  <si>
    <t xml:space="preserve">0</t>
  </si>
  <si>
    <t xml:space="preserve">tokenRevenue.msShare.azureInflowAfterApr2026.tag</t>
  </si>
  <si>
    <t xml:space="preserve">tokenRevenue.msShare.azureInflowAfterApr2026.src</t>
  </si>
  <si>
    <r>
      <rPr>
        <sz val="10"/>
        <color rgb="FF000000"/>
        <rFont val="Arial"/>
        <family val="0"/>
        <charset val="1"/>
      </rPr>
      <t xml:space="preserve">"2026-04-27 </t>
    </r>
    <r>
      <rPr>
        <sz val="10"/>
        <color rgb="FF000000"/>
        <rFont val="Noto Sans CJK SC"/>
        <family val="2"/>
      </rPr>
      <t xml:space="preserve">公告：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不再支付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分潤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</si>
  <si>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tokenRevenue.api.tiers.0</t>
  </si>
  <si>
    <t xml:space="preserve">"top"</t>
  </si>
  <si>
    <r>
      <rPr>
        <sz val="10"/>
        <color rgb="FF000000"/>
        <rFont val="Noto Sans CJK SC"/>
        <family val="2"/>
      </rPr>
      <t xml:space="preserve">層級清單（</t>
    </r>
    <r>
      <rPr>
        <sz val="10"/>
        <color rgb="FF000000"/>
        <rFont val="Arial"/>
        <family val="0"/>
        <charset val="1"/>
      </rPr>
      <t xml:space="preserve">top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）：結構，由公式頁的列結構體現</t>
    </r>
  </si>
  <si>
    <t xml:space="preserve">tokenRevenue.api.tiers.1</t>
  </si>
  <si>
    <t xml:space="preserve">"mid"</t>
  </si>
  <si>
    <t xml:space="preserve">tokenRevenue.api.tiers.2</t>
  </si>
  <si>
    <t xml:space="preserve">"low"</t>
  </si>
  <si>
    <t xml:space="preserve">"gpt-6-astra"</t>
  </si>
  <si>
    <t xml:space="preserve">"gpt-6-sol"</t>
  </si>
  <si>
    <t xml:space="preserve">"gpt-6-luna"</t>
  </si>
  <si>
    <t xml:space="preserve">tokenRevenue.api.listPriceSnapshot.date</t>
  </si>
  <si>
    <t xml:space="preserve">"2026-09-25"</t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</si>
  <si>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牌價快照列</t>
    </r>
  </si>
  <si>
    <t xml:space="preserve">快照日期：寫入各列日期欄</t>
  </si>
  <si>
    <t xml:space="preserve">tokenRevenue.api.listPriceSnapshot.tag</t>
  </si>
  <si>
    <t xml:space="preserve">tokenRevenue.api.listPriceSnapshot.src</t>
  </si>
  <si>
    <r>
      <rPr>
        <sz val="10"/>
        <color rgb="FF000000"/>
        <rFont val="Arial"/>
        <family val="0"/>
        <charset val="1"/>
      </rPr>
      <t xml:space="preserve">"developers.openai.com/api/docs/pricing</t>
    </r>
    <r>
      <rPr>
        <sz val="10"/>
        <color rgb="FF000000"/>
        <rFont val="Noto Sans CJK SC"/>
        <family val="2"/>
      </rPr>
      <t xml:space="preserve">（短上下文 </t>
    </r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</si>
  <si>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tokenRevenue.api.listPriceSnapshot.top.in</t>
  </si>
  <si>
    <t xml:space="preserve">10.0</t>
  </si>
  <si>
    <t xml:space="preserve">tokenRevenue.api.listPriceSnapshot.top.cached</t>
  </si>
  <si>
    <t xml:space="preserve">1.0</t>
  </si>
  <si>
    <t xml:space="preserve">tokenRevenue.api.listPriceSnapshot.top.out</t>
  </si>
  <si>
    <t xml:space="preserve">50.0</t>
  </si>
  <si>
    <t xml:space="preserve">tokenRevenue.api.listPriceSnapshot.mid.in</t>
  </si>
  <si>
    <t xml:space="preserve">2.0</t>
  </si>
  <si>
    <t xml:space="preserve">tokenRevenue.api.listPriceSnapshot.mid.cached</t>
  </si>
  <si>
    <t xml:space="preserve">tokenRevenue.api.listPriceSnapshot.mid.out</t>
  </si>
  <si>
    <t xml:space="preserve">tokenRevenue.api.listPriceSnapshot.low.in</t>
  </si>
  <si>
    <t xml:space="preserve">0.1</t>
  </si>
  <si>
    <t xml:space="preserve">tokenRevenue.api.listPriceSnapshot.low.cached</t>
  </si>
  <si>
    <t xml:space="preserve">0.01</t>
  </si>
  <si>
    <t xml:space="preserve">tokenRevenue.api.listPriceSnapshot.low.out</t>
  </si>
  <si>
    <t xml:space="preserve">0.5</t>
  </si>
  <si>
    <t xml:space="preserve">tokenRevenue.api.priceEvents2026.tag</t>
  </si>
  <si>
    <t xml:space="preserve">tokenRevenue.api.priceEvents2026.src</t>
  </si>
  <si>
    <r>
      <rPr>
        <sz val="10"/>
        <color rgb="FF000000"/>
        <rFont val="Arial"/>
        <family val="0"/>
        <charset val="1"/>
      </rPr>
      <t xml:space="preserve">"openai.com 2026-07-30 GPT-5.6 </t>
    </r>
    <r>
      <rPr>
        <sz val="10"/>
        <color rgb="FF000000"/>
        <rFont val="Noto Sans CJK SC"/>
        <family val="2"/>
      </rPr>
      <t xml:space="preserve">降價公告；</t>
    </r>
    <r>
      <rPr>
        <sz val="10"/>
        <color rgb="FF000000"/>
        <rFont val="Arial"/>
        <family val="0"/>
        <charset val="1"/>
      </rPr>
      <t xml:space="preserve">GPT-6 Sol/Luna 2026-09-22 </t>
    </r>
    <r>
      <rPr>
        <sz val="10"/>
        <color rgb="FF000000"/>
        <rFont val="Noto Sans CJK SC"/>
        <family val="2"/>
      </rPr>
      <t xml:space="preserve">發布（</t>
    </r>
    <r>
      <rPr>
        <sz val="10"/>
        <color rgb="FF000000"/>
        <rFont val="Arial"/>
        <family val="0"/>
        <charset val="1"/>
      </rPr>
      <t xml:space="preserve">Techzine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MarkTechPost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GPT-6 Astra 2026-09-03"</t>
    </r>
  </si>
  <si>
    <t xml:space="preserve">tokenRevenue.api.priceEvents2026.list.0</t>
  </si>
  <si>
    <r>
      <rPr>
        <sz val="10"/>
        <color rgb="FF000000"/>
        <rFont val="Arial"/>
        <family val="0"/>
        <charset val="1"/>
      </rPr>
      <t xml:space="preserve">"07-09 GPT-5.6 Sol 5/30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Terra 2.5/15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1/6"</t>
    </r>
  </si>
  <si>
    <t xml:space="preserve">tokenRevenue.api.priceEvents2026.list.1</t>
  </si>
  <si>
    <r>
      <rPr>
        <sz val="10"/>
        <color rgb="FF000000"/>
        <rFont val="Arial"/>
        <family val="0"/>
        <charset val="1"/>
      </rPr>
      <t xml:space="preserve">"07-30 Terra 2/12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-20%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Luna 0.2/1.2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-80%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</si>
  <si>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tokenRevenue.api.priceEvents2026.list.2</t>
  </si>
  <si>
    <r>
      <rPr>
        <sz val="10"/>
        <color rgb="FF000000"/>
        <rFont val="Arial"/>
        <family val="0"/>
        <charset val="1"/>
      </rPr>
      <t xml:space="preserve">"08-22 Sol </t>
    </r>
    <r>
      <rPr>
        <sz val="10"/>
        <color rgb="FF000000"/>
        <rFont val="Noto Sans CJK SC"/>
        <family val="2"/>
      </rPr>
      <t xml:space="preserve">促銷 </t>
    </r>
    <r>
      <rPr>
        <sz val="10"/>
        <color rgb="FF000000"/>
        <rFont val="Arial"/>
        <family val="0"/>
        <charset val="1"/>
      </rPr>
      <t xml:space="preserve">4/20"</t>
    </r>
  </si>
  <si>
    <t xml:space="preserve">tokenRevenue.api.priceEvents2026.list.3</t>
  </si>
  <si>
    <r>
      <rPr>
        <sz val="10"/>
        <color rgb="FF000000"/>
        <rFont val="Arial"/>
        <family val="0"/>
        <charset val="1"/>
      </rPr>
      <t xml:space="preserve">"09-03 GPT-6 Astra 10/50</t>
    </r>
    <r>
      <rPr>
        <sz val="10"/>
        <color rgb="FF000000"/>
        <rFont val="Noto Sans CJK SC"/>
        <family val="2"/>
      </rPr>
      <t xml:space="preserve">（新旗艦，層級價格上升）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</si>
  <si>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tokenRevenue.api.priceEvents2026.list.4</t>
  </si>
  <si>
    <r>
      <rPr>
        <sz val="10"/>
        <color rgb="FF000000"/>
        <rFont val="Arial"/>
        <family val="0"/>
        <charset val="1"/>
      </rPr>
      <t xml:space="preserve">"09-22 GPT-6 Sol 2/10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0.1/0.5"</t>
    </r>
  </si>
  <si>
    <t xml:space="preserve">tokenRevenue.api.listPriceFYAvg._note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</si>
  <si>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依層級角色（</t>
    </r>
    <r>
      <rPr>
        <sz val="10"/>
        <color rgb="FF000000"/>
        <rFont val="Arial"/>
        <family val="0"/>
        <charset val="1"/>
      </rPr>
      <t xml:space="preserve">top/mid/low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平均牌價；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由上列事件按月加權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</si>
  <si>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Arial"/>
        <family val="0"/>
        <charset val="1"/>
      </rPr>
      <t xml:space="preserve">INP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listPriceFYAvg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</si>
  <si>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由事件月加權 </t>
    </r>
    <r>
      <rPr>
        <sz val="10"/>
        <color rgb="FF000000"/>
        <rFont val="Arial"/>
        <family val="0"/>
        <charset val="1"/>
      </rPr>
      <t xml:space="preserve">[Derived]</t>
    </r>
  </si>
  <si>
    <t xml:space="preserve">tokenRevenue.api.listPriceFYAvg.in.top.v.0</t>
  </si>
  <si>
    <t xml:space="preserve">2.5</t>
  </si>
  <si>
    <t xml:space="preserve">tokenRevenue.api.listPriceFYAvg.in.top.v.1</t>
  </si>
  <si>
    <t xml:space="preserve">6.6</t>
  </si>
  <si>
    <r>
      <rPr>
        <sz val="10"/>
        <color rgb="FF000000"/>
        <rFont val="Arial"/>
        <family val="0"/>
        <charset val="1"/>
      </rPr>
      <t xml:space="preserve">Revenue R01–R06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實作：價格事件時點天數加權，</t>
    </r>
    <r>
      <rPr>
        <sz val="10"/>
        <color rgb="FF000000"/>
        <rFont val="Arial"/>
        <family val="0"/>
        <charset val="1"/>
      </rPr>
      <t xml:space="preserve">Revenue </t>
    </r>
    <r>
      <rPr>
        <sz val="10"/>
        <color rgb="FF000000"/>
        <rFont val="Noto Sans CJK SC"/>
        <family val="2"/>
      </rPr>
      <t xml:space="preserve">第七節；</t>
    </r>
    <r>
      <rPr>
        <sz val="10"/>
        <color rgb="FF000000"/>
        <rFont val="Arial"/>
        <family val="0"/>
        <charset val="1"/>
      </rPr>
      <t xml:space="preserve">E8c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</si>
  <si>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由價格事件按月加權；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Analogy/Derived </t>
    </r>
    <r>
      <rPr>
        <sz val="10"/>
        <color rgb="FF000000"/>
        <rFont val="Noto Sans CJK SC"/>
        <family val="2"/>
      </rPr>
      <t xml:space="preserve">混合，依元素分開（</t>
    </r>
    <r>
      <rPr>
        <sz val="10"/>
        <color rgb="FF000000"/>
        <rFont val="Arial"/>
        <family val="0"/>
        <charset val="1"/>
      </rPr>
      <t xml:space="preserve">2025→Inputs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2026→</t>
    </r>
    <r>
      <rPr>
        <sz val="10"/>
        <color rgb="FF000000"/>
        <rFont val="Noto Sans CJK SC"/>
        <family val="2"/>
      </rPr>
      <t xml:space="preserve">公式）</t>
    </r>
  </si>
  <si>
    <t xml:space="preserve">tokenRevenue.api.listPriceFYAvg.in.top.lo.0</t>
  </si>
  <si>
    <t xml:space="preserve">1.5</t>
  </si>
  <si>
    <t xml:space="preserve">tokenRevenue.api.listPriceFYAvg.in.top.lo.1</t>
  </si>
  <si>
    <t xml:space="preserve">5.0</t>
  </si>
  <si>
    <t xml:space="preserve">tokenRevenue.api.listPriceFYAvg.in.top.hi.0</t>
  </si>
  <si>
    <t xml:space="preserve">4.0</t>
  </si>
  <si>
    <t xml:space="preserve">tokenRevenue.api.listPriceFYAvg.in.top.hi.1</t>
  </si>
  <si>
    <t xml:space="preserve">tokenRevenue.api.listPriceFYAvg.in.top.tag</t>
  </si>
  <si>
    <t xml:space="preserve">"Analogy/Derived"</t>
  </si>
  <si>
    <r>
      <rPr>
        <sz val="10"/>
        <color rgb="FF000000"/>
        <rFont val="Arial"/>
        <family val="0"/>
        <charset val="1"/>
      </rPr>
      <t xml:space="preserve">listPriceFYAvg </t>
    </r>
    <r>
      <rPr>
        <sz val="10"/>
        <color rgb="FF000000"/>
        <rFont val="Noto Sans CJK SC"/>
        <family val="2"/>
      </rPr>
      <t xml:space="preserve">各列</t>
    </r>
  </si>
  <si>
    <t xml:space="preserve">tokenRevenue.api.listPriceFYAvg.in.mid.v.0</t>
  </si>
  <si>
    <t xml:space="preserve">tokenRevenue.api.listPriceFYAvg.in.mid.v.1</t>
  </si>
  <si>
    <t xml:space="preserve">2.29</t>
  </si>
  <si>
    <t xml:space="preserve">tokenRevenue.api.listPriceFYAvg.in.mid.lo.0</t>
  </si>
  <si>
    <t xml:space="preserve">tokenRevenue.api.listPriceFYAvg.in.mid.lo.1</t>
  </si>
  <si>
    <t xml:space="preserve">tokenRevenue.api.listPriceFYAvg.in.mid.hi.0</t>
  </si>
  <si>
    <t xml:space="preserve">tokenRevenue.api.listPriceFYAvg.in.mid.hi.1</t>
  </si>
  <si>
    <t xml:space="preserve">tokenRevenue.api.listPriceFYAvg.in.mid.tag</t>
  </si>
  <si>
    <t xml:space="preserve">tokenRevenue.api.listPriceFYAvg.in.low.v.0</t>
  </si>
  <si>
    <t xml:space="preserve">tokenRevenue.api.listPriceFYAvg.in.low.v.1</t>
  </si>
  <si>
    <t xml:space="preserve">0.64</t>
  </si>
  <si>
    <t xml:space="preserve">tokenRevenue.api.listPriceFYAvg.in.low.lo.0</t>
  </si>
  <si>
    <t xml:space="preserve">tokenRevenue.api.listPriceFYAvg.in.low.lo.1</t>
  </si>
  <si>
    <t xml:space="preserve">0.4</t>
  </si>
  <si>
    <t xml:space="preserve">tokenRevenue.api.listPriceFYAvg.in.low.hi.0</t>
  </si>
  <si>
    <t xml:space="preserve">tokenRevenue.api.listPriceFYAvg.in.low.hi.1</t>
  </si>
  <si>
    <t xml:space="preserve">0.8</t>
  </si>
  <si>
    <t xml:space="preserve">tokenRevenue.api.listPriceFYAvg.in.low.tag</t>
  </si>
  <si>
    <t xml:space="preserve">tokenRevenue.api.listPriceFYAvg.out.top.v.0</t>
  </si>
  <si>
    <t xml:space="preserve">14.0</t>
  </si>
  <si>
    <t xml:space="preserve">tokenRevenue.api.listPriceFYAvg.out.top.v.1</t>
  </si>
  <si>
    <t xml:space="preserve">35.8</t>
  </si>
  <si>
    <t xml:space="preserve">tokenRevenue.api.listPriceFYAvg.out.top.lo.0</t>
  </si>
  <si>
    <t xml:space="preserve">8.0</t>
  </si>
  <si>
    <t xml:space="preserve">tokenRevenue.api.listPriceFYAvg.out.top.lo.1</t>
  </si>
  <si>
    <t xml:space="preserve">28.0</t>
  </si>
  <si>
    <t xml:space="preserve">tokenRevenue.api.listPriceFYAvg.out.top.hi.0</t>
  </si>
  <si>
    <t xml:space="preserve">20.0</t>
  </si>
  <si>
    <t xml:space="preserve">tokenRevenue.api.listPriceFYAvg.out.top.hi.1</t>
  </si>
  <si>
    <t xml:space="preserve">40.0</t>
  </si>
  <si>
    <t xml:space="preserve">tokenRevenue.api.listPriceFYAvg.out.top.tag</t>
  </si>
  <si>
    <t xml:space="preserve">tokenRevenue.api.listPriceFYAvg.out.mid.v.0</t>
  </si>
  <si>
    <t xml:space="preserve">tokenRevenue.api.listPriceFYAvg.out.mid.v.1</t>
  </si>
  <si>
    <t xml:space="preserve">13.25</t>
  </si>
  <si>
    <t xml:space="preserve">tokenRevenue.api.listPriceFYAvg.out.mid.lo.0</t>
  </si>
  <si>
    <t xml:space="preserve">tokenRevenue.api.listPriceFYAvg.out.mid.lo.1</t>
  </si>
  <si>
    <t xml:space="preserve">11.0</t>
  </si>
  <si>
    <t xml:space="preserve">tokenRevenue.api.listPriceFYAvg.out.mid.hi.0</t>
  </si>
  <si>
    <t xml:space="preserve">tokenRevenue.api.listPriceFYAvg.out.mid.hi.1</t>
  </si>
  <si>
    <t xml:space="preserve">15.0</t>
  </si>
  <si>
    <t xml:space="preserve">tokenRevenue.api.listPriceFYAvg.out.mid.tag</t>
  </si>
  <si>
    <t xml:space="preserve">tokenRevenue.api.listPriceFYAvg.out.low.v.0</t>
  </si>
  <si>
    <t xml:space="preserve">tokenRevenue.api.listPriceFYAvg.out.low.v.1</t>
  </si>
  <si>
    <t xml:space="preserve">3.83</t>
  </si>
  <si>
    <t xml:space="preserve">tokenRevenue.api.listPriceFYAvg.out.low.lo.0</t>
  </si>
  <si>
    <t xml:space="preserve">tokenRevenue.api.listPriceFYAvg.out.low.lo.1</t>
  </si>
  <si>
    <t xml:space="preserve">tokenRevenue.api.listPriceFYAvg.out.low.hi.0</t>
  </si>
  <si>
    <t xml:space="preserve">tokenRevenue.api.listPriceFYAvg.out.low.hi.1</t>
  </si>
  <si>
    <t xml:space="preserve">tokenRevenue.api.listPriceFYAvg.out.low.tag</t>
  </si>
  <si>
    <t xml:space="preserve">tokenRevenue.api.listPriceAnnualChange._note</t>
  </si>
  <si>
    <r>
      <rPr>
        <sz val="10"/>
        <color rgb="FF000000"/>
        <rFont val="Arial"/>
        <family val="0"/>
        <charset val="1"/>
      </rPr>
      <t xml:space="preserve">"2027 </t>
    </r>
    <r>
      <rPr>
        <sz val="10"/>
        <color rgb="FF000000"/>
        <rFont val="Noto Sans CJK SC"/>
        <family val="2"/>
      </rPr>
      <t xml:space="preserve">起每年牌價變動率（同層級角色）；情境軸之一</t>
    </r>
    <r>
      <rPr>
        <sz val="10"/>
        <color rgb="FF000000"/>
        <rFont val="Arial"/>
        <family val="0"/>
        <charset val="1"/>
      </rPr>
      <t xml:space="preserve">"</t>
    </r>
  </si>
  <si>
    <t xml:space="preserve">listPriceAnnualChange</t>
  </si>
  <si>
    <t xml:space="preserve">說明文字</t>
  </si>
  <si>
    <t xml:space="preserve">tokenRevenue.api.listPriceAnnualChange.top.v</t>
  </si>
  <si>
    <t xml:space="preserve">-0.3</t>
  </si>
  <si>
    <t xml:space="preserve">tokenRevenue.api.listPriceAnnualChange.top.lo</t>
  </si>
  <si>
    <t xml:space="preserve">-0.45</t>
  </si>
  <si>
    <t xml:space="preserve">tokenRevenue.api.listPriceAnnualChange.top.hi</t>
  </si>
  <si>
    <t xml:space="preserve">-0.15</t>
  </si>
  <si>
    <t xml:space="preserve">tokenRevenue.api.listPriceAnnualChange.top.tag</t>
  </si>
  <si>
    <t xml:space="preserve">tokenRevenue.api.listPriceAnnualChange.mid.v</t>
  </si>
  <si>
    <t xml:space="preserve">-0.4</t>
  </si>
  <si>
    <t xml:space="preserve">tokenRevenue.api.listPriceAnnualChange.mid.lo</t>
  </si>
  <si>
    <t xml:space="preserve">-0.6</t>
  </si>
  <si>
    <t xml:space="preserve">tokenRevenue.api.listPriceAnnualChange.mid.hi</t>
  </si>
  <si>
    <t xml:space="preserve">-0.2</t>
  </si>
  <si>
    <t xml:space="preserve">tokenRevenue.api.listPriceAnnualChange.mid.tag</t>
  </si>
  <si>
    <t xml:space="preserve">tokenRevenue.api.listPriceAnnualChange.low.v</t>
  </si>
  <si>
    <t xml:space="preserve">tokenRevenue.api.listPriceAnnualChange.low.lo</t>
  </si>
  <si>
    <t xml:space="preserve">tokenRevenue.api.listPriceAnnualChange.low.hi</t>
  </si>
  <si>
    <t xml:space="preserve">tokenRevenue.api.listPriceAnnualChange.low.tag</t>
  </si>
  <si>
    <t xml:space="preserve">tokenRevenue.api.cachedInputRatio.v</t>
  </si>
  <si>
    <t xml:space="preserve">tokenRevenue.api.cachedInputRatio.tag</t>
  </si>
  <si>
    <t xml:space="preserve">tokenRevenue.api.cachedInputRatio.src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</si>
  <si>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定價頁：</t>
    </r>
    <r>
      <rPr>
        <sz val="10"/>
        <color rgb="FF000000"/>
        <rFont val="Arial"/>
        <family val="0"/>
        <charset val="1"/>
      </rPr>
      <t xml:space="preserve">cached input = </t>
    </r>
    <r>
      <rPr>
        <sz val="10"/>
        <color rgb="FF000000"/>
        <rFont val="Noto Sans CJK SC"/>
        <family val="2"/>
      </rPr>
      <t xml:space="preserve">輸入價 </t>
    </r>
    <r>
      <rPr>
        <sz val="10"/>
        <color rgb="FF000000"/>
        <rFont val="Arial"/>
        <family val="0"/>
        <charset val="1"/>
      </rPr>
      <t xml:space="preserve">10%"</t>
    </r>
  </si>
  <si>
    <t xml:space="preserve">tokenRevenue.api.tokenMix.top.v.0</t>
  </si>
  <si>
    <t xml:space="preserve">tokenRevenue.api.tokenMix.top.v.1</t>
  </si>
  <si>
    <t xml:space="preserve">0.15</t>
  </si>
  <si>
    <t xml:space="preserve">tokenRevenue.api.tokenMix.top.lo.0</t>
  </si>
  <si>
    <t xml:space="preserve">0.25</t>
  </si>
  <si>
    <t xml:space="preserve">tokenRevenue.api.tokenMix.top.lo.1</t>
  </si>
  <si>
    <t xml:space="preserve">0.08</t>
  </si>
  <si>
    <t xml:space="preserve">tokenRevenue.api.tokenMix.top.hi.0</t>
  </si>
  <si>
    <t xml:space="preserve">tokenRevenue.api.tokenMix.top.hi.1</t>
  </si>
  <si>
    <t xml:space="preserve">tokenRevenue.api.tokenMix.top.tag</t>
  </si>
  <si>
    <t xml:space="preserve">tokenRevenue.api.tokenMix.mid.v.0</t>
  </si>
  <si>
    <t xml:space="preserve">tokenRevenue.api.tokenMix.mid.v.1</t>
  </si>
  <si>
    <t xml:space="preserve">0.45</t>
  </si>
  <si>
    <t xml:space="preserve">tokenRevenue.api.tokenMix.mid.lo.0</t>
  </si>
  <si>
    <t xml:space="preserve">0.3</t>
  </si>
  <si>
    <t xml:space="preserve">tokenRevenue.api.tokenMix.mid.lo.1</t>
  </si>
  <si>
    <t xml:space="preserve">0.35</t>
  </si>
  <si>
    <t xml:space="preserve">tokenRevenue.api.tokenMix.mid.hi.0</t>
  </si>
  <si>
    <t xml:space="preserve">tokenRevenue.api.tokenMix.mid.hi.1</t>
  </si>
  <si>
    <t xml:space="preserve">0.55</t>
  </si>
  <si>
    <t xml:space="preserve">tokenRevenue.api.tokenMix.mid.tag</t>
  </si>
  <si>
    <t xml:space="preserve">tokenRevenue.api.tokenMix.low.v.0</t>
  </si>
  <si>
    <r>
      <rPr>
        <sz val="10"/>
        <color rgb="FF000000"/>
        <rFont val="Arial"/>
        <family val="0"/>
        <charset val="1"/>
      </rPr>
      <t xml:space="preserve">Revenue R12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</si>
  <si>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出處註明『</t>
    </r>
    <r>
      <rPr>
        <sz val="10"/>
        <color rgb="FF000000"/>
        <rFont val="Arial"/>
        <family val="0"/>
        <charset val="1"/>
      </rPr>
      <t xml:space="preserve">low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1−top−mid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計算，不另輸入』；與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標記矛盾，依註明改為公式</t>
    </r>
  </si>
  <si>
    <t xml:space="preserve">tokenRevenue.api.tokenMix.low.v.1</t>
  </si>
  <si>
    <t xml:space="preserve">tokenRevenue.api.tokenMix.low.lo.0</t>
  </si>
  <si>
    <t xml:space="preserve">tokenRevenue.api.tokenMix.low.lo.1</t>
  </si>
  <si>
    <t xml:space="preserve">tokenRevenue.api.tokenMix.low.hi.0</t>
  </si>
  <si>
    <t xml:space="preserve">tokenRevenue.api.tokenMix.low.hi.1</t>
  </si>
  <si>
    <t xml:space="preserve">tokenRevenue.api.tokenMix.low.tag</t>
  </si>
  <si>
    <t xml:space="preserve">tokenRevenue.api.tokenMix.low.src</t>
  </si>
  <si>
    <r>
      <rPr>
        <sz val="10"/>
        <color rgb="FF000000"/>
        <rFont val="Arial"/>
        <family val="0"/>
        <charset val="1"/>
      </rPr>
      <t xml:space="preserve">"low = 1 - top - mid</t>
    </r>
    <r>
      <rPr>
        <sz val="10"/>
        <color rgb="FF000000"/>
        <rFont val="Noto Sans CJK SC"/>
        <family val="2"/>
      </rPr>
      <t xml:space="preserve">，由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計算，不另輸入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</si>
  <si>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tokenRevenue.api.outputShare.v</t>
  </si>
  <si>
    <t xml:space="preserve">tokenRevenue.api.outputShare.lo</t>
  </si>
  <si>
    <t xml:space="preserve">tokenRevenue.api.outputShare.hi</t>
  </si>
  <si>
    <t xml:space="preserve">tokenRevenue.api.outputShare.tag</t>
  </si>
  <si>
    <t xml:space="preserve">"Analogy"</t>
  </si>
  <si>
    <t xml:space="preserve">tokenRevenue.api.outputShare.src</t>
  </si>
  <si>
    <r>
      <rPr>
        <sz val="10"/>
        <color rgb="FF000000"/>
        <rFont val="Arial"/>
        <family val="0"/>
        <charset val="1"/>
      </rPr>
      <t xml:space="preserve">"workbook API I:O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4:1</t>
    </r>
    <r>
      <rPr>
        <sz val="10"/>
        <color rgb="FF000000"/>
        <rFont val="Noto Sans CJK SC"/>
        <family val="2"/>
      </rPr>
      <t xml:space="preserve">；代理式工作負載使輸出占比上升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</si>
  <si>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tokenRevenue.api.cacheHitRate.v</t>
  </si>
  <si>
    <t xml:space="preserve">tokenRevenue.api.cacheHitRate.lo</t>
  </si>
  <si>
    <t xml:space="preserve">tokenRevenue.api.cacheHitRate.hi</t>
  </si>
  <si>
    <t xml:space="preserve">0.75</t>
  </si>
  <si>
    <t xml:space="preserve">tokenRevenue.api.cacheHitRate.tag</t>
  </si>
  <si>
    <t xml:space="preserve">tokenRevenue.api.discountRate.v</t>
  </si>
  <si>
    <t xml:space="preserve">tokenRevenue.api.discountRate.lo</t>
  </si>
  <si>
    <t xml:space="preserve">tokenRevenue.api.discountRate.hi</t>
  </si>
  <si>
    <t xml:space="preserve">tokenRevenue.api.discountRate.tag</t>
  </si>
  <si>
    <t xml:space="preserve">tokenRevenue.api.discountRate.src</t>
  </si>
  <si>
    <r>
      <rPr>
        <sz val="10"/>
        <color rgb="FF000000"/>
        <rFont val="Arial"/>
        <family val="0"/>
        <charset val="1"/>
      </rPr>
      <t xml:space="preserve">"Batch/Flex </t>
    </r>
    <r>
      <rPr>
        <sz val="10"/>
        <color rgb="FF000000"/>
        <rFont val="Noto Sans CJK SC"/>
        <family val="2"/>
      </rPr>
      <t xml:space="preserve">半價 </t>
    </r>
    <r>
      <rPr>
        <sz val="10"/>
        <color rgb="FF000000"/>
        <rFont val="Arial"/>
        <family val="0"/>
        <charset val="1"/>
      </rPr>
      <t xml:space="preserve">[Verified]</t>
    </r>
    <r>
      <rPr>
        <sz val="10"/>
        <color rgb="FF000000"/>
        <rFont val="Noto Sans CJK SC"/>
        <family val="2"/>
      </rPr>
      <t xml:space="preserve">；企業折扣 </t>
    </r>
    <r>
      <rPr>
        <sz val="10"/>
        <color rgb="FF000000"/>
        <rFont val="Arial"/>
        <family val="0"/>
        <charset val="1"/>
      </rPr>
      <t xml:space="preserve">[Analogy]</t>
    </r>
    <r>
      <rPr>
        <sz val="10"/>
        <color rgb="FF000000"/>
        <rFont val="Noto Sans CJK SC"/>
        <family val="2"/>
      </rPr>
      <t xml:space="preserve">；兩者合併為加權折扣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</si>
  <si>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tokenRevenue.api.tokensPerTaskBase.v</t>
  </si>
  <si>
    <t xml:space="preserve">10</t>
  </si>
  <si>
    <t xml:space="preserve">tokenRevenue.api.tokensPerTaskBase.lo</t>
  </si>
  <si>
    <t xml:space="preserve">5</t>
  </si>
  <si>
    <t xml:space="preserve">tokenRevenue.api.tokensPerTaskBase.hi</t>
  </si>
  <si>
    <t xml:space="preserve">30</t>
  </si>
  <si>
    <t xml:space="preserve">tokenRevenue.api.tokensPerTaskBase.unit</t>
  </si>
  <si>
    <t xml:space="preserve">"K tok/task"</t>
  </si>
  <si>
    <t xml:space="preserve">tokenRevenue.api.tokensPerTaskBase.tag</t>
  </si>
  <si>
    <t xml:space="preserve">tokenRevenue.api.tokensPerTaskBase.src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</si>
  <si>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層級正規化：只影響 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的水準拆分，不影響營收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</si>
  <si>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tokenRevenue.api.demandGrowthExPrice._note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</si>
  <si>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未計價格反應的成長率；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為校準年：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任務數成長由 </t>
    </r>
    <r>
      <rPr>
        <sz val="10"/>
        <color rgb="FF000000"/>
        <rFont val="Arial"/>
        <family val="0"/>
        <charset val="1"/>
      </rPr>
      <t xml:space="preserve">53% </t>
    </r>
    <r>
      <rPr>
        <sz val="10"/>
        <color rgb="FF000000"/>
        <rFont val="Noto Sans CJK SC"/>
        <family val="2"/>
      </rPr>
      <t xml:space="preserve">調為 </t>
    </r>
    <r>
      <rPr>
        <sz val="10"/>
        <color rgb="FF000000"/>
        <rFont val="Arial"/>
        <family val="0"/>
        <charset val="1"/>
      </rPr>
      <t xml:space="preserve">134%</t>
    </r>
    <r>
      <rPr>
        <sz val="10"/>
        <color rgb="FF000000"/>
        <rFont val="Noto Sans CJK SC"/>
        <family val="2"/>
      </rPr>
      <t xml:space="preserve">，使 </t>
    </r>
    <r>
      <rPr>
        <sz val="10"/>
        <color rgb="FF000000"/>
        <rFont val="Arial"/>
        <family val="0"/>
        <charset val="1"/>
      </rPr>
      <t xml:space="preserve">FY2025 API </t>
    </r>
    <r>
      <rPr>
        <sz val="10"/>
        <color rgb="FF000000"/>
        <rFont val="Noto Sans CJK SC"/>
        <family val="2"/>
      </rPr>
      <t xml:space="preserve">反推值下修（</t>
    </r>
    <r>
      <rPr>
        <sz val="10"/>
        <color rgb="FF000000"/>
        <rFont val="Arial"/>
        <family val="0"/>
        <charset val="1"/>
      </rPr>
      <t xml:space="preserve">3.63</t>
    </r>
    <r>
      <rPr>
        <sz val="10"/>
        <color rgb="FF000000"/>
        <rFont val="Noto Sans CJK SC"/>
        <family val="2"/>
      </rPr>
      <t xml:space="preserve">）後，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總額仍對上獨立推估 </t>
    </r>
    <r>
      <rPr>
        <sz val="10"/>
        <color rgb="FF000000"/>
        <rFont val="Arial"/>
        <family val="0"/>
        <charset val="1"/>
      </rPr>
      <t xml:space="preserve">32.9"</t>
    </r>
  </si>
  <si>
    <t xml:space="preserve">demandGrowthExPrice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</si>
  <si>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為校準年（</t>
    </r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調整）</t>
    </r>
  </si>
  <si>
    <t xml:space="preserve">tokenRevenue.api.demandGrowthExPrice.tasks.v.0</t>
  </si>
  <si>
    <t xml:space="preserve">tokenRevenue.api.demandGrowthExPrice.tasks.v.1</t>
  </si>
  <si>
    <t xml:space="preserve">1.34</t>
  </si>
  <si>
    <t xml:space="preserve">tokenRevenue.api.demandGrowthExPrice.tasks.v.2</t>
  </si>
  <si>
    <t xml:space="preserve">tokenRevenue.api.demandGrowthExPrice.tasks.v.3</t>
  </si>
  <si>
    <t xml:space="preserve">tokenRevenue.api.demandGrowthExPrice.tasks.v.4</t>
  </si>
  <si>
    <t xml:space="preserve">tokenRevenue.api.demandGrowthExPrice.tasks.v.5</t>
  </si>
  <si>
    <t xml:space="preserve">tokenRevenue.api.demandGrowthExPrice.tasks.tag</t>
  </si>
  <si>
    <t xml:space="preserve">tokenRevenue.api.demandGrowthExPrice.tasks.lo_mult</t>
  </si>
  <si>
    <t xml:space="preserve">tokenRevenue.api.demandGrowthExPrice.tasks.hi_mult</t>
  </si>
  <si>
    <t xml:space="preserve">tokenRevenue.api.demandGrowthExPrice.tokensPerTask.v.0</t>
  </si>
  <si>
    <t xml:space="preserve">tokenRevenue.api.demandGrowthExPrice.tokensPerTask.v.1</t>
  </si>
  <si>
    <t xml:space="preserve">tokenRevenue.api.demandGrowthExPrice.tokensPerTask.v.2</t>
  </si>
  <si>
    <t xml:space="preserve">tokenRevenue.api.demandGrowthExPrice.tokensPerTask.v.3</t>
  </si>
  <si>
    <t xml:space="preserve">0.12</t>
  </si>
  <si>
    <t xml:space="preserve">tokenRevenue.api.demandGrowthExPrice.tokensPerTask.v.4</t>
  </si>
  <si>
    <t xml:space="preserve">tokenRevenue.api.demandGrowthExPrice.tokensPerTask.v.5</t>
  </si>
  <si>
    <t xml:space="preserve">tokenRevenue.api.demandGrowthExPrice.tokensPerTask.tag</t>
  </si>
  <si>
    <t xml:space="preserve">tokenRevenue.api.demandGrowthExPrice.tokensPerTask.lo_mult</t>
  </si>
  <si>
    <t xml:space="preserve">tokenRevenue.api.demandGrowthExPrice.tokensPerTask.hi_mult</t>
  </si>
  <si>
    <t xml:space="preserve">tokenRevenue.api.elasticity.tasks.v</t>
  </si>
  <si>
    <t xml:space="preserve">-0.7</t>
  </si>
  <si>
    <t xml:space="preserve">tokenRevenue.api.elasticity.tasks.lo</t>
  </si>
  <si>
    <t xml:space="preserve">-1.05</t>
  </si>
  <si>
    <t xml:space="preserve">tokenRevenue.api.elasticity.tasks.hi</t>
  </si>
  <si>
    <t xml:space="preserve">-0.35</t>
  </si>
  <si>
    <t xml:space="preserve">tokenRevenue.api.elasticity.tasks.tag</t>
  </si>
  <si>
    <t xml:space="preserve">tokenRevenue.api.elasticity.tasks.src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</si>
  <si>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無法由公開資料分離（價格與能力同時變動）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</si>
  <si>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tokenRevenue.api.elasticity.tokensPerTask.v</t>
  </si>
  <si>
    <t xml:space="preserve">tokenRevenue.api.elasticity.tokensPerTask.lo</t>
  </si>
  <si>
    <t xml:space="preserve">tokenRevenue.api.elasticity.tokensPerTask.hi</t>
  </si>
  <si>
    <t xml:space="preserve">tokenRevenue.api.elasticity.tokensPerTask.tag</t>
  </si>
  <si>
    <t xml:space="preserve">tokenRevenue.api.calibration</t>
  </si>
  <si>
    <r>
      <rPr>
        <sz val="10"/>
        <color rgb="FF000000"/>
        <rFont val="Arial"/>
        <family val="0"/>
        <charset val="1"/>
      </rPr>
      <t xml:space="preserve">"2025 API </t>
    </r>
    <r>
      <rPr>
        <sz val="10"/>
        <color rgb="FF000000"/>
        <rFont val="Noto Sans CJK SC"/>
        <family val="2"/>
      </rPr>
      <t xml:space="preserve">計費 </t>
    </r>
    <r>
      <rPr>
        <sz val="10"/>
        <color rgb="FF000000"/>
        <rFont val="Arial"/>
        <family val="0"/>
        <charset val="1"/>
      </rPr>
      <t xml:space="preserve">token = (revenue2025 - </t>
    </r>
    <r>
      <rPr>
        <sz val="10"/>
        <color rgb="FF000000"/>
        <rFont val="Noto Sans CJK SC"/>
        <family val="2"/>
      </rPr>
      <t xml:space="preserve">訂閱模型值 </t>
    </r>
    <r>
      <rPr>
        <sz val="10"/>
        <color rgb="FF000000"/>
        <rFont val="Arial"/>
        <family val="0"/>
        <charset val="1"/>
      </rPr>
      <t xml:space="preserve">- other2025) / </t>
    </r>
    <r>
      <rPr>
        <sz val="10"/>
        <color rgb="FF000000"/>
        <rFont val="Noto Sans CJK SC"/>
        <family val="2"/>
      </rPr>
      <t xml:space="preserve">有效單價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apiTokensFY2025 </t>
    </r>
    <r>
      <rPr>
        <sz val="10"/>
        <color rgb="FF000000"/>
        <rFont val="Noto Sans CJK SC"/>
        <family val="2"/>
      </rPr>
      <t xml:space="preserve">比得計費比例（檢查項）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</si>
  <si>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校準方式的文字說明；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以公式實作，說明保留於 </t>
    </r>
    <r>
      <rPr>
        <sz val="10"/>
        <color rgb="FF000000"/>
        <rFont val="Arial"/>
        <family val="0"/>
        <charset val="1"/>
      </rPr>
      <t xml:space="preserve">CLAUDE.md</t>
    </r>
    <r>
      <rPr>
        <sz val="10"/>
        <color rgb="FF000000"/>
        <rFont val="Noto Sans CJK SC"/>
        <family val="2"/>
      </rPr>
      <t xml:space="preserve">／報告</t>
    </r>
  </si>
  <si>
    <t xml:space="preserve">tokenRevenue.api.priceBasis.v</t>
  </si>
  <si>
    <t xml:space="preserve">"tierRole"</t>
  </si>
  <si>
    <t xml:space="preserve">tokenRevenue.api.priceBasis.tag</t>
  </si>
  <si>
    <t xml:space="preserve">"Decision"</t>
  </si>
  <si>
    <t xml:space="preserve">tokenRevenue.api.priceBasis.src</t>
  </si>
  <si>
    <r>
      <rPr>
        <sz val="10"/>
        <color rgb="FF000000"/>
        <rFont val="Arial"/>
        <family val="0"/>
        <charset val="1"/>
      </rPr>
      <t xml:space="preserve">"N3a</t>
    </r>
    <r>
      <rPr>
        <sz val="10"/>
        <color rgb="FF000000"/>
        <rFont val="Noto Sans CJK SC"/>
        <family val="2"/>
      </rPr>
      <t xml:space="preserve">：新旗艦上市視為該層價格上升，不另立層級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</si>
  <si>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tokenRevenue.subscription.tiers.0</t>
  </si>
  <si>
    <t xml:space="preserve">"free"</t>
  </si>
  <si>
    <t xml:space="preserve">方案清單：結構</t>
  </si>
  <si>
    <t xml:space="preserve">tokenRevenue.subscription.tiers.1</t>
  </si>
  <si>
    <t xml:space="preserve">"go"</t>
  </si>
  <si>
    <t xml:space="preserve">tokenRevenue.subscription.tiers.2</t>
  </si>
  <si>
    <t xml:space="preserve">"plus"</t>
  </si>
  <si>
    <t xml:space="preserve">tokenRevenue.subscription.tiers.3</t>
  </si>
  <si>
    <t xml:space="preserve">"pro"</t>
  </si>
  <si>
    <t xml:space="preserve">tokenRevenue.subscription.tiers.4</t>
  </si>
  <si>
    <t xml:space="preserve">"seats"</t>
  </si>
  <si>
    <t xml:space="preserve">tokenRevenue.subscription.line.free</t>
  </si>
  <si>
    <t xml:space="preserve">"consumer"</t>
  </si>
  <si>
    <r>
      <rPr>
        <sz val="10"/>
        <color rgb="FF000000"/>
        <rFont val="Noto Sans CJK SC"/>
        <family val="2"/>
      </rPr>
      <t xml:space="preserve">方案所屬營收線（</t>
    </r>
    <r>
      <rPr>
        <sz val="10"/>
        <color rgb="FF000000"/>
        <rFont val="Arial"/>
        <family val="0"/>
        <charset val="1"/>
      </rPr>
      <t xml:space="preserve">consumer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enterprise</t>
    </r>
    <r>
      <rPr>
        <sz val="10"/>
        <color rgb="FF000000"/>
        <rFont val="Noto Sans CJK SC"/>
        <family val="2"/>
      </rPr>
      <t xml:space="preserve">）：結構，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以列結構體現</t>
    </r>
  </si>
  <si>
    <t xml:space="preserve">tokenRevenue.subscription.line.go</t>
  </si>
  <si>
    <t xml:space="preserve">tokenRevenue.subscription.line.plus</t>
  </si>
  <si>
    <t xml:space="preserve">tokenRevenue.subscription.line.pro</t>
  </si>
  <si>
    <t xml:space="preserve">tokenRevenue.subscription.line.seats</t>
  </si>
  <si>
    <t xml:space="preserve">"enterprise"</t>
  </si>
  <si>
    <t xml:space="preserve">tokenRevenue.subscription.listPriceSep2026.go</t>
  </si>
  <si>
    <t xml:space="preserve">8</t>
  </si>
  <si>
    <t xml:space="preserve">tokenRevenue.subscription.listPriceSep2026.plus</t>
  </si>
  <si>
    <t xml:space="preserve">20</t>
  </si>
  <si>
    <t xml:space="preserve">tokenRevenue.subscription.listPriceSep2026.pro.0</t>
  </si>
  <si>
    <t xml:space="preserve">100</t>
  </si>
  <si>
    <t xml:space="preserve">tokenRevenue.subscription.listPriceSep2026.pro.1</t>
  </si>
  <si>
    <t xml:space="preserve">200</t>
  </si>
  <si>
    <t xml:space="preserve">tokenRevenue.subscription.listPriceSep2026.businessSeat.0</t>
  </si>
  <si>
    <t xml:space="preserve">tokenRevenue.subscription.listPriceSep2026.businessSeat.1</t>
  </si>
  <si>
    <t xml:space="preserve">25</t>
  </si>
  <si>
    <t xml:space="preserve">tokenRevenue.subscription.listPriceSep2026.tag</t>
  </si>
  <si>
    <t xml:space="preserve">tokenRevenue.subscription.listPriceSep2026.src</t>
  </si>
  <si>
    <r>
      <rPr>
        <sz val="10"/>
        <color rgb="FF000000"/>
        <rFont val="Arial"/>
        <family val="0"/>
        <charset val="1"/>
      </rPr>
      <t xml:space="preserve">"ChatGPT </t>
    </r>
    <r>
      <rPr>
        <sz val="10"/>
        <color rgb="FF000000"/>
        <rFont val="Noto Sans CJK SC"/>
        <family val="2"/>
      </rPr>
      <t xml:space="preserve">定價頁（多家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核對）；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為議價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</si>
  <si>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tokenRevenue.subscription.subsFYAvg._note</t>
  </si>
  <si>
    <r>
      <rPr>
        <sz val="10"/>
        <color rgb="FF000000"/>
        <rFont val="Arial"/>
        <family val="0"/>
        <charset val="1"/>
      </rPr>
      <t xml:space="preserve">"FY </t>
    </r>
    <r>
      <rPr>
        <sz val="10"/>
        <color rgb="FF000000"/>
        <rFont val="Noto Sans CJK SC"/>
        <family val="2"/>
      </rPr>
      <t xml:space="preserve">平均人數（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token"</t>
    </r>
  </si>
  <si>
    <t xml:space="preserve">subsFYAvg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</si>
  <si>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平均人數；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僅用於成本與 </t>
    </r>
    <r>
      <rPr>
        <sz val="10"/>
        <color rgb="FF000000"/>
        <rFont val="Arial"/>
        <family val="0"/>
        <charset val="1"/>
      </rPr>
      <t xml:space="preserve">token</t>
    </r>
  </si>
  <si>
    <t xml:space="preserve">tokenRevenue.subscription.subsFYAvg.free.v.0</t>
  </si>
  <si>
    <t xml:space="preserve">600</t>
  </si>
  <si>
    <t xml:space="preserve">tokenRevenue.subscription.subsFYAvg.free.v.1</t>
  </si>
  <si>
    <t xml:space="preserve">950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</si>
  <si>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</si>
  <si>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950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</si>
  <si>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tokenRevenue.subscription.subsFYAvg.free.v.2</t>
  </si>
  <si>
    <t xml:space="preserve">1250</t>
  </si>
  <si>
    <t xml:space="preserve">tokenRevenue.subscription.subsFYAvg.free.v.3</t>
  </si>
  <si>
    <t xml:space="preserve">1500</t>
  </si>
  <si>
    <t xml:space="preserve">tokenRevenue.subscription.subsFYAvg.free.v.4</t>
  </si>
  <si>
    <t xml:space="preserve">1700</t>
  </si>
  <si>
    <t xml:space="preserve">tokenRevenue.subscription.subsFYAvg.free.v.5</t>
  </si>
  <si>
    <t xml:space="preserve">1850</t>
  </si>
  <si>
    <t xml:space="preserve">tokenRevenue.subscription.subsFYAvg.free.tag</t>
  </si>
  <si>
    <t xml:space="preserve">tokenRevenue.subscription.subsFYAvg.free.src</t>
  </si>
  <si>
    <r>
      <rPr>
        <sz val="10"/>
        <color rgb="FF000000"/>
        <rFont val="Arial"/>
        <family val="0"/>
        <charset val="1"/>
      </rPr>
      <t xml:space="preserve">"WAU 900M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</si>
  <si>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tokenRevenue.subscription.subsFYAvg.free.lo_mult</t>
  </si>
  <si>
    <t xml:space="preserve">tokenRevenue.subscription.subsFYAvg.free.hi_mult</t>
  </si>
  <si>
    <t xml:space="preserve">1.2</t>
  </si>
  <si>
    <t xml:space="preserve">tokenRevenue.subscription.subsFYAvg.free.chk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</si>
  <si>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待查核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報導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</si>
  <si>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tokenRevenue.subscription.subsFYAvg.go.v.0</t>
  </si>
  <si>
    <t xml:space="preserve">tokenRevenue.subscription.subsFYAvg.go.v.1</t>
  </si>
  <si>
    <t xml:space="preserve">tokenRevenue.subscription.subsFYAvg.go.v.2</t>
  </si>
  <si>
    <t xml:space="preserve">22</t>
  </si>
  <si>
    <t xml:space="preserve">tokenRevenue.subscription.subsFYAvg.go.v.3</t>
  </si>
  <si>
    <t xml:space="preserve">35</t>
  </si>
  <si>
    <t xml:space="preserve">tokenRevenue.subscription.subsFYAvg.go.v.4</t>
  </si>
  <si>
    <t xml:space="preserve">45</t>
  </si>
  <si>
    <t xml:space="preserve">tokenRevenue.subscription.subsFYAvg.go.v.5</t>
  </si>
  <si>
    <t xml:space="preserve">55</t>
  </si>
  <si>
    <t xml:space="preserve">tokenRevenue.subscription.subsFYAvg.go.tag</t>
  </si>
  <si>
    <t xml:space="preserve">tokenRevenue.subscription.subsFYAvg.go.lo_mult</t>
  </si>
  <si>
    <t xml:space="preserve">tokenRevenue.subscription.subsFYAvg.go.hi_mult</t>
  </si>
  <si>
    <t xml:space="preserve">tokenRevenue.subscription.subsFYAvg.go.src</t>
  </si>
  <si>
    <r>
      <rPr>
        <sz val="10"/>
        <color rgb="FF000000"/>
        <rFont val="Arial"/>
        <family val="0"/>
        <charset val="1"/>
      </rPr>
      <t xml:space="preserve">"2025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3M</t>
    </r>
    <r>
      <rPr>
        <sz val="10"/>
        <color rgb="FF000000"/>
        <rFont val="Noto Sans CJK SC"/>
        <family val="2"/>
      </rPr>
      <t xml:space="preserve">（年底，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為無遷移基準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</si>
  <si>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tokenRevenue.subscription.subsFYAvg.go.chk</t>
  </si>
  <si>
    <t xml:space="preserve">tokenRevenue.subscription.subsFYAvg.plus.v.0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</si>
  <si>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平均人數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：觀測值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換算係數）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</si>
  <si>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：該年有觀測值，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改為由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推得的公式（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定義換算；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值供對照）</t>
    </r>
  </si>
  <si>
    <t xml:space="preserve">tokenRevenue.subscription.subsFYAvg.plus.v.1</t>
  </si>
  <si>
    <t xml:space="preserve">46</t>
  </si>
  <si>
    <t xml:space="preserve">tokenRevenue.subscription.subsFYAvg.plus.v.2</t>
  </si>
  <si>
    <t xml:space="preserve">52</t>
  </si>
  <si>
    <t xml:space="preserve">tokenRevenue.subscription.subsFYAvg.plus.v.3</t>
  </si>
  <si>
    <t xml:space="preserve">57</t>
  </si>
  <si>
    <t xml:space="preserve">tokenRevenue.subscription.subsFYAvg.plus.v.4</t>
  </si>
  <si>
    <t xml:space="preserve">61</t>
  </si>
  <si>
    <t xml:space="preserve">tokenRevenue.subscription.subsFYAvg.plus.v.5</t>
  </si>
  <si>
    <t xml:space="preserve">64</t>
  </si>
  <si>
    <t xml:space="preserve">tokenRevenue.subscription.subsFYAvg.plus.lo_mult</t>
  </si>
  <si>
    <t xml:space="preserve">0.85</t>
  </si>
  <si>
    <t xml:space="preserve">tokenRevenue.subscription.subsFYAvg.plus.hi_mult</t>
  </si>
  <si>
    <t xml:space="preserve">1.15</t>
  </si>
  <si>
    <t xml:space="preserve">tokenRevenue.subscription.subsFYAvg.plus.tag</t>
  </si>
  <si>
    <t xml:space="preserve">tokenRevenue.subscription.subsFYAvg.plus.src</t>
  </si>
  <si>
    <r>
      <rPr>
        <sz val="10"/>
        <color rgb="FF000000"/>
        <rFont val="Arial"/>
        <family val="0"/>
        <charset val="1"/>
      </rPr>
      <t xml:space="preserve">"2025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Plus+Pro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35M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Reuters/The Information 2025-11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44M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FY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28–33M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為「無遷移」基準 </t>
    </r>
    <r>
      <rPr>
        <sz val="10"/>
        <color rgb="FF000000"/>
        <rFont val="Arial"/>
        <family val="0"/>
        <charset val="1"/>
      </rPr>
      <t xml:space="preserve">[Assumed]"</t>
    </r>
  </si>
  <si>
    <t xml:space="preserve">tokenRevenue.subscription.subsFYAvg.plus.chk</t>
  </si>
  <si>
    <t xml:space="preserve">tokenRevenue.subscription.subsFYAvg.pro.v.0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</si>
  <si>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2026÷SRC </t>
    </r>
    <r>
      <rPr>
        <sz val="10"/>
        <color rgb="FF000000"/>
        <rFont val="Noto Sans CJK SC"/>
        <family val="2"/>
      </rPr>
      <t xml:space="preserve">倍數）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</si>
  <si>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</si>
  <si>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tokenRevenue.subscription.subsFYAvg.pro.v.1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</si>
  <si>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2026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付費總數（含席位））</t>
    </r>
  </si>
  <si>
    <r>
      <rPr>
        <sz val="10"/>
        <color rgb="FF000000"/>
        <rFont val="Arial"/>
        <family val="0"/>
        <charset val="1"/>
      </rPr>
      <t xml:space="preserve">V12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</si>
  <si>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tokenRevenue.subscription.subsFYAvg.pro.v.2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</si>
  <si>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2027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</si>
  <si>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</si>
  <si>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tokenRevenue.subscription.subsFYAvg.pro.v.3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</si>
  <si>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2028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</si>
  <si>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</si>
  <si>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tokenRevenue.subscription.subsFYAvg.pro.v.4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</si>
  <si>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2029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</si>
  <si>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</si>
  <si>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tokenRevenue.subscription.subsFYAvg.pro.v.5</t>
  </si>
  <si>
    <t xml:space="preserve">3.0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</si>
  <si>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2030</t>
    </r>
    <r>
      <rPr>
        <sz val="10"/>
        <color rgb="FF000000"/>
        <rFont val="Noto Sans CJK SC"/>
        <family val="2"/>
      </rPr>
      <t xml:space="preserve">＝比例</t>
    </r>
    <r>
      <rPr>
        <sz val="10"/>
        <color rgb="FF000000"/>
        <rFont val="Arial"/>
        <family val="0"/>
        <charset val="1"/>
      </rPr>
      <t xml:space="preserve">_t/(1−</t>
    </r>
    <r>
      <rPr>
        <sz val="10"/>
        <color rgb="FF000000"/>
        <rFont val="Noto Sans CJK SC"/>
        <family val="2"/>
      </rPr>
      <t xml:space="preserve">比例</t>
    </r>
    <r>
      <rPr>
        <sz val="10"/>
        <color rgb="FF000000"/>
        <rFont val="Arial"/>
        <family val="0"/>
        <charset val="1"/>
      </rPr>
      <t xml:space="preserve">_t)×(go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seats)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</si>
  <si>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3.0 </t>
    </r>
    <r>
      <rPr>
        <sz val="10"/>
        <color rgb="FF000000"/>
        <rFont val="Noto Sans CJK SC"/>
        <family val="2"/>
      </rPr>
      <t xml:space="preserve">改為公式；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原值並列於 </t>
    </r>
    <r>
      <rPr>
        <sz val="10"/>
        <color rgb="FF000000"/>
        <rFont val="Arial"/>
        <family val="0"/>
        <charset val="1"/>
      </rPr>
      <t xml:space="preserve">Derived_V9</t>
    </r>
  </si>
  <si>
    <t xml:space="preserve">tokenRevenue.subscription.subsFYAvg.pro.lo_mult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</si>
  <si>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全期改為比例公式，區間由比例 </t>
    </r>
    <r>
      <rPr>
        <sz val="10"/>
        <color rgb="FF000000"/>
        <rFont val="Arial"/>
        <family val="0"/>
        <charset val="1"/>
      </rPr>
      <t xml:space="preserve">0.5–2.0% </t>
    </r>
    <r>
      <rPr>
        <sz val="10"/>
        <color rgb="FF000000"/>
        <rFont val="Noto Sans CJK SC"/>
        <family val="2"/>
      </rPr>
      <t xml:space="preserve">傳遞；倍數不再使用（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見對照表）</t>
    </r>
  </si>
  <si>
    <t xml:space="preserve">tokenRevenue.subscription.subsFYAvg.pro.hi_mult</t>
  </si>
  <si>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：同上</t>
    </r>
  </si>
  <si>
    <t xml:space="preserve">tokenRevenue.subscription.subsFYAvg.pro.tag</t>
  </si>
  <si>
    <t xml:space="preserve">tokenRevenue.subscription.subsFYAvg.pro.src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</si>
  <si>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內部預測：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倍增但 </t>
    </r>
    <r>
      <rPr>
        <sz val="10"/>
        <color rgb="FF000000"/>
        <rFont val="Arial"/>
        <family val="0"/>
        <charset val="1"/>
      </rPr>
      <t xml:space="preserve">&lt;1% </t>
    </r>
    <r>
      <rPr>
        <sz val="10"/>
        <color rgb="FF000000"/>
        <rFont val="Noto Sans CJK SC"/>
        <family val="2"/>
      </rPr>
      <t xml:space="preserve">付費總數（</t>
    </r>
    <r>
      <rPr>
        <sz val="10"/>
        <color rgb="FF000000"/>
        <rFont val="Arial"/>
        <family val="0"/>
        <charset val="1"/>
      </rPr>
      <t xml:space="preserve">The Information 2026-04-28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2027+ Assumed"</t>
    </r>
  </si>
  <si>
    <t xml:space="preserve">tokenRevenue.subscription.subsFYAvg.pro.chk</t>
  </si>
  <si>
    <t xml:space="preserve">tokenRevenue.subscription.subsFYAvg.seats.v.0</t>
  </si>
  <si>
    <t xml:space="preserve">tokenRevenue.subscription.subsFYAvg.seats.v.1</t>
  </si>
  <si>
    <t xml:space="preserve">14</t>
  </si>
  <si>
    <t xml:space="preserve">tokenRevenue.subscription.subsFYAvg.seats.v.2</t>
  </si>
  <si>
    <t xml:space="preserve">26</t>
  </si>
  <si>
    <t xml:space="preserve">tokenRevenue.subscription.subsFYAvg.seats.v.3</t>
  </si>
  <si>
    <t xml:space="preserve">tokenRevenue.subscription.subsFYAvg.seats.v.4</t>
  </si>
  <si>
    <t xml:space="preserve">48</t>
  </si>
  <si>
    <t xml:space="preserve">tokenRevenue.subscription.subsFYAvg.seats.v.5</t>
  </si>
  <si>
    <t xml:space="preserve">56</t>
  </si>
  <si>
    <t xml:space="preserve">tokenRevenue.subscription.subsFYAvg.seats.tag</t>
  </si>
  <si>
    <t xml:space="preserve">tokenRevenue.subscription.subsFYAvg.seats.src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</si>
  <si>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逾 </t>
    </r>
    <r>
      <rPr>
        <sz val="10"/>
        <color rgb="FF000000"/>
        <rFont val="Arial"/>
        <family val="0"/>
        <charset val="1"/>
      </rPr>
      <t xml:space="preserve">9M </t>
    </r>
    <r>
      <rPr>
        <sz val="10"/>
        <color rgb="FF000000"/>
        <rFont val="Noto Sans CJK SC"/>
        <family val="2"/>
      </rPr>
      <t xml:space="preserve">付費企業用戶（</t>
    </r>
    <r>
      <rPr>
        <sz val="10"/>
        <color rgb="FF000000"/>
        <rFont val="Arial"/>
        <family val="0"/>
        <charset val="1"/>
      </rPr>
      <t xml:space="preserve">OpenAI 2026-02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Assumed"</t>
    </r>
  </si>
  <si>
    <t xml:space="preserve">tokenRevenue.subscription.subsFYAvg.seats.lo_mult</t>
  </si>
  <si>
    <t xml:space="preserve">0.7</t>
  </si>
  <si>
    <t xml:space="preserve">tokenRevenue.subscription.subsFYAvg.seats.hi_mult</t>
  </si>
  <si>
    <t xml:space="preserve">1.3</t>
  </si>
  <si>
    <t xml:space="preserve">tokenRevenue.subscription.subsFYAvg.seats.chk</t>
  </si>
  <si>
    <t xml:space="preserve">tokenRevenue.subscription.arpu._note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</si>
  <si>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月（含區域定價、年繳折扣、額度加購）</t>
    </r>
    <r>
      <rPr>
        <sz val="10"/>
        <color rgb="FF000000"/>
        <rFont val="Arial"/>
        <family val="0"/>
        <charset val="1"/>
      </rPr>
      <t xml:space="preserve">"</t>
    </r>
  </si>
  <si>
    <t xml:space="preserve">arpu</t>
  </si>
  <si>
    <r>
      <rPr>
        <sz val="10"/>
        <color rgb="FF000000"/>
        <rFont val="Noto Sans CJK SC"/>
        <family val="2"/>
      </rPr>
      <t xml:space="preserve">說明：實收 </t>
    </r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月</t>
    </r>
  </si>
  <si>
    <t xml:space="preserve">tokenRevenue.subscription.arpu.go.v.0</t>
  </si>
  <si>
    <t xml:space="preserve">6</t>
  </si>
  <si>
    <t xml:space="preserve">tokenRevenue.subscription.arpu.go.lo.0</t>
  </si>
  <si>
    <t xml:space="preserve">4</t>
  </si>
  <si>
    <t xml:space="preserve">tokenRevenue.subscription.arpu.go.hi.0</t>
  </si>
  <si>
    <t xml:space="preserve">tokenRevenue.subscription.arpu.go.tag</t>
  </si>
  <si>
    <t xml:space="preserve">tokenRevenue.subscription.arpu.go.chk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</si>
  <si>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</si>
  <si>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tokenRevenue.subscription.arpu.plus.v.0</t>
  </si>
  <si>
    <t xml:space="preserve">19.5</t>
  </si>
  <si>
    <t xml:space="preserve">tokenRevenue.subscription.arpu.plus.v.1</t>
  </si>
  <si>
    <t xml:space="preserve">19</t>
  </si>
  <si>
    <t xml:space="preserve">tokenRevenue.subscription.arpu.plus.lo.0</t>
  </si>
  <si>
    <t xml:space="preserve">18</t>
  </si>
  <si>
    <t xml:space="preserve">tokenRevenue.subscription.arpu.plus.lo.1</t>
  </si>
  <si>
    <t xml:space="preserve">17</t>
  </si>
  <si>
    <t xml:space="preserve">tokenRevenue.subscription.arpu.plus.hi.0</t>
  </si>
  <si>
    <t xml:space="preserve">tokenRevenue.subscription.arpu.plus.hi.1</t>
  </si>
  <si>
    <t xml:space="preserve">tokenRevenue.subscription.arpu.plus.tag</t>
  </si>
  <si>
    <t xml:space="preserve">tokenRevenue.subscription.arpu.plus.chk</t>
  </si>
  <si>
    <t xml:space="preserve">tokenRevenue.subscription.arpu.plus.src</t>
  </si>
  <si>
    <r>
      <rPr>
        <sz val="10"/>
        <color rgb="FF000000"/>
        <rFont val="Arial"/>
        <family val="0"/>
        <charset val="1"/>
      </rPr>
      <t xml:space="preserve">"$20 </t>
    </r>
    <r>
      <rPr>
        <sz val="10"/>
        <color rgb="FF000000"/>
        <rFont val="Noto Sans CJK SC"/>
        <family val="2"/>
      </rPr>
      <t xml:space="preserve">美國、僅月繳（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定價頁）；區間反映含稅地區與促銷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</si>
  <si>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tokenRevenue.subscription.arpu.pro.v.0</t>
  </si>
  <si>
    <t xml:space="preserve">tokenRevenue.subscription.arpu.pro.v.1</t>
  </si>
  <si>
    <t xml:space="preserve">150</t>
  </si>
  <si>
    <t xml:space="preserve">tokenRevenue.subscription.arpu.pro.lo.0</t>
  </si>
  <si>
    <t xml:space="preserve">tokenRevenue.subscription.arpu.pro.lo.1</t>
  </si>
  <si>
    <t xml:space="preserve">120</t>
  </si>
  <si>
    <t xml:space="preserve">tokenRevenue.subscription.arpu.pro.hi.0</t>
  </si>
  <si>
    <t xml:space="preserve">tokenRevenue.subscription.arpu.pro.hi.1</t>
  </si>
  <si>
    <t xml:space="preserve">190</t>
  </si>
  <si>
    <t xml:space="preserve">tokenRevenue.subscription.arpu.pro.tag</t>
  </si>
  <si>
    <t xml:space="preserve">tokenRevenue.subscription.arpu.pro.src</t>
  </si>
  <si>
    <r>
      <rPr>
        <sz val="10"/>
        <color rgb="FF000000"/>
        <rFont val="Arial"/>
        <family val="0"/>
        <charset val="1"/>
      </rPr>
      <t xml:space="preserve">"2026 </t>
    </r>
    <r>
      <rPr>
        <sz val="10"/>
        <color rgb="FF000000"/>
        <rFont val="Noto Sans CJK SC"/>
        <family val="2"/>
      </rPr>
      <t xml:space="preserve">起兩檔 </t>
    </r>
    <r>
      <rPr>
        <sz val="10"/>
        <color rgb="FF000000"/>
        <rFont val="Arial"/>
        <family val="0"/>
        <charset val="1"/>
      </rPr>
      <t xml:space="preserve">$100/$200 </t>
    </r>
    <r>
      <rPr>
        <sz val="10"/>
        <color rgb="FF000000"/>
        <rFont val="Noto Sans CJK SC"/>
        <family val="2"/>
      </rPr>
      <t xml:space="preserve">加權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</si>
  <si>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tokenRevenue.subscription.arpu.pro.chk</t>
  </si>
  <si>
    <t xml:space="preserve">tokenRevenue.subscription.arpu.seats.v.0</t>
  </si>
  <si>
    <t xml:space="preserve">tokenRevenue.subscription.arpu.seats.lo.0</t>
  </si>
  <si>
    <t xml:space="preserve">tokenRevenue.subscription.arpu.seats.hi.0</t>
  </si>
  <si>
    <t xml:space="preserve">tokenRevenue.subscription.arpu.seats.tag</t>
  </si>
  <si>
    <t xml:space="preserve">tokenRevenue.subscription.arpu.seats.src</t>
  </si>
  <si>
    <r>
      <rPr>
        <sz val="10"/>
        <color rgb="FF000000"/>
        <rFont val="Arial"/>
        <family val="0"/>
        <charset val="1"/>
      </rPr>
      <t xml:space="preserve">"Business $20-25 [Verified]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議價 </t>
    </r>
    <r>
      <rPr>
        <sz val="10"/>
        <color rgb="FF000000"/>
        <rFont val="Arial"/>
        <family val="0"/>
        <charset val="1"/>
      </rPr>
      <t xml:space="preserve">$60+ [Analogy]"</t>
    </r>
  </si>
  <si>
    <t xml:space="preserve">tokenRevenue.subscription.arpu.seats.chk</t>
  </si>
  <si>
    <t xml:space="preserve">tokenRevenue.subscription.tasksPerDay._note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</si>
  <si>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全日平均（已含非活躍日）；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tasksPerDayGrowth"</t>
    </r>
  </si>
  <si>
    <t xml:space="preserve">tasksPerDay</t>
  </si>
  <si>
    <t xml:space="preserve">tokenRevenue.subscription.tasksPerDay.free.v.0</t>
  </si>
  <si>
    <t xml:space="preserve">1.7</t>
  </si>
  <si>
    <t xml:space="preserve">tokenRevenue.subscription.tasksPerDay.free.v.1</t>
  </si>
  <si>
    <t xml:space="preserve">tokenRevenue.subscription.tasksPerDay.go.v.0</t>
  </si>
  <si>
    <t xml:space="preserve">5.3</t>
  </si>
  <si>
    <t xml:space="preserve">tokenRevenue.subscription.tasksPerDay.go.v.1</t>
  </si>
  <si>
    <t xml:space="preserve">tokenRevenue.subscription.tasksPerDay.plus.v.0</t>
  </si>
  <si>
    <t xml:space="preserve">13.4</t>
  </si>
  <si>
    <t xml:space="preserve">tokenRevenue.subscription.tasksPerDay.plus.v.1</t>
  </si>
  <si>
    <t xml:space="preserve">17.9</t>
  </si>
  <si>
    <t xml:space="preserve">tokenRevenue.subscription.tasksPerDay.pro.v.0</t>
  </si>
  <si>
    <t xml:space="preserve">41</t>
  </si>
  <si>
    <t xml:space="preserve">tokenRevenue.subscription.tasksPerDay.pro.v.1</t>
  </si>
  <si>
    <t xml:space="preserve">51.4</t>
  </si>
  <si>
    <t xml:space="preserve">tokenRevenue.subscription.tasksPerDay.seats.v.0</t>
  </si>
  <si>
    <t xml:space="preserve">10.7</t>
  </si>
  <si>
    <t xml:space="preserve">tokenRevenue.subscription.tasksPerDay.seats.v.1</t>
  </si>
  <si>
    <t xml:space="preserve">14.3</t>
  </si>
  <si>
    <t xml:space="preserve">tokenRevenue.subscription.tasksPerDay.tag</t>
  </si>
  <si>
    <r>
      <rPr>
        <sz val="10"/>
        <color rgb="FF000000"/>
        <rFont val="Arial"/>
        <family val="0"/>
        <charset val="1"/>
      </rPr>
      <t xml:space="preserve">tasksPerDay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</si>
  <si>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tokenRevenue.subscription.tasksPerDay.src</t>
  </si>
  <si>
    <r>
      <rPr>
        <sz val="10"/>
        <color rgb="FF000000"/>
        <rFont val="Arial"/>
        <family val="0"/>
        <charset val="1"/>
      </rPr>
      <t xml:space="preserve">"Tokenomics workbook 8B-ii </t>
    </r>
    <r>
      <rPr>
        <sz val="10"/>
        <color rgb="FF000000"/>
        <rFont val="Noto Sans CJK SC"/>
        <family val="2"/>
      </rPr>
      <t xml:space="preserve">註記（未經查核）；總量對照：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2.5B </t>
    </r>
    <r>
      <rPr>
        <sz val="10"/>
        <color rgb="FF000000"/>
        <rFont val="Noto Sans CJK SC"/>
        <family val="2"/>
      </rPr>
      <t xml:space="preserve">則訊息（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</si>
  <si>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tokenRevenue.subscription.tasksPerDay.chk</t>
  </si>
  <si>
    <t xml:space="preserve">tokenRevenue.subscription.tokensPerTask._note</t>
  </si>
  <si>
    <r>
      <rPr>
        <sz val="10"/>
        <color rgb="FF000000"/>
        <rFont val="Arial"/>
        <family val="0"/>
        <charset val="1"/>
      </rPr>
      <t xml:space="preserve">"K tok/task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起年增 </t>
    </r>
    <r>
      <rPr>
        <sz val="10"/>
        <color rgb="FF000000"/>
        <rFont val="Arial"/>
        <family val="0"/>
        <charset val="1"/>
      </rPr>
      <t xml:space="preserve">tokensPerTaskGrowth</t>
    </r>
    <r>
      <rPr>
        <sz val="10"/>
        <color rgb="FF000000"/>
        <rFont val="Noto Sans CJK SC"/>
        <family val="2"/>
      </rPr>
      <t xml:space="preserve">（情境軸）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</si>
  <si>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tokensPerTask</t>
  </si>
  <si>
    <t xml:space="preserve">tokenRevenue.subscription.tokensPerTask.free.v.0</t>
  </si>
  <si>
    <t xml:space="preserve">tokenRevenue.subscription.tokensPerTask.free.v.1</t>
  </si>
  <si>
    <t xml:space="preserve">2.94</t>
  </si>
  <si>
    <t xml:space="preserve">tokenRevenue.subscription.tokensPerTask.go.v.0</t>
  </si>
  <si>
    <t xml:space="preserve">tokenRevenue.subscription.tokensPerTask.go.v.1</t>
  </si>
  <si>
    <t xml:space="preserve">4.39</t>
  </si>
  <si>
    <t xml:space="preserve">tokenRevenue.subscription.tokensPerTask.plus.v.0</t>
  </si>
  <si>
    <t xml:space="preserve">tokenRevenue.subscription.tokensPerTask.plus.v.1</t>
  </si>
  <si>
    <t xml:space="preserve">6.15</t>
  </si>
  <si>
    <t xml:space="preserve">tokenRevenue.subscription.tokensPerTask.pro.v.0</t>
  </si>
  <si>
    <t xml:space="preserve">tokenRevenue.subscription.tokensPerTask.pro.v.1</t>
  </si>
  <si>
    <t xml:space="preserve">15.6</t>
  </si>
  <si>
    <t xml:space="preserve">tokenRevenue.subscription.tokensPerTask.seats.v.0</t>
  </si>
  <si>
    <t xml:space="preserve">tokenRevenue.subscription.tokensPerTask.seats.v.1</t>
  </si>
  <si>
    <t xml:space="preserve">5.94</t>
  </si>
  <si>
    <t xml:space="preserve">tokenRevenue.subscription.tokensPerTask.tag</t>
  </si>
  <si>
    <r>
      <rPr>
        <sz val="10"/>
        <color rgb="FF000000"/>
        <rFont val="Arial"/>
        <family val="0"/>
        <charset val="1"/>
      </rPr>
      <t xml:space="preserve">tokensPerTask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</si>
  <si>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tokenRevenue.subscription.tokensPerTask.src</t>
  </si>
  <si>
    <r>
      <rPr>
        <sz val="10"/>
        <color rgb="FF000000"/>
        <rFont val="Arial"/>
        <family val="0"/>
        <charset val="1"/>
      </rPr>
      <t xml:space="preserve">"Tokenomics workbook</t>
    </r>
    <r>
      <rPr>
        <sz val="10"/>
        <color rgb="FF000000"/>
        <rFont val="Noto Sans CJK SC"/>
        <family val="2"/>
      </rPr>
      <t xml:space="preserve">（未經查核）；於「推論成本」頁以 </t>
    </r>
    <r>
      <rPr>
        <sz val="10"/>
        <color rgb="FF000000"/>
        <rFont val="Arial"/>
        <family val="0"/>
        <charset val="1"/>
      </rPr>
      <t xml:space="preserve">FY2025 </t>
    </r>
    <r>
      <rPr>
        <sz val="10"/>
        <color rgb="FF000000"/>
        <rFont val="Noto Sans CJK SC"/>
        <family val="2"/>
      </rPr>
      <t xml:space="preserve">成本分拆反推校正倍數 </t>
    </r>
    <r>
      <rPr>
        <sz val="10"/>
        <color rgb="FF000000"/>
        <rFont val="Arial"/>
        <family val="0"/>
        <charset val="1"/>
      </rPr>
      <t xml:space="preserve">k"</t>
    </r>
  </si>
  <si>
    <t xml:space="preserve">tokenRevenue.subscription.tokensPerTask.chk</t>
  </si>
  <si>
    <t xml:space="preserve">tokenRevenue.subscription.tasksPerDayGrowth.v</t>
  </si>
  <si>
    <t xml:space="preserve">tokenRevenue.subscription.tasksPerDayGrowth.lo</t>
  </si>
  <si>
    <t xml:space="preserve">0.05</t>
  </si>
  <si>
    <t xml:space="preserve">tokenRevenue.subscription.tasksPerDayGrowth.hi</t>
  </si>
  <si>
    <t xml:space="preserve">tokenRevenue.subscription.tasksPerDayGrowth.tag</t>
  </si>
  <si>
    <t xml:space="preserve">tokenRevenue.subscription.tokensPerTaskGrowth.v</t>
  </si>
  <si>
    <t xml:space="preserve">tokenRevenue.subscription.tokensPerTaskGrowth.lo</t>
  </si>
  <si>
    <t xml:space="preserve">tokenRevenue.subscription.tokensPerTaskGrowth.hi</t>
  </si>
  <si>
    <t xml:space="preserve">tokenRevenue.subscription.tokensPerTaskGrowth.tag</t>
  </si>
  <si>
    <t xml:space="preserve">tokenRevenue.subscription.apiEquivalentTier.free</t>
  </si>
  <si>
    <t xml:space="preserve">tokenRevenue.subscription.apiEquivalentTier.go</t>
  </si>
  <si>
    <t xml:space="preserve">tokenRevenue.subscription.apiEquivalentTier.plus</t>
  </si>
  <si>
    <t xml:space="preserve">tokenRevenue.subscription.apiEquivalentTier.pro</t>
  </si>
  <si>
    <t xml:space="preserve">tokenRevenue.subscription.apiEquivalentTier.seats</t>
  </si>
  <si>
    <t xml:space="preserve">tokenRevenue.subscription.apiEquivalentTier.tag</t>
  </si>
  <si>
    <r>
      <rPr>
        <sz val="10"/>
        <color rgb="FF000000"/>
        <rFont val="Arial"/>
        <family val="0"/>
        <charset val="1"/>
      </rPr>
      <t xml:space="preserve">apiEquivalentTier </t>
    </r>
    <r>
      <rPr>
        <sz val="10"/>
        <color rgb="FF000000"/>
        <rFont val="Noto Sans CJK SC"/>
        <family val="2"/>
      </rPr>
      <t xml:space="preserve">各列</t>
    </r>
  </si>
  <si>
    <t xml:space="preserve">tokenRevenue.subscription.apiEquivalentTier.src</t>
  </si>
  <si>
    <r>
      <rPr>
        <sz val="10"/>
        <color rgb="FF000000"/>
        <rFont val="Arial"/>
        <family val="0"/>
        <charset val="1"/>
      </rPr>
      <t xml:space="preserve">"2026-09 </t>
    </r>
    <r>
      <rPr>
        <sz val="10"/>
        <color rgb="FF000000"/>
        <rFont val="Noto Sans CJK SC"/>
        <family val="2"/>
      </rPr>
      <t xml:space="preserve">各方案預設模型（定價頁說明）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</si>
  <si>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tokenRevenue.subscription.migration._note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</si>
  <si>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Plus→Go </t>
    </r>
    <r>
      <rPr>
        <sz val="10"/>
        <color rgb="FF000000"/>
        <rFont val="Noto Sans CJK SC"/>
        <family val="2"/>
      </rPr>
      <t xml:space="preserve">遷移與 </t>
    </r>
    <r>
      <rPr>
        <sz val="10"/>
        <color rgb="FF000000"/>
        <rFont val="Arial"/>
        <family val="0"/>
        <charset val="1"/>
      </rPr>
      <t xml:space="preserve">Go </t>
    </r>
    <r>
      <rPr>
        <sz val="10"/>
        <color rgb="FF000000"/>
        <rFont val="Noto Sans CJK SC"/>
        <family val="2"/>
      </rPr>
      <t xml:space="preserve">額外新增，以公司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計畫（</t>
    </r>
    <r>
      <rPr>
        <sz val="10"/>
        <color rgb="FF000000"/>
        <rFont val="Arial"/>
        <family val="0"/>
        <charset val="1"/>
      </rPr>
      <t xml:space="preserve">Go 112M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Plus 9M</t>
    </r>
    <r>
      <rPr>
        <sz val="10"/>
        <color rgb="FF000000"/>
        <rFont val="Noto Sans CJK SC"/>
        <family val="2"/>
      </rPr>
      <t xml:space="preserve">）的幅度比例表示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</si>
  <si>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tokenRevenue.subscription.migration.planGo2026.v</t>
  </si>
  <si>
    <t xml:space="preserve">112</t>
  </si>
  <si>
    <t xml:space="preserve">tokenRevenue.subscription.migration.planGo2026.tag</t>
  </si>
  <si>
    <t xml:space="preserve">tokenRevenue.subscription.migration.planGo2026.src</t>
  </si>
  <si>
    <r>
      <rPr>
        <sz val="10"/>
        <color rgb="FF000000"/>
        <rFont val="Arial"/>
        <family val="0"/>
        <charset val="1"/>
      </rPr>
      <t xml:space="preserve">"The Information 2026-04-28</t>
    </r>
    <r>
      <rPr>
        <sz val="10"/>
        <color rgb="FF000000"/>
        <rFont val="Noto Sans CJK SC"/>
        <family val="2"/>
      </rPr>
      <t xml:space="preserve">（年初內部預測）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</si>
  <si>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tokenRevenue.subscription.migration.planGo2026.chk</t>
  </si>
  <si>
    <t xml:space="preserve">tokenRevenue.subscription.migration.planPlus2026.v</t>
  </si>
  <si>
    <t xml:space="preserve">9</t>
  </si>
  <si>
    <t xml:space="preserve">tokenRevenue.subscription.migration.planPlus2026.tag</t>
  </si>
  <si>
    <t xml:space="preserve">tokenRevenue.subscription.migration.planPlus2026.src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</si>
  <si>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</si>
  <si>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tokenRevenue.subscription.migration.planPlus2026.chk</t>
  </si>
  <si>
    <t xml:space="preserve">tokenRevenue.subscription.migration.planFraction.low</t>
  </si>
  <si>
    <t xml:space="preserve">0.0</t>
  </si>
  <si>
    <t xml:space="preserve">tokenRevenue.subscription.migration.planFraction.base</t>
  </si>
  <si>
    <t xml:space="preserve">tokenRevenue.subscription.migration.planFraction.high</t>
  </si>
  <si>
    <t xml:space="preserve">tokenRevenue.subscription.migration.planFraction.tag</t>
  </si>
  <si>
    <t xml:space="preserve">tokenRevenue.subscription.migration.planFraction.src</t>
  </si>
  <si>
    <r>
      <rPr>
        <sz val="10"/>
        <color rgb="FF000000"/>
        <rFont val="Arial"/>
        <family val="0"/>
        <charset val="1"/>
      </rPr>
      <t xml:space="preserve">"T4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2026-09-29 </t>
    </r>
    <r>
      <rPr>
        <sz val="10"/>
        <color rgb="FF000000"/>
        <rFont val="Noto Sans CJK SC"/>
        <family val="2"/>
      </rPr>
      <t xml:space="preserve">採預設）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</si>
  <si>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tokenRevenue.other.ads._note</t>
  </si>
  <si>
    <r>
      <rPr>
        <sz val="10"/>
        <color rgb="FF000000"/>
        <rFont val="Arial"/>
        <family val="0"/>
        <charset val="1"/>
      </rPr>
      <t xml:space="preserve">"N1b </t>
    </r>
    <r>
      <rPr>
        <sz val="10"/>
        <color rgb="FF000000"/>
        <rFont val="Noto Sans CJK SC"/>
        <family val="2"/>
      </rPr>
      <t xml:space="preserve">廣告為獨立列，不進核心（訂閱＋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）之敏感度、歸因與反向單一營收線分析</t>
    </r>
    <r>
      <rPr>
        <sz val="10"/>
        <color rgb="FF000000"/>
        <rFont val="Arial"/>
        <family val="0"/>
        <charset val="1"/>
      </rPr>
      <t xml:space="preserve">"</t>
    </r>
  </si>
  <si>
    <t xml:space="preserve">ads</t>
  </si>
  <si>
    <r>
      <rPr>
        <sz val="10"/>
        <color rgb="FF000000"/>
        <rFont val="Noto Sans CJK SC"/>
        <family val="2"/>
      </rPr>
      <t xml:space="preserve">說明：</t>
    </r>
    <r>
      <rPr>
        <sz val="10"/>
        <color rgb="FF000000"/>
        <rFont val="Arial"/>
        <family val="0"/>
        <charset val="1"/>
      </rPr>
      <t xml:space="preserve">N1b </t>
    </r>
    <r>
      <rPr>
        <sz val="10"/>
        <color rgb="FF000000"/>
        <rFont val="Noto Sans CJK SC"/>
        <family val="2"/>
      </rPr>
      <t xml:space="preserve">廣告為獨立列</t>
    </r>
  </si>
  <si>
    <t xml:space="preserve">tokenRevenue.other.ads.adTiers.0</t>
  </si>
  <si>
    <r>
      <rPr>
        <sz val="10"/>
        <color rgb="FF000000"/>
        <rFont val="Noto Sans CJK SC"/>
        <family val="2"/>
      </rPr>
      <t xml:space="preserve">廣告曝光方案清單（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</t>
    </r>
    <r>
      <rPr>
        <sz val="10"/>
        <color rgb="FF000000"/>
        <rFont val="Noto Sans CJK SC"/>
        <family val="2"/>
      </rPr>
      <t xml:space="preserve">）：結構</t>
    </r>
  </si>
  <si>
    <t xml:space="preserve">tokenRevenue.other.ads.adTiers.1</t>
  </si>
  <si>
    <t xml:space="preserve">tokenRevenue.other.ads.exposureShare.v.0</t>
  </si>
  <si>
    <t xml:space="preserve">tokenRevenue.other.ads.exposureShare.v.1</t>
  </si>
  <si>
    <t xml:space="preserve">tokenRevenue.other.ads.exposureShare.v.2</t>
  </si>
  <si>
    <t xml:space="preserve">tokenRevenue.other.ads.exposureShare.v.3</t>
  </si>
  <si>
    <t xml:space="preserve">tokenRevenue.other.ads.exposureShare.v.4</t>
  </si>
  <si>
    <t xml:space="preserve">tokenRevenue.other.ads.exposureShare.v.5</t>
  </si>
  <si>
    <t xml:space="preserve">tokenRevenue.other.ads.exposureShare.lo.0</t>
  </si>
  <si>
    <t xml:space="preserve">tokenRevenue.other.ads.exposureShare.lo.1</t>
  </si>
  <si>
    <t xml:space="preserve">tokenRevenue.other.ads.exposureShare.lo.2</t>
  </si>
  <si>
    <t xml:space="preserve">tokenRevenue.other.ads.exposureShare.lo.3</t>
  </si>
  <si>
    <t xml:space="preserve">tokenRevenue.other.ads.exposureShare.lo.4</t>
  </si>
  <si>
    <t xml:space="preserve">tokenRevenue.other.ads.exposureShare.lo.5</t>
  </si>
  <si>
    <t xml:space="preserve">tokenRevenue.other.ads.exposureShare.hi.0</t>
  </si>
  <si>
    <t xml:space="preserve">tokenRevenue.other.ads.exposureShare.hi.1</t>
  </si>
  <si>
    <t xml:space="preserve">tokenRevenue.other.ads.exposureShare.hi.2</t>
  </si>
  <si>
    <t xml:space="preserve">tokenRevenue.other.ads.exposureShare.hi.3</t>
  </si>
  <si>
    <t xml:space="preserve">tokenRevenue.other.ads.exposureShare.hi.4</t>
  </si>
  <si>
    <t xml:space="preserve">0.65</t>
  </si>
  <si>
    <t xml:space="preserve">tokenRevenue.other.ads.exposureShare.hi.5</t>
  </si>
  <si>
    <t xml:space="preserve">tokenRevenue.other.ads.exposureShare.tag</t>
  </si>
  <si>
    <t xml:space="preserve">tokenRevenue.other.ads.exposureShare.src</t>
  </si>
  <si>
    <r>
      <rPr>
        <sz val="10"/>
        <color rgb="FF000000"/>
        <rFont val="Arial"/>
        <family val="0"/>
        <charset val="1"/>
      </rPr>
      <t xml:space="preserve">"Andy 2026-09-29</t>
    </r>
    <r>
      <rPr>
        <sz val="10"/>
        <color rgb="FF000000"/>
        <rFont val="Noto Sans CJK SC"/>
        <family val="2"/>
      </rPr>
      <t xml:space="preserve">：商業模式未成熟，</t>
    </r>
    <r>
      <rPr>
        <sz val="10"/>
        <color rgb="FF000000"/>
        <rFont val="Arial"/>
        <family val="0"/>
        <charset val="1"/>
      </rPr>
      <t xml:space="preserve">2027→2030 </t>
    </r>
    <r>
      <rPr>
        <sz val="10"/>
        <color rgb="FF000000"/>
        <rFont val="Noto Sans CJK SC"/>
        <family val="2"/>
      </rPr>
      <t xml:space="preserve">不宜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倍；核心分析排除廣告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</si>
  <si>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tokenRevenue.other.ads.arpuPerExposedUserYear.v.0</t>
  </si>
  <si>
    <t xml:space="preserve">tokenRevenue.other.ads.arpuPerExposedUserYear.v.1</t>
  </si>
  <si>
    <t xml:space="preserve">tokenRevenue.other.ads.arpuPerExposedUserYear.v.2</t>
  </si>
  <si>
    <t xml:space="preserve">tokenRevenue.other.ads.arpuPerExposedUserYear.v.3</t>
  </si>
  <si>
    <t xml:space="preserve">4.5</t>
  </si>
  <si>
    <t xml:space="preserve">tokenRevenue.other.ads.arpuPerExposedUserYear.v.4</t>
  </si>
  <si>
    <t xml:space="preserve">tokenRevenue.other.ads.arpuPerExposedUserYear.v.5</t>
  </si>
  <si>
    <t xml:space="preserve">5.5</t>
  </si>
  <si>
    <t xml:space="preserve">tokenRevenue.other.ads.arpuPerExposedUserYear.lo.0</t>
  </si>
  <si>
    <t xml:space="preserve">tokenRevenue.other.ads.arpuPerExposedUserYear.lo.1</t>
  </si>
  <si>
    <t xml:space="preserve">tokenRevenue.other.ads.arpuPerExposedUserYear.lo.2</t>
  </si>
  <si>
    <t xml:space="preserve">tokenRevenue.other.ads.arpuPerExposedUserYear.lo.3</t>
  </si>
  <si>
    <t xml:space="preserve">tokenRevenue.other.ads.arpuPerExposedUserYear.lo.4</t>
  </si>
  <si>
    <t xml:space="preserve">tokenRevenue.other.ads.arpuPerExposedUserYear.lo.5</t>
  </si>
  <si>
    <t xml:space="preserve">3.5</t>
  </si>
  <si>
    <t xml:space="preserve">tokenRevenue.other.ads.arpuPerExposedUserYear.hi.0</t>
  </si>
  <si>
    <t xml:space="preserve">tokenRevenue.other.ads.arpuPerExposedUserYear.hi.1</t>
  </si>
  <si>
    <t xml:space="preserve">tokenRevenue.other.ads.arpuPerExposedUserYear.hi.2</t>
  </si>
  <si>
    <t xml:space="preserve">tokenRevenue.other.ads.arpuPerExposedUserYear.hi.3</t>
  </si>
  <si>
    <t xml:space="preserve">tokenRevenue.other.ads.arpuPerExposedUserYear.hi.4</t>
  </si>
  <si>
    <t xml:space="preserve">tokenRevenue.other.ads.arpuPerExposedUserYear.hi.5</t>
  </si>
  <si>
    <t xml:space="preserve">11</t>
  </si>
  <si>
    <t xml:space="preserve">tokenRevenue.other.ads.arpuPerExposedUserYear.unit</t>
  </si>
  <si>
    <t xml:space="preserve">"$/user/yr"</t>
  </si>
  <si>
    <t xml:space="preserve">tokenRevenue.other.ads.arpuPerExposedUserYear.tag</t>
  </si>
  <si>
    <t xml:space="preserve">tokenRevenue.other.ads.arpuPerExposedUserYear.src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</si>
  <si>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上限參照 </t>
    </r>
    <r>
      <rPr>
        <sz val="10"/>
        <color rgb="FF000000"/>
        <rFont val="Arial"/>
        <family val="0"/>
        <charset val="1"/>
      </rPr>
      <t xml:space="preserve">Meta FY2025 </t>
    </r>
    <r>
      <rPr>
        <sz val="10"/>
        <color rgb="FF000000"/>
        <rFont val="Noto Sans CJK SC"/>
        <family val="2"/>
      </rPr>
      <t xml:space="preserve">全球 </t>
    </r>
    <r>
      <rPr>
        <sz val="10"/>
        <color rgb="FF000000"/>
        <rFont val="Arial"/>
        <family val="0"/>
        <charset val="1"/>
      </rPr>
      <t xml:space="preserve">ARPP $57.03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10-K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base 2027→2030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2.9 </t>
    </r>
    <r>
      <rPr>
        <sz val="10"/>
        <color rgb="FF000000"/>
        <rFont val="Noto Sans CJK SC"/>
        <family val="2"/>
      </rPr>
      <t xml:space="preserve">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</si>
  <si>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tokenRevenue.other.ads.comparisonInternalTarget.2026</t>
  </si>
  <si>
    <t xml:space="preserve">tokenRevenue.other.ads.comparisonInternalTarget.2027</t>
  </si>
  <si>
    <t xml:space="preserve">tokenRevenue.other.ads.comparisonInternalTarget.2028</t>
  </si>
  <si>
    <t xml:space="preserve">tokenRevenue.other.ads.comparisonInternalTarget.2029</t>
  </si>
  <si>
    <t xml:space="preserve">53</t>
  </si>
  <si>
    <t xml:space="preserve">tokenRevenue.other.ads.comparisonInternalTarget.2030</t>
  </si>
  <si>
    <t xml:space="preserve">tokenRevenue.other.ads.comparisonInternalTarget.tag</t>
  </si>
  <si>
    <t xml:space="preserve">tokenRevenue.other.ads.comparisonInternalTarget.src</t>
  </si>
  <si>
    <r>
      <rPr>
        <sz val="10"/>
        <color rgb="FF000000"/>
        <rFont val="Arial"/>
        <family val="0"/>
        <charset val="1"/>
      </rPr>
      <t xml:space="preserve">"Axios 2026-04-09</t>
    </r>
    <r>
      <rPr>
        <sz val="10"/>
        <color rgb="FF000000"/>
        <rFont val="Noto Sans CJK SC"/>
        <family val="2"/>
      </rPr>
      <t xml:space="preserve">（投資人簡報；假設 </t>
    </r>
    <r>
      <rPr>
        <sz val="10"/>
        <color rgb="FF000000"/>
        <rFont val="Arial"/>
        <family val="0"/>
        <charset val="1"/>
      </rPr>
      <t xml:space="preserve">2030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2.75B </t>
    </r>
    <r>
      <rPr>
        <sz val="10"/>
        <color rgb="FF000000"/>
        <rFont val="Noto Sans CJK SC"/>
        <family val="2"/>
      </rPr>
      <t xml:space="preserve">週用戶），僅對照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</si>
  <si>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tokenRevenue.other.residual.v</t>
  </si>
  <si>
    <t xml:space="preserve">tokenRevenue.other.residual.tag</t>
  </si>
  <si>
    <t xml:space="preserve">tokenRevenue.other.residual.src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</si>
  <si>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授權、一次性交易等；維持 </t>
    </r>
    <r>
      <rPr>
        <sz val="10"/>
        <color rgb="FF000000"/>
        <rFont val="Arial"/>
        <family val="0"/>
        <charset val="1"/>
      </rPr>
      <t xml:space="preserve">0"</t>
    </r>
  </si>
  <si>
    <t xml:space="preserve">tokenRevenue.costInterface.hwCostPerM.v.0</t>
  </si>
  <si>
    <t xml:space="preserve">0.1544</t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</si>
  <si>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</si>
  <si>
    <r>
      <rPr>
        <sz val="10"/>
        <color rgb="FF000000"/>
        <rFont val="Arial"/>
        <family val="0"/>
        <charset val="1"/>
      </rPr>
      <t xml:space="preserve">TK_Link 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</si>
  <si>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</si>
  <si>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tokenRevenue.costInterface.hwCostPerM.v.1</t>
  </si>
  <si>
    <t xml:space="preserve">0.1018</t>
  </si>
  <si>
    <t xml:space="preserve">tokenRevenue.costInterface.hwCostPerM.v.2</t>
  </si>
  <si>
    <t xml:space="preserve">0.073</t>
  </si>
  <si>
    <t xml:space="preserve">tokenRevenue.costInterface.hwCostPerM.v.3</t>
  </si>
  <si>
    <t xml:space="preserve">0.0543</t>
  </si>
  <si>
    <t xml:space="preserve">tokenRevenue.costInterface.hwCostPerM.v.4</t>
  </si>
  <si>
    <t xml:space="preserve">0.0482</t>
  </si>
  <si>
    <t xml:space="preserve">tokenRevenue.costInterface.hwCostPerM.v.5</t>
  </si>
  <si>
    <t xml:space="preserve">0.0449</t>
  </si>
  <si>
    <t xml:space="preserve">tokenRevenue.costInterface.hwCostPerM.tag</t>
  </si>
  <si>
    <t xml:space="preserve">tokenRevenue.costInterface.hwCostPerM.src</t>
  </si>
  <si>
    <r>
      <rPr>
        <sz val="10"/>
        <color rgb="FF000000"/>
        <rFont val="Arial"/>
        <family val="0"/>
        <charset val="1"/>
      </rPr>
      <t xml:space="preserve">"Tokenomics v4 OpenAI_Sim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200/289/390/463/533/604</t>
    </r>
    <r>
      <rPr>
        <sz val="10"/>
        <color rgb="FF000000"/>
        <rFont val="Noto Sans CJK SC"/>
        <family val="2"/>
      </rPr>
      <t xml:space="preserve">（艦隊組合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2031+ </t>
    </r>
    <r>
      <rPr>
        <sz val="10"/>
        <color rgb="FF000000"/>
        <rFont val="Noto Sans CJK SC"/>
        <family val="2"/>
      </rPr>
      <t xml:space="preserve">持平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</si>
  <si>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tokenRevenue.costInterface.hwCostPerM.chk</t>
  </si>
  <si>
    <t xml:space="preserve">tokenRevenue.costInterface.overheadMultiplier</t>
  </si>
  <si>
    <r>
      <rPr>
        <sz val="10"/>
        <color rgb="FF000000"/>
        <rFont val="Arial"/>
        <family val="0"/>
        <charset val="1"/>
      </rPr>
      <t xml:space="preserve">"v0.4 </t>
    </r>
    <r>
      <rPr>
        <sz val="10"/>
        <color rgb="FF000000"/>
        <rFont val="Noto Sans CJK SC"/>
        <family val="2"/>
      </rPr>
      <t xml:space="preserve">廢止：改由推論成本頁校準係數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workbook token </t>
    </r>
    <r>
      <rPr>
        <sz val="10"/>
        <color rgb="FF000000"/>
        <rFont val="Noto Sans CJK SC"/>
        <family val="2"/>
      </rPr>
      <t xml:space="preserve">校正倍數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取代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</si>
  <si>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v0.4 </t>
    </r>
    <r>
      <rPr>
        <sz val="10"/>
        <color rgb="FF000000"/>
        <rFont val="Noto Sans CJK SC"/>
        <family val="2"/>
      </rPr>
      <t xml:space="preserve">已廢止（文字說明）</t>
    </r>
  </si>
  <si>
    <t xml:space="preserve">tokenRevenue.costInterface.capacityTokensT.v</t>
  </si>
  <si>
    <t xml:space="preserve">null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</si>
  <si>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D8a </t>
    </r>
    <r>
      <rPr>
        <sz val="10"/>
        <color rgb="FF000000"/>
        <rFont val="Noto Sans CJK SC"/>
        <family val="2"/>
      </rPr>
      <t xml:space="preserve">容量模組建成前不適用；</t>
    </r>
    <r>
      <rPr>
        <sz val="10"/>
        <color rgb="FF000000"/>
        <rFont val="Arial"/>
        <family val="0"/>
        <charset val="1"/>
      </rPr>
      <t xml:space="preserve">v0.6 P3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產能實作</t>
    </r>
  </si>
  <si>
    <t xml:space="preserve">tokenRevenue.costInterface.capacityTokensT.tag</t>
  </si>
  <si>
    <t xml:space="preserve">"N/A"</t>
  </si>
  <si>
    <t xml:space="preserve">tokenRevenue.costInterface.capacityTokensT.src</t>
  </si>
  <si>
    <r>
      <rPr>
        <sz val="10"/>
        <color rgb="FF000000"/>
        <rFont val="Arial"/>
        <family val="0"/>
        <charset val="1"/>
      </rPr>
      <t xml:space="preserve">"D8a</t>
    </r>
    <r>
      <rPr>
        <sz val="10"/>
        <color rgb="FF000000"/>
        <rFont val="Noto Sans CJK SC"/>
        <family val="2"/>
      </rPr>
      <t xml:space="preserve">：容量模組建成前顯示「不適用」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</si>
  <si>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tokenRevenue.comparison._note</t>
  </si>
  <si>
    <r>
      <rPr>
        <sz val="10"/>
        <color rgb="FF000000"/>
        <rFont val="Arial"/>
        <family val="0"/>
        <charset val="1"/>
      </rPr>
      <t xml:space="preserve">"D4c</t>
    </r>
    <r>
      <rPr>
        <sz val="10"/>
        <color rgb="FF000000"/>
        <rFont val="Noto Sans CJK SC"/>
        <family val="2"/>
      </rPr>
      <t xml:space="preserve">：僅作對照欄，不驅動任何計算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</si>
  <si>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D4c</t>
    </r>
    <r>
      <rPr>
        <sz val="10"/>
        <color rgb="FF000000"/>
        <rFont val="Noto Sans CJK SC"/>
        <family val="2"/>
      </rPr>
      <t xml:space="preserve">：僅作對照欄）</t>
    </r>
  </si>
  <si>
    <t xml:space="preserve">tokenRevenue.comparison.deckJul2026.2026</t>
  </si>
  <si>
    <t xml:space="preserve">36</t>
  </si>
  <si>
    <t xml:space="preserve">tokenRevenue.comparison.deckJul2026.2030</t>
  </si>
  <si>
    <t xml:space="preserve">350</t>
  </si>
  <si>
    <t xml:space="preserve">tokenRevenue.comparison.deckJul2026.sum2026_2030</t>
  </si>
  <si>
    <t xml:space="preserve">840</t>
  </si>
  <si>
    <t xml:space="preserve">tokenRevenue.comparison.deckJul2026.tag</t>
  </si>
  <si>
    <t xml:space="preserve">tokenRevenue.comparison.deckJul2026.src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</si>
  <si>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月投資人簡報）；</t>
    </r>
    <r>
      <rPr>
        <sz val="10"/>
        <color rgb="FF000000"/>
        <rFont val="Arial"/>
        <family val="0"/>
        <charset val="1"/>
      </rPr>
      <t xml:space="preserve">2027-29 </t>
    </r>
    <r>
      <rPr>
        <sz val="10"/>
        <color rgb="FF000000"/>
        <rFont val="Noto Sans CJK SC"/>
        <family val="2"/>
      </rPr>
      <t xml:space="preserve">未揭露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</si>
  <si>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tokenRevenue.comparison.fy2026Independent.v</t>
  </si>
  <si>
    <t xml:space="preserve">32.9</t>
  </si>
  <si>
    <r>
      <rPr>
        <sz val="10"/>
        <color rgb="FF000000"/>
        <rFont val="Arial"/>
        <family val="0"/>
        <charset val="1"/>
      </rPr>
      <t xml:space="preserve">Revenue R41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 </t>
    </r>
    <r>
      <rPr>
        <sz val="10"/>
        <color rgb="FF000000"/>
        <rFont val="Noto Sans CJK SC"/>
        <family val="2"/>
      </rPr>
      <t xml:space="preserve">實作：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獨立推估＝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ARR×</t>
    </r>
    <r>
      <rPr>
        <sz val="10"/>
        <color rgb="FF000000"/>
        <rFont val="Noto Sans CJK SC"/>
        <family val="2"/>
      </rPr>
      <t xml:space="preserve">下半年月數</t>
    </r>
    <r>
      <rPr>
        <sz val="10"/>
        <color rgb="FF000000"/>
        <rFont val="Arial"/>
        <family val="0"/>
        <charset val="1"/>
      </rPr>
      <t xml:space="preserve">÷12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</si>
  <si>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；組成值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已在 </t>
    </r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31–36 </t>
    </r>
    <r>
      <rPr>
        <sz val="10"/>
        <color rgb="FF000000"/>
        <rFont val="Noto Sans CJK SC"/>
        <family val="2"/>
      </rPr>
      <t xml:space="preserve">隨公式處理</t>
    </r>
  </si>
  <si>
    <t xml:space="preserve">tokenRevenue.comparison.fy2026Independent.lo</t>
  </si>
  <si>
    <t xml:space="preserve">31</t>
  </si>
  <si>
    <t xml:space="preserve">tokenRevenue.comparison.fy2026Independent.hi</t>
  </si>
  <si>
    <t xml:space="preserve">tokenRevenue.comparison.fy2026Independent.tag</t>
  </si>
  <si>
    <t xml:space="preserve">tokenRevenue.comparison.fy2026Independent.src</t>
  </si>
  <si>
    <r>
      <rPr>
        <sz val="10"/>
        <color rgb="FF000000"/>
        <rFont val="Arial"/>
        <family val="0"/>
        <charset val="1"/>
      </rPr>
      <t xml:space="preserve">"Q1 5.7 + Q2 6.7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+ </t>
    </r>
    <r>
      <rPr>
        <sz val="10"/>
        <color rgb="FF000000"/>
        <rFont val="Noto Sans CJK SC"/>
        <family val="2"/>
      </rPr>
      <t xml:space="preserve">下半年以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$40B </t>
    </r>
    <r>
      <rPr>
        <sz val="10"/>
        <color rgb="FF000000"/>
        <rFont val="Noto Sans CJK SC"/>
        <family val="2"/>
      </rPr>
      <t xml:space="preserve">外推；上限放寬至簡報 </t>
    </r>
    <r>
      <rPr>
        <sz val="10"/>
        <color rgb="FF000000"/>
        <rFont val="Arial"/>
        <family val="0"/>
        <charset val="1"/>
      </rPr>
      <t xml:space="preserve">36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 </t>
    </r>
    <r>
      <rPr>
        <sz val="10"/>
        <color rgb="FF000000"/>
        <rFont val="Arial"/>
        <family val="0"/>
        <charset val="1"/>
      </rPr>
      <t xml:space="preserve">ARR </t>
    </r>
    <r>
      <rPr>
        <sz val="10"/>
        <color rgb="FF000000"/>
        <rFont val="Noto Sans CJK SC"/>
        <family val="2"/>
      </rPr>
      <t xml:space="preserve">月增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</si>
  <si>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tokenRevenue.comparison.weeklyUsers2030Plan.v</t>
  </si>
  <si>
    <t xml:space="preserve">2750</t>
  </si>
  <si>
    <t xml:space="preserve">tokenRevenue.comparison.weeklyUsers2030Plan.unit</t>
  </si>
  <si>
    <t xml:space="preserve">tokenRevenue.comparison.weeklyUsers2030Plan.tag</t>
  </si>
  <si>
    <t xml:space="preserve">tokenRevenue.comparison.weeklyUsers2030Plan.src</t>
  </si>
  <si>
    <r>
      <rPr>
        <sz val="10"/>
        <color rgb="FF000000"/>
        <rFont val="Arial"/>
        <family val="0"/>
        <charset val="1"/>
      </rPr>
      <t xml:space="preserve">"Axios 2026-04-09 </t>
    </r>
    <r>
      <rPr>
        <sz val="10"/>
        <color rgb="FF000000"/>
        <rFont val="Noto Sans CJK SC"/>
        <family val="2"/>
      </rPr>
      <t xml:space="preserve">廣告預測之用戶假設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</si>
  <si>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tokenRevenue.scenarios._note</t>
  </si>
  <si>
    <r>
      <rPr>
        <sz val="10"/>
        <color rgb="FF000000"/>
        <rFont val="Arial"/>
        <family val="0"/>
        <charset val="1"/>
      </rPr>
      <t xml:space="preserve">"D11 </t>
    </r>
    <r>
      <rPr>
        <sz val="10"/>
        <color rgb="FF000000"/>
        <rFont val="Noto Sans CJK SC"/>
        <family val="2"/>
      </rPr>
      <t xml:space="preserve">情境軸（核心）：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彈性、牌價年變動、訂閱每任務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成長</t>
    </r>
    <r>
      <rPr>
        <sz val="10"/>
        <color rgb="FF000000"/>
        <rFont val="Arial"/>
        <family val="0"/>
        <charset val="1"/>
      </rPr>
      <t xml:space="preserve">"</t>
    </r>
  </si>
  <si>
    <t xml:space="preserve">scenarios</t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</si>
  <si>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</si>
  <si>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</si>
  <si>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生產成本＝</t>
    </r>
    <r>
      <rPr>
        <sz val="10"/>
        <color rgb="FF000000"/>
        <rFont val="Arial"/>
        <family val="0"/>
        <charset val="1"/>
      </rPr>
      <t xml:space="preserve">Tokenomics v4 Vera Rubin NVL72 </t>
    </r>
    <r>
      <rPr>
        <sz val="10"/>
        <color rgb="FF000000"/>
        <rFont val="Noto Sans CJK SC"/>
        <family val="2"/>
      </rPr>
      <t xml:space="preserve">之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計算受限、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記憶體頻寬受限）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校準係數 </t>
    </r>
    <r>
      <rPr>
        <sz val="10"/>
        <color rgb="FF000000"/>
        <rFont val="Arial"/>
        <family val="0"/>
        <charset val="1"/>
      </rPr>
      <t xml:space="preserve">κ"</t>
    </r>
  </si>
  <si>
    <t xml:space="preserve">tokenRevenue.inferenceCost.rack.hbmBW_TBs.v</t>
  </si>
  <si>
    <t xml:space="preserve">1580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</si>
  <si>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（利用率）、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（產能）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</si>
  <si>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（分層優先於標記：屬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領域；補充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</si>
  <si>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tokenRevenue.inferenceCost.rack.fp4PFLOPS.v</t>
  </si>
  <si>
    <t xml:space="preserve">3600</t>
  </si>
  <si>
    <t xml:space="preserve">tokenRevenue.inferenceCost.rack.hbmTB.v</t>
  </si>
  <si>
    <t xml:space="preserve">20.7</t>
  </si>
  <si>
    <t xml:space="preserve">tokenRevenue.inferenceCost.rack.mfu.v</t>
  </si>
  <si>
    <t xml:space="preserve">tokenRevenue.inferenceCost.rack.annualOpexPerRack_M.v</t>
  </si>
  <si>
    <t xml:space="preserve">1.7667</t>
  </si>
  <si>
    <t xml:space="preserve">tokenRevenue.inferenceCost.rack.annualOpexPerRack_M.src</t>
  </si>
  <si>
    <r>
      <rPr>
        <sz val="10"/>
        <color rgb="FF000000"/>
        <rFont val="Arial"/>
        <family val="0"/>
        <charset val="1"/>
      </rPr>
      <t xml:space="preserve">"DC_Cost_Model</t>
    </r>
    <r>
      <rPr>
        <sz val="10"/>
        <color rgb="FF000000"/>
        <rFont val="Noto Sans CJK SC"/>
        <family val="2"/>
      </rPr>
      <t xml:space="preserve">：年營運費用 </t>
    </r>
    <r>
      <rPr>
        <sz val="10"/>
        <color rgb="FF000000"/>
        <rFont val="Arial"/>
        <family val="0"/>
        <charset val="1"/>
      </rPr>
      <t xml:space="preserve">$9,298M ÷ 5,263 </t>
    </r>
    <r>
      <rPr>
        <sz val="10"/>
        <color rgb="FF000000"/>
        <rFont val="Noto Sans CJK SC"/>
        <family val="2"/>
      </rPr>
      <t xml:space="preserve">架（含折舊）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</si>
  <si>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tokenRevenue.inferenceCost.rack.specAccepted.v</t>
  </si>
  <si>
    <t xml:space="preserve">tokenRevenue.inferenceCost.rack.specAccepted.src</t>
  </si>
  <si>
    <r>
      <rPr>
        <sz val="10"/>
        <color rgb="FF000000"/>
        <rFont val="Arial"/>
        <family val="0"/>
        <charset val="1"/>
      </rPr>
      <t xml:space="preserve">"Config B59</t>
    </r>
    <r>
      <rPr>
        <sz val="10"/>
        <color rgb="FF000000"/>
        <rFont val="Noto Sans CJK SC"/>
        <family val="2"/>
      </rPr>
      <t xml:space="preserve">：推測解碼每步接受 </t>
    </r>
    <r>
      <rPr>
        <sz val="10"/>
        <color rgb="FF000000"/>
        <rFont val="Arial"/>
        <family val="0"/>
        <charset val="1"/>
      </rPr>
      <t xml:space="preserve">token"</t>
    </r>
  </si>
  <si>
    <t xml:space="preserve">tokenRevenue.inferenceCost.rack.utilization.v</t>
  </si>
  <si>
    <t xml:space="preserve">tokenRevenue.inferenceCost.rack.utilization.lo</t>
  </si>
  <si>
    <t xml:space="preserve">tokenRevenue.inferenceCost.rack.utilization.hi</t>
  </si>
  <si>
    <t xml:space="preserve">tokenRevenue.inferenceCost.rack.utilization.tag</t>
  </si>
  <si>
    <t xml:space="preserve">tokenRevenue.inferenceCost.rack.tag</t>
  </si>
  <si>
    <t xml:space="preserve">tokenRevenue.inferenceCost.rack.src</t>
  </si>
  <si>
    <r>
      <rPr>
        <sz val="10"/>
        <color rgb="FF000000"/>
        <rFont val="Arial"/>
        <family val="0"/>
        <charset val="1"/>
      </rPr>
      <t xml:space="preserve">"Tokenomics 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Config F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VR NVL72 </t>
    </r>
    <r>
      <rPr>
        <sz val="10"/>
        <color rgb="FF000000"/>
        <rFont val="Noto Sans CJK SC"/>
        <family val="2"/>
      </rPr>
      <t xml:space="preserve">預設；要改一起改）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</si>
  <si>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tokenRevenue.inferenceCost.rack.chk</t>
  </si>
  <si>
    <t xml:space="preserve">tokenRevenue.inferenceCost.rack.cellRefs.hbmBW_TBs</t>
  </si>
  <si>
    <t xml:space="preserve">"Config!F18"</t>
  </si>
  <si>
    <t xml:space="preserve">tokenRevenue.inferenceCost.rack.cellRefs.fp4PFLOPS</t>
  </si>
  <si>
    <t xml:space="preserve">"Config!F19"</t>
  </si>
  <si>
    <t xml:space="preserve">tokenRevenue.inferenceCost.rack.cellRefs.hbmTB</t>
  </si>
  <si>
    <t xml:space="preserve">"Config!F17"</t>
  </si>
  <si>
    <t xml:space="preserve">tokenRevenue.inferenceCost.rack.cellRefs.mfu</t>
  </si>
  <si>
    <t xml:space="preserve">"Config!B46"</t>
  </si>
  <si>
    <t xml:space="preserve">tokenRevenue.inferenceCost.rack.cellRefs.annualOpexPerRack_M</t>
  </si>
  <si>
    <t xml:space="preserve">"DC_Cost_Model!D88 ÷ D9"</t>
  </si>
  <si>
    <t xml:space="preserve">tokenRevenue.inferenceCost.rack.cellRefs.specAccepted</t>
  </si>
  <si>
    <t xml:space="preserve">"Config!B59"</t>
  </si>
  <si>
    <t xml:space="preserve">tokenRevenue.inferenceCost.classes._note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</si>
  <si>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模型架構未揭露；以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預設架構作類比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</si>
  <si>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TK_Link IF_TokGW_Luna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</si>
  <si>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tokenRevenue.inferenceCost.classes.luna.totalB</t>
  </si>
  <si>
    <t xml:space="preserve">284</t>
  </si>
  <si>
    <t xml:space="preserve">tokenRevenue.inferenceCost.classes.luna.activeB</t>
  </si>
  <si>
    <t xml:space="preserve">13</t>
  </si>
  <si>
    <t xml:space="preserve">tokenRevenue.inferenceCost.classes.luna.kvBytesPerTok</t>
  </si>
  <si>
    <t xml:space="preserve">2795</t>
  </si>
  <si>
    <t xml:space="preserve">tokenRevenue.inferenceCost.classes.luna.bytesPerParam</t>
  </si>
  <si>
    <t xml:space="preserve">0.51</t>
  </si>
  <si>
    <t xml:space="preserve">tokenRevenue.inferenceCost.classes.luna.analog</t>
  </si>
  <si>
    <t xml:space="preserve">"DeepSeek V4-Flash"</t>
  </si>
  <si>
    <t xml:space="preserve">tokenRevenue.inferenceCost.classes.sol.totalB</t>
  </si>
  <si>
    <t xml:space="preserve">1600</t>
  </si>
  <si>
    <t xml:space="preserve">tokenRevenue.inferenceCost.classes.sol.activeB</t>
  </si>
  <si>
    <t xml:space="preserve">49</t>
  </si>
  <si>
    <t xml:space="preserve">tokenRevenue.inferenceCost.classes.sol.kvBytesPerTok</t>
  </si>
  <si>
    <t xml:space="preserve">3965</t>
  </si>
  <si>
    <t xml:space="preserve">tokenRevenue.inferenceCost.classes.sol.bytesPerParam</t>
  </si>
  <si>
    <t xml:space="preserve">0.507</t>
  </si>
  <si>
    <t xml:space="preserve">tokenRevenue.inferenceCost.classes.sol.analog</t>
  </si>
  <si>
    <t xml:space="preserve">"DeepSeek V4-Pro"</t>
  </si>
  <si>
    <t xml:space="preserve">tokenRevenue.inferenceCost.classes.astra.totalB</t>
  </si>
  <si>
    <t xml:space="preserve">4000</t>
  </si>
  <si>
    <t xml:space="preserve">tokenRevenue.inferenceCost.classes.astra.activeB</t>
  </si>
  <si>
    <t xml:space="preserve">180</t>
  </si>
  <si>
    <t xml:space="preserve">tokenRevenue.inferenceCost.classes.astra.kvBytesPerTok</t>
  </si>
  <si>
    <t xml:space="preserve">204800</t>
  </si>
  <si>
    <t xml:space="preserve">tokenRevenue.inferenceCost.classes.astra.bytesPerParam</t>
  </si>
  <si>
    <t xml:space="preserve">0.53</t>
  </si>
  <si>
    <t xml:space="preserve">tokenRevenue.inferenceCost.classes.astra.analog</t>
  </si>
  <si>
    <t xml:space="preserve">"Closed-frontier proxy"</t>
  </si>
  <si>
    <t xml:space="preserve">tokenRevenue.inferenceCost.classes.tag</t>
  </si>
  <si>
    <t xml:space="preserve">tokenRevenue.inferenceCost.classes.chk</t>
  </si>
  <si>
    <t xml:space="preserve">tokenRevenue.inferenceCost.serving.batchCap.v</t>
  </si>
  <si>
    <t xml:space="preserve">256</t>
  </si>
  <si>
    <r>
      <rPr>
        <sz val="10"/>
        <color rgb="FF000000"/>
        <rFont val="Arial"/>
        <family val="0"/>
        <charset val="1"/>
      </rPr>
      <t xml:space="preserve">TK_Link IF_Util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IF_TokGW_*</t>
    </r>
  </si>
  <si>
    <t xml:space="preserve">tokenRevenue.inferenceCost.serving.batchCap.lo</t>
  </si>
  <si>
    <t xml:space="preserve">tokenRevenue.inferenceCost.serving.batchCap.hi</t>
  </si>
  <si>
    <t xml:space="preserve">1024</t>
  </si>
  <si>
    <t xml:space="preserve">tokenRevenue.inferenceCost.serving.batchCap.tag</t>
  </si>
  <si>
    <t xml:space="preserve">tokenRevenue.inferenceCost.serving.avgContextK.v</t>
  </si>
  <si>
    <t xml:space="preserve">tokenRevenue.inferenceCost.serving.avgContextK.lo</t>
  </si>
  <si>
    <t xml:space="preserve">tokenRevenue.inferenceCost.serving.avgContextK.hi</t>
  </si>
  <si>
    <t xml:space="preserve">32</t>
  </si>
  <si>
    <t xml:space="preserve">tokenRevenue.inferenceCost.serving.avgContextK.tag</t>
  </si>
  <si>
    <t xml:space="preserve">tokenRevenue.inferenceCost.serving.prefillAttnOverhead.v</t>
  </si>
  <si>
    <t xml:space="preserve">1.1</t>
  </si>
  <si>
    <t xml:space="preserve">tokenRevenue.inferenceCost.serving.prefillAttnOverhead.tag</t>
  </si>
  <si>
    <t xml:space="preserve">tokenRevenue.inferenceCost.serving.cachedVsPrefill.v</t>
  </si>
  <si>
    <t xml:space="preserve">tokenRevenue.inferenceCost.serving.cachedVsPrefill.lo</t>
  </si>
  <si>
    <t xml:space="preserve">tokenRevenue.inferenceCost.serving.cachedVsPrefill.hi</t>
  </si>
  <si>
    <t xml:space="preserve">tokenRevenue.inferenceCost.serving.cachedVsPrefill.tag</t>
  </si>
  <si>
    <t xml:space="preserve">tokenRevenue.inferenceCost.serving.cachedVsPrefill.src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</si>
  <si>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牌價快取讀取比 </t>
    </r>
    <r>
      <rPr>
        <sz val="10"/>
        <color rgb="FF000000"/>
        <rFont val="Arial"/>
        <family val="0"/>
        <charset val="1"/>
      </rPr>
      <t xml:space="preserve">0.05–0.1 </t>
    </r>
    <r>
      <rPr>
        <sz val="10"/>
        <color rgb="FF000000"/>
        <rFont val="Noto Sans CJK SC"/>
        <family val="2"/>
      </rPr>
      <t xml:space="preserve">代理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</si>
  <si>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tokenRevenue.inferenceCost.usage._note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</si>
  <si>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各方案模型組合 </t>
    </r>
    <r>
      <rPr>
        <sz val="10"/>
        <color rgb="FF000000"/>
        <rFont val="Arial"/>
        <family val="0"/>
        <charset val="1"/>
      </rPr>
      <t xml:space="preserve">luna/sol/astra</t>
    </r>
    <r>
      <rPr>
        <sz val="10"/>
        <color rgb="FF000000"/>
        <rFont val="Noto Sans CJK SC"/>
        <family val="2"/>
      </rPr>
      <t xml:space="preserve">、輸出占比（含思考）、快取命中；</t>
    </r>
    <r>
      <rPr>
        <sz val="10"/>
        <color rgb="FF000000"/>
        <rFont val="Arial"/>
        <family val="0"/>
        <charset val="1"/>
      </rPr>
      <t xml:space="preserve">T6 </t>
    </r>
    <r>
      <rPr>
        <sz val="10"/>
        <color rgb="FF000000"/>
        <rFont val="Noto Sans CJK SC"/>
        <family val="2"/>
      </rPr>
      <t xml:space="preserve">與分層成本假設</t>
    </r>
    <r>
      <rPr>
        <sz val="10"/>
        <color rgb="FF000000"/>
        <rFont val="Arial"/>
        <family val="0"/>
        <charset val="1"/>
      </rPr>
      <t xml:space="preserve">"</t>
    </r>
  </si>
  <si>
    <t xml:space="preserve">usage</t>
  </si>
  <si>
    <t xml:space="preserve">tokenRevenue.inferenceCost.usage.free.0</t>
  </si>
  <si>
    <t xml:space="preserve">0.9</t>
  </si>
  <si>
    <t xml:space="preserve">tokenRevenue.inferenceCost.usage.free.1</t>
  </si>
  <si>
    <t xml:space="preserve">tokenRevenue.inferenceCost.usage.free.2</t>
  </si>
  <si>
    <t xml:space="preserve">tokenRevenue.inferenceCost.usage.free.3</t>
  </si>
  <si>
    <t xml:space="preserve">tokenRevenue.inferenceCost.usage.free.4</t>
  </si>
  <si>
    <t xml:space="preserve">tokenRevenue.inferenceCost.usage.go.0</t>
  </si>
  <si>
    <t xml:space="preserve">tokenRevenue.inferenceCost.usage.go.1</t>
  </si>
  <si>
    <t xml:space="preserve">tokenRevenue.inferenceCost.usage.go.2</t>
  </si>
  <si>
    <t xml:space="preserve">tokenRevenue.inferenceCost.usage.go.3</t>
  </si>
  <si>
    <t xml:space="preserve">tokenRevenue.inferenceCost.usage.go.4</t>
  </si>
  <si>
    <t xml:space="preserve">tokenRevenue.inferenceCost.usage.plus.0</t>
  </si>
  <si>
    <t xml:space="preserve">tokenRevenue.inferenceCost.usage.plus.1</t>
  </si>
  <si>
    <t xml:space="preserve">tokenRevenue.inferenceCost.usage.plus.2</t>
  </si>
  <si>
    <t xml:space="preserve">tokenRevenue.inferenceCost.usage.plus.3</t>
  </si>
  <si>
    <t xml:space="preserve">tokenRevenue.inferenceCost.usage.plus.4</t>
  </si>
  <si>
    <t xml:space="preserve">tokenRevenue.inferenceCost.usage.pro.0</t>
  </si>
  <si>
    <t xml:space="preserve">tokenRevenue.inferenceCost.usage.pro.1</t>
  </si>
  <si>
    <t xml:space="preserve">tokenRevenue.inferenceCost.usage.pro.2</t>
  </si>
  <si>
    <t xml:space="preserve">tokenRevenue.inferenceCost.usage.pro.3</t>
  </si>
  <si>
    <t xml:space="preserve">tokenRevenue.inferenceCost.usage.pro.4</t>
  </si>
  <si>
    <t xml:space="preserve">tokenRevenue.inferenceCost.usage.seats.0</t>
  </si>
  <si>
    <t xml:space="preserve">tokenRevenue.inferenceCost.usage.seats.1</t>
  </si>
  <si>
    <t xml:space="preserve">tokenRevenue.inferenceCost.usage.seats.2</t>
  </si>
  <si>
    <t xml:space="preserve">tokenRevenue.inferenceCost.usage.seats.3</t>
  </si>
  <si>
    <t xml:space="preserve">tokenRevenue.inferenceCost.usage.seats.4</t>
  </si>
  <si>
    <t xml:space="preserve">tokenRevenue.inferenceCost.usage.tag</t>
  </si>
  <si>
    <r>
      <rPr>
        <sz val="10"/>
        <color rgb="FF000000"/>
        <rFont val="Arial"/>
        <family val="0"/>
        <charset val="1"/>
      </rPr>
      <t xml:space="preserve">usage </t>
    </r>
    <r>
      <rPr>
        <sz val="10"/>
        <color rgb="FF000000"/>
        <rFont val="Noto Sans CJK SC"/>
        <family val="2"/>
      </rPr>
      <t xml:space="preserve">各列</t>
    </r>
  </si>
  <si>
    <t xml:space="preserve">tokenRevenue.inferenceCost.usage.chk</t>
  </si>
  <si>
    <t xml:space="preserve">tokenRevenue.inferenceCost.calibration2025.inferenceTotal.v</t>
  </si>
  <si>
    <t xml:space="preserve">8.4</t>
  </si>
  <si>
    <t xml:space="preserve">tokenRevenue.inferenceCost.calibration2025.inferenceTotal.tag</t>
  </si>
  <si>
    <t xml:space="preserve">tokenRevenue.inferenceCost.calibration2025.inferenceTotal.src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</si>
  <si>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（投資人說明）；</t>
    </r>
    <r>
      <rPr>
        <sz val="10"/>
        <color rgb="FF000000"/>
        <rFont val="Arial"/>
        <family val="0"/>
        <charset val="1"/>
      </rPr>
      <t xml:space="preserve">T1(a)"</t>
    </r>
  </si>
  <si>
    <t xml:space="preserve">tokenRevenue.inferenceCost.calibration2025.inferenceTotal.chk</t>
  </si>
  <si>
    <t xml:space="preserve">tokenRevenue.inferenceCost.calibration2025.freeUsers.v</t>
  </si>
  <si>
    <t xml:space="preserve">3.9</t>
  </si>
  <si>
    <t xml:space="preserve">tokenRevenue.inferenceCost.calibration2025.freeUsers.tag</t>
  </si>
  <si>
    <t xml:space="preserve">tokenRevenue.inferenceCost.calibration2025.freeUsers.src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</si>
  <si>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同上：非付費用戶約 </t>
    </r>
    <r>
      <rPr>
        <sz val="10"/>
        <color rgb="FF000000"/>
        <rFont val="Arial"/>
        <family val="0"/>
        <charset val="1"/>
      </rPr>
      <t xml:space="preserve">$3.9B"</t>
    </r>
  </si>
  <si>
    <t xml:space="preserve">tokenRevenue.inferenceCost.calibration2025.freeUsers.chk</t>
  </si>
  <si>
    <t xml:space="preserve">tokenRevenue.inferenceCost.calibration2025.paidUsers.v</t>
  </si>
  <si>
    <t xml:space="preserve">tokenRevenue.inferenceCost.calibration2025.paidUsers.tag</t>
  </si>
  <si>
    <t xml:space="preserve">tokenRevenue.inferenceCost.calibration2025.paidUsers.src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</si>
  <si>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同上：付費用戶 </t>
    </r>
    <r>
      <rPr>
        <sz val="10"/>
        <color rgb="FF000000"/>
        <rFont val="Arial"/>
        <family val="0"/>
        <charset val="1"/>
      </rPr>
      <t xml:space="preserve">$4.5B"</t>
    </r>
  </si>
  <si>
    <t xml:space="preserve">tokenRevenue.inferenceCost.calibration2025.paidUsers.chk</t>
  </si>
  <si>
    <t xml:space="preserve">tokenRevenue.inferenceCost.calibration2025.apiMargin.v</t>
  </si>
  <si>
    <t xml:space="preserve">tokenRevenue.inferenceCost.calibration2025.apiMargin.lo</t>
  </si>
  <si>
    <t xml:space="preserve">tokenRevenue.inferenceCost.calibration2025.apiMargin.hi</t>
  </si>
  <si>
    <t xml:space="preserve">tokenRevenue.inferenceCost.calibration2025.apiMargin.tag</t>
  </si>
  <si>
    <t xml:space="preserve">tokenRevenue.inferenceCost.calibration2025.apiMargin.src</t>
  </si>
  <si>
    <t xml:space="preserve">"T5"</t>
  </si>
  <si>
    <t xml:space="preserve">tokenRevenue.inferenceCost.calibration2025.apiMargin.chk</t>
  </si>
  <si>
    <t xml:space="preserve">tokenRevenue.inferenceCost.calibration2025.cogsReported.v</t>
  </si>
  <si>
    <t xml:space="preserve">重複併入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</si>
  <si>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（營業成本：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</si>
  <si>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actuals.cogs2025 </t>
    </r>
    <r>
      <rPr>
        <sz val="10"/>
        <color rgb="FF000000"/>
        <rFont val="Noto Sans CJK SC"/>
        <family val="2"/>
      </rPr>
      <t xml:space="preserve">同值（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）同源（外流財報；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</si>
  <si>
    <t xml:space="preserve">tokenRevenue.inferenceCost.calibration2025.cogsReported.tag</t>
  </si>
  <si>
    <t xml:space="preserve">同源</t>
  </si>
  <si>
    <t xml:space="preserve">tokenRevenue.inferenceCost.calibration2025.cogsReported.src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</si>
  <si>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外流經查核財報（</t>
    </r>
    <r>
      <rPr>
        <sz val="10"/>
        <color rgb="FF000000"/>
        <rFont val="Arial"/>
        <family val="0"/>
        <charset val="1"/>
      </rPr>
      <t xml:space="preserve">FT/Fortune 2026-06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</si>
  <si>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tokenRevenue.inferenceCost.calibration2025.cogsReported.chk</t>
  </si>
  <si>
    <t xml:space="preserve">tokenRevenue.inferenceCost.checks2026.inference.v</t>
  </si>
  <si>
    <t xml:space="preserve">14.1</t>
  </si>
  <si>
    <t xml:space="preserve">tokenRevenue.inferenceCost.checks2026.inference.paidShare</t>
  </si>
  <si>
    <t xml:space="preserve">0.66</t>
  </si>
  <si>
    <t xml:space="preserve">tokenRevenue.inferenceCost.checks2026.inference.tag</t>
  </si>
  <si>
    <t xml:space="preserve">tokenRevenue.inferenceCost.checks2026.inference.src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</si>
  <si>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預測</t>
    </r>
    <r>
      <rPr>
        <sz val="10"/>
        <color rgb="FF000000"/>
        <rFont val="Arial"/>
        <family val="0"/>
        <charset val="1"/>
      </rPr>
      <t xml:space="preserve">"</t>
    </r>
  </si>
  <si>
    <t xml:space="preserve">tokenRevenue.inferenceCost.checks2026.inference2030.v</t>
  </si>
  <si>
    <t xml:space="preserve">85</t>
  </si>
  <si>
    <t xml:space="preserve">tokenRevenue.inferenceCost.checks2026.inference2030.paidShare</t>
  </si>
  <si>
    <t xml:space="preserve">0.94</t>
  </si>
  <si>
    <t xml:space="preserve">tokenRevenue.inferenceCost.checks2026.inference2030.gmTarget</t>
  </si>
  <si>
    <t xml:space="preserve">0.67</t>
  </si>
  <si>
    <t xml:space="preserve">tokenRevenue.inferenceCost.checks2026.inference2030.tag</t>
  </si>
  <si>
    <t xml:space="preserve">tokenRevenue.inferenceCost.checks2026.inference2030.src</t>
  </si>
  <si>
    <t xml:space="preserve">tokenRevenue.inferenceCost.nonText._note</t>
  </si>
  <si>
    <r>
      <rPr>
        <sz val="10"/>
        <color rgb="FF000000"/>
        <rFont val="Arial"/>
        <family val="0"/>
        <charset val="1"/>
      </rPr>
      <t xml:space="preserve">"T2(b)</t>
    </r>
    <r>
      <rPr>
        <sz val="10"/>
        <color rgb="FF000000"/>
        <rFont val="Noto Sans CJK SC"/>
        <family val="2"/>
      </rPr>
      <t xml:space="preserve">：免費層成本扣除文字推論後之殘差（圖像、影片）；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Free </t>
    </r>
    <r>
      <rPr>
        <sz val="10"/>
        <color rgb="FF000000"/>
        <rFont val="Noto Sans CJK SC"/>
        <family val="2"/>
      </rPr>
      <t xml:space="preserve">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艦隊硬體成本指數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</si>
  <si>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（免費層非文字推論殘差）</t>
    </r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</si>
  <si>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</si>
  <si>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tokenRevenue.inferenceCost.nonText.tag</t>
  </si>
  <si>
    <t xml:space="preserve">tokenRevenue.inferenceCost.hwCostIndexSrc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</si>
  <si>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costInterface.hwCostPerM </t>
    </r>
    <r>
      <rPr>
        <sz val="10"/>
        <color rgb="FF000000"/>
        <rFont val="Noto Sans CJK SC"/>
        <family val="2"/>
      </rPr>
      <t xml:space="preserve">相對路徑（</t>
    </r>
    <r>
      <rPr>
        <sz val="10"/>
        <color rgb="FF000000"/>
        <rFont val="Arial"/>
        <family val="0"/>
        <charset val="1"/>
      </rPr>
      <t xml:space="preserve">Tokenomics v4 OpenAI_Sim </t>
    </r>
    <r>
      <rPr>
        <sz val="10"/>
        <color rgb="FF000000"/>
        <rFont val="Noto Sans CJK SC"/>
        <family val="2"/>
      </rPr>
      <t xml:space="preserve">艦隊組合）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</si>
  <si>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文字說明：沿用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艦隊硬體成本指數；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取代</t>
    </r>
  </si>
  <si>
    <t xml:space="preserve">reverse._note</t>
  </si>
  <si>
    <r>
      <rPr>
        <sz val="10"/>
        <color rgb="FF000000"/>
        <rFont val="Arial"/>
        <family val="0"/>
        <charset val="1"/>
      </rPr>
      <t xml:space="preserve">"R1–R3</t>
    </r>
    <r>
      <rPr>
        <sz val="10"/>
        <color rgb="FF000000"/>
        <rFont val="Noto Sans CJK SC"/>
        <family val="2"/>
      </rPr>
      <t xml:space="preserve">：假設管理層目標達成，反解充分條件；目標只驅動反向模式，不進正向模式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</si>
  <si>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</si>
  <si>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reverse.targetVintage</t>
  </si>
  <si>
    <t xml:space="preserve">"Jul-2026"</t>
  </si>
  <si>
    <t xml:space="preserve">反向目標各列（日期欄）</t>
  </si>
  <si>
    <r>
      <rPr>
        <sz val="10"/>
        <color rgb="FF000000"/>
        <rFont val="Noto Sans CJK SC"/>
        <family val="2"/>
      </rPr>
      <t xml:space="preserve">簡報版本 </t>
    </r>
    <r>
      <rPr>
        <sz val="10"/>
        <color rgb="FF000000"/>
        <rFont val="Arial"/>
        <family val="0"/>
        <charset val="1"/>
      </rPr>
      <t xml:space="preserve">Jul-2026</t>
    </r>
    <r>
      <rPr>
        <sz val="10"/>
        <color rgb="FF000000"/>
        <rFont val="Noto Sans CJK SC"/>
        <family val="2"/>
      </rPr>
      <t xml:space="preserve">：寫入各列口徑</t>
    </r>
  </si>
  <si>
    <t xml:space="preserve">reverse.targetRevenue.v.0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</si>
  <si>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（營收：</t>
    </r>
    <r>
      <rPr>
        <sz val="10"/>
        <color rgb="FF000000"/>
        <rFont val="Arial"/>
        <family val="0"/>
        <charset val="1"/>
      </rPr>
      <t xml:space="preserve">FY2025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</si>
  <si>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為實際值（同 </t>
    </r>
    <r>
      <rPr>
        <sz val="10"/>
        <color rgb="FF000000"/>
        <rFont val="Arial"/>
        <family val="0"/>
        <charset val="1"/>
      </rPr>
      <t xml:space="preserve">actuals.revenue2025</t>
    </r>
    <r>
      <rPr>
        <sz val="10"/>
        <color rgb="FF000000"/>
        <rFont val="Noto Sans CJK SC"/>
        <family val="2"/>
      </rPr>
      <t xml:space="preserve">）</t>
    </r>
  </si>
  <si>
    <t xml:space="preserve">reverse.targetRevenue.v.1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</si>
  <si>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comparison.deckJul2026.2026 </t>
    </r>
    <r>
      <rPr>
        <sz val="10"/>
        <color rgb="FF000000"/>
        <rFont val="Noto Sans CJK SC"/>
        <family val="2"/>
      </rPr>
      <t xml:space="preserve">同一來源（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），合併為一組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</si>
  <si>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reverse.targetRevenue.v.2</t>
  </si>
  <si>
    <t xml:space="preserve">75.1</t>
  </si>
  <si>
    <r>
      <rPr>
        <sz val="10"/>
        <color rgb="FF000000"/>
        <rFont val="Arial"/>
        <family val="0"/>
        <charset val="1"/>
      </rPr>
      <t xml:space="preserve">P5</t>
    </r>
    <r>
      <rPr>
        <sz val="10"/>
        <color rgb="FF000000"/>
        <rFont val="Noto Sans CJK SC"/>
        <family val="2"/>
      </rPr>
      <t xml:space="preserve">（反向目標路徑 </t>
    </r>
    <r>
      <rPr>
        <sz val="10"/>
        <color rgb="FF000000"/>
        <rFont val="Arial"/>
        <family val="0"/>
        <charset val="1"/>
      </rPr>
      <t xml:space="preserve">2027–29</t>
    </r>
    <r>
      <rPr>
        <sz val="10"/>
        <color rgb="FF000000"/>
        <rFont val="Noto Sans CJK SC"/>
        <family val="2"/>
      </rPr>
      <t xml:space="preserve">：依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擬合）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</si>
  <si>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標 </t>
    </r>
    <r>
      <rPr>
        <sz val="10"/>
        <color rgb="FF000000"/>
        <rFont val="Arial"/>
        <family val="0"/>
        <charset val="1"/>
      </rPr>
      <t xml:space="preserve">Interested-party/Derived </t>
    </r>
    <r>
      <rPr>
        <sz val="10"/>
        <color rgb="FF000000"/>
        <rFont val="Noto Sans CJK SC"/>
        <family val="2"/>
      </rPr>
      <t xml:space="preserve">混合；依元素拆分）</t>
    </r>
  </si>
  <si>
    <t xml:space="preserve">reverse.targetRevenue.v.3</t>
  </si>
  <si>
    <t xml:space="preserve">141.5</t>
  </si>
  <si>
    <t xml:space="preserve">reverse.targetRevenue.v.4</t>
  </si>
  <si>
    <t xml:space="preserve">237.4</t>
  </si>
  <si>
    <t xml:space="preserve">reverse.targetRevenue.v.5</t>
  </si>
  <si>
    <r>
      <rPr>
        <sz val="10"/>
        <color rgb="FF000000"/>
        <rFont val="Arial"/>
        <family val="0"/>
        <charset val="1"/>
      </rPr>
      <t xml:space="preserve">E8e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comparison.deckJul2026.2030 </t>
    </r>
    <r>
      <rPr>
        <sz val="10"/>
        <color rgb="FF000000"/>
        <rFont val="Noto Sans CJK SC"/>
        <family val="2"/>
      </rPr>
      <t xml:space="preserve">同一來源，合併；</t>
    </r>
    <r>
      <rPr>
        <sz val="10"/>
        <color rgb="FF000000"/>
        <rFont val="Arial"/>
        <family val="0"/>
        <charset val="1"/>
      </rPr>
      <t xml:space="preserve">reverse </t>
    </r>
    <r>
      <rPr>
        <sz val="10"/>
        <color rgb="FF000000"/>
        <rFont val="Noto Sans CJK SC"/>
        <family val="2"/>
      </rPr>
      <t xml:space="preserve">引用該列</t>
    </r>
  </si>
  <si>
    <t xml:space="preserve">reverse.targetRevenue.tag</t>
  </si>
  <si>
    <t xml:space="preserve">"Interested-party/Derived"</t>
  </si>
  <si>
    <t xml:space="preserve">reverse.targetRevenue.src</t>
  </si>
  <si>
    <r>
      <rPr>
        <sz val="10"/>
        <color rgb="FF000000"/>
        <rFont val="Arial"/>
        <family val="0"/>
        <charset val="1"/>
      </rPr>
      <t xml:space="preserve">"2026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Σ840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為依 </t>
    </r>
    <r>
      <rPr>
        <sz val="10"/>
        <color rgb="FF000000"/>
        <rFont val="Arial"/>
        <family val="0"/>
        <charset val="1"/>
      </rPr>
      <t xml:space="preserve">Σ840 </t>
    </r>
    <r>
      <rPr>
        <sz val="10"/>
        <color rgb="FF000000"/>
        <rFont val="Noto Sans CJK SC"/>
        <family val="2"/>
      </rPr>
      <t xml:space="preserve">擬合之路徑（</t>
    </r>
    <r>
      <rPr>
        <sz val="10"/>
        <color rgb="FF000000"/>
        <rFont val="Arial"/>
        <family val="0"/>
        <charset val="1"/>
      </rPr>
      <t xml:space="preserve">Tokenomics v4 FT_Sep2026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[Derived]"</t>
    </r>
  </si>
  <si>
    <t xml:space="preserve">reverse.targetFCFcum2026_2030.v</t>
  </si>
  <si>
    <t xml:space="preserve">-278</t>
  </si>
  <si>
    <t xml:space="preserve">reverse.targetFCFcum2026_2030.tag</t>
  </si>
  <si>
    <t xml:space="preserve">reverse.targetFCFcum2026_2030.src</t>
  </si>
  <si>
    <t xml:space="preserve">"FT 2026-09-18"</t>
  </si>
  <si>
    <t xml:space="preserve">reverse.targetComputeCum2026_2030.v</t>
  </si>
  <si>
    <t xml:space="preserve">856</t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</si>
  <si>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training.planCompute2026_2030 </t>
    </r>
    <r>
      <rPr>
        <sz val="10"/>
        <color rgb="FF000000"/>
        <rFont val="Noto Sans CJK SC"/>
        <family val="2"/>
      </rPr>
      <t xml:space="preserve">同值同源（</t>
    </r>
    <r>
      <rPr>
        <sz val="10"/>
        <color rgb="FF000000"/>
        <rFont val="Arial"/>
        <family val="0"/>
        <charset val="1"/>
      </rPr>
      <t xml:space="preserve">FT 2026-09-18</t>
    </r>
    <r>
      <rPr>
        <sz val="10"/>
        <color rgb="FF000000"/>
        <rFont val="Noto Sans CJK SC"/>
        <family val="2"/>
      </rPr>
      <t xml:space="preserve">）</t>
    </r>
  </si>
  <si>
    <t xml:space="preserve">reverse.targetComputeCum2026_2030.tag</t>
  </si>
  <si>
    <t xml:space="preserve">reverse.targetComputeCum2026_2030.src</t>
  </si>
  <si>
    <t xml:space="preserve">reverse.priorVintages.Feb-2026.2030</t>
  </si>
  <si>
    <t xml:space="preserve">280</t>
  </si>
  <si>
    <t xml:space="preserve">reverse.priorVintages.tag</t>
  </si>
  <si>
    <t xml:space="preserve">reverse.priorVintages.src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</si>
  <si>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；只對照</t>
    </r>
    <r>
      <rPr>
        <sz val="10"/>
        <color rgb="FF000000"/>
        <rFont val="Arial"/>
        <family val="0"/>
        <charset val="1"/>
      </rPr>
      <t xml:space="preserve">"</t>
    </r>
  </si>
  <si>
    <t xml:space="preserve">reverse.sufficientSets.0</t>
  </si>
  <si>
    <t xml:space="preserve">"apiOnly"</t>
  </si>
  <si>
    <r>
      <rPr>
        <sz val="10"/>
        <color rgb="FF000000"/>
        <rFont val="Noto Sans CJK SC"/>
        <family val="2"/>
      </rPr>
      <t xml:space="preserve">反向模式充分條件組合（</t>
    </r>
    <r>
      <rPr>
        <sz val="10"/>
        <color rgb="FF000000"/>
        <rFont val="Arial"/>
        <family val="0"/>
        <charset val="1"/>
      </rPr>
      <t xml:space="preserve">apiOnly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subOnly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proportional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以公式結構實作（</t>
    </r>
    <r>
      <rPr>
        <sz val="10"/>
        <color rgb="FF000000"/>
        <rFont val="Arial"/>
        <family val="0"/>
        <charset val="1"/>
      </rPr>
      <t xml:space="preserve">R1–R3</t>
    </r>
    <r>
      <rPr>
        <sz val="10"/>
        <color rgb="FF000000"/>
        <rFont val="Noto Sans CJK SC"/>
        <family val="2"/>
      </rPr>
      <t xml:space="preserve">）</t>
    </r>
  </si>
  <si>
    <t xml:space="preserve">reverse.sufficientSets.1</t>
  </si>
  <si>
    <t xml:space="preserve">"subOnly"</t>
  </si>
  <si>
    <t xml:space="preserve">reverse.sufficientSets.2</t>
  </si>
  <si>
    <t xml:space="preserve">"proportional"</t>
  </si>
  <si>
    <t xml:space="preserve">reverse.adsInReverse</t>
  </si>
  <si>
    <t xml:space="preserve">"forward"</t>
  </si>
  <si>
    <r>
      <rPr>
        <sz val="10"/>
        <color rgb="FF000000"/>
        <rFont val="Noto Sans CJK SC"/>
        <family val="2"/>
      </rPr>
      <t xml:space="preserve">決策記錄：反向模式廣告列保持正向（</t>
    </r>
    <r>
      <rPr>
        <sz val="10"/>
        <color rgb="FF000000"/>
        <rFont val="Arial"/>
        <family val="0"/>
        <charset val="1"/>
      </rPr>
      <t xml:space="preserve">N1b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</si>
  <si>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reverse.comparisonSetAdsPlan.v.0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</si>
  <si>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為基準年（值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Axios </t>
    </r>
    <r>
      <rPr>
        <sz val="10"/>
        <color rgb="FF000000"/>
        <rFont val="Noto Sans CJK SC"/>
        <family val="2"/>
      </rPr>
      <t xml:space="preserve">簡報未揭露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；不另列 </t>
    </r>
    <r>
      <rPr>
        <sz val="10"/>
        <color rgb="FF000000"/>
        <rFont val="Arial"/>
        <family val="0"/>
        <charset val="1"/>
      </rPr>
      <t xml:space="preserve">SRC_OAI</t>
    </r>
  </si>
  <si>
    <t xml:space="preserve">reverse.comparisonSetAdsPlan.v.1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</si>
  <si>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</si>
  <si>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other.ads.comparisonInternalTarget </t>
    </r>
    <r>
      <rPr>
        <sz val="10"/>
        <color rgb="FF000000"/>
        <rFont val="Noto Sans CJK SC"/>
        <family val="2"/>
      </rPr>
      <t xml:space="preserve">同值同源</t>
    </r>
  </si>
  <si>
    <t xml:space="preserve">reverse.comparisonSetAdsPlan.v.2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</si>
  <si>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2027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</si>
  <si>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reverse.comparisonSetAdsPlan.v.3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</si>
  <si>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2028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</si>
  <si>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reverse.comparisonSetAdsPlan.v.4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</si>
  <si>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2029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</si>
  <si>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reverse.comparisonSetAdsPlan.v.5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</si>
  <si>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</si>
  <si>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t xml:space="preserve">reverse.comparisonSetAdsPlan.tag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</si>
  <si>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（內部廣告營收目標）</t>
    </r>
  </si>
  <si>
    <t xml:space="preserve">reverse.comparisonSetAdsPlan.src</t>
  </si>
  <si>
    <t xml:space="preserve">"Axios 2026-04-09"</t>
  </si>
  <si>
    <t xml:space="preserve">spending._note</t>
  </si>
  <si>
    <r>
      <rPr>
        <sz val="10"/>
        <color rgb="FF000000"/>
        <rFont val="Arial"/>
        <family val="0"/>
        <charset val="1"/>
      </rPr>
      <t xml:space="preserve">"S1c </t>
    </r>
    <r>
      <rPr>
        <sz val="10"/>
        <color rgb="FF000000"/>
        <rFont val="Noto Sans CJK SC"/>
        <family val="2"/>
      </rPr>
      <t xml:space="preserve">逐一交易對手合約；</t>
    </r>
    <r>
      <rPr>
        <sz val="10"/>
        <color rgb="FF000000"/>
        <rFont val="Arial"/>
        <family val="0"/>
        <charset val="1"/>
      </rPr>
      <t xml:space="preserve">S2 </t>
    </r>
    <r>
      <rPr>
        <sz val="10"/>
        <color rgb="FF000000"/>
        <rFont val="Noto Sans CJK SC"/>
        <family val="2"/>
      </rPr>
      <t xml:space="preserve">已揭露者依揭露時程，未揭露者於合約期間平均攤；未揭露時程者依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於合約期間內線性爬升；金額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，名目、未折現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</si>
  <si>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S1c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N4(b)</t>
    </r>
    <r>
      <rPr>
        <sz val="10"/>
        <color rgb="FF000000"/>
        <rFont val="Noto Sans CJK SC"/>
        <family val="2"/>
      </rPr>
      <t xml:space="preserve">）</t>
    </r>
  </si>
  <si>
    <t xml:space="preserve">spending.unscheduledProfile.v</t>
  </si>
  <si>
    <t xml:space="preserve">"ramp"</t>
  </si>
  <si>
    <t xml:space="preserve">spending.unscheduledProfile.options.0</t>
  </si>
  <si>
    <t xml:space="preserve">"even"</t>
  </si>
  <si>
    <r>
      <rPr>
        <sz val="10"/>
        <color rgb="FF000000"/>
        <rFont val="Noto Sans CJK SC"/>
        <family val="2"/>
      </rPr>
      <t xml:space="preserve">選項清單（</t>
    </r>
    <r>
      <rPr>
        <sz val="10"/>
        <color rgb="FF000000"/>
        <rFont val="Arial"/>
        <family val="0"/>
        <charset val="1"/>
      </rPr>
      <t xml:space="preserve">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ramp</t>
    </r>
    <r>
      <rPr>
        <sz val="10"/>
        <color rgb="FF000000"/>
        <rFont val="Noto Sans CJK SC"/>
        <family val="2"/>
      </rPr>
      <t xml:space="preserve">）：結構</t>
    </r>
  </si>
  <si>
    <t xml:space="preserve">spending.unscheduledProfile.options.1</t>
  </si>
  <si>
    <t xml:space="preserve">spending.unscheduledProfile.tag</t>
  </si>
  <si>
    <t xml:space="preserve">spending.unscheduledProfile.src</t>
  </si>
  <si>
    <r>
      <rPr>
        <sz val="10"/>
        <color rgb="FF000000"/>
        <rFont val="Arial"/>
        <family val="0"/>
        <charset val="1"/>
      </rPr>
      <t xml:space="preserve">"N4(b)</t>
    </r>
    <r>
      <rPr>
        <sz val="10"/>
        <color rgb="FF000000"/>
        <rFont val="Noto Sans CJK SC"/>
        <family val="2"/>
      </rPr>
      <t xml:space="preserve">：期間內線性爬升（</t>
    </r>
    <r>
      <rPr>
        <sz val="10"/>
        <color rgb="FF000000"/>
        <rFont val="Arial"/>
        <family val="0"/>
        <charset val="1"/>
      </rPr>
      <t xml:space="preserve">Andy 2026-09-29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算力現金 </t>
    </r>
    <r>
      <rPr>
        <sz val="10"/>
        <color rgb="FF000000"/>
        <rFont val="Arial"/>
        <family val="0"/>
        <charset val="1"/>
      </rPr>
      <t xml:space="preserve">$53B </t>
    </r>
    <r>
      <rPr>
        <sz val="10"/>
        <color rgb="FF000000"/>
        <rFont val="Noto Sans CJK SC"/>
        <family val="2"/>
      </rPr>
      <t xml:space="preserve">符合證詞 </t>
    </r>
    <r>
      <rPr>
        <sz val="10"/>
        <color rgb="FF000000"/>
        <rFont val="Arial"/>
        <family val="0"/>
        <charset val="1"/>
      </rPr>
      <t xml:space="preserve">$50B"</t>
    </r>
  </si>
  <si>
    <t xml:space="preserve">spending.contracts.microsoftAzure.total</t>
  </si>
  <si>
    <t xml:space="preserve">250</t>
  </si>
  <si>
    <t xml:space="preserve">spending.contracts.microsoftAzure.start</t>
  </si>
  <si>
    <t xml:space="preserve">spending.contracts.microsoftAzure.end</t>
  </si>
  <si>
    <t xml:space="preserve">spending.contracts.microsoftAzure.annual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</si>
  <si>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N4(b) </t>
    </r>
    <r>
      <rPr>
        <sz val="10"/>
        <color rgb="FF000000"/>
        <rFont val="Noto Sans CJK SC"/>
        <family val="2"/>
      </rPr>
      <t xml:space="preserve">爬升決定）</t>
    </r>
  </si>
  <si>
    <t xml:space="preserve">spending.contracts.microsoftAzure.tag</t>
  </si>
  <si>
    <t xml:space="preserve">"Verified/Analogy"</t>
  </si>
  <si>
    <t xml:space="preserve">spending.contracts.microsoftAzure.src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</si>
  <si>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總額：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2025-10 </t>
    </r>
    <r>
      <rPr>
        <sz val="10"/>
        <color rgb="FF000000"/>
        <rFont val="Noto Sans CJK SC"/>
        <family val="2"/>
      </rPr>
      <t xml:space="preserve">公告增購 </t>
    </r>
    <r>
      <rPr>
        <sz val="10"/>
        <color rgb="FF000000"/>
        <rFont val="Arial"/>
        <family val="0"/>
        <charset val="1"/>
      </rPr>
      <t xml:space="preserve">$250B Azure [Verified]</t>
    </r>
    <r>
      <rPr>
        <sz val="10"/>
        <color rgb="FF000000"/>
        <rFont val="Noto Sans CJK SC"/>
        <family val="2"/>
      </rPr>
      <t xml:space="preserve">；期間 </t>
    </r>
    <r>
      <rPr>
        <sz val="10"/>
        <color rgb="FF000000"/>
        <rFont val="Arial"/>
        <family val="0"/>
        <charset val="1"/>
      </rPr>
      <t xml:space="preserve">2025–2030 </t>
    </r>
    <r>
      <rPr>
        <sz val="10"/>
        <color rgb="FF000000"/>
        <rFont val="Noto Sans CJK SC"/>
        <family val="2"/>
      </rPr>
      <t xml:space="preserve">為估計 </t>
    </r>
    <r>
      <rPr>
        <sz val="10"/>
        <color rgb="FF000000"/>
        <rFont val="Arial"/>
        <family val="0"/>
        <charset val="1"/>
      </rPr>
      <t xml:space="preserve">[Analogy]"</t>
    </r>
  </si>
  <si>
    <t xml:space="preserve">spending.contracts.oracle.total</t>
  </si>
  <si>
    <t xml:space="preserve">300</t>
  </si>
  <si>
    <t xml:space="preserve">spending.contracts.oracle.start</t>
  </si>
  <si>
    <t xml:space="preserve">spending.contracts.oracle.end</t>
  </si>
  <si>
    <t xml:space="preserve">2031</t>
  </si>
  <si>
    <t xml:space="preserve">spending.contracts.oracle.annual</t>
  </si>
  <si>
    <t xml:space="preserve">60</t>
  </si>
  <si>
    <r>
      <rPr>
        <sz val="10"/>
        <color rgb="FF000000"/>
        <rFont val="Arial"/>
        <family val="0"/>
        <charset val="1"/>
      </rPr>
      <t xml:space="preserve">Checks C14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E8f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Oracle annual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total÷</t>
    </r>
    <r>
      <rPr>
        <sz val="10"/>
        <color rgb="FF000000"/>
        <rFont val="Noto Sans CJK SC"/>
        <family val="2"/>
      </rPr>
      <t xml:space="preserve">年數）</t>
    </r>
  </si>
  <si>
    <r>
      <rPr>
        <sz val="10"/>
        <color rgb="FF000000"/>
        <rFont val="Arial"/>
        <family val="0"/>
        <charset val="1"/>
      </rPr>
      <t xml:space="preserve">60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300÷5</t>
    </r>
    <r>
      <rPr>
        <sz val="10"/>
        <color rgb="FF000000"/>
        <rFont val="Noto Sans CJK SC"/>
        <family val="2"/>
      </rPr>
      <t xml:space="preserve">，算術推得（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以數值寫入）</t>
    </r>
  </si>
  <si>
    <t xml:space="preserve">spending.contracts.oracle.tag</t>
  </si>
  <si>
    <t xml:space="preserve">spending.contracts.oracle.src</t>
  </si>
  <si>
    <r>
      <rPr>
        <sz val="10"/>
        <color rgb="FF000000"/>
        <rFont val="Arial"/>
        <family val="0"/>
        <charset val="1"/>
      </rPr>
      <t xml:space="preserve">"WSJ 2025-09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起、約 </t>
    </r>
    <r>
      <rPr>
        <sz val="10"/>
        <color rgb="FF000000"/>
        <rFont val="Arial"/>
        <family val="0"/>
        <charset val="1"/>
      </rPr>
      <t xml:space="preserve">4.5GW"</t>
    </r>
  </si>
  <si>
    <t xml:space="preserve">spending.contracts.oracle.gw</t>
  </si>
  <si>
    <t xml:space="preserve">spending.contracts.awsNvidia.total</t>
  </si>
  <si>
    <t xml:space="preserve">spending.contracts.awsNvidia.start</t>
  </si>
  <si>
    <t xml:space="preserve">spending.contracts.awsNvidia.end</t>
  </si>
  <si>
    <t xml:space="preserve">spending.contracts.awsNvidia.annual</t>
  </si>
  <si>
    <r>
      <rPr>
        <sz val="10"/>
        <color rgb="FF000000"/>
        <rFont val="Arial"/>
        <family val="0"/>
        <charset val="1"/>
      </rPr>
      <t xml:space="preserve">null</t>
    </r>
    <r>
      <rPr>
        <sz val="10"/>
        <color rgb="FF000000"/>
        <rFont val="Noto Sans CJK SC"/>
        <family val="2"/>
      </rPr>
      <t xml:space="preserve">：未揭露年度金額</t>
    </r>
  </si>
  <si>
    <t xml:space="preserve">spending.contracts.awsNvidia.tag</t>
  </si>
  <si>
    <t xml:space="preserve">spending.contracts.awsNvidia.src</t>
  </si>
  <si>
    <r>
      <rPr>
        <sz val="10"/>
        <color rgb="FF000000"/>
        <rFont val="Arial"/>
        <family val="0"/>
        <charset val="1"/>
      </rPr>
      <t xml:space="preserve">"AWS/OpenAI 2025-11-03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</si>
  <si>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spending.contracts.awsTrainium.total</t>
  </si>
  <si>
    <t xml:space="preserve">spending.contracts.awsTrainium.start</t>
  </si>
  <si>
    <t xml:space="preserve">spending.contracts.awsTrainium.end</t>
  </si>
  <si>
    <t xml:space="preserve">2033</t>
  </si>
  <si>
    <t xml:space="preserve">spending.contracts.awsTrainium.annual</t>
  </si>
  <si>
    <t xml:space="preserve">spending.contracts.awsTrainium.tag</t>
  </si>
  <si>
    <t xml:space="preserve">spending.contracts.awsTrainium.src</t>
  </si>
  <si>
    <r>
      <rPr>
        <sz val="10"/>
        <color rgb="FF000000"/>
        <rFont val="Arial"/>
        <family val="0"/>
        <charset val="1"/>
      </rPr>
      <t xml:space="preserve">"2026-02 </t>
    </r>
    <r>
      <rPr>
        <sz val="10"/>
        <color rgb="FF000000"/>
        <rFont val="Noto Sans CJK SC"/>
        <family val="2"/>
      </rPr>
      <t xml:space="preserve">融資公告：</t>
    </r>
    <r>
      <rPr>
        <sz val="10"/>
        <color rgb="FF000000"/>
        <rFont val="Arial"/>
        <family val="0"/>
        <charset val="1"/>
      </rPr>
      <t xml:space="preserve">AWS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$100B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2GW Trainium"</t>
    </r>
  </si>
  <si>
    <t xml:space="preserve">spending.contracts.awsTrainium.gw</t>
  </si>
  <si>
    <t xml:space="preserve">spending.contracts.awsTrainium.gwNote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</si>
  <si>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揭露口徑衝突：</t>
    </r>
    <r>
      <rPr>
        <sz val="10"/>
        <color rgb="FF000000"/>
        <rFont val="Arial"/>
        <family val="0"/>
        <charset val="1"/>
      </rPr>
      <t xml:space="preserve">2026-02 </t>
    </r>
    <r>
      <rPr>
        <sz val="10"/>
        <color rgb="FF000000"/>
        <rFont val="Noto Sans CJK SC"/>
        <family val="2"/>
      </rPr>
      <t xml:space="preserve">公告 </t>
    </r>
    <r>
      <rPr>
        <sz val="10"/>
        <color rgb="FF000000"/>
        <rFont val="Arial"/>
        <family val="0"/>
        <charset val="1"/>
      </rPr>
      <t xml:space="preserve">2GW Trainium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WSJ 2026-07 </t>
    </r>
    <r>
      <rPr>
        <sz val="10"/>
        <color rgb="FF000000"/>
        <rFont val="Noto Sans CJK SC"/>
        <family val="2"/>
      </rPr>
      <t xml:space="preserve">另載 </t>
    </r>
    <r>
      <rPr>
        <sz val="10"/>
        <color rgb="FF000000"/>
        <rFont val="Arial"/>
        <family val="0"/>
        <charset val="1"/>
      </rPr>
      <t xml:space="preserve">3GW </t>
    </r>
    <r>
      <rPr>
        <sz val="10"/>
        <color rgb="FF000000"/>
        <rFont val="Noto Sans CJK SC"/>
        <family val="2"/>
      </rPr>
      <t xml:space="preserve">推論＋</t>
    </r>
    <r>
      <rPr>
        <sz val="10"/>
        <color rgb="FF000000"/>
        <rFont val="Arial"/>
        <family val="0"/>
        <charset val="1"/>
      </rPr>
      <t xml:space="preserve">2GW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VR</t>
    </r>
    <r>
      <rPr>
        <sz val="10"/>
        <color rgb="FF000000"/>
        <rFont val="Noto Sans CJK SC"/>
        <family val="2"/>
      </rPr>
      <t xml:space="preserve">）。取 </t>
    </r>
    <r>
      <rPr>
        <sz val="10"/>
        <color rgb="FF000000"/>
        <rFont val="Arial"/>
        <family val="0"/>
        <charset val="1"/>
      </rPr>
      <t xml:space="preserve">2GW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2–5"</t>
    </r>
  </si>
  <si>
    <t xml:space="preserve">spending.contracts.coreweave.total</t>
  </si>
  <si>
    <t xml:space="preserve">22.4</t>
  </si>
  <si>
    <t xml:space="preserve">spending.contracts.coreweave.start</t>
  </si>
  <si>
    <t xml:space="preserve">spending.contracts.coreweave.end</t>
  </si>
  <si>
    <t xml:space="preserve">spending.contracts.coreweave.annual</t>
  </si>
  <si>
    <t xml:space="preserve">spending.contracts.coreweave.tag</t>
  </si>
  <si>
    <t xml:space="preserve">spending.contracts.coreweave.src</t>
  </si>
  <si>
    <r>
      <rPr>
        <sz val="10"/>
        <color rgb="FF000000"/>
        <rFont val="Arial"/>
        <family val="0"/>
        <charset val="1"/>
      </rPr>
      <t xml:space="preserve">"CoreWeave </t>
    </r>
    <r>
      <rPr>
        <sz val="10"/>
        <color rgb="FF000000"/>
        <rFont val="Noto Sans CJK SC"/>
        <family val="2"/>
      </rPr>
      <t xml:space="preserve">揭露：</t>
    </r>
    <r>
      <rPr>
        <sz val="10"/>
        <color rgb="FF000000"/>
        <rFont val="Arial"/>
        <family val="0"/>
        <charset val="1"/>
      </rPr>
      <t xml:space="preserve">$11.9B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$4B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$6.5B</t>
    </r>
    <r>
      <rPr>
        <sz val="10"/>
        <color rgb="FF000000"/>
        <rFont val="Noto Sans CJK SC"/>
        <family val="2"/>
      </rPr>
      <t xml:space="preserve">；日後可改接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模型之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時程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</si>
  <si>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spending.contracts.cerebras.total</t>
  </si>
  <si>
    <t xml:space="preserve">spending.contracts.cerebras.lo</t>
  </si>
  <si>
    <t xml:space="preserve">spending.contracts.cerebras.hi</t>
  </si>
  <si>
    <t xml:space="preserve">spending.contracts.cerebras.start</t>
  </si>
  <si>
    <t xml:space="preserve">spending.contracts.cerebras.end</t>
  </si>
  <si>
    <t xml:space="preserve">spending.contracts.cerebras.annual</t>
  </si>
  <si>
    <t xml:space="preserve">spending.contracts.cerebras.tag</t>
  </si>
  <si>
    <t xml:space="preserve">spending.contracts.cerebras.src</t>
  </si>
  <si>
    <r>
      <rPr>
        <sz val="10"/>
        <color rgb="FF000000"/>
        <rFont val="Arial"/>
        <family val="0"/>
        <charset val="1"/>
      </rPr>
      <t xml:space="preserve">"Cerebras 10-Q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8-K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750MW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2026–28 </t>
    </r>
    <r>
      <rPr>
        <sz val="10"/>
        <color rgb="FF000000"/>
        <rFont val="Noto Sans CJK SC"/>
        <family val="2"/>
      </rPr>
      <t xml:space="preserve">分批部署、每批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年、總值逾 </t>
    </r>
    <r>
      <rPr>
        <sz val="10"/>
        <color rgb="FF000000"/>
        <rFont val="Arial"/>
        <family val="0"/>
        <charset val="1"/>
      </rPr>
      <t xml:space="preserve">$20B</t>
    </r>
    <r>
      <rPr>
        <sz val="10"/>
        <color rgb="FF000000"/>
        <rFont val="Noto Sans CJK SC"/>
        <family val="2"/>
      </rPr>
      <t xml:space="preserve">；期間終點為推估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</si>
  <si>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spending.contracts.cerebras.gw</t>
  </si>
  <si>
    <t xml:space="preserve">spending.excludedOrComparison.nvidia10GW</t>
  </si>
  <si>
    <r>
      <rPr>
        <sz val="10"/>
        <color rgb="FF000000"/>
        <rFont val="Arial"/>
        <family val="0"/>
        <charset val="1"/>
      </rPr>
      <t xml:space="preserve">"Nvidia 10GW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$100B </t>
    </r>
    <r>
      <rPr>
        <sz val="10"/>
        <color rgb="FF000000"/>
        <rFont val="Noto Sans CJK SC"/>
        <family val="2"/>
      </rPr>
      <t xml:space="preserve">意向（未定案）與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融資中 </t>
    </r>
    <r>
      <rPr>
        <sz val="10"/>
        <color rgb="FF000000"/>
        <rFont val="Arial"/>
        <family val="0"/>
        <charset val="1"/>
      </rPr>
      <t xml:space="preserve">Nvidia $30B </t>
    </r>
    <r>
      <rPr>
        <sz val="10"/>
        <color rgb="FF000000"/>
        <rFont val="Noto Sans CJK SC"/>
        <family val="2"/>
      </rPr>
      <t xml:space="preserve">之算力配置：不另列付款，避免與股權重複 </t>
    </r>
    <r>
      <rPr>
        <sz val="10"/>
        <color rgb="FF000000"/>
        <rFont val="Arial"/>
        <family val="0"/>
        <charset val="1"/>
      </rPr>
      <t xml:space="preserve">[S4b]"</t>
    </r>
  </si>
  <si>
    <t xml:space="preserve">spending.excludedOrComparison.broadcomAmdChips</t>
  </si>
  <si>
    <r>
      <rPr>
        <sz val="10"/>
        <color rgb="FF000000"/>
        <rFont val="Arial"/>
        <family val="0"/>
        <charset val="1"/>
      </rPr>
      <t xml:space="preserve">"Broadcom 10GW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 6GW</t>
    </r>
    <r>
      <rPr>
        <sz val="10"/>
        <color rgb="FF000000"/>
        <rFont val="Noto Sans CJK SC"/>
        <family val="2"/>
      </rPr>
      <t xml:space="preserve">：透過合作方或自有資本支出採購，併入 </t>
    </r>
    <r>
      <rPr>
        <sz val="10"/>
        <color rgb="FF000000"/>
        <rFont val="Arial"/>
        <family val="0"/>
        <charset val="1"/>
      </rPr>
      <t xml:space="preserve">ownedCapex</t>
    </r>
    <r>
      <rPr>
        <sz val="10"/>
        <color rgb="FF000000"/>
        <rFont val="Noto Sans CJK SC"/>
        <family val="2"/>
      </rPr>
      <t xml:space="preserve">，不另列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</si>
  <si>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spending.excludedOrComparison.stargateSoftBank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</si>
  <si>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現金流（</t>
    </r>
    <r>
      <rPr>
        <sz val="10"/>
        <color rgb="FF000000"/>
        <rFont val="Arial"/>
        <family val="0"/>
        <charset val="1"/>
      </rPr>
      <t xml:space="preserve">S3 </t>
    </r>
    <r>
      <rPr>
        <sz val="10"/>
        <color rgb="FF000000"/>
        <rFont val="Noto Sans CJK SC"/>
        <family val="2"/>
      </rPr>
      <t xml:space="preserve">槓桿）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</si>
  <si>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S3</t>
    </r>
    <r>
      <rPr>
        <sz val="10"/>
        <color rgb="FF000000"/>
        <rFont val="Noto Sans CJK SC"/>
        <family val="2"/>
      </rPr>
      <t xml:space="preserve">）：合資建設由合作方出資部分不進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現金流；無揭露數字</t>
    </r>
  </si>
  <si>
    <t xml:space="preserve">spending.ownedCapex.v.0</t>
  </si>
  <si>
    <t xml:space="preserve">spending.ownedCapex.v.1</t>
  </si>
  <si>
    <t xml:space="preserve">spending.ownedCapex.v.2</t>
  </si>
  <si>
    <t xml:space="preserve">spending.ownedCapex.v.3</t>
  </si>
  <si>
    <t xml:space="preserve">spending.ownedCapex.v.4</t>
  </si>
  <si>
    <t xml:space="preserve">spending.ownedCapex.v.5</t>
  </si>
  <si>
    <t xml:space="preserve">70</t>
  </si>
  <si>
    <t xml:space="preserve">spending.ownedCapex.lo_mult</t>
  </si>
  <si>
    <t xml:space="preserve">spending.ownedCapex.hi_mult</t>
  </si>
  <si>
    <t xml:space="preserve">spending.ownedCapex.tag</t>
  </si>
  <si>
    <t xml:space="preserve">spending.ownedCapex.src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</si>
  <si>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自有園區與晶片（例：</t>
    </r>
    <r>
      <rPr>
        <sz val="10"/>
        <color rgb="FF000000"/>
        <rFont val="Arial"/>
        <family val="0"/>
        <charset val="1"/>
      </rPr>
      <t xml:space="preserve">Project Camellia $20B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TechCrunch 2026-07-22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</si>
  <si>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spending.partnerFinancedShare.v</t>
  </si>
  <si>
    <t xml:space="preserve">spending.partnerFinancedShare.lo</t>
  </si>
  <si>
    <t xml:space="preserve">spending.partnerFinancedShare.hi</t>
  </si>
  <si>
    <t xml:space="preserve">spending.partnerFinancedShare.tag</t>
  </si>
  <si>
    <t xml:space="preserve">spending.partnerFinancedShare.src</t>
  </si>
  <si>
    <r>
      <rPr>
        <sz val="10"/>
        <color rgb="FF000000"/>
        <rFont val="Arial"/>
        <family val="0"/>
        <charset val="1"/>
      </rPr>
      <t xml:space="preserve">"S3</t>
    </r>
    <r>
      <rPr>
        <sz val="10"/>
        <color rgb="FF000000"/>
        <rFont val="Noto Sans CJK SC"/>
        <family val="2"/>
      </rPr>
      <t xml:space="preserve">，沿用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槓桿，情境軸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</si>
  <si>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spending.leases.v</t>
  </si>
  <si>
    <r>
      <rPr>
        <sz val="10"/>
        <color rgb="FF000000"/>
        <rFont val="Arial"/>
        <family val="0"/>
        <charset val="1"/>
      </rPr>
      <t xml:space="preserve">N/A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未揭露承租合約；雲端合約內含之租賃不另列</t>
    </r>
  </si>
  <si>
    <t xml:space="preserve">spending.leases.tag</t>
  </si>
  <si>
    <t xml:space="preserve">spending.leases.src</t>
  </si>
  <si>
    <r>
      <rPr>
        <sz val="10"/>
        <color rgb="FF000000"/>
        <rFont val="Arial"/>
        <family val="0"/>
        <charset val="1"/>
      </rPr>
      <t xml:space="preserve">"OpenAI </t>
    </r>
    <r>
      <rPr>
        <sz val="10"/>
        <color rgb="FF000000"/>
        <rFont val="Noto Sans CJK SC"/>
        <family val="2"/>
      </rPr>
      <t xml:space="preserve">未揭露承租合約；雲端服務合約內含之租賃不另列；顯示「不適用」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</si>
  <si>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spending.opexExComputePctRevenue.v.0</t>
  </si>
  <si>
    <t xml:space="preserve">1.216</t>
  </si>
  <si>
    <r>
      <rPr>
        <sz val="10"/>
        <color rgb="FF000000"/>
        <rFont val="Arial"/>
        <family val="0"/>
        <charset val="1"/>
      </rPr>
      <t xml:space="preserve">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非算力營運費用占營收比：由財報數據推得）</t>
    </r>
  </si>
  <si>
    <r>
      <rPr>
        <sz val="10"/>
        <color rgb="FF000000"/>
        <rFont val="Arial"/>
        <family val="0"/>
        <charset val="1"/>
      </rPr>
      <t xml:space="preserve">V9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由財報數據推得（研發不含付 </t>
    </r>
    <r>
      <rPr>
        <sz val="10"/>
        <color rgb="FF000000"/>
        <rFont val="Arial"/>
        <family val="0"/>
        <charset val="1"/>
      </rPr>
      <t xml:space="preserve">Microsoft</t>
    </r>
    <r>
      <rPr>
        <sz val="10"/>
        <color rgb="FF000000"/>
        <rFont val="Noto Sans CJK SC"/>
        <family val="2"/>
      </rPr>
      <t xml:space="preserve">、銷售、管理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營收）→公式；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1.216 </t>
    </r>
    <r>
      <rPr>
        <sz val="10"/>
        <color rgb="FF000000"/>
        <rFont val="Noto Sans CJK SC"/>
        <family val="2"/>
      </rPr>
      <t xml:space="preserve">供對照（原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混合）</t>
    </r>
  </si>
  <si>
    <t xml:space="preserve">spending.opexExComputePctRevenue.v.1</t>
  </si>
  <si>
    <t xml:space="preserve">0.33</t>
  </si>
  <si>
    <t xml:space="preserve">spending.opexExComputePctRevenue.v.2</t>
  </si>
  <si>
    <t xml:space="preserve">0.265</t>
  </si>
  <si>
    <t xml:space="preserve">spending.opexExComputePctRevenue.v.3</t>
  </si>
  <si>
    <t xml:space="preserve">0.22</t>
  </si>
  <si>
    <t xml:space="preserve">spending.opexExComputePctRevenue.v.4</t>
  </si>
  <si>
    <t xml:space="preserve">0.18</t>
  </si>
  <si>
    <t xml:space="preserve">spending.opexExComputePctRevenue.v.5</t>
  </si>
  <si>
    <t xml:space="preserve">0.14</t>
  </si>
  <si>
    <t xml:space="preserve">spending.opexExComputePctRevenue.lo_mult</t>
  </si>
  <si>
    <t xml:space="preserve">spending.opexExComputePctRevenue.hi_mult</t>
  </si>
  <si>
    <t xml:space="preserve">spending.opexExComputePctRevenue.tag</t>
  </si>
  <si>
    <t xml:space="preserve">spending.opexExComputePctRevenue.src</t>
  </si>
  <si>
    <r>
      <rPr>
        <sz val="10"/>
        <color rgb="FF000000"/>
        <rFont val="Arial"/>
        <family val="0"/>
        <charset val="1"/>
      </rPr>
      <t xml:space="preserve">"S5a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為實際（研發不含付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$10.6B</t>
    </r>
    <r>
      <rPr>
        <sz val="10"/>
        <color rgb="FF000000"/>
        <rFont val="Noto Sans CJK SC"/>
        <family val="2"/>
      </rPr>
      <t xml:space="preserve">、銷售、管理）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[Interested-party]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2026+ </t>
    </r>
    <r>
      <rPr>
        <sz val="10"/>
        <color rgb="FF000000"/>
        <rFont val="Noto Sans CJK SC"/>
        <family val="2"/>
      </rPr>
      <t xml:space="preserve">沿 </t>
    </r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研發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算力占比 </t>
    </r>
    <r>
      <rPr>
        <sz val="10"/>
        <color rgb="FF000000"/>
        <rFont val="Arial"/>
        <family val="0"/>
        <charset val="1"/>
      </rPr>
      <t xml:space="preserve">60%)</t>
    </r>
    <r>
      <rPr>
        <sz val="10"/>
        <color rgb="FF000000"/>
        <rFont val="Noto Sans CJK SC"/>
        <family val="2"/>
      </rPr>
      <t xml:space="preserve">＋銷售＋管理路徑；不含股票薪酬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</si>
  <si>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spending.anchors.computeCum2026_2030_WSJ.v</t>
  </si>
  <si>
    <t xml:space="preserve">750</t>
  </si>
  <si>
    <t xml:space="preserve">spending.anchors.computeCum2026_2030_WSJ.tag</t>
  </si>
  <si>
    <t xml:space="preserve">spending.anchors.computeCum2026_2030_WSJ.src</t>
  </si>
  <si>
    <t xml:space="preserve">"WSJ 2026-07-22"</t>
  </si>
  <si>
    <t xml:space="preserve">spending.anchors.computeCum2026_2030_FT.v</t>
  </si>
  <si>
    <t xml:space="preserve">spending.anchors.computeCum2026_2030_FT.tag</t>
  </si>
  <si>
    <t xml:space="preserve">spending.anchors.computeCum2026_2030_FT.src</t>
  </si>
  <si>
    <t xml:space="preserve">spending.anchors.offBalanceCommitmentsStock.v</t>
  </si>
  <si>
    <t xml:space="preserve">665</t>
  </si>
  <si>
    <t xml:space="preserve">spending.anchors.offBalanceCommitmentsStock.tag</t>
  </si>
  <si>
    <t xml:space="preserve">spending.anchors.offBalanceCommitmentsStock.src</t>
  </si>
  <si>
    <r>
      <rPr>
        <sz val="10"/>
        <color rgb="FF000000"/>
        <rFont val="Arial"/>
        <family val="0"/>
        <charset val="1"/>
      </rPr>
      <t xml:space="preserve">"S-1 </t>
    </r>
    <r>
      <rPr>
        <sz val="10"/>
        <color rgb="FF000000"/>
        <rFont val="Noto Sans CJK SC"/>
        <family val="2"/>
      </rPr>
      <t xml:space="preserve">草案轉述（</t>
    </r>
    <r>
      <rPr>
        <sz val="10"/>
        <color rgb="FF000000"/>
        <rFont val="Arial"/>
        <family val="0"/>
        <charset val="1"/>
      </rPr>
      <t xml:space="preserve">Tokenomics v1_3 Sources #19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</si>
  <si>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spending.anchors.compute2026Testimony.v</t>
  </si>
  <si>
    <t xml:space="preserve">50</t>
  </si>
  <si>
    <t xml:space="preserve">spending.anchors.compute2026Testimony.tag</t>
  </si>
  <si>
    <t xml:space="preserve">spending.anchors.compute2026Testimony.src</t>
  </si>
  <si>
    <r>
      <rPr>
        <sz val="10"/>
        <color rgb="FF000000"/>
        <rFont val="Arial"/>
        <family val="0"/>
        <charset val="1"/>
      </rPr>
      <t xml:space="preserve">"Brockman </t>
    </r>
    <r>
      <rPr>
        <sz val="10"/>
        <color rgb="FF000000"/>
        <rFont val="Noto Sans CJK SC"/>
        <family val="2"/>
      </rPr>
      <t xml:space="preserve">證詞（</t>
    </r>
    <r>
      <rPr>
        <sz val="10"/>
        <color rgb="FF000000"/>
        <rFont val="Arial"/>
        <family val="0"/>
        <charset val="1"/>
      </rPr>
      <t xml:space="preserve">commitments tracker 2026-05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</si>
  <si>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funding._note</t>
  </si>
  <si>
    <r>
      <rPr>
        <sz val="10"/>
        <color rgb="FF000000"/>
        <rFont val="Arial"/>
        <family val="0"/>
        <charset val="1"/>
      </rPr>
      <t xml:space="preserve">"S7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CRWV</t>
    </r>
    <r>
      <rPr>
        <sz val="10"/>
        <color rgb="FF000000"/>
        <rFont val="Noto Sans CJK SC"/>
        <family val="2"/>
      </rPr>
      <t xml:space="preserve">：最低現金、來源順序、缺口旗標；</t>
    </r>
    <r>
      <rPr>
        <sz val="10"/>
        <color rgb="FF000000"/>
        <rFont val="Arial"/>
        <family val="0"/>
        <charset val="1"/>
      </rPr>
      <t xml:space="preserve">S4b </t>
    </r>
    <r>
      <rPr>
        <sz val="10"/>
        <color rgb="FF000000"/>
        <rFont val="Noto Sans CJK SC"/>
        <family val="2"/>
      </rPr>
      <t xml:space="preserve">供應商融資只列或有負債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</si>
  <si>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說明文字（</t>
    </r>
    <r>
      <rPr>
        <sz val="10"/>
        <color rgb="FF000000"/>
        <rFont val="Arial"/>
        <family val="0"/>
        <charset val="1"/>
      </rPr>
      <t xml:space="preserve">S7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</si>
  <si>
    <t xml:space="preserve">funding.cashEnd2025.v</t>
  </si>
  <si>
    <t xml:space="preserve">funding.cashEnd2025.lo</t>
  </si>
  <si>
    <t xml:space="preserve">funding.cashEnd2025.hi</t>
  </si>
  <si>
    <t xml:space="preserve">funding.cashEnd2025.tag</t>
  </si>
  <si>
    <t xml:space="preserve">funding.cashEnd2025.src</t>
  </si>
  <si>
    <r>
      <rPr>
        <sz val="10"/>
        <color rgb="FF000000"/>
        <rFont val="Arial"/>
        <family val="0"/>
        <charset val="1"/>
      </rPr>
      <t xml:space="preserve">"2025-12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$40B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末 </t>
    </r>
    <r>
      <rPr>
        <sz val="10"/>
        <color rgb="FF000000"/>
        <rFont val="Arial"/>
        <family val="0"/>
        <charset val="1"/>
      </rPr>
      <t xml:space="preserve">$73B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TNW </t>
    </r>
    <r>
      <rPr>
        <sz val="10"/>
        <color rgb="FF000000"/>
        <rFont val="Noto Sans CJK SC"/>
        <family val="2"/>
      </rPr>
      <t xml:space="preserve">轉述）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</si>
  <si>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funding.equityRound2026Mar.total</t>
  </si>
  <si>
    <t xml:space="preserve">122</t>
  </si>
  <si>
    <t xml:space="preserve">funding.equityRound2026Mar.unconditional2026.v</t>
  </si>
  <si>
    <t xml:space="preserve">87</t>
  </si>
  <si>
    <r>
      <rPr>
        <sz val="10"/>
        <color rgb="FF000000"/>
        <rFont val="Arial"/>
        <family val="0"/>
        <charset val="1"/>
      </rPr>
      <t xml:space="preserve">Derived_V9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四個組成加總）</t>
    </r>
  </si>
  <si>
    <r>
      <rPr>
        <sz val="10"/>
        <color rgb="FF000000"/>
        <rFont val="Arial"/>
        <family val="0"/>
        <charset val="1"/>
      </rPr>
      <t xml:space="preserve">E8j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組成（</t>
    </r>
    <r>
      <rPr>
        <sz val="10"/>
        <color rgb="FF000000"/>
        <rFont val="Arial"/>
        <family val="0"/>
        <charset val="1"/>
      </rPr>
      <t xml:space="preserve">Amazon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SoftBank 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30</t>
    </r>
    <r>
      <rPr>
        <sz val="10"/>
        <color rgb="FF000000"/>
        <rFont val="Noto Sans CJK SC"/>
        <family val="2"/>
      </rPr>
      <t xml:space="preserve">、其他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）；加總驗證＝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87</t>
    </r>
  </si>
  <si>
    <t xml:space="preserve">funding.equityRound2026Mar.unconditional2026.tag</t>
  </si>
  <si>
    <t xml:space="preserve">funding.equityRound2026Mar.unconditional2026.src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</si>
  <si>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首筆 </t>
    </r>
    <r>
      <rPr>
        <sz val="10"/>
        <color rgb="FF000000"/>
        <rFont val="Arial"/>
        <family val="0"/>
        <charset val="1"/>
      </rPr>
      <t xml:space="preserve">$15B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SoftBank $30B</t>
    </r>
    <r>
      <rPr>
        <sz val="10"/>
        <color rgb="FF000000"/>
        <rFont val="Noto Sans CJK SC"/>
        <family val="2"/>
      </rPr>
      <t xml:space="preserve">（三期）＋</t>
    </r>
    <r>
      <rPr>
        <sz val="10"/>
        <color rgb="FF000000"/>
        <rFont val="Arial"/>
        <family val="0"/>
        <charset val="1"/>
      </rPr>
      <t xml:space="preserve">Nvidia $30B</t>
    </r>
    <r>
      <rPr>
        <sz val="10"/>
        <color rgb="FF000000"/>
        <rFont val="Noto Sans CJK SC"/>
        <family val="2"/>
      </rPr>
      <t xml:space="preserve">＋其他約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以現金計 </t>
    </r>
    <r>
      <rPr>
        <sz val="10"/>
        <color rgb="FF000000"/>
        <rFont val="Arial"/>
        <family val="0"/>
        <charset val="1"/>
      </rPr>
      <t xml:space="preserve">[Assumed</t>
    </r>
    <r>
      <rPr>
        <sz val="10"/>
        <color rgb="FF000000"/>
        <rFont val="Noto Sans CJK SC"/>
        <family val="2"/>
      </rPr>
      <t xml:space="preserve">，另有報導稱多為算力</t>
    </r>
    <r>
      <rPr>
        <sz val="10"/>
        <color rgb="FF000000"/>
        <rFont val="Arial"/>
        <family val="0"/>
        <charset val="1"/>
      </rPr>
      <t xml:space="preserve">]"</t>
    </r>
  </si>
  <si>
    <t xml:space="preserve">funding.equityRound2026Mar.conditional.v</t>
  </si>
  <si>
    <t xml:space="preserve">funding.equityRound2026Mar.conditional.tag</t>
  </si>
  <si>
    <t xml:space="preserve">funding.equityRound2026Mar.conditional.src</t>
  </si>
  <si>
    <r>
      <rPr>
        <sz val="10"/>
        <color rgb="FF000000"/>
        <rFont val="Arial"/>
        <family val="0"/>
        <charset val="1"/>
      </rPr>
      <t xml:space="preserve">"Amazon </t>
    </r>
    <r>
      <rPr>
        <sz val="10"/>
        <color rgb="FF000000"/>
        <rFont val="Noto Sans CJK SC"/>
        <family val="2"/>
      </rPr>
      <t xml:space="preserve">其餘 </t>
    </r>
    <r>
      <rPr>
        <sz val="10"/>
        <color rgb="FF000000"/>
        <rFont val="Arial"/>
        <family val="0"/>
        <charset val="1"/>
      </rPr>
      <t xml:space="preserve">$35B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IPO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AGI </t>
    </r>
    <r>
      <rPr>
        <sz val="10"/>
        <color rgb="FF000000"/>
        <rFont val="Noto Sans CJK SC"/>
        <family val="2"/>
      </rPr>
      <t xml:space="preserve">里程碑為條件（多家報導）；</t>
    </r>
    <r>
      <rPr>
        <sz val="10"/>
        <color rgb="FF000000"/>
        <rFont val="Arial"/>
        <family val="0"/>
        <charset val="1"/>
      </rPr>
      <t xml:space="preserve">base </t>
    </r>
    <r>
      <rPr>
        <sz val="10"/>
        <color rgb="FF000000"/>
        <rFont val="Noto Sans CJK SC"/>
        <family val="2"/>
      </rPr>
      <t xml:space="preserve">不計入，列情境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</si>
  <si>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funding.minCash.v</t>
  </si>
  <si>
    <t xml:space="preserve">funding.minCash.lo</t>
  </si>
  <si>
    <t xml:space="preserve">funding.minCash.hi</t>
  </si>
  <si>
    <t xml:space="preserve">funding.minCash.tag</t>
  </si>
  <si>
    <t xml:space="preserve">funding.contingentLiabilities.nvidiaGuarantees.v</t>
  </si>
  <si>
    <t xml:space="preserve">funding.contingentLiabilities.nvidiaGuarantees.tag</t>
  </si>
  <si>
    <t xml:space="preserve">funding.contingentLiabilities.nvidiaGuarantees.src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</si>
  <si>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Tokenomics v1_3 Sources #21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</si>
  <si>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funding.contingentLiabilities.nvidiaChipFinancingTalks.v</t>
  </si>
  <si>
    <t xml:space="preserve">funding.contingentLiabilities.nvidiaChipFinancingTalks.tag</t>
  </si>
  <si>
    <t xml:space="preserve">funding.contingentLiabilities.nvidiaChipFinancingTalks.src</t>
  </si>
  <si>
    <r>
      <rPr>
        <sz val="10"/>
        <color rgb="FF000000"/>
        <rFont val="Arial"/>
        <family val="0"/>
        <charset val="1"/>
      </rPr>
      <t xml:space="preserve">"WSJ</t>
    </r>
    <r>
      <rPr>
        <sz val="10"/>
        <color rgb="FF000000"/>
        <rFont val="Noto Sans CJK SC"/>
        <family val="2"/>
      </rPr>
      <t xml:space="preserve">，洽談中</t>
    </r>
    <r>
      <rPr>
        <sz val="10"/>
        <color rgb="FF000000"/>
        <rFont val="Arial"/>
        <family val="0"/>
        <charset val="1"/>
      </rPr>
      <t xml:space="preserve">"</t>
    </r>
  </si>
  <si>
    <t xml:space="preserve">funding.contingentLiabilities.treatment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</si>
  <si>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只列示，不作資金來源（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</si>
  <si>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S4b</t>
    </r>
    <r>
      <rPr>
        <sz val="10"/>
        <color rgb="FF000000"/>
        <rFont val="Noto Sans CJK SC"/>
        <family val="2"/>
      </rPr>
      <t xml:space="preserve">）：只列示，不作資金來源；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</t>
    </r>
  </si>
  <si>
    <t xml:space="preserve">funding.externalNeed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</si>
  <si>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年底現金低於 </t>
    </r>
    <r>
      <rPr>
        <sz val="10"/>
        <color rgb="FF000000"/>
        <rFont val="Arial"/>
        <family val="0"/>
        <charset val="1"/>
      </rPr>
      <t xml:space="preserve">minCash </t>
    </r>
    <r>
      <rPr>
        <sz val="10"/>
        <color rgb="FF000000"/>
        <rFont val="Noto Sans CJK SC"/>
        <family val="2"/>
      </rPr>
      <t xml:space="preserve">之差額累計＝外部資金需求（新一輪股權、債務或延後承諾）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</si>
  <si>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外部資金需求的定義（年底現金低於最低現金之差額累計）：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</si>
  <si>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training._note</t>
  </si>
  <si>
    <r>
      <rPr>
        <sz val="10"/>
        <color rgb="FF000000"/>
        <rFont val="Arial"/>
        <family val="0"/>
        <charset val="1"/>
      </rPr>
      <t xml:space="preserve">"v0.5</t>
    </r>
    <r>
      <rPr>
        <sz val="10"/>
        <color rgb="FF000000"/>
        <rFont val="Noto Sans CJK SC"/>
        <family val="2"/>
      </rPr>
      <t xml:space="preserve">：訓練＝訓練 </t>
    </r>
    <r>
      <rPr>
        <sz val="10"/>
        <color rgb="FF000000"/>
        <rFont val="Arial"/>
        <family val="0"/>
        <charset val="1"/>
      </rPr>
      <t xml:space="preserve">GW×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VR-eq GW </t>
    </r>
    <r>
      <rPr>
        <sz val="10"/>
        <color rgb="FF000000"/>
        <rFont val="Noto Sans CJK SC"/>
        <family val="2"/>
      </rPr>
      <t xml:space="preserve">成本；計畫算力 </t>
    </r>
    <r>
      <rPr>
        <sz val="10"/>
        <color rgb="FF000000"/>
        <rFont val="Arial"/>
        <family val="0"/>
        <charset val="1"/>
      </rPr>
      <t xml:space="preserve">856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600 </t>
    </r>
    <r>
      <rPr>
        <sz val="10"/>
        <color rgb="FF000000"/>
        <rFont val="Noto Sans CJK SC"/>
        <family val="2"/>
      </rPr>
      <t xml:space="preserve">與計畫推論降為檢查項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</si>
  <si>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training.actual2024.v</t>
  </si>
  <si>
    <t xml:space="preserve">training.actual2024.tag</t>
  </si>
  <si>
    <t xml:space="preserve">training.actual2024.src</t>
  </si>
  <si>
    <r>
      <rPr>
        <sz val="10"/>
        <color rgb="FF000000"/>
        <rFont val="Arial"/>
        <family val="0"/>
        <charset val="1"/>
      </rPr>
      <t xml:space="preserve">"Epoch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Information/NYT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$3B</t>
    </r>
    <r>
      <rPr>
        <sz val="10"/>
        <color rgb="FF000000"/>
        <rFont val="Noto Sans CJK SC"/>
        <family val="2"/>
      </rPr>
      <t xml:space="preserve">、推論 </t>
    </r>
    <r>
      <rPr>
        <sz val="10"/>
        <color rgb="FF000000"/>
        <rFont val="Arial"/>
        <family val="0"/>
        <charset val="1"/>
      </rPr>
      <t xml:space="preserve">$1.8B"</t>
    </r>
  </si>
  <si>
    <t xml:space="preserve">training.actual2024.chk</t>
  </si>
  <si>
    <t xml:space="preserve">training.actual2025.v</t>
  </si>
  <si>
    <t xml:space="preserve">12.0</t>
  </si>
  <si>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SRC_OAI 10.59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其他雲端（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衍生值列）</t>
    </r>
  </si>
  <si>
    <r>
      <rPr>
        <sz val="10"/>
        <color rgb="FF000000"/>
        <rFont val="Arial"/>
        <family val="0"/>
        <charset val="1"/>
      </rPr>
      <t xml:space="preserve">V6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公式；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12.0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10.6–13.5</t>
    </r>
    <r>
      <rPr>
        <sz val="10"/>
        <color rgb="FF000000"/>
        <rFont val="Noto Sans CJK SC"/>
        <family val="2"/>
      </rPr>
      <t xml:space="preserve">）供對照</t>
    </r>
  </si>
  <si>
    <t xml:space="preserve">training.actual2025.lo</t>
  </si>
  <si>
    <t xml:space="preserve">10.6</t>
  </si>
  <si>
    <t xml:space="preserve">training.actual2025.hi</t>
  </si>
  <si>
    <t xml:space="preserve">13.5</t>
  </si>
  <si>
    <t xml:space="preserve">training.actual2025.tag</t>
  </si>
  <si>
    <t xml:space="preserve">training.actual2025.src</t>
  </si>
  <si>
    <r>
      <rPr>
        <sz val="10"/>
        <color rgb="FF000000"/>
        <rFont val="Arial"/>
        <family val="0"/>
        <charset val="1"/>
      </rPr>
      <t xml:space="preserve">"2025 R&amp;D </t>
    </r>
    <r>
      <rPr>
        <sz val="10"/>
        <color rgb="FF000000"/>
        <rFont val="Noto Sans CJK SC"/>
        <family val="2"/>
      </rPr>
      <t xml:space="preserve">付予 </t>
    </r>
    <r>
      <rPr>
        <sz val="10"/>
        <color rgb="FF000000"/>
        <rFont val="Arial"/>
        <family val="0"/>
        <charset val="1"/>
      </rPr>
      <t xml:space="preserve">Microsoft $10.59B</t>
    </r>
    <r>
      <rPr>
        <sz val="10"/>
        <color rgb="FF000000"/>
        <rFont val="Noto Sans CJK SC"/>
        <family val="2"/>
      </rPr>
      <t xml:space="preserve">（外流財報）＋其他雲端估計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</si>
  <si>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training.actual2025.chk</t>
  </si>
  <si>
    <t xml:space="preserve">training.rd2025.v</t>
  </si>
  <si>
    <t xml:space="preserve">19.18</t>
  </si>
  <si>
    <t xml:space="preserve">training.rd2025.tag</t>
  </si>
  <si>
    <t xml:space="preserve">training.rd2025.src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</si>
  <si>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外流財報 </t>
    </r>
    <r>
      <rPr>
        <sz val="10"/>
        <color rgb="FF000000"/>
        <rFont val="Arial"/>
        <family val="0"/>
        <charset val="1"/>
      </rPr>
      <t xml:space="preserve">R&amp;D </t>
    </r>
    <r>
      <rPr>
        <sz val="10"/>
        <color rgb="FF000000"/>
        <rFont val="Noto Sans CJK SC"/>
        <family val="2"/>
      </rPr>
      <t xml:space="preserve">總額（含人事）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</si>
  <si>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training.planCompute2026_2030.v</t>
  </si>
  <si>
    <t xml:space="preserve">training.planCompute2026_2030.lo</t>
  </si>
  <si>
    <t xml:space="preserve">training.planCompute2026_2030.hi</t>
  </si>
  <si>
    <t xml:space="preserve">training.planCompute2026_2030.tag</t>
  </si>
  <si>
    <t xml:space="preserve">training.planCompute2026_2030.src</t>
  </si>
  <si>
    <r>
      <rPr>
        <sz val="10"/>
        <color rgb="FF000000"/>
        <rFont val="Arial"/>
        <family val="0"/>
        <charset val="1"/>
      </rPr>
      <t xml:space="preserve">"FT 2026-09-18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月簡報）</t>
    </r>
    <r>
      <rPr>
        <sz val="10"/>
        <color rgb="FF000000"/>
        <rFont val="Arial"/>
        <family val="0"/>
        <charset val="1"/>
      </rPr>
      <t xml:space="preserve">$856B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反向錨點同一版本；</t>
    </r>
    <r>
      <rPr>
        <sz val="10"/>
        <color rgb="FF000000"/>
        <rFont val="Arial"/>
        <family val="0"/>
        <charset val="1"/>
      </rPr>
      <t xml:space="preserve">Reuters 2026-02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$600B </t>
    </r>
    <r>
      <rPr>
        <sz val="10"/>
        <color rgb="FF000000"/>
        <rFont val="Noto Sans CJK SC"/>
        <family val="2"/>
      </rPr>
      <t xml:space="preserve">為下限</t>
    </r>
    <r>
      <rPr>
        <sz val="10"/>
        <color rgb="FF000000"/>
        <rFont val="Arial"/>
        <family val="0"/>
        <charset val="1"/>
      </rPr>
      <t xml:space="preserve">"</t>
    </r>
  </si>
  <si>
    <t xml:space="preserve">training.planCompute2026_2030.chk</t>
  </si>
  <si>
    <t xml:space="preserve">training.planInference.2026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</si>
  <si>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</si>
  <si>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14.1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</si>
  <si>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training.planInference.2030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</si>
  <si>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（計畫推論成本：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</si>
  <si>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checks2026.inference2030.v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）同值同源</t>
    </r>
  </si>
  <si>
    <t xml:space="preserve">training.planInference.tag</t>
  </si>
  <si>
    <r>
      <rPr>
        <sz val="10"/>
        <color rgb="FF000000"/>
        <rFont val="Arial"/>
        <family val="0"/>
        <charset val="1"/>
      </rPr>
      <t xml:space="preserve">SRC_OAI</t>
    </r>
    <r>
      <rPr>
        <sz val="10"/>
        <color rgb="FF000000"/>
        <rFont val="Noto Sans CJK SC"/>
        <family val="2"/>
      </rPr>
      <t xml:space="preserve">（計畫推論成本）</t>
    </r>
  </si>
  <si>
    <t xml:space="preserve">training.planInference.src</t>
  </si>
  <si>
    <r>
      <rPr>
        <sz val="10"/>
        <color rgb="FF000000"/>
        <rFont val="Arial"/>
        <family val="0"/>
        <charset val="1"/>
      </rPr>
      <t xml:space="preserve">"The Information 2026-02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 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</si>
  <si>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2027–29 </t>
    </r>
    <r>
      <rPr>
        <sz val="10"/>
        <color rgb="FF000000"/>
        <rFont val="Noto Sans CJK SC"/>
        <family val="2"/>
      </rPr>
      <t xml:space="preserve">幾何內插為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P3 </t>
    </r>
    <r>
      <rPr>
        <sz val="10"/>
        <color rgb="FF000000"/>
        <rFont val="Noto Sans CJK SC"/>
        <family val="2"/>
      </rPr>
      <t xml:space="preserve">公式）</t>
    </r>
  </si>
  <si>
    <t xml:space="preserve">training.allocation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</si>
  <si>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計畫訓練總額（計畫算力−計畫推論）依本模型各年『算力現金−推論成本』占比分配（推論優先使用算力）</t>
    </r>
    <r>
      <rPr>
        <sz val="10"/>
        <color rgb="FF000000"/>
        <rFont val="Arial"/>
        <family val="0"/>
        <charset val="1"/>
      </rPr>
      <t xml:space="preserve">[Derived]"</t>
    </r>
  </si>
  <si>
    <r>
      <rPr>
        <sz val="10"/>
        <color rgb="FF000000"/>
        <rFont val="Noto Sans CJK SC"/>
        <family val="2"/>
      </rPr>
      <t xml:space="preserve">方法說明（計畫訓練總額依各年算力現金−推論成本占比分配）：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</si>
  <si>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training.tokenAllocation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</si>
  <si>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每層級訓練分攤＝當年訓練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該層級推論成本占比（工程決定，僅供全成本參考）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</si>
  <si>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方法說明（每層級訓練分攤）：</t>
    </r>
    <r>
      <rPr>
        <sz val="10"/>
        <color rgb="FF000000"/>
        <rFont val="Arial"/>
        <family val="0"/>
        <charset val="1"/>
      </rPr>
      <t xml:space="preserve">P4 </t>
    </r>
    <r>
      <rPr>
        <sz val="10"/>
        <color rgb="FF000000"/>
        <rFont val="Noto Sans CJK SC"/>
        <family val="2"/>
      </rPr>
      <t xml:space="preserve">以公式實作</t>
    </r>
  </si>
  <si>
    <t xml:space="preserve">computeMW._note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</si>
  <si>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單位：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電力）。</t>
    </r>
    <r>
      <rPr>
        <sz val="10"/>
        <color rgb="FF000000"/>
        <rFont val="Arial"/>
        <family val="0"/>
        <charset val="1"/>
      </rPr>
      <t xml:space="preserve">VR-eq</t>
    </r>
    <r>
      <rPr>
        <sz val="10"/>
        <color rgb="FF000000"/>
        <rFont val="Noto Sans CJK SC"/>
        <family val="2"/>
      </rPr>
      <t xml:space="preserve">＝以 </t>
    </r>
    <r>
      <rPr>
        <sz val="10"/>
        <color rgb="FF000000"/>
        <rFont val="Arial"/>
        <family val="0"/>
        <charset val="1"/>
      </rPr>
      <t xml:space="preserve">Vera Rubin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的等值容量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</si>
  <si>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說明文字：單位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電力）；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概念由 </t>
    </r>
    <r>
      <rPr>
        <sz val="10"/>
        <color rgb="FF000000"/>
        <rFont val="Arial"/>
        <family val="0"/>
        <charset val="1"/>
      </rPr>
      <t xml:space="preserve">TK_Link </t>
    </r>
    <r>
      <rPr>
        <sz val="10"/>
        <color rgb="FF000000"/>
        <rFont val="Noto Sans CJK SC"/>
        <family val="2"/>
      </rPr>
      <t xml:space="preserve">世代產能取代</t>
    </r>
  </si>
  <si>
    <t xml:space="preserve">computeMW.tokenomicsRef.racksPerGW_VR.v</t>
  </si>
  <si>
    <t xml:space="preserve">5263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</si>
  <si>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</si>
  <si>
    <r>
      <rPr>
        <sz val="10"/>
        <color rgb="FF000000"/>
        <rFont val="Noto Sans CJK SC"/>
        <family val="2"/>
      </rPr>
      <t xml:space="preserve">不遷入；改取 </t>
    </r>
    <r>
      <rPr>
        <sz val="10"/>
        <color rgb="FF000000"/>
        <rFont val="Arial"/>
        <family val="0"/>
        <charset val="1"/>
      </rPr>
      <t xml:space="preserve">TK_Link</t>
    </r>
    <r>
      <rPr>
        <sz val="10"/>
        <color rgb="FF000000"/>
        <rFont val="Noto Sans CJK SC"/>
        <family val="2"/>
      </rPr>
      <t xml:space="preserve">（補充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點）。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原值見對照表</t>
    </r>
  </si>
  <si>
    <t xml:space="preserve">computeMW.tokenomicsRef.racksPerGW_VR.cell</t>
  </si>
  <si>
    <t xml:space="preserve">"Config!F8"</t>
  </si>
  <si>
    <t xml:space="preserve">computeMW.tokenomicsRef.racksPerGW_GB200.v</t>
  </si>
  <si>
    <t xml:space="preserve">7194</t>
  </si>
  <si>
    <t xml:space="preserve">computeMW.tokenomicsRef.racksPerGW_GB200.cell</t>
  </si>
  <si>
    <t xml:space="preserve">"Config!G8"</t>
  </si>
  <si>
    <t xml:space="preserve">computeMW.tokenomicsRef.tokPerSecPerRack_VR.v</t>
  </si>
  <si>
    <t xml:space="preserve">105423</t>
  </si>
  <si>
    <t xml:space="preserve">computeMW.tokenomicsRef.tokPerSecPerRack_VR.cell</t>
  </si>
  <si>
    <t xml:space="preserve">"TL_Param!C37"</t>
  </si>
  <si>
    <t xml:space="preserve">computeMW.tokenomicsRef.tokPerSecPerRack_GB200.v</t>
  </si>
  <si>
    <t xml:space="preserve">40668</t>
  </si>
  <si>
    <t xml:space="preserve">computeMW.tokenomicsRef.tokPerSecPerRack_GB200.cell</t>
  </si>
  <si>
    <t xml:space="preserve">"TL_Param!D37"</t>
  </si>
  <si>
    <t xml:space="preserve">computeMW.tokenomicsRef.capexPerGW.v</t>
  </si>
  <si>
    <t xml:space="preserve">43.2</t>
  </si>
  <si>
    <t xml:space="preserve">computeMW.tokenomicsRef.capexPerGW.cell</t>
  </si>
  <si>
    <t xml:space="preserve">"DC_Cost_Model!D60"</t>
  </si>
  <si>
    <t xml:space="preserve">computeMW.tokenomicsRef.tag</t>
  </si>
  <si>
    <t xml:space="preserve">computeMW.tokenomicsRef.chk</t>
  </si>
  <si>
    <t xml:space="preserve">computeMW.genFactor.hopper.v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</si>
  <si>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</si>
  <si>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computeMW.genFactor.hopper.lo</t>
  </si>
  <si>
    <t xml:space="preserve">computeMW.genFactor.hopper.hi</t>
  </si>
  <si>
    <t xml:space="preserve">computeMW.genFactor.hopper.tag</t>
  </si>
  <si>
    <t xml:space="preserve">computeMW.genFactor.custom.v</t>
  </si>
  <si>
    <t xml:space="preserve">computeMW.genFactor.custom.lo</t>
  </si>
  <si>
    <t xml:space="preserve">computeMW.genFactor.custom.hi</t>
  </si>
  <si>
    <t xml:space="preserve">computeMW.genFactor.custom.tag</t>
  </si>
  <si>
    <t xml:space="preserve">computeMW.genFactor.custom.src</t>
  </si>
  <si>
    <r>
      <rPr>
        <sz val="10"/>
        <color rgb="FF000000"/>
        <rFont val="Arial"/>
        <family val="0"/>
        <charset val="1"/>
      </rPr>
      <t xml:space="preserve">"Cerebras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Broadcom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Trainium"</t>
    </r>
  </si>
  <si>
    <t xml:space="preserve">computeMW.genFactor.nextGen.v</t>
  </si>
  <si>
    <t xml:space="preserve">1.8</t>
  </si>
  <si>
    <r>
      <rPr>
        <sz val="10"/>
        <color rgb="FF000000"/>
        <rFont val="Arial"/>
        <family val="0"/>
        <charset val="1"/>
      </rPr>
      <t xml:space="preserve">TK_Link IF_TokGW_*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世代欄）</t>
    </r>
  </si>
  <si>
    <t xml:space="preserve">computeMW.genFactor.nextGen.lo</t>
  </si>
  <si>
    <t xml:space="preserve">computeMW.genFactor.nextGen.hi</t>
  </si>
  <si>
    <t xml:space="preserve">computeMW.genFactor.nextGen.tag</t>
  </si>
  <si>
    <t xml:space="preserve">computeMW.genFactor.nextGen.src</t>
  </si>
  <si>
    <r>
      <rPr>
        <sz val="10"/>
        <color rgb="FF000000"/>
        <rFont val="Arial"/>
        <family val="0"/>
        <charset val="1"/>
      </rPr>
      <t xml:space="preserve">"Rubin Ultra </t>
    </r>
    <r>
      <rPr>
        <sz val="10"/>
        <color rgb="FF000000"/>
        <rFont val="Noto Sans CJK SC"/>
        <family val="2"/>
      </rPr>
      <t xml:space="preserve">以後</t>
    </r>
    <r>
      <rPr>
        <sz val="10"/>
        <color rgb="FF000000"/>
        <rFont val="Arial"/>
        <family val="0"/>
        <charset val="1"/>
      </rPr>
      <t xml:space="preserve">"</t>
    </r>
  </si>
  <si>
    <t xml:space="preserve">computeMW.fleetMix._note</t>
  </si>
  <si>
    <r>
      <rPr>
        <sz val="10"/>
        <color rgb="FF000000"/>
        <rFont val="Arial"/>
        <family val="0"/>
        <charset val="1"/>
      </rPr>
      <t xml:space="preserve">"</t>
    </r>
    <r>
      <rPr>
        <sz val="10"/>
        <color rgb="FF000000"/>
        <rFont val="Noto Sans CJK SC"/>
        <family val="2"/>
      </rPr>
      <t xml:space="preserve">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  <r>
      <rPr>
        <sz val="10"/>
        <color rgb="FF000000"/>
        <rFont val="Arial"/>
        <family val="0"/>
        <charset val="1"/>
      </rPr>
      <t xml:space="preserve">"</t>
    </r>
  </si>
  <si>
    <t xml:space="preserve">fleetMix</t>
  </si>
  <si>
    <r>
      <rPr>
        <sz val="10"/>
        <color rgb="FF000000"/>
        <rFont val="Noto Sans CJK SC"/>
        <family val="2"/>
      </rPr>
      <t xml:space="preserve">說明文字：實體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世代占比；自研／其他＝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其餘</t>
    </r>
  </si>
  <si>
    <t xml:space="preserve">computeMW.fleetMix.hopper.0</t>
  </si>
  <si>
    <t xml:space="preserve">computeMW.fleetMix.hopper.1</t>
  </si>
  <si>
    <t xml:space="preserve">computeMW.fleetMix.hopper.2</t>
  </si>
  <si>
    <t xml:space="preserve">computeMW.fleetMix.hopper.3</t>
  </si>
  <si>
    <t xml:space="preserve">computeMW.fleetMix.hopper.4</t>
  </si>
  <si>
    <t xml:space="preserve">computeMW.fleetMix.hopper.5</t>
  </si>
  <si>
    <t xml:space="preserve">computeMW.fleetMix.blackwell.0</t>
  </si>
  <si>
    <t xml:space="preserve">computeMW.fleetMix.blackwell.1</t>
  </si>
  <si>
    <t xml:space="preserve">computeMW.fleetMix.blackwell.2</t>
  </si>
  <si>
    <t xml:space="preserve">computeMW.fleetMix.blackwell.3</t>
  </si>
  <si>
    <t xml:space="preserve">computeMW.fleetMix.blackwell.4</t>
  </si>
  <si>
    <t xml:space="preserve">computeMW.fleetMix.blackwell.5</t>
  </si>
  <si>
    <t xml:space="preserve">computeMW.fleetMix.veraRubin.0</t>
  </si>
  <si>
    <t xml:space="preserve">computeMW.fleetMix.veraRubin.1</t>
  </si>
  <si>
    <t xml:space="preserve">computeMW.fleetMix.veraRubin.2</t>
  </si>
  <si>
    <t xml:space="preserve">computeMW.fleetMix.veraRubin.3</t>
  </si>
  <si>
    <t xml:space="preserve">computeMW.fleetMix.veraRubin.4</t>
  </si>
  <si>
    <t xml:space="preserve">computeMW.fleetMix.veraRubin.5</t>
  </si>
  <si>
    <t xml:space="preserve">computeMW.fleetMix.nextGen.0</t>
  </si>
  <si>
    <t xml:space="preserve">computeMW.fleetMix.nextGen.1</t>
  </si>
  <si>
    <t xml:space="preserve">computeMW.fleetMix.nextGen.2</t>
  </si>
  <si>
    <t xml:space="preserve">computeMW.fleetMix.nextGen.3</t>
  </si>
  <si>
    <t xml:space="preserve">computeMW.fleetMix.nextGen.4</t>
  </si>
  <si>
    <t xml:space="preserve">computeMW.fleetMix.nextGen.5</t>
  </si>
  <si>
    <t xml:space="preserve">computeMW.fleetMix.tag</t>
  </si>
  <si>
    <r>
      <rPr>
        <sz val="10"/>
        <color rgb="FF000000"/>
        <rFont val="Arial"/>
        <family val="0"/>
        <charset val="1"/>
      </rPr>
      <t xml:space="preserve">fleetMix </t>
    </r>
    <r>
      <rPr>
        <sz val="10"/>
        <color rgb="FF000000"/>
        <rFont val="Noto Sans CJK SC"/>
        <family val="2"/>
      </rPr>
      <t xml:space="preserve">各列</t>
    </r>
  </si>
  <si>
    <t xml:space="preserve">computeMW.fleetMix.chk</t>
  </si>
  <si>
    <t xml:space="preserve">1.9</t>
  </si>
  <si>
    <t xml:space="preserve">computeMW.actuals.tag</t>
  </si>
  <si>
    <t xml:space="preserve">算力規模各列</t>
  </si>
  <si>
    <t xml:space="preserve">computeMW.actuals.src</t>
  </si>
  <si>
    <r>
      <rPr>
        <sz val="10"/>
        <color rgb="FF000000"/>
        <rFont val="Arial"/>
        <family val="0"/>
        <charset val="1"/>
      </rPr>
      <t xml:space="preserve">"CFO Friar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2026-01-18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／約 </t>
    </r>
    <r>
      <rPr>
        <sz val="10"/>
        <color rgb="FF000000"/>
        <rFont val="Arial"/>
        <family val="0"/>
        <charset val="1"/>
      </rPr>
      <t xml:space="preserve">1.9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ARR $2B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$20B+"</t>
    </r>
  </si>
  <si>
    <t xml:space="preserve">computeMW.actuals.chk</t>
  </si>
  <si>
    <t xml:space="preserve">computeMW.leasePricePerGWyr.v</t>
  </si>
  <si>
    <t xml:space="preserve">computeMW.leasePricePerGWyr.lo</t>
  </si>
  <si>
    <t xml:space="preserve">computeMW.leasePricePerGWyr.hi</t>
  </si>
  <si>
    <t xml:space="preserve">16</t>
  </si>
  <si>
    <t xml:space="preserve">computeMW.leasePricePerGWyr.tag</t>
  </si>
  <si>
    <t xml:space="preserve">computeMW.leasePricePerGWyr.src</t>
  </si>
  <si>
    <r>
      <rPr>
        <sz val="10"/>
        <color rgb="FF000000"/>
        <rFont val="Arial"/>
        <family val="0"/>
        <charset val="1"/>
      </rPr>
      <t xml:space="preserve">"Oracle $300B÷5 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÷4.5GW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$13.3B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合約現金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GW≈$11.8B"</t>
    </r>
  </si>
  <si>
    <t xml:space="preserve">computeMW.idleReserve.v</t>
  </si>
  <si>
    <t xml:space="preserve">computeMW.idleReserve.tag</t>
  </si>
  <si>
    <t xml:space="preserve">computeMW.minTrainingShare.v</t>
  </si>
  <si>
    <t xml:space="preserve">computeMW.minTrainingShare.tag</t>
  </si>
  <si>
    <t xml:space="preserve">computeMW.minTrainingShare.src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</si>
  <si>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容量上限：推論可用＝</t>
    </r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供給</t>
    </r>
    <r>
      <rPr>
        <sz val="10"/>
        <color rgb="FF000000"/>
        <rFont val="Arial"/>
        <family val="0"/>
        <charset val="1"/>
      </rPr>
      <t xml:space="preserve">×(1−</t>
    </r>
    <r>
      <rPr>
        <sz val="10"/>
        <color rgb="FF000000"/>
        <rFont val="Noto Sans CJK SC"/>
        <family val="2"/>
      </rPr>
      <t xml:space="preserve">閒置</t>
    </r>
    <r>
      <rPr>
        <sz val="10"/>
        <color rgb="FF000000"/>
        <rFont val="Arial"/>
        <family val="0"/>
        <charset val="1"/>
      </rPr>
      <t xml:space="preserve">)×(1−</t>
    </r>
    <r>
      <rPr>
        <sz val="10"/>
        <color rgb="FF000000"/>
        <rFont val="Noto Sans CJK SC"/>
        <family val="2"/>
      </rPr>
      <t xml:space="preserve">訓練最低占比</t>
    </r>
    <r>
      <rPr>
        <sz val="10"/>
        <color rgb="FF000000"/>
        <rFont val="Arial"/>
        <family val="0"/>
        <charset val="1"/>
      </rPr>
      <t xml:space="preserve">)"</t>
    </r>
  </si>
  <si>
    <t xml:space="preserve">computeMW.decisions</t>
  </si>
  <si>
    <r>
      <rPr>
        <sz val="10"/>
        <color rgb="FF000000"/>
        <rFont val="Arial"/>
        <family val="0"/>
        <charset val="1"/>
      </rPr>
      <t xml:space="preserve">"V1a </t>
    </r>
    <r>
      <rPr>
        <sz val="10"/>
        <color rgb="FF000000"/>
        <rFont val="Noto Sans CJK SC"/>
        <family val="2"/>
      </rPr>
      <t xml:space="preserve">營收以可用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為上限；</t>
    </r>
    <r>
      <rPr>
        <sz val="10"/>
        <color rgb="FF000000"/>
        <rFont val="Arial"/>
        <family val="0"/>
        <charset val="1"/>
      </rPr>
      <t xml:space="preserve">V2a </t>
    </r>
    <r>
      <rPr>
        <sz val="10"/>
        <color rgb="FF000000"/>
        <rFont val="Noto Sans CJK SC"/>
        <family val="2"/>
      </rPr>
      <t xml:space="preserve">供應商資金只列或有（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"</t>
    </r>
  </si>
  <si>
    <r>
      <rPr>
        <sz val="10"/>
        <color rgb="FF000000"/>
        <rFont val="Noto Sans CJK SC"/>
        <family val="2"/>
      </rPr>
      <t xml:space="preserve">決策記錄（</t>
    </r>
    <r>
      <rPr>
        <sz val="10"/>
        <color rgb="FF000000"/>
        <rFont val="Arial"/>
        <family val="0"/>
        <charset val="1"/>
      </rPr>
      <t xml:space="preserve">V1a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V2a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P3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P5 </t>
    </r>
    <r>
      <rPr>
        <sz val="10"/>
        <color rgb="FF000000"/>
        <rFont val="Noto Sans CJK SC"/>
        <family val="2"/>
      </rPr>
      <t xml:space="preserve">以公式結構體現；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保留於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欄</t>
    </r>
  </si>
  <si>
    <t xml:space="preserve">sheet</t>
  </si>
  <si>
    <t xml:space="preserve">id</t>
  </si>
  <si>
    <t xml:space="preserve">col</t>
  </si>
  <si>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預設值（上次寫入）</t>
    </r>
  </si>
  <si>
    <t xml:space="preserve">C</t>
  </si>
  <si>
    <t xml:space="preserve">D</t>
  </si>
  <si>
    <t xml:space="preserve">E</t>
  </si>
  <si>
    <r>
      <rPr>
        <sz val="11"/>
        <color theme="1"/>
        <rFont val="Calibri"/>
        <family val="2"/>
        <charset val="1"/>
      </rPr>
      <t xml:space="preserve">07-09 GPT-5.6 Sol 5/30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Terra 2.5/15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1/6</t>
    </r>
  </si>
  <si>
    <r>
      <rPr>
        <sz val="11"/>
        <color theme="1"/>
        <rFont val="Calibri"/>
        <family val="2"/>
        <charset val="1"/>
      </rPr>
      <t xml:space="preserve">07-30 Terra 2/12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Luna 0.2/1.2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-80%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</si>
  <si>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08-22 Sol </t>
    </r>
    <r>
      <rPr>
        <sz val="11"/>
        <color theme="1"/>
        <rFont val="Noto Sans CJK SC"/>
        <family val="2"/>
      </rPr>
      <t xml:space="preserve">促銷 </t>
    </r>
    <r>
      <rPr>
        <sz val="11"/>
        <color theme="1"/>
        <rFont val="Calibri"/>
        <family val="2"/>
        <charset val="1"/>
      </rPr>
      <t xml:space="preserve">4/20</t>
    </r>
  </si>
  <si>
    <r>
      <rPr>
        <sz val="11"/>
        <color theme="1"/>
        <rFont val="Calibri"/>
        <family val="2"/>
        <charset val="1"/>
      </rPr>
      <t xml:space="preserve">09-03 GPT-6 Astra 10/50</t>
    </r>
    <r>
      <rPr>
        <sz val="11"/>
        <color theme="1"/>
        <rFont val="Noto Sans CJK SC"/>
        <family val="2"/>
      </rPr>
      <t xml:space="preserve">（新旗艦，層級價格上升）</t>
    </r>
  </si>
  <si>
    <r>
      <rPr>
        <sz val="11"/>
        <color theme="1"/>
        <rFont val="Calibri"/>
        <family val="2"/>
        <charset val="1"/>
      </rPr>
      <t xml:space="preserve">09-22 GPT-6 Sol 2/10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Luna 0.1/0.5</t>
    </r>
  </si>
  <si>
    <t xml:space="preserve">F</t>
  </si>
  <si>
    <t xml:space="preserve">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</si>
</sst>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9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s">
        <v>5</v>
      </c>
    </row>
    <row r="6" customFormat="false" ht="15" hidden="false" customHeight="false" outlineLevel="0" collapsed="false">
      <c r="A6" s="5" t="s">
        <v>6</v>
      </c>
      <c r="B6" s="4" t="s">
        <v>7</v>
      </c>
    </row>
    <row r="7" customFormat="false" ht="15" hidden="false" customHeight="false" outlineLevel="0" collapsed="false">
      <c r="A7" s="5" t="s">
        <v>8</v>
      </c>
      <c r="B7" s="4" t="s">
        <v>9</v>
      </c>
    </row>
    <row r="8" customFormat="false" ht="15" hidden="false" customHeight="false" outlineLevel="0" collapsed="false">
      <c r="A8" s="5" t="s">
        <v>10</v>
      </c>
      <c r="B8" s="4" t="s">
        <v>11</v>
      </c>
    </row>
    <row r="9" customFormat="false" ht="15" hidden="false" customHeight="false" outlineLevel="0" collapsed="false">
      <c r="A9" s="5" t="s">
        <v>12</v>
      </c>
      <c r="B9" s="4" t="s">
        <v>13</v>
      </c>
    </row>
    <row r="10" customFormat="false" ht="15" hidden="false" customHeight="false" outlineLevel="0" collapsed="false">
      <c r="A10" s="5" t="s">
        <v>14</v>
      </c>
      <c r="B10" s="4" t="s">
        <v>15</v>
      </c>
    </row>
    <row r="11" customFormat="false" ht="15" hidden="false" customHeight="false" outlineLevel="0" collapsed="false">
      <c r="A11" s="5" t="s">
        <v>16</v>
      </c>
      <c r="B11" s="4" t="s">
        <v>17</v>
      </c>
    </row>
    <row r="12" customFormat="false" ht="15" hidden="false" customHeight="false" outlineLevel="0" collapsed="false">
      <c r="A12" s="5" t="s">
        <v>18</v>
      </c>
      <c r="B12" s="4" t="s">
        <v>19</v>
      </c>
    </row>
    <row r="13" customFormat="false" ht="29.85" hidden="false" customHeight="false" outlineLevel="0" collapsed="false">
      <c r="A13" s="3" t="s">
        <v>20</v>
      </c>
      <c r="B13" s="6" t="s">
        <v>21</v>
      </c>
    </row>
    <row r="14" customFormat="false" ht="15" hidden="false" customHeight="false" outlineLevel="0" collapsed="false">
      <c r="A14" s="3" t="s">
        <v>22</v>
      </c>
      <c r="B14" s="4" t="s">
        <v>23</v>
      </c>
    </row>
    <row r="15" customFormat="false" ht="15" hidden="false" customHeight="false" outlineLevel="0" collapsed="false">
      <c r="A15" s="3" t="s">
        <v>24</v>
      </c>
      <c r="B15" s="6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40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50"/>
  </cols>
  <sheetData>
    <row r="1" customFormat="false" ht="20.1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3" customFormat="false" ht="15" hidden="false" customHeight="false" outlineLevel="0" collapsed="false">
      <c r="A3" s="2" t="s">
        <v>28</v>
      </c>
    </row>
    <row r="4" customFormat="false" ht="44" hidden="false" customHeight="false" outlineLevel="0" collapsed="false">
      <c r="A4" s="7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8" t="s">
        <v>38</v>
      </c>
      <c r="K4" s="8" t="s">
        <v>39</v>
      </c>
      <c r="L4" s="8" t="s">
        <v>40</v>
      </c>
      <c r="M4" s="8" t="s">
        <v>41</v>
      </c>
      <c r="N4" s="8" t="s">
        <v>42</v>
      </c>
      <c r="O4" s="8" t="s">
        <v>43</v>
      </c>
      <c r="P4" s="8" t="s">
        <v>44</v>
      </c>
      <c r="Q4" s="7" t="s">
        <v>45</v>
      </c>
      <c r="R4" s="8" t="s">
        <v>46</v>
      </c>
      <c r="S4" s="7" t="s">
        <v>47</v>
      </c>
      <c r="T4" s="8" t="s">
        <v>48</v>
      </c>
      <c r="U4" s="8" t="s">
        <v>49</v>
      </c>
      <c r="V4" s="8" t="s">
        <v>50</v>
      </c>
      <c r="W4" s="8" t="s">
        <v>51</v>
      </c>
      <c r="X4" s="8" t="s">
        <v>52</v>
      </c>
      <c r="Y4" s="8" t="s">
        <v>53</v>
      </c>
    </row>
    <row r="5" customFormat="false" ht="15" hidden="false" customHeight="false" outlineLevel="0" collapsed="false">
      <c r="A5" s="9" t="s">
        <v>54</v>
      </c>
      <c r="B5" s="10" t="s">
        <v>55</v>
      </c>
      <c r="C5" s="11" t="n">
        <v>3.7</v>
      </c>
      <c r="D5" s="9"/>
      <c r="E5" s="9"/>
      <c r="F5" s="9" t="s">
        <v>56</v>
      </c>
      <c r="G5" s="9" t="s">
        <v>57</v>
      </c>
      <c r="H5" s="9" t="s">
        <v>58</v>
      </c>
      <c r="I5" s="9" t="s">
        <v>59</v>
      </c>
      <c r="J5" s="9" t="s">
        <v>60</v>
      </c>
      <c r="K5" s="9" t="s">
        <v>61</v>
      </c>
      <c r="L5" s="10" t="s">
        <v>62</v>
      </c>
      <c r="M5" s="10" t="s">
        <v>63</v>
      </c>
      <c r="N5" s="10" t="s">
        <v>64</v>
      </c>
      <c r="O5" s="9" t="s">
        <v>65</v>
      </c>
      <c r="P5" s="9" t="s">
        <v>59</v>
      </c>
      <c r="Q5" s="9" t="s">
        <v>66</v>
      </c>
      <c r="R5" s="9" t="s">
        <v>59</v>
      </c>
      <c r="S5" s="9" t="s">
        <v>67</v>
      </c>
      <c r="T5" s="9" t="s">
        <v>68</v>
      </c>
      <c r="U5" s="9"/>
      <c r="V5" s="9" t="n">
        <f aca="false">IF(AND($O5="Active",$C5="",$D5="",$E5="",$F5&lt;&gt;"文字"),1,0)</f>
        <v>0</v>
      </c>
      <c r="W5" s="9" t="n">
        <f aca="false">IF(AND($O5="Active",OR($J5="",$J5="—")),1,0)</f>
        <v>0</v>
      </c>
      <c r="X5" s="9" t="n">
        <f aca="false">IF(AND(ISNUMBER($C5),ISNUMBER($D5),ISNUMBER($E5)),IF(AND($D5&lt;=$C5,$C5&lt;=$E5),0,1),0)</f>
        <v>0</v>
      </c>
      <c r="Y5" s="12" t="s">
        <v>69</v>
      </c>
    </row>
    <row r="6" customFormat="false" ht="15" hidden="false" customHeight="false" outlineLevel="0" collapsed="false">
      <c r="A6" s="9" t="s">
        <v>70</v>
      </c>
      <c r="B6" s="10" t="s">
        <v>71</v>
      </c>
      <c r="C6" s="11" t="n">
        <v>13.07</v>
      </c>
      <c r="D6" s="9"/>
      <c r="E6" s="9"/>
      <c r="F6" s="9" t="s">
        <v>56</v>
      </c>
      <c r="G6" s="9" t="s">
        <v>72</v>
      </c>
      <c r="H6" s="9" t="s">
        <v>58</v>
      </c>
      <c r="I6" s="9" t="s">
        <v>73</v>
      </c>
      <c r="J6" s="9" t="s">
        <v>74</v>
      </c>
      <c r="K6" s="9" t="s">
        <v>61</v>
      </c>
      <c r="L6" s="10" t="s">
        <v>62</v>
      </c>
      <c r="M6" s="10" t="s">
        <v>75</v>
      </c>
      <c r="N6" s="10" t="s">
        <v>76</v>
      </c>
      <c r="O6" s="9" t="s">
        <v>65</v>
      </c>
      <c r="P6" s="9" t="s">
        <v>59</v>
      </c>
      <c r="Q6" s="9" t="s">
        <v>66</v>
      </c>
      <c r="R6" s="9" t="s">
        <v>59</v>
      </c>
      <c r="S6" s="9" t="s">
        <v>77</v>
      </c>
      <c r="T6" s="9" t="s">
        <v>68</v>
      </c>
      <c r="U6" s="9"/>
      <c r="V6" s="9" t="n">
        <f aca="false">IF(AND($O6="Active",$C6="",$D6="",$E6="",$F6&lt;&gt;"文字"),1,0)</f>
        <v>0</v>
      </c>
      <c r="W6" s="9" t="n">
        <f aca="false">IF(AND($O6="Active",OR($J6="",$J6="—")),1,0)</f>
        <v>0</v>
      </c>
      <c r="X6" s="9" t="n">
        <f aca="false">IF(AND(ISNUMBER($C6),ISNUMBER($D6),ISNUMBER($E6)),IF(AND($D6&lt;=$C6,$C6&lt;=$E6),0,1),0)</f>
        <v>0</v>
      </c>
      <c r="Y6" s="12" t="s">
        <v>69</v>
      </c>
    </row>
    <row r="7" customFormat="false" ht="15" hidden="false" customHeight="false" outlineLevel="0" collapsed="false">
      <c r="A7" s="9" t="s">
        <v>78</v>
      </c>
      <c r="B7" s="10" t="s">
        <v>79</v>
      </c>
      <c r="C7" s="11" t="n">
        <v>7.5</v>
      </c>
      <c r="D7" s="9"/>
      <c r="E7" s="9"/>
      <c r="F7" s="9" t="s">
        <v>56</v>
      </c>
      <c r="G7" s="10" t="s">
        <v>80</v>
      </c>
      <c r="H7" s="9" t="s">
        <v>58</v>
      </c>
      <c r="I7" s="9" t="s">
        <v>73</v>
      </c>
      <c r="J7" s="9" t="s">
        <v>81</v>
      </c>
      <c r="K7" s="9" t="s">
        <v>61</v>
      </c>
      <c r="L7" s="10" t="s">
        <v>62</v>
      </c>
      <c r="M7" s="10" t="s">
        <v>75</v>
      </c>
      <c r="N7" s="10" t="s">
        <v>76</v>
      </c>
      <c r="O7" s="9" t="s">
        <v>65</v>
      </c>
      <c r="P7" s="9" t="s">
        <v>59</v>
      </c>
      <c r="Q7" s="9" t="s">
        <v>66</v>
      </c>
      <c r="R7" s="9" t="s">
        <v>59</v>
      </c>
      <c r="S7" s="9" t="s">
        <v>82</v>
      </c>
      <c r="T7" s="9" t="s">
        <v>83</v>
      </c>
      <c r="U7" s="9"/>
      <c r="V7" s="9" t="n">
        <f aca="false">IF(AND($O7="Active",$C7="",$D7="",$E7="",$F7&lt;&gt;"文字"),1,0)</f>
        <v>0</v>
      </c>
      <c r="W7" s="9" t="n">
        <f aca="false">IF(AND($O7="Active",OR($J7="",$J7="—")),1,0)</f>
        <v>0</v>
      </c>
      <c r="X7" s="9" t="n">
        <f aca="false">IF(AND(ISNUMBER($C7),ISNUMBER($D7),ISNUMBER($E7)),IF(AND($D7&lt;=$C7,$C7&lt;=$E7),0,1),0)</f>
        <v>0</v>
      </c>
      <c r="Y7" s="12" t="s">
        <v>69</v>
      </c>
    </row>
    <row r="8" customFormat="false" ht="15" hidden="false" customHeight="false" outlineLevel="0" collapsed="false">
      <c r="A8" s="9" t="s">
        <v>84</v>
      </c>
      <c r="B8" s="10" t="s">
        <v>85</v>
      </c>
      <c r="C8" s="11" t="n">
        <v>5.7</v>
      </c>
      <c r="D8" s="9"/>
      <c r="E8" s="9"/>
      <c r="F8" s="9" t="s">
        <v>56</v>
      </c>
      <c r="G8" s="9" t="s">
        <v>86</v>
      </c>
      <c r="H8" s="9" t="s">
        <v>58</v>
      </c>
      <c r="I8" s="9" t="s">
        <v>87</v>
      </c>
      <c r="J8" s="9" t="s">
        <v>88</v>
      </c>
      <c r="K8" s="9" t="s">
        <v>61</v>
      </c>
      <c r="L8" s="10" t="s">
        <v>62</v>
      </c>
      <c r="M8" s="10" t="s">
        <v>75</v>
      </c>
      <c r="N8" s="10" t="s">
        <v>89</v>
      </c>
      <c r="O8" s="9" t="s">
        <v>65</v>
      </c>
      <c r="P8" s="9" t="s">
        <v>59</v>
      </c>
      <c r="Q8" s="9" t="s">
        <v>66</v>
      </c>
      <c r="R8" s="9" t="s">
        <v>59</v>
      </c>
      <c r="S8" s="9" t="s">
        <v>90</v>
      </c>
      <c r="T8" s="9" t="s">
        <v>91</v>
      </c>
      <c r="U8" s="9"/>
      <c r="V8" s="9" t="n">
        <f aca="false">IF(AND($O8="Active",$C8="",$D8="",$E8="",$F8&lt;&gt;"文字"),1,0)</f>
        <v>0</v>
      </c>
      <c r="W8" s="9" t="n">
        <f aca="false">IF(AND($O8="Active",OR($J8="",$J8="—")),1,0)</f>
        <v>0</v>
      </c>
      <c r="X8" s="9" t="n">
        <f aca="false">IF(AND(ISNUMBER($C8),ISNUMBER($D8),ISNUMBER($E8)),IF(AND($D8&lt;=$C8,$C8&lt;=$E8),0,1),0)</f>
        <v>0</v>
      </c>
      <c r="Y8" s="12" t="s">
        <v>69</v>
      </c>
    </row>
    <row r="9" customFormat="false" ht="15" hidden="false" customHeight="false" outlineLevel="0" collapsed="false">
      <c r="A9" s="9" t="s">
        <v>92</v>
      </c>
      <c r="B9" s="10" t="s">
        <v>93</v>
      </c>
      <c r="C9" s="11" t="n">
        <v>6.7</v>
      </c>
      <c r="D9" s="9"/>
      <c r="E9" s="9"/>
      <c r="F9" s="9" t="s">
        <v>56</v>
      </c>
      <c r="G9" s="9" t="s">
        <v>94</v>
      </c>
      <c r="H9" s="9" t="s">
        <v>58</v>
      </c>
      <c r="I9" s="9" t="s">
        <v>95</v>
      </c>
      <c r="J9" s="9" t="s">
        <v>96</v>
      </c>
      <c r="K9" s="9" t="s">
        <v>61</v>
      </c>
      <c r="L9" s="10" t="s">
        <v>62</v>
      </c>
      <c r="M9" s="10" t="s">
        <v>75</v>
      </c>
      <c r="N9" s="10" t="s">
        <v>89</v>
      </c>
      <c r="O9" s="9" t="s">
        <v>65</v>
      </c>
      <c r="P9" s="9" t="s">
        <v>59</v>
      </c>
      <c r="Q9" s="9" t="s">
        <v>66</v>
      </c>
      <c r="R9" s="9" t="s">
        <v>59</v>
      </c>
      <c r="S9" s="9" t="s">
        <v>97</v>
      </c>
      <c r="T9" s="9" t="s">
        <v>98</v>
      </c>
      <c r="U9" s="9"/>
      <c r="V9" s="9" t="n">
        <f aca="false">IF(AND($O9="Active",$C9="",$D9="",$E9="",$F9&lt;&gt;"文字"),1,0)</f>
        <v>0</v>
      </c>
      <c r="W9" s="9" t="n">
        <f aca="false">IF(AND($O9="Active",OR($J9="",$J9="—")),1,0)</f>
        <v>0</v>
      </c>
      <c r="X9" s="9" t="n">
        <f aca="false">IF(AND(ISNUMBER($C9),ISNUMBER($D9),ISNUMBER($E9)),IF(AND($D9&lt;=$C9,$C9&lt;=$E9),0,1),0)</f>
        <v>0</v>
      </c>
      <c r="Y9" s="12" t="s">
        <v>69</v>
      </c>
    </row>
    <row r="10" customFormat="false" ht="15" hidden="false" customHeight="false" outlineLevel="0" collapsed="false">
      <c r="A10" s="9" t="s">
        <v>99</v>
      </c>
      <c r="B10" s="10" t="s">
        <v>100</v>
      </c>
      <c r="C10" s="11" t="n">
        <v>40</v>
      </c>
      <c r="D10" s="9"/>
      <c r="E10" s="9"/>
      <c r="F10" s="9" t="s">
        <v>56</v>
      </c>
      <c r="G10" s="9" t="s">
        <v>101</v>
      </c>
      <c r="H10" s="9" t="s">
        <v>58</v>
      </c>
      <c r="I10" s="9" t="s">
        <v>102</v>
      </c>
      <c r="J10" s="9" t="s">
        <v>103</v>
      </c>
      <c r="K10" s="9" t="s">
        <v>61</v>
      </c>
      <c r="L10" s="10" t="s">
        <v>62</v>
      </c>
      <c r="M10" s="10" t="s">
        <v>104</v>
      </c>
      <c r="N10" s="10" t="s">
        <v>89</v>
      </c>
      <c r="O10" s="9" t="s">
        <v>65</v>
      </c>
      <c r="P10" s="9" t="s">
        <v>59</v>
      </c>
      <c r="Q10" s="9" t="s">
        <v>66</v>
      </c>
      <c r="R10" s="9" t="s">
        <v>59</v>
      </c>
      <c r="S10" s="9" t="s">
        <v>105</v>
      </c>
      <c r="T10" s="9" t="s">
        <v>98</v>
      </c>
      <c r="U10" s="9"/>
      <c r="V10" s="9" t="n">
        <f aca="false">IF(AND($O10="Active",$C10="",$D10="",$E10="",$F10&lt;&gt;"文字"),1,0)</f>
        <v>0</v>
      </c>
      <c r="W10" s="9" t="n">
        <f aca="false">IF(AND($O10="Active",OR($J10="",$J10="—")),1,0)</f>
        <v>0</v>
      </c>
      <c r="X10" s="9" t="n">
        <f aca="false">IF(AND(ISNUMBER($C10),ISNUMBER($D10),ISNUMBER($E10)),IF(AND($D10&lt;=$C10,$C10&lt;=$E10),0,1),0)</f>
        <v>0</v>
      </c>
      <c r="Y10" s="12" t="s">
        <v>69</v>
      </c>
    </row>
    <row r="11" customFormat="false" ht="15" hidden="false" customHeight="false" outlineLevel="0" collapsed="false">
      <c r="A11" s="9" t="s">
        <v>106</v>
      </c>
      <c r="B11" s="10" t="s">
        <v>107</v>
      </c>
      <c r="C11" s="11" t="n">
        <v>0.6</v>
      </c>
      <c r="D11" s="9"/>
      <c r="E11" s="9"/>
      <c r="F11" s="10" t="s">
        <v>108</v>
      </c>
      <c r="G11" s="10" t="s">
        <v>109</v>
      </c>
      <c r="H11" s="9" t="s">
        <v>58</v>
      </c>
      <c r="I11" s="9" t="s">
        <v>110</v>
      </c>
      <c r="J11" s="9" t="s">
        <v>111</v>
      </c>
      <c r="K11" s="9" t="s">
        <v>61</v>
      </c>
      <c r="L11" s="10" t="s">
        <v>62</v>
      </c>
      <c r="M11" s="10" t="s">
        <v>75</v>
      </c>
      <c r="N11" s="10" t="s">
        <v>89</v>
      </c>
      <c r="O11" s="9" t="s">
        <v>65</v>
      </c>
      <c r="P11" s="9" t="s">
        <v>59</v>
      </c>
      <c r="Q11" s="9" t="s">
        <v>66</v>
      </c>
      <c r="R11" s="9" t="s">
        <v>59</v>
      </c>
      <c r="S11" s="9" t="s">
        <v>112</v>
      </c>
      <c r="T11" s="9" t="s">
        <v>98</v>
      </c>
      <c r="U11" s="9"/>
      <c r="V11" s="9" t="n">
        <f aca="false">IF(AND($O11="Active",$C11="",$D11="",$E11="",$F11&lt;&gt;"文字"),1,0)</f>
        <v>0</v>
      </c>
      <c r="W11" s="9" t="n">
        <f aca="false">IF(AND($O11="Active",OR($J11="",$J11="—")),1,0)</f>
        <v>0</v>
      </c>
      <c r="X11" s="9" t="n">
        <f aca="false">IF(AND(ISNUMBER($C11),ISNUMBER($D11),ISNUMBER($E11)),IF(AND($D11&lt;=$C11,$C11&lt;=$E11),0,1),0)</f>
        <v>0</v>
      </c>
      <c r="Y11" s="12" t="s">
        <v>69</v>
      </c>
    </row>
    <row r="12" customFormat="false" ht="15" hidden="false" customHeight="false" outlineLevel="0" collapsed="false">
      <c r="A12" s="9" t="s">
        <v>113</v>
      </c>
      <c r="B12" s="9" t="s">
        <v>114</v>
      </c>
      <c r="C12" s="11" t="n">
        <v>6</v>
      </c>
      <c r="D12" s="9"/>
      <c r="E12" s="9"/>
      <c r="F12" s="9" t="s">
        <v>115</v>
      </c>
      <c r="G12" s="9" t="s">
        <v>116</v>
      </c>
      <c r="H12" s="9" t="s">
        <v>58</v>
      </c>
      <c r="I12" s="9" t="s">
        <v>117</v>
      </c>
      <c r="J12" s="9" t="s">
        <v>118</v>
      </c>
      <c r="K12" s="9" t="s">
        <v>61</v>
      </c>
      <c r="L12" s="10" t="s">
        <v>62</v>
      </c>
      <c r="M12" s="10" t="s">
        <v>104</v>
      </c>
      <c r="N12" s="10" t="s">
        <v>119</v>
      </c>
      <c r="O12" s="9" t="s">
        <v>65</v>
      </c>
      <c r="P12" s="9" t="s">
        <v>59</v>
      </c>
      <c r="Q12" s="9" t="s">
        <v>66</v>
      </c>
      <c r="R12" s="9" t="s">
        <v>59</v>
      </c>
      <c r="S12" s="9" t="s">
        <v>120</v>
      </c>
      <c r="T12" s="9" t="s">
        <v>121</v>
      </c>
      <c r="U12" s="9" t="s">
        <v>122</v>
      </c>
      <c r="V12" s="9" t="n">
        <f aca="false">IF(AND($O12="Active",$C12="",$D12="",$E12="",$F12&lt;&gt;"文字"),1,0)</f>
        <v>0</v>
      </c>
      <c r="W12" s="9" t="n">
        <f aca="false">IF(AND($O12="Active",OR($J12="",$J12="—")),1,0)</f>
        <v>0</v>
      </c>
      <c r="X12" s="9" t="n">
        <f aca="false">IF(AND(ISNUMBER($C12),ISNUMBER($D12),ISNUMBER($E12)),IF(AND($D12&lt;=$C12,$C12&lt;=$E12),0,1),0)</f>
        <v>0</v>
      </c>
      <c r="Y12" s="12" t="s">
        <v>69</v>
      </c>
    </row>
    <row r="13" customFormat="false" ht="15" hidden="false" customHeight="false" outlineLevel="0" collapsed="false">
      <c r="A13" s="9" t="s">
        <v>123</v>
      </c>
      <c r="B13" s="9" t="s">
        <v>124</v>
      </c>
      <c r="C13" s="11" t="n">
        <v>0.2</v>
      </c>
      <c r="D13" s="9"/>
      <c r="E13" s="9"/>
      <c r="F13" s="10" t="s">
        <v>108</v>
      </c>
      <c r="G13" s="9" t="s">
        <v>125</v>
      </c>
      <c r="H13" s="9" t="s">
        <v>126</v>
      </c>
      <c r="I13" s="9" t="s">
        <v>127</v>
      </c>
      <c r="J13" s="9" t="s">
        <v>128</v>
      </c>
      <c r="K13" s="9" t="s">
        <v>61</v>
      </c>
      <c r="L13" s="10" t="s">
        <v>62</v>
      </c>
      <c r="M13" s="10" t="s">
        <v>129</v>
      </c>
      <c r="N13" s="10" t="s">
        <v>89</v>
      </c>
      <c r="O13" s="9" t="s">
        <v>65</v>
      </c>
      <c r="P13" s="9" t="s">
        <v>59</v>
      </c>
      <c r="Q13" s="9" t="s">
        <v>66</v>
      </c>
      <c r="R13" s="9" t="s">
        <v>59</v>
      </c>
      <c r="S13" s="9" t="s">
        <v>130</v>
      </c>
      <c r="T13" s="9" t="s">
        <v>131</v>
      </c>
      <c r="U13" s="9"/>
      <c r="V13" s="9" t="n">
        <f aca="false">IF(AND($O13="Active",$C13="",$D13="",$E13="",$F13&lt;&gt;"文字"),1,0)</f>
        <v>0</v>
      </c>
      <c r="W13" s="9" t="n">
        <f aca="false">IF(AND($O13="Active",OR($J13="",$J13="—")),1,0)</f>
        <v>0</v>
      </c>
      <c r="X13" s="9" t="n">
        <f aca="false">IF(AND(ISNUMBER($C13),ISNUMBER($D13),ISNUMBER($E13)),IF(AND($D13&lt;=$C13,$C13&lt;=$E13),0,1),0)</f>
        <v>0</v>
      </c>
      <c r="Y13" s="12" t="s">
        <v>69</v>
      </c>
    </row>
    <row r="14" customFormat="false" ht="15" hidden="false" customHeight="false" outlineLevel="0" collapsed="false">
      <c r="A14" s="9" t="s">
        <v>132</v>
      </c>
      <c r="B14" s="9" t="s">
        <v>133</v>
      </c>
      <c r="C14" s="11" t="n">
        <v>38</v>
      </c>
      <c r="D14" s="9"/>
      <c r="E14" s="9"/>
      <c r="F14" s="9" t="s">
        <v>56</v>
      </c>
      <c r="G14" s="10" t="s">
        <v>134</v>
      </c>
      <c r="H14" s="9" t="s">
        <v>126</v>
      </c>
      <c r="I14" s="9" t="s">
        <v>135</v>
      </c>
      <c r="J14" s="9" t="s">
        <v>136</v>
      </c>
      <c r="K14" s="9" t="s">
        <v>61</v>
      </c>
      <c r="L14" s="10" t="s">
        <v>62</v>
      </c>
      <c r="M14" s="10" t="s">
        <v>129</v>
      </c>
      <c r="N14" s="10" t="s">
        <v>89</v>
      </c>
      <c r="O14" s="9" t="s">
        <v>65</v>
      </c>
      <c r="P14" s="9" t="s">
        <v>59</v>
      </c>
      <c r="Q14" s="9" t="s">
        <v>66</v>
      </c>
      <c r="R14" s="9" t="s">
        <v>59</v>
      </c>
      <c r="S14" s="9" t="s">
        <v>137</v>
      </c>
      <c r="T14" s="9" t="s">
        <v>131</v>
      </c>
      <c r="U14" s="9"/>
      <c r="V14" s="9" t="n">
        <f aca="false">IF(AND($O14="Active",$C14="",$D14="",$E14="",$F14&lt;&gt;"文字"),1,0)</f>
        <v>0</v>
      </c>
      <c r="W14" s="9" t="n">
        <f aca="false">IF(AND($O14="Active",OR($J14="",$J14="—")),1,0)</f>
        <v>0</v>
      </c>
      <c r="X14" s="9" t="n">
        <f aca="false">IF(AND(ISNUMBER($C14),ISNUMBER($D14),ISNUMBER($E14)),IF(AND($D14&lt;=$C14,$C14&lt;=$E14),0,1),0)</f>
        <v>0</v>
      </c>
      <c r="Y14" s="12" t="s">
        <v>69</v>
      </c>
    </row>
    <row r="15" customFormat="false" ht="15" hidden="false" customHeight="false" outlineLevel="0" collapsed="false">
      <c r="A15" s="9" t="s">
        <v>138</v>
      </c>
      <c r="B15" s="9" t="s">
        <v>139</v>
      </c>
      <c r="C15" s="11" t="n">
        <v>2030</v>
      </c>
      <c r="D15" s="9"/>
      <c r="E15" s="9"/>
      <c r="F15" s="10" t="s">
        <v>140</v>
      </c>
      <c r="G15" s="10" t="s">
        <v>141</v>
      </c>
      <c r="H15" s="9" t="s">
        <v>126</v>
      </c>
      <c r="I15" s="9" t="s">
        <v>127</v>
      </c>
      <c r="J15" s="9" t="s">
        <v>142</v>
      </c>
      <c r="K15" s="9" t="s">
        <v>61</v>
      </c>
      <c r="L15" s="10" t="s">
        <v>62</v>
      </c>
      <c r="M15" s="10" t="s">
        <v>143</v>
      </c>
      <c r="N15" s="10" t="s">
        <v>119</v>
      </c>
      <c r="O15" s="9" t="s">
        <v>65</v>
      </c>
      <c r="P15" s="9" t="s">
        <v>59</v>
      </c>
      <c r="Q15" s="9" t="s">
        <v>144</v>
      </c>
      <c r="R15" s="9" t="s">
        <v>59</v>
      </c>
      <c r="S15" s="9" t="s">
        <v>145</v>
      </c>
      <c r="T15" s="9" t="s">
        <v>131</v>
      </c>
      <c r="U15" s="9"/>
      <c r="V15" s="9" t="n">
        <f aca="false">IF(AND($O15="Active",$C15="",$D15="",$E15="",$F15&lt;&gt;"文字"),1,0)</f>
        <v>0</v>
      </c>
      <c r="W15" s="9" t="n">
        <f aca="false">IF(AND($O15="Active",OR($J15="",$J15="—")),1,0)</f>
        <v>0</v>
      </c>
      <c r="X15" s="9" t="n">
        <f aca="false">IF(AND(ISNUMBER($C15),ISNUMBER($D15),ISNUMBER($E15)),IF(AND($D15&lt;=$C15,$C15&lt;=$E15),0,1),0)</f>
        <v>0</v>
      </c>
      <c r="Y15" s="12" t="s">
        <v>69</v>
      </c>
    </row>
    <row r="16" customFormat="false" ht="15" hidden="false" customHeight="false" outlineLevel="0" collapsed="false">
      <c r="A16" s="9" t="s">
        <v>146</v>
      </c>
      <c r="B16" s="9" t="s">
        <v>147</v>
      </c>
      <c r="C16" s="11" t="n">
        <v>0</v>
      </c>
      <c r="D16" s="9"/>
      <c r="E16" s="9"/>
      <c r="F16" s="9" t="s">
        <v>56</v>
      </c>
      <c r="G16" s="9" t="s">
        <v>148</v>
      </c>
      <c r="H16" s="9" t="s">
        <v>126</v>
      </c>
      <c r="I16" s="9" t="s">
        <v>127</v>
      </c>
      <c r="J16" s="9" t="s">
        <v>149</v>
      </c>
      <c r="K16" s="9" t="s">
        <v>61</v>
      </c>
      <c r="L16" s="10" t="s">
        <v>62</v>
      </c>
      <c r="M16" s="10" t="s">
        <v>143</v>
      </c>
      <c r="N16" s="10" t="s">
        <v>119</v>
      </c>
      <c r="O16" s="9" t="s">
        <v>65</v>
      </c>
      <c r="P16" s="9" t="s">
        <v>59</v>
      </c>
      <c r="Q16" s="9" t="s">
        <v>144</v>
      </c>
      <c r="R16" s="9" t="s">
        <v>59</v>
      </c>
      <c r="S16" s="9" t="s">
        <v>150</v>
      </c>
      <c r="T16" s="9" t="s">
        <v>131</v>
      </c>
      <c r="U16" s="9"/>
      <c r="V16" s="9" t="n">
        <f aca="false">IF(AND($O16="Active",$C16="",$D16="",$E16="",$F16&lt;&gt;"文字"),1,0)</f>
        <v>0</v>
      </c>
      <c r="W16" s="9" t="n">
        <f aca="false">IF(AND($O16="Active",OR($J16="",$J16="—")),1,0)</f>
        <v>0</v>
      </c>
      <c r="X16" s="9" t="n">
        <f aca="false">IF(AND(ISNUMBER($C16),ISNUMBER($D16),ISNUMBER($E16)),IF(AND($D16&lt;=$C16,$C16&lt;=$E16),0,1),0)</f>
        <v>0</v>
      </c>
      <c r="Y16" s="12" t="s">
        <v>69</v>
      </c>
    </row>
    <row r="17" customFormat="false" ht="15" hidden="false" customHeight="false" outlineLevel="0" collapsed="false">
      <c r="A17" s="9" t="s">
        <v>151</v>
      </c>
      <c r="B17" s="9" t="s">
        <v>152</v>
      </c>
      <c r="C17" s="11" t="n">
        <v>10</v>
      </c>
      <c r="D17" s="9"/>
      <c r="E17" s="9"/>
      <c r="F17" s="9" t="s">
        <v>153</v>
      </c>
      <c r="G17" s="10" t="s">
        <v>154</v>
      </c>
      <c r="H17" s="9" t="s">
        <v>58</v>
      </c>
      <c r="I17" s="9" t="s">
        <v>155</v>
      </c>
      <c r="J17" s="9" t="s">
        <v>156</v>
      </c>
      <c r="K17" s="9" t="s">
        <v>61</v>
      </c>
      <c r="L17" s="10" t="s">
        <v>62</v>
      </c>
      <c r="M17" s="10" t="s">
        <v>157</v>
      </c>
      <c r="N17" s="10" t="s">
        <v>119</v>
      </c>
      <c r="O17" s="9" t="s">
        <v>65</v>
      </c>
      <c r="P17" s="9" t="s">
        <v>59</v>
      </c>
      <c r="Q17" s="9" t="s">
        <v>144</v>
      </c>
      <c r="R17" s="9" t="s">
        <v>59</v>
      </c>
      <c r="S17" s="9" t="s">
        <v>158</v>
      </c>
      <c r="T17" s="9" t="s">
        <v>159</v>
      </c>
      <c r="U17" s="9"/>
      <c r="V17" s="9" t="n">
        <f aca="false">IF(AND($O17="Active",$C17="",$D17="",$E17="",$F17&lt;&gt;"文字"),1,0)</f>
        <v>0</v>
      </c>
      <c r="W17" s="9" t="n">
        <f aca="false">IF(AND($O17="Active",OR($J17="",$J17="—")),1,0)</f>
        <v>0</v>
      </c>
      <c r="X17" s="9" t="n">
        <f aca="false">IF(AND(ISNUMBER($C17),ISNUMBER($D17),ISNUMBER($E17)),IF(AND($D17&lt;=$C17,$C17&lt;=$E17),0,1),0)</f>
        <v>0</v>
      </c>
      <c r="Y17" s="12" t="s">
        <v>69</v>
      </c>
    </row>
    <row r="18" customFormat="false" ht="15" hidden="false" customHeight="false" outlineLevel="0" collapsed="false">
      <c r="A18" s="9" t="s">
        <v>160</v>
      </c>
      <c r="B18" s="9" t="s">
        <v>161</v>
      </c>
      <c r="C18" s="11" t="n">
        <v>1</v>
      </c>
      <c r="D18" s="9"/>
      <c r="E18" s="9"/>
      <c r="F18" s="9" t="s">
        <v>153</v>
      </c>
      <c r="G18" s="10" t="s">
        <v>154</v>
      </c>
      <c r="H18" s="9" t="s">
        <v>58</v>
      </c>
      <c r="I18" s="9" t="s">
        <v>155</v>
      </c>
      <c r="J18" s="9" t="s">
        <v>156</v>
      </c>
      <c r="K18" s="9" t="s">
        <v>61</v>
      </c>
      <c r="L18" s="10" t="s">
        <v>62</v>
      </c>
      <c r="M18" s="10" t="s">
        <v>157</v>
      </c>
      <c r="N18" s="10" t="s">
        <v>119</v>
      </c>
      <c r="O18" s="9" t="s">
        <v>65</v>
      </c>
      <c r="P18" s="9" t="s">
        <v>59</v>
      </c>
      <c r="Q18" s="9" t="s">
        <v>144</v>
      </c>
      <c r="R18" s="9" t="s">
        <v>59</v>
      </c>
      <c r="S18" s="9" t="s">
        <v>158</v>
      </c>
      <c r="T18" s="9" t="s">
        <v>159</v>
      </c>
      <c r="U18" s="9"/>
      <c r="V18" s="9" t="n">
        <f aca="false">IF(AND($O18="Active",$C18="",$D18="",$E18="",$F18&lt;&gt;"文字"),1,0)</f>
        <v>0</v>
      </c>
      <c r="W18" s="9" t="n">
        <f aca="false">IF(AND($O18="Active",OR($J18="",$J18="—")),1,0)</f>
        <v>0</v>
      </c>
      <c r="X18" s="9" t="n">
        <f aca="false">IF(AND(ISNUMBER($C18),ISNUMBER($D18),ISNUMBER($E18)),IF(AND($D18&lt;=$C18,$C18&lt;=$E18),0,1),0)</f>
        <v>0</v>
      </c>
      <c r="Y18" s="12" t="s">
        <v>69</v>
      </c>
    </row>
    <row r="19" customFormat="false" ht="15" hidden="false" customHeight="false" outlineLevel="0" collapsed="false">
      <c r="A19" s="9" t="s">
        <v>162</v>
      </c>
      <c r="B19" s="9" t="s">
        <v>163</v>
      </c>
      <c r="C19" s="11" t="n">
        <v>50</v>
      </c>
      <c r="D19" s="9"/>
      <c r="E19" s="9"/>
      <c r="F19" s="9" t="s">
        <v>153</v>
      </c>
      <c r="G19" s="10" t="s">
        <v>154</v>
      </c>
      <c r="H19" s="9" t="s">
        <v>58</v>
      </c>
      <c r="I19" s="9" t="s">
        <v>155</v>
      </c>
      <c r="J19" s="9" t="s">
        <v>156</v>
      </c>
      <c r="K19" s="9" t="s">
        <v>61</v>
      </c>
      <c r="L19" s="10" t="s">
        <v>62</v>
      </c>
      <c r="M19" s="10" t="s">
        <v>157</v>
      </c>
      <c r="N19" s="10" t="s">
        <v>119</v>
      </c>
      <c r="O19" s="9" t="s">
        <v>65</v>
      </c>
      <c r="P19" s="9" t="s">
        <v>59</v>
      </c>
      <c r="Q19" s="9" t="s">
        <v>144</v>
      </c>
      <c r="R19" s="9" t="s">
        <v>59</v>
      </c>
      <c r="S19" s="9" t="s">
        <v>158</v>
      </c>
      <c r="T19" s="9" t="s">
        <v>159</v>
      </c>
      <c r="U19" s="9"/>
      <c r="V19" s="9" t="n">
        <f aca="false">IF(AND($O19="Active",$C19="",$D19="",$E19="",$F19&lt;&gt;"文字"),1,0)</f>
        <v>0</v>
      </c>
      <c r="W19" s="9" t="n">
        <f aca="false">IF(AND($O19="Active",OR($J19="",$J19="—")),1,0)</f>
        <v>0</v>
      </c>
      <c r="X19" s="9" t="n">
        <f aca="false">IF(AND(ISNUMBER($C19),ISNUMBER($D19),ISNUMBER($E19)),IF(AND($D19&lt;=$C19,$C19&lt;=$E19),0,1),0)</f>
        <v>0</v>
      </c>
      <c r="Y19" s="12" t="s">
        <v>69</v>
      </c>
    </row>
    <row r="20" customFormat="false" ht="15" hidden="false" customHeight="false" outlineLevel="0" collapsed="false">
      <c r="A20" s="9" t="s">
        <v>164</v>
      </c>
      <c r="B20" s="9" t="s">
        <v>165</v>
      </c>
      <c r="C20" s="11" t="n">
        <v>2</v>
      </c>
      <c r="D20" s="9"/>
      <c r="E20" s="9"/>
      <c r="F20" s="9" t="s">
        <v>153</v>
      </c>
      <c r="G20" s="10" t="s">
        <v>166</v>
      </c>
      <c r="H20" s="9" t="s">
        <v>58</v>
      </c>
      <c r="I20" s="9" t="s">
        <v>155</v>
      </c>
      <c r="J20" s="9" t="s">
        <v>156</v>
      </c>
      <c r="K20" s="9" t="s">
        <v>61</v>
      </c>
      <c r="L20" s="10" t="s">
        <v>62</v>
      </c>
      <c r="M20" s="10" t="s">
        <v>157</v>
      </c>
      <c r="N20" s="10" t="s">
        <v>119</v>
      </c>
      <c r="O20" s="9" t="s">
        <v>65</v>
      </c>
      <c r="P20" s="9" t="s">
        <v>59</v>
      </c>
      <c r="Q20" s="9" t="s">
        <v>144</v>
      </c>
      <c r="R20" s="9" t="s">
        <v>59</v>
      </c>
      <c r="S20" s="9" t="s">
        <v>158</v>
      </c>
      <c r="T20" s="9" t="s">
        <v>159</v>
      </c>
      <c r="U20" s="9"/>
      <c r="V20" s="9" t="n">
        <f aca="false">IF(AND($O20="Active",$C20="",$D20="",$E20="",$F20&lt;&gt;"文字"),1,0)</f>
        <v>0</v>
      </c>
      <c r="W20" s="9" t="n">
        <f aca="false">IF(AND($O20="Active",OR($J20="",$J20="—")),1,0)</f>
        <v>0</v>
      </c>
      <c r="X20" s="9" t="n">
        <f aca="false">IF(AND(ISNUMBER($C20),ISNUMBER($D20),ISNUMBER($E20)),IF(AND($D20&lt;=$C20,$C20&lt;=$E20),0,1),0)</f>
        <v>0</v>
      </c>
      <c r="Y20" s="12" t="s">
        <v>69</v>
      </c>
    </row>
    <row r="21" customFormat="false" ht="15" hidden="false" customHeight="false" outlineLevel="0" collapsed="false">
      <c r="A21" s="9" t="s">
        <v>167</v>
      </c>
      <c r="B21" s="9" t="s">
        <v>168</v>
      </c>
      <c r="C21" s="11" t="n">
        <v>0.2</v>
      </c>
      <c r="D21" s="9"/>
      <c r="E21" s="9"/>
      <c r="F21" s="9" t="s">
        <v>153</v>
      </c>
      <c r="G21" s="10" t="s">
        <v>166</v>
      </c>
      <c r="H21" s="9" t="s">
        <v>58</v>
      </c>
      <c r="I21" s="9" t="s">
        <v>155</v>
      </c>
      <c r="J21" s="9" t="s">
        <v>156</v>
      </c>
      <c r="K21" s="9" t="s">
        <v>61</v>
      </c>
      <c r="L21" s="10" t="s">
        <v>62</v>
      </c>
      <c r="M21" s="10" t="s">
        <v>157</v>
      </c>
      <c r="N21" s="10" t="s">
        <v>119</v>
      </c>
      <c r="O21" s="9" t="s">
        <v>65</v>
      </c>
      <c r="P21" s="9" t="s">
        <v>59</v>
      </c>
      <c r="Q21" s="9" t="s">
        <v>144</v>
      </c>
      <c r="R21" s="9" t="s">
        <v>59</v>
      </c>
      <c r="S21" s="9" t="s">
        <v>158</v>
      </c>
      <c r="T21" s="9" t="s">
        <v>159</v>
      </c>
      <c r="U21" s="9"/>
      <c r="V21" s="9" t="n">
        <f aca="false">IF(AND($O21="Active",$C21="",$D21="",$E21="",$F21&lt;&gt;"文字"),1,0)</f>
        <v>0</v>
      </c>
      <c r="W21" s="9" t="n">
        <f aca="false">IF(AND($O21="Active",OR($J21="",$J21="—")),1,0)</f>
        <v>0</v>
      </c>
      <c r="X21" s="9" t="n">
        <f aca="false">IF(AND(ISNUMBER($C21),ISNUMBER($D21),ISNUMBER($E21)),IF(AND($D21&lt;=$C21,$C21&lt;=$E21),0,1),0)</f>
        <v>0</v>
      </c>
      <c r="Y21" s="12" t="s">
        <v>69</v>
      </c>
    </row>
    <row r="22" customFormat="false" ht="15" hidden="false" customHeight="false" outlineLevel="0" collapsed="false">
      <c r="A22" s="9" t="s">
        <v>169</v>
      </c>
      <c r="B22" s="9" t="s">
        <v>170</v>
      </c>
      <c r="C22" s="11" t="n">
        <v>10</v>
      </c>
      <c r="D22" s="9"/>
      <c r="E22" s="9"/>
      <c r="F22" s="9" t="s">
        <v>153</v>
      </c>
      <c r="G22" s="10" t="s">
        <v>166</v>
      </c>
      <c r="H22" s="9" t="s">
        <v>58</v>
      </c>
      <c r="I22" s="9" t="s">
        <v>155</v>
      </c>
      <c r="J22" s="9" t="s">
        <v>156</v>
      </c>
      <c r="K22" s="9" t="s">
        <v>61</v>
      </c>
      <c r="L22" s="10" t="s">
        <v>62</v>
      </c>
      <c r="M22" s="10" t="s">
        <v>157</v>
      </c>
      <c r="N22" s="10" t="s">
        <v>119</v>
      </c>
      <c r="O22" s="9" t="s">
        <v>65</v>
      </c>
      <c r="P22" s="9" t="s">
        <v>59</v>
      </c>
      <c r="Q22" s="9" t="s">
        <v>144</v>
      </c>
      <c r="R22" s="9" t="s">
        <v>59</v>
      </c>
      <c r="S22" s="9" t="s">
        <v>158</v>
      </c>
      <c r="T22" s="9" t="s">
        <v>159</v>
      </c>
      <c r="U22" s="9"/>
      <c r="V22" s="9" t="n">
        <f aca="false">IF(AND($O22="Active",$C22="",$D22="",$E22="",$F22&lt;&gt;"文字"),1,0)</f>
        <v>0</v>
      </c>
      <c r="W22" s="9" t="n">
        <f aca="false">IF(AND($O22="Active",OR($J22="",$J22="—")),1,0)</f>
        <v>0</v>
      </c>
      <c r="X22" s="9" t="n">
        <f aca="false">IF(AND(ISNUMBER($C22),ISNUMBER($D22),ISNUMBER($E22)),IF(AND($D22&lt;=$C22,$C22&lt;=$E22),0,1),0)</f>
        <v>0</v>
      </c>
      <c r="Y22" s="12" t="s">
        <v>69</v>
      </c>
    </row>
    <row r="23" customFormat="false" ht="15" hidden="false" customHeight="false" outlineLevel="0" collapsed="false">
      <c r="A23" s="9" t="s">
        <v>171</v>
      </c>
      <c r="B23" s="9" t="s">
        <v>172</v>
      </c>
      <c r="C23" s="11" t="n">
        <v>0.1</v>
      </c>
      <c r="D23" s="9"/>
      <c r="E23" s="9"/>
      <c r="F23" s="9" t="s">
        <v>153</v>
      </c>
      <c r="G23" s="10" t="s">
        <v>173</v>
      </c>
      <c r="H23" s="9" t="s">
        <v>58</v>
      </c>
      <c r="I23" s="9" t="s">
        <v>155</v>
      </c>
      <c r="J23" s="9" t="s">
        <v>156</v>
      </c>
      <c r="K23" s="9" t="s">
        <v>61</v>
      </c>
      <c r="L23" s="10" t="s">
        <v>62</v>
      </c>
      <c r="M23" s="10" t="s">
        <v>157</v>
      </c>
      <c r="N23" s="10" t="s">
        <v>119</v>
      </c>
      <c r="O23" s="9" t="s">
        <v>65</v>
      </c>
      <c r="P23" s="9" t="s">
        <v>59</v>
      </c>
      <c r="Q23" s="9" t="s">
        <v>144</v>
      </c>
      <c r="R23" s="9" t="s">
        <v>59</v>
      </c>
      <c r="S23" s="9" t="s">
        <v>158</v>
      </c>
      <c r="T23" s="9" t="s">
        <v>159</v>
      </c>
      <c r="U23" s="9"/>
      <c r="V23" s="9" t="n">
        <f aca="false">IF(AND($O23="Active",$C23="",$D23="",$E23="",$F23&lt;&gt;"文字"),1,0)</f>
        <v>0</v>
      </c>
      <c r="W23" s="9" t="n">
        <f aca="false">IF(AND($O23="Active",OR($J23="",$J23="—")),1,0)</f>
        <v>0</v>
      </c>
      <c r="X23" s="9" t="n">
        <f aca="false">IF(AND(ISNUMBER($C23),ISNUMBER($D23),ISNUMBER($E23)),IF(AND($D23&lt;=$C23,$C23&lt;=$E23),0,1),0)</f>
        <v>0</v>
      </c>
      <c r="Y23" s="12" t="s">
        <v>69</v>
      </c>
    </row>
    <row r="24" customFormat="false" ht="15" hidden="false" customHeight="false" outlineLevel="0" collapsed="false">
      <c r="A24" s="9" t="s">
        <v>174</v>
      </c>
      <c r="B24" s="9" t="s">
        <v>175</v>
      </c>
      <c r="C24" s="11" t="n">
        <v>0.01</v>
      </c>
      <c r="D24" s="9"/>
      <c r="E24" s="9"/>
      <c r="F24" s="9" t="s">
        <v>153</v>
      </c>
      <c r="G24" s="10" t="s">
        <v>173</v>
      </c>
      <c r="H24" s="9" t="s">
        <v>58</v>
      </c>
      <c r="I24" s="9" t="s">
        <v>155</v>
      </c>
      <c r="J24" s="9" t="s">
        <v>156</v>
      </c>
      <c r="K24" s="9" t="s">
        <v>61</v>
      </c>
      <c r="L24" s="10" t="s">
        <v>62</v>
      </c>
      <c r="M24" s="10" t="s">
        <v>157</v>
      </c>
      <c r="N24" s="10" t="s">
        <v>119</v>
      </c>
      <c r="O24" s="9" t="s">
        <v>65</v>
      </c>
      <c r="P24" s="9" t="s">
        <v>59</v>
      </c>
      <c r="Q24" s="9" t="s">
        <v>144</v>
      </c>
      <c r="R24" s="9" t="s">
        <v>59</v>
      </c>
      <c r="S24" s="9" t="s">
        <v>158</v>
      </c>
      <c r="T24" s="9" t="s">
        <v>159</v>
      </c>
      <c r="U24" s="9"/>
      <c r="V24" s="9" t="n">
        <f aca="false">IF(AND($O24="Active",$C24="",$D24="",$E24="",$F24&lt;&gt;"文字"),1,0)</f>
        <v>0</v>
      </c>
      <c r="W24" s="9" t="n">
        <f aca="false">IF(AND($O24="Active",OR($J24="",$J24="—")),1,0)</f>
        <v>0</v>
      </c>
      <c r="X24" s="9" t="n">
        <f aca="false">IF(AND(ISNUMBER($C24),ISNUMBER($D24),ISNUMBER($E24)),IF(AND($D24&lt;=$C24,$C24&lt;=$E24),0,1),0)</f>
        <v>0</v>
      </c>
      <c r="Y24" s="12" t="s">
        <v>69</v>
      </c>
    </row>
    <row r="25" customFormat="false" ht="15" hidden="false" customHeight="false" outlineLevel="0" collapsed="false">
      <c r="A25" s="9" t="s">
        <v>176</v>
      </c>
      <c r="B25" s="9" t="s">
        <v>177</v>
      </c>
      <c r="C25" s="11" t="n">
        <v>0.5</v>
      </c>
      <c r="D25" s="9"/>
      <c r="E25" s="9"/>
      <c r="F25" s="9" t="s">
        <v>153</v>
      </c>
      <c r="G25" s="10" t="s">
        <v>173</v>
      </c>
      <c r="H25" s="9" t="s">
        <v>58</v>
      </c>
      <c r="I25" s="9" t="s">
        <v>155</v>
      </c>
      <c r="J25" s="9" t="s">
        <v>156</v>
      </c>
      <c r="K25" s="9" t="s">
        <v>61</v>
      </c>
      <c r="L25" s="10" t="s">
        <v>62</v>
      </c>
      <c r="M25" s="10" t="s">
        <v>157</v>
      </c>
      <c r="N25" s="10" t="s">
        <v>119</v>
      </c>
      <c r="O25" s="9" t="s">
        <v>65</v>
      </c>
      <c r="P25" s="9" t="s">
        <v>59</v>
      </c>
      <c r="Q25" s="9" t="s">
        <v>144</v>
      </c>
      <c r="R25" s="9" t="s">
        <v>59</v>
      </c>
      <c r="S25" s="9" t="s">
        <v>158</v>
      </c>
      <c r="T25" s="9" t="s">
        <v>159</v>
      </c>
      <c r="U25" s="9"/>
      <c r="V25" s="9" t="n">
        <f aca="false">IF(AND($O25="Active",$C25="",$D25="",$E25="",$F25&lt;&gt;"文字"),1,0)</f>
        <v>0</v>
      </c>
      <c r="W25" s="9" t="n">
        <f aca="false">IF(AND($O25="Active",OR($J25="",$J25="—")),1,0)</f>
        <v>0</v>
      </c>
      <c r="X25" s="9" t="n">
        <f aca="false">IF(AND(ISNUMBER($C25),ISNUMBER($D25),ISNUMBER($E25)),IF(AND($D25&lt;=$C25,$C25&lt;=$E25),0,1),0)</f>
        <v>0</v>
      </c>
      <c r="Y25" s="12" t="s">
        <v>69</v>
      </c>
    </row>
    <row r="26" customFormat="false" ht="15" hidden="false" customHeight="false" outlineLevel="0" collapsed="false">
      <c r="A26" s="9" t="s">
        <v>178</v>
      </c>
      <c r="B26" s="9" t="s">
        <v>179</v>
      </c>
      <c r="C26" s="9" t="s">
        <v>180</v>
      </c>
      <c r="D26" s="9"/>
      <c r="E26" s="9"/>
      <c r="F26" s="10" t="s">
        <v>181</v>
      </c>
      <c r="G26" s="9" t="s">
        <v>182</v>
      </c>
      <c r="H26" s="9" t="s">
        <v>58</v>
      </c>
      <c r="I26" s="9" t="s">
        <v>155</v>
      </c>
      <c r="J26" s="9" t="s">
        <v>183</v>
      </c>
      <c r="K26" s="9" t="s">
        <v>61</v>
      </c>
      <c r="L26" s="10" t="s">
        <v>62</v>
      </c>
      <c r="M26" s="10" t="s">
        <v>157</v>
      </c>
      <c r="N26" s="10" t="s">
        <v>119</v>
      </c>
      <c r="O26" s="9" t="s">
        <v>65</v>
      </c>
      <c r="P26" s="9" t="s">
        <v>59</v>
      </c>
      <c r="Q26" s="9" t="s">
        <v>144</v>
      </c>
      <c r="R26" s="9" t="s">
        <v>59</v>
      </c>
      <c r="S26" s="9" t="s">
        <v>184</v>
      </c>
      <c r="T26" s="9" t="s">
        <v>185</v>
      </c>
      <c r="U26" s="9" t="s">
        <v>186</v>
      </c>
      <c r="V26" s="9" t="n">
        <f aca="false">IF(AND($O26="Active",$C26="",$D26="",$E26="",$F26&lt;&gt;"文字"),1,0)</f>
        <v>0</v>
      </c>
      <c r="W26" s="9" t="n">
        <f aca="false">IF(AND($O26="Active",OR($J26="",$J26="—")),1,0)</f>
        <v>0</v>
      </c>
      <c r="X26" s="9" t="n">
        <f aca="false">IF(AND(ISNUMBER($C26),ISNUMBER($D26),ISNUMBER($E26)),IF(AND($D26&lt;=$C26,$C26&lt;=$E26),0,1),0)</f>
        <v>0</v>
      </c>
      <c r="Y26" s="12" t="s">
        <v>69</v>
      </c>
    </row>
    <row r="27" customFormat="false" ht="15" hidden="false" customHeight="false" outlineLevel="0" collapsed="false">
      <c r="A27" s="9" t="s">
        <v>187</v>
      </c>
      <c r="B27" s="9" t="s">
        <v>188</v>
      </c>
      <c r="C27" s="9" t="s">
        <v>189</v>
      </c>
      <c r="D27" s="9"/>
      <c r="E27" s="9"/>
      <c r="F27" s="10" t="s">
        <v>181</v>
      </c>
      <c r="G27" s="9" t="s">
        <v>182</v>
      </c>
      <c r="H27" s="9" t="s">
        <v>58</v>
      </c>
      <c r="I27" s="9" t="s">
        <v>155</v>
      </c>
      <c r="J27" s="9" t="s">
        <v>183</v>
      </c>
      <c r="K27" s="9" t="s">
        <v>61</v>
      </c>
      <c r="L27" s="10" t="s">
        <v>62</v>
      </c>
      <c r="M27" s="10" t="s">
        <v>157</v>
      </c>
      <c r="N27" s="10" t="s">
        <v>119</v>
      </c>
      <c r="O27" s="9" t="s">
        <v>65</v>
      </c>
      <c r="P27" s="9" t="s">
        <v>59</v>
      </c>
      <c r="Q27" s="9" t="s">
        <v>144</v>
      </c>
      <c r="R27" s="9" t="s">
        <v>59</v>
      </c>
      <c r="S27" s="9" t="s">
        <v>190</v>
      </c>
      <c r="T27" s="9" t="s">
        <v>185</v>
      </c>
      <c r="U27" s="9" t="s">
        <v>186</v>
      </c>
      <c r="V27" s="9" t="n">
        <f aca="false">IF(AND($O27="Active",$C27="",$D27="",$E27="",$F27&lt;&gt;"文字"),1,0)</f>
        <v>0</v>
      </c>
      <c r="W27" s="9" t="n">
        <f aca="false">IF(AND($O27="Active",OR($J27="",$J27="—")),1,0)</f>
        <v>0</v>
      </c>
      <c r="X27" s="9" t="n">
        <f aca="false">IF(AND(ISNUMBER($C27),ISNUMBER($D27),ISNUMBER($E27)),IF(AND($D27&lt;=$C27,$C27&lt;=$E27),0,1),0)</f>
        <v>0</v>
      </c>
      <c r="Y27" s="12" t="s">
        <v>69</v>
      </c>
    </row>
    <row r="28" customFormat="false" ht="15" hidden="false" customHeight="false" outlineLevel="0" collapsed="false">
      <c r="A28" s="9" t="s">
        <v>191</v>
      </c>
      <c r="B28" s="9" t="s">
        <v>192</v>
      </c>
      <c r="C28" s="9" t="s">
        <v>193</v>
      </c>
      <c r="D28" s="9"/>
      <c r="E28" s="9"/>
      <c r="F28" s="10" t="s">
        <v>181</v>
      </c>
      <c r="G28" s="9" t="s">
        <v>182</v>
      </c>
      <c r="H28" s="9" t="s">
        <v>58</v>
      </c>
      <c r="I28" s="9" t="s">
        <v>155</v>
      </c>
      <c r="J28" s="9" t="s">
        <v>183</v>
      </c>
      <c r="K28" s="9" t="s">
        <v>61</v>
      </c>
      <c r="L28" s="10" t="s">
        <v>62</v>
      </c>
      <c r="M28" s="10" t="s">
        <v>157</v>
      </c>
      <c r="N28" s="10" t="s">
        <v>119</v>
      </c>
      <c r="O28" s="9" t="s">
        <v>65</v>
      </c>
      <c r="P28" s="9" t="s">
        <v>59</v>
      </c>
      <c r="Q28" s="9" t="s">
        <v>144</v>
      </c>
      <c r="R28" s="9" t="s">
        <v>59</v>
      </c>
      <c r="S28" s="9" t="s">
        <v>194</v>
      </c>
      <c r="T28" s="9" t="s">
        <v>185</v>
      </c>
      <c r="U28" s="9" t="s">
        <v>186</v>
      </c>
      <c r="V28" s="9" t="n">
        <f aca="false">IF(AND($O28="Active",$C28="",$D28="",$E28="",$F28&lt;&gt;"文字"),1,0)</f>
        <v>0</v>
      </c>
      <c r="W28" s="9" t="n">
        <f aca="false">IF(AND($O28="Active",OR($J28="",$J28="—")),1,0)</f>
        <v>0</v>
      </c>
      <c r="X28" s="9" t="n">
        <f aca="false">IF(AND(ISNUMBER($C28),ISNUMBER($D28),ISNUMBER($E28)),IF(AND($D28&lt;=$C28,$C28&lt;=$E28),0,1),0)</f>
        <v>0</v>
      </c>
      <c r="Y28" s="12" t="s">
        <v>69</v>
      </c>
    </row>
    <row r="29" customFormat="false" ht="15" hidden="false" customHeight="false" outlineLevel="0" collapsed="false">
      <c r="A29" s="9" t="s">
        <v>195</v>
      </c>
      <c r="B29" s="9" t="s">
        <v>196</v>
      </c>
      <c r="C29" s="9" t="s">
        <v>197</v>
      </c>
      <c r="D29" s="9"/>
      <c r="E29" s="9"/>
      <c r="F29" s="10" t="s">
        <v>181</v>
      </c>
      <c r="G29" s="10" t="s">
        <v>198</v>
      </c>
      <c r="H29" s="9" t="s">
        <v>58</v>
      </c>
      <c r="I29" s="9" t="s">
        <v>199</v>
      </c>
      <c r="J29" s="9" t="s">
        <v>200</v>
      </c>
      <c r="K29" s="9" t="s">
        <v>61</v>
      </c>
      <c r="L29" s="10" t="s">
        <v>62</v>
      </c>
      <c r="M29" s="10" t="s">
        <v>157</v>
      </c>
      <c r="N29" s="10" t="s">
        <v>119</v>
      </c>
      <c r="O29" s="9" t="s">
        <v>65</v>
      </c>
      <c r="P29" s="9" t="s">
        <v>59</v>
      </c>
      <c r="Q29" s="9" t="s">
        <v>144</v>
      </c>
      <c r="R29" s="9" t="s">
        <v>59</v>
      </c>
      <c r="S29" s="9" t="s">
        <v>201</v>
      </c>
      <c r="T29" s="9" t="s">
        <v>202</v>
      </c>
      <c r="U29" s="9"/>
      <c r="V29" s="9" t="n">
        <f aca="false">IF(AND($O29="Active",$C29="",$D29="",$E29="",$F29&lt;&gt;"文字"),1,0)</f>
        <v>0</v>
      </c>
      <c r="W29" s="9" t="n">
        <f aca="false">IF(AND($O29="Active",OR($J29="",$J29="—")),1,0)</f>
        <v>0</v>
      </c>
      <c r="X29" s="9" t="n">
        <f aca="false">IF(AND(ISNUMBER($C29),ISNUMBER($D29),ISNUMBER($E29)),IF(AND($D29&lt;=$C29,$C29&lt;=$E29),0,1),0)</f>
        <v>0</v>
      </c>
      <c r="Y29" s="12" t="s">
        <v>69</v>
      </c>
    </row>
    <row r="30" customFormat="false" ht="15" hidden="false" customHeight="false" outlineLevel="0" collapsed="false">
      <c r="A30" s="9" t="s">
        <v>203</v>
      </c>
      <c r="B30" s="9" t="s">
        <v>204</v>
      </c>
      <c r="C30" s="9" t="s">
        <v>205</v>
      </c>
      <c r="D30" s="9"/>
      <c r="E30" s="9"/>
      <c r="F30" s="10" t="s">
        <v>181</v>
      </c>
      <c r="G30" s="10" t="s">
        <v>198</v>
      </c>
      <c r="H30" s="9" t="s">
        <v>58</v>
      </c>
      <c r="I30" s="9" t="s">
        <v>206</v>
      </c>
      <c r="J30" s="9" t="s">
        <v>200</v>
      </c>
      <c r="K30" s="9" t="s">
        <v>61</v>
      </c>
      <c r="L30" s="10" t="s">
        <v>62</v>
      </c>
      <c r="M30" s="10" t="s">
        <v>157</v>
      </c>
      <c r="N30" s="10" t="s">
        <v>119</v>
      </c>
      <c r="O30" s="9" t="s">
        <v>65</v>
      </c>
      <c r="P30" s="9" t="s">
        <v>59</v>
      </c>
      <c r="Q30" s="9" t="s">
        <v>144</v>
      </c>
      <c r="R30" s="9" t="s">
        <v>59</v>
      </c>
      <c r="S30" s="9" t="s">
        <v>201</v>
      </c>
      <c r="T30" s="9" t="s">
        <v>202</v>
      </c>
      <c r="U30" s="9"/>
      <c r="V30" s="9" t="n">
        <f aca="false">IF(AND($O30="Active",$C30="",$D30="",$E30="",$F30&lt;&gt;"文字"),1,0)</f>
        <v>0</v>
      </c>
      <c r="W30" s="9" t="n">
        <f aca="false">IF(AND($O30="Active",OR($J30="",$J30="—")),1,0)</f>
        <v>0</v>
      </c>
      <c r="X30" s="9" t="n">
        <f aca="false">IF(AND(ISNUMBER($C30),ISNUMBER($D30),ISNUMBER($E30)),IF(AND($D30&lt;=$C30,$C30&lt;=$E30),0,1),0)</f>
        <v>0</v>
      </c>
      <c r="Y30" s="12" t="s">
        <v>69</v>
      </c>
    </row>
    <row r="31" customFormat="false" ht="15" hidden="false" customHeight="false" outlineLevel="0" collapsed="false">
      <c r="A31" s="9" t="s">
        <v>207</v>
      </c>
      <c r="B31" s="9" t="s">
        <v>208</v>
      </c>
      <c r="C31" s="9" t="s">
        <v>209</v>
      </c>
      <c r="D31" s="9"/>
      <c r="E31" s="9"/>
      <c r="F31" s="10" t="s">
        <v>181</v>
      </c>
      <c r="G31" s="10" t="s">
        <v>198</v>
      </c>
      <c r="H31" s="9" t="s">
        <v>58</v>
      </c>
      <c r="I31" s="9" t="s">
        <v>210</v>
      </c>
      <c r="J31" s="9" t="s">
        <v>200</v>
      </c>
      <c r="K31" s="9" t="s">
        <v>61</v>
      </c>
      <c r="L31" s="10" t="s">
        <v>62</v>
      </c>
      <c r="M31" s="10" t="s">
        <v>157</v>
      </c>
      <c r="N31" s="10" t="s">
        <v>119</v>
      </c>
      <c r="O31" s="9" t="s">
        <v>65</v>
      </c>
      <c r="P31" s="9" t="s">
        <v>59</v>
      </c>
      <c r="Q31" s="9" t="s">
        <v>144</v>
      </c>
      <c r="R31" s="9" t="s">
        <v>59</v>
      </c>
      <c r="S31" s="9" t="s">
        <v>201</v>
      </c>
      <c r="T31" s="9" t="s">
        <v>202</v>
      </c>
      <c r="U31" s="9"/>
      <c r="V31" s="9" t="n">
        <f aca="false">IF(AND($O31="Active",$C31="",$D31="",$E31="",$F31&lt;&gt;"文字"),1,0)</f>
        <v>0</v>
      </c>
      <c r="W31" s="9" t="n">
        <f aca="false">IF(AND($O31="Active",OR($J31="",$J31="—")),1,0)</f>
        <v>0</v>
      </c>
      <c r="X31" s="9" t="n">
        <f aca="false">IF(AND(ISNUMBER($C31),ISNUMBER($D31),ISNUMBER($E31)),IF(AND($D31&lt;=$C31,$C31&lt;=$E31),0,1),0)</f>
        <v>0</v>
      </c>
      <c r="Y31" s="12" t="s">
        <v>69</v>
      </c>
    </row>
    <row r="32" customFormat="false" ht="15" hidden="false" customHeight="false" outlineLevel="0" collapsed="false">
      <c r="A32" s="9" t="s">
        <v>211</v>
      </c>
      <c r="B32" s="9" t="s">
        <v>212</v>
      </c>
      <c r="C32" s="9" t="s">
        <v>213</v>
      </c>
      <c r="D32" s="9"/>
      <c r="E32" s="9"/>
      <c r="F32" s="10" t="s">
        <v>181</v>
      </c>
      <c r="G32" s="10" t="s">
        <v>198</v>
      </c>
      <c r="H32" s="9" t="s">
        <v>58</v>
      </c>
      <c r="I32" s="9" t="s">
        <v>214</v>
      </c>
      <c r="J32" s="9" t="s">
        <v>200</v>
      </c>
      <c r="K32" s="9" t="s">
        <v>61</v>
      </c>
      <c r="L32" s="10" t="s">
        <v>62</v>
      </c>
      <c r="M32" s="10" t="s">
        <v>157</v>
      </c>
      <c r="N32" s="10" t="s">
        <v>119</v>
      </c>
      <c r="O32" s="9" t="s">
        <v>65</v>
      </c>
      <c r="P32" s="9" t="s">
        <v>59</v>
      </c>
      <c r="Q32" s="9" t="s">
        <v>144</v>
      </c>
      <c r="R32" s="9" t="s">
        <v>59</v>
      </c>
      <c r="S32" s="9" t="s">
        <v>201</v>
      </c>
      <c r="T32" s="9" t="s">
        <v>202</v>
      </c>
      <c r="U32" s="9"/>
      <c r="V32" s="9" t="n">
        <f aca="false">IF(AND($O32="Active",$C32="",$D32="",$E32="",$F32&lt;&gt;"文字"),1,0)</f>
        <v>0</v>
      </c>
      <c r="W32" s="9" t="n">
        <f aca="false">IF(AND($O32="Active",OR($J32="",$J32="—")),1,0)</f>
        <v>0</v>
      </c>
      <c r="X32" s="9" t="n">
        <f aca="false">IF(AND(ISNUMBER($C32),ISNUMBER($D32),ISNUMBER($E32)),IF(AND($D32&lt;=$C32,$C32&lt;=$E32),0,1),0)</f>
        <v>0</v>
      </c>
      <c r="Y32" s="12" t="s">
        <v>69</v>
      </c>
    </row>
    <row r="33" customFormat="false" ht="15" hidden="false" customHeight="false" outlineLevel="0" collapsed="false">
      <c r="A33" s="9" t="s">
        <v>215</v>
      </c>
      <c r="B33" s="9" t="s">
        <v>216</v>
      </c>
      <c r="C33" s="9" t="s">
        <v>217</v>
      </c>
      <c r="D33" s="9"/>
      <c r="E33" s="9"/>
      <c r="F33" s="10" t="s">
        <v>181</v>
      </c>
      <c r="G33" s="10" t="s">
        <v>198</v>
      </c>
      <c r="H33" s="9" t="s">
        <v>58</v>
      </c>
      <c r="I33" s="9" t="s">
        <v>218</v>
      </c>
      <c r="J33" s="9" t="s">
        <v>200</v>
      </c>
      <c r="K33" s="9" t="s">
        <v>61</v>
      </c>
      <c r="L33" s="10" t="s">
        <v>62</v>
      </c>
      <c r="M33" s="10" t="s">
        <v>157</v>
      </c>
      <c r="N33" s="10" t="s">
        <v>119</v>
      </c>
      <c r="O33" s="9" t="s">
        <v>65</v>
      </c>
      <c r="P33" s="9" t="s">
        <v>59</v>
      </c>
      <c r="Q33" s="9" t="s">
        <v>144</v>
      </c>
      <c r="R33" s="9" t="s">
        <v>59</v>
      </c>
      <c r="S33" s="9" t="s">
        <v>201</v>
      </c>
      <c r="T33" s="9" t="s">
        <v>202</v>
      </c>
      <c r="U33" s="9"/>
      <c r="V33" s="9" t="n">
        <f aca="false">IF(AND($O33="Active",$C33="",$D33="",$E33="",$F33&lt;&gt;"文字"),1,0)</f>
        <v>0</v>
      </c>
      <c r="W33" s="9" t="n">
        <f aca="false">IF(AND($O33="Active",OR($J33="",$J33="—")),1,0)</f>
        <v>0</v>
      </c>
      <c r="X33" s="9" t="n">
        <f aca="false">IF(AND(ISNUMBER($C33),ISNUMBER($D33),ISNUMBER($E33)),IF(AND($D33&lt;=$C33,$C33&lt;=$E33),0,1),0)</f>
        <v>0</v>
      </c>
      <c r="Y33" s="12" t="s">
        <v>69</v>
      </c>
    </row>
    <row r="34" customFormat="false" ht="15" hidden="false" customHeight="false" outlineLevel="0" collapsed="false">
      <c r="A34" s="9" t="s">
        <v>219</v>
      </c>
      <c r="B34" s="10" t="s">
        <v>220</v>
      </c>
      <c r="C34" s="11" t="n">
        <v>0.1</v>
      </c>
      <c r="D34" s="9"/>
      <c r="E34" s="9"/>
      <c r="F34" s="10" t="s">
        <v>108</v>
      </c>
      <c r="G34" s="10" t="s">
        <v>221</v>
      </c>
      <c r="H34" s="9" t="s">
        <v>58</v>
      </c>
      <c r="I34" s="9" t="s">
        <v>222</v>
      </c>
      <c r="J34" s="10" t="s">
        <v>223</v>
      </c>
      <c r="K34" s="9" t="s">
        <v>61</v>
      </c>
      <c r="L34" s="10" t="s">
        <v>62</v>
      </c>
      <c r="M34" s="10" t="s">
        <v>157</v>
      </c>
      <c r="N34" s="10" t="s">
        <v>119</v>
      </c>
      <c r="O34" s="9" t="s">
        <v>65</v>
      </c>
      <c r="P34" s="9" t="s">
        <v>59</v>
      </c>
      <c r="Q34" s="9" t="s">
        <v>144</v>
      </c>
      <c r="R34" s="9" t="s">
        <v>59</v>
      </c>
      <c r="S34" s="9" t="s">
        <v>224</v>
      </c>
      <c r="T34" s="9" t="s">
        <v>225</v>
      </c>
      <c r="U34" s="9"/>
      <c r="V34" s="9" t="n">
        <f aca="false">IF(AND($O34="Active",$C34="",$D34="",$E34="",$F34&lt;&gt;"文字"),1,0)</f>
        <v>0</v>
      </c>
      <c r="W34" s="9" t="n">
        <f aca="false">IF(AND($O34="Active",OR($J34="",$J34="—")),1,0)</f>
        <v>0</v>
      </c>
      <c r="X34" s="9" t="n">
        <f aca="false">IF(AND(ISNUMBER($C34),ISNUMBER($D34),ISNUMBER($E34)),IF(AND($D34&lt;=$C34,$C34&lt;=$E34),0,1),0)</f>
        <v>0</v>
      </c>
      <c r="Y34" s="12" t="s">
        <v>69</v>
      </c>
    </row>
    <row r="35" customFormat="false" ht="15" hidden="false" customHeight="false" outlineLevel="0" collapsed="false">
      <c r="A35" s="9" t="s">
        <v>226</v>
      </c>
      <c r="B35" s="10" t="s">
        <v>227</v>
      </c>
      <c r="C35" s="11" t="n">
        <v>8</v>
      </c>
      <c r="D35" s="9"/>
      <c r="E35" s="9"/>
      <c r="F35" s="9" t="s">
        <v>228</v>
      </c>
      <c r="G35" s="9" t="s">
        <v>229</v>
      </c>
      <c r="H35" s="9" t="s">
        <v>58</v>
      </c>
      <c r="I35" s="9" t="s">
        <v>222</v>
      </c>
      <c r="J35" s="9" t="s">
        <v>230</v>
      </c>
      <c r="K35" s="9" t="s">
        <v>61</v>
      </c>
      <c r="L35" s="10" t="s">
        <v>62</v>
      </c>
      <c r="M35" s="10" t="s">
        <v>157</v>
      </c>
      <c r="N35" s="10" t="s">
        <v>119</v>
      </c>
      <c r="O35" s="9" t="s">
        <v>65</v>
      </c>
      <c r="P35" s="9" t="s">
        <v>59</v>
      </c>
      <c r="Q35" s="9" t="s">
        <v>144</v>
      </c>
      <c r="R35" s="9" t="s">
        <v>59</v>
      </c>
      <c r="S35" s="9" t="s">
        <v>231</v>
      </c>
      <c r="T35" s="9" t="s">
        <v>232</v>
      </c>
      <c r="U35" s="9"/>
      <c r="V35" s="9" t="n">
        <f aca="false">IF(AND($O35="Active",$C35="",$D35="",$E35="",$F35&lt;&gt;"文字"),1,0)</f>
        <v>0</v>
      </c>
      <c r="W35" s="9" t="n">
        <f aca="false">IF(AND($O35="Active",OR($J35="",$J35="—")),1,0)</f>
        <v>0</v>
      </c>
      <c r="X35" s="9" t="n">
        <f aca="false">IF(AND(ISNUMBER($C35),ISNUMBER($D35),ISNUMBER($E35)),IF(AND($D35&lt;=$C35,$C35&lt;=$E35),0,1),0)</f>
        <v>0</v>
      </c>
      <c r="Y35" s="12" t="s">
        <v>69</v>
      </c>
    </row>
    <row r="36" customFormat="false" ht="15" hidden="false" customHeight="false" outlineLevel="0" collapsed="false">
      <c r="A36" s="9" t="s">
        <v>233</v>
      </c>
      <c r="B36" s="10" t="s">
        <v>234</v>
      </c>
      <c r="C36" s="11" t="n">
        <v>20</v>
      </c>
      <c r="D36" s="9"/>
      <c r="E36" s="9"/>
      <c r="F36" s="9" t="s">
        <v>228</v>
      </c>
      <c r="G36" s="9" t="s">
        <v>229</v>
      </c>
      <c r="H36" s="9" t="s">
        <v>58</v>
      </c>
      <c r="I36" s="9" t="s">
        <v>222</v>
      </c>
      <c r="J36" s="9" t="s">
        <v>230</v>
      </c>
      <c r="K36" s="9" t="s">
        <v>61</v>
      </c>
      <c r="L36" s="10" t="s">
        <v>62</v>
      </c>
      <c r="M36" s="10" t="s">
        <v>157</v>
      </c>
      <c r="N36" s="10" t="s">
        <v>119</v>
      </c>
      <c r="O36" s="9" t="s">
        <v>65</v>
      </c>
      <c r="P36" s="9" t="s">
        <v>59</v>
      </c>
      <c r="Q36" s="9" t="s">
        <v>144</v>
      </c>
      <c r="R36" s="9" t="s">
        <v>59</v>
      </c>
      <c r="S36" s="9" t="s">
        <v>231</v>
      </c>
      <c r="T36" s="9" t="s">
        <v>225</v>
      </c>
      <c r="U36" s="9"/>
      <c r="V36" s="9" t="n">
        <f aca="false">IF(AND($O36="Active",$C36="",$D36="",$E36="",$F36&lt;&gt;"文字"),1,0)</f>
        <v>0</v>
      </c>
      <c r="W36" s="9" t="n">
        <f aca="false">IF(AND($O36="Active",OR($J36="",$J36="—")),1,0)</f>
        <v>0</v>
      </c>
      <c r="X36" s="9" t="n">
        <f aca="false">IF(AND(ISNUMBER($C36),ISNUMBER($D36),ISNUMBER($E36)),IF(AND($D36&lt;=$C36,$C36&lt;=$E36),0,1),0)</f>
        <v>0</v>
      </c>
      <c r="Y36" s="12" t="s">
        <v>69</v>
      </c>
    </row>
    <row r="37" customFormat="false" ht="15" hidden="false" customHeight="false" outlineLevel="0" collapsed="false">
      <c r="A37" s="9" t="s">
        <v>235</v>
      </c>
      <c r="B37" s="10" t="s">
        <v>236</v>
      </c>
      <c r="C37" s="11" t="n">
        <v>100</v>
      </c>
      <c r="D37" s="9"/>
      <c r="E37" s="9"/>
      <c r="F37" s="9" t="s">
        <v>228</v>
      </c>
      <c r="G37" s="9" t="s">
        <v>237</v>
      </c>
      <c r="H37" s="9" t="s">
        <v>58</v>
      </c>
      <c r="I37" s="9" t="s">
        <v>222</v>
      </c>
      <c r="J37" s="9" t="s">
        <v>230</v>
      </c>
      <c r="K37" s="9" t="s">
        <v>61</v>
      </c>
      <c r="L37" s="10" t="s">
        <v>62</v>
      </c>
      <c r="M37" s="10" t="s">
        <v>157</v>
      </c>
      <c r="N37" s="10" t="s">
        <v>119</v>
      </c>
      <c r="O37" s="9" t="s">
        <v>65</v>
      </c>
      <c r="P37" s="9" t="s">
        <v>59</v>
      </c>
      <c r="Q37" s="9" t="s">
        <v>144</v>
      </c>
      <c r="R37" s="9" t="s">
        <v>59</v>
      </c>
      <c r="S37" s="9" t="s">
        <v>231</v>
      </c>
      <c r="T37" s="9" t="s">
        <v>225</v>
      </c>
      <c r="U37" s="9"/>
      <c r="V37" s="9" t="n">
        <f aca="false">IF(AND($O37="Active",$C37="",$D37="",$E37="",$F37&lt;&gt;"文字"),1,0)</f>
        <v>0</v>
      </c>
      <c r="W37" s="9" t="n">
        <f aca="false">IF(AND($O37="Active",OR($J37="",$J37="—")),1,0)</f>
        <v>0</v>
      </c>
      <c r="X37" s="9" t="n">
        <f aca="false">IF(AND(ISNUMBER($C37),ISNUMBER($D37),ISNUMBER($E37)),IF(AND($D37&lt;=$C37,$C37&lt;=$E37),0,1),0)</f>
        <v>0</v>
      </c>
      <c r="Y37" s="12" t="s">
        <v>69</v>
      </c>
    </row>
    <row r="38" customFormat="false" ht="15" hidden="false" customHeight="false" outlineLevel="0" collapsed="false">
      <c r="A38" s="9" t="s">
        <v>238</v>
      </c>
      <c r="B38" s="10" t="s">
        <v>239</v>
      </c>
      <c r="C38" s="11" t="n">
        <v>200</v>
      </c>
      <c r="D38" s="9"/>
      <c r="E38" s="9"/>
      <c r="F38" s="9" t="s">
        <v>228</v>
      </c>
      <c r="G38" s="9" t="s">
        <v>237</v>
      </c>
      <c r="H38" s="9" t="s">
        <v>58</v>
      </c>
      <c r="I38" s="9" t="s">
        <v>222</v>
      </c>
      <c r="J38" s="9" t="s">
        <v>230</v>
      </c>
      <c r="K38" s="9" t="s">
        <v>61</v>
      </c>
      <c r="L38" s="10" t="s">
        <v>62</v>
      </c>
      <c r="M38" s="10" t="s">
        <v>157</v>
      </c>
      <c r="N38" s="10" t="s">
        <v>119</v>
      </c>
      <c r="O38" s="9" t="s">
        <v>65</v>
      </c>
      <c r="P38" s="9" t="s">
        <v>59</v>
      </c>
      <c r="Q38" s="9" t="s">
        <v>144</v>
      </c>
      <c r="R38" s="9" t="s">
        <v>59</v>
      </c>
      <c r="S38" s="9" t="s">
        <v>231</v>
      </c>
      <c r="T38" s="9" t="s">
        <v>225</v>
      </c>
      <c r="U38" s="9"/>
      <c r="V38" s="9" t="n">
        <f aca="false">IF(AND($O38="Active",$C38="",$D38="",$E38="",$F38&lt;&gt;"文字"),1,0)</f>
        <v>0</v>
      </c>
      <c r="W38" s="9" t="n">
        <f aca="false">IF(AND($O38="Active",OR($J38="",$J38="—")),1,0)</f>
        <v>0</v>
      </c>
      <c r="X38" s="9" t="n">
        <f aca="false">IF(AND(ISNUMBER($C38),ISNUMBER($D38),ISNUMBER($E38)),IF(AND($D38&lt;=$C38,$C38&lt;=$E38),0,1),0)</f>
        <v>0</v>
      </c>
      <c r="Y38" s="12" t="s">
        <v>69</v>
      </c>
    </row>
    <row r="39" customFormat="false" ht="15" hidden="false" customHeight="false" outlineLevel="0" collapsed="false">
      <c r="A39" s="9" t="s">
        <v>240</v>
      </c>
      <c r="B39" s="10" t="s">
        <v>241</v>
      </c>
      <c r="C39" s="9"/>
      <c r="D39" s="11" t="n">
        <v>20</v>
      </c>
      <c r="E39" s="11" t="n">
        <v>25</v>
      </c>
      <c r="F39" s="9" t="s">
        <v>242</v>
      </c>
      <c r="G39" s="9" t="s">
        <v>243</v>
      </c>
      <c r="H39" s="9" t="s">
        <v>58</v>
      </c>
      <c r="I39" s="9" t="s">
        <v>222</v>
      </c>
      <c r="J39" s="9" t="s">
        <v>230</v>
      </c>
      <c r="K39" s="9" t="s">
        <v>61</v>
      </c>
      <c r="L39" s="10" t="s">
        <v>62</v>
      </c>
      <c r="M39" s="10" t="s">
        <v>157</v>
      </c>
      <c r="N39" s="10" t="s">
        <v>119</v>
      </c>
      <c r="O39" s="9" t="s">
        <v>65</v>
      </c>
      <c r="P39" s="9" t="s">
        <v>59</v>
      </c>
      <c r="Q39" s="9" t="s">
        <v>144</v>
      </c>
      <c r="R39" s="9" t="s">
        <v>59</v>
      </c>
      <c r="S39" s="9" t="s">
        <v>231</v>
      </c>
      <c r="T39" s="9" t="s">
        <v>225</v>
      </c>
      <c r="U39" s="9"/>
      <c r="V39" s="9" t="n">
        <f aca="false">IF(AND($O39="Active",$C39="",$D39="",$E39="",$F39&lt;&gt;"文字"),1,0)</f>
        <v>0</v>
      </c>
      <c r="W39" s="9" t="n">
        <f aca="false">IF(AND($O39="Active",OR($J39="",$J39="—")),1,0)</f>
        <v>0</v>
      </c>
      <c r="X39" s="9" t="n">
        <f aca="false">IF(AND(ISNUMBER($C39),ISNUMBER($D39),ISNUMBER($E39)),IF(AND($D39&lt;=$C39,$C39&lt;=$E39),0,1),0)</f>
        <v>0</v>
      </c>
      <c r="Y39" s="12" t="s">
        <v>69</v>
      </c>
    </row>
    <row r="40" customFormat="false" ht="15" hidden="false" customHeight="false" outlineLevel="0" collapsed="false">
      <c r="A40" s="9" t="s">
        <v>244</v>
      </c>
      <c r="B40" s="10" t="s">
        <v>245</v>
      </c>
      <c r="C40" s="11" t="n">
        <v>112</v>
      </c>
      <c r="D40" s="9"/>
      <c r="E40" s="9"/>
      <c r="F40" s="9" t="s">
        <v>246</v>
      </c>
      <c r="G40" s="10" t="s">
        <v>247</v>
      </c>
      <c r="H40" s="9" t="s">
        <v>58</v>
      </c>
      <c r="I40" s="9" t="s">
        <v>248</v>
      </c>
      <c r="J40" s="9" t="s">
        <v>249</v>
      </c>
      <c r="K40" s="9" t="s">
        <v>250</v>
      </c>
      <c r="L40" s="10" t="s">
        <v>62</v>
      </c>
      <c r="M40" s="10" t="s">
        <v>75</v>
      </c>
      <c r="N40" s="10" t="s">
        <v>89</v>
      </c>
      <c r="O40" s="9" t="s">
        <v>65</v>
      </c>
      <c r="P40" s="9" t="s">
        <v>59</v>
      </c>
      <c r="Q40" s="9" t="s">
        <v>66</v>
      </c>
      <c r="R40" s="10" t="s">
        <v>251</v>
      </c>
      <c r="S40" s="9" t="s">
        <v>252</v>
      </c>
      <c r="T40" s="9" t="s">
        <v>253</v>
      </c>
      <c r="U40" s="9"/>
      <c r="V40" s="9" t="n">
        <f aca="false">IF(AND($O40="Active",$C40="",$D40="",$E40="",$F40&lt;&gt;"文字"),1,0)</f>
        <v>0</v>
      </c>
      <c r="W40" s="9" t="n">
        <f aca="false">IF(AND($O40="Active",OR($J40="",$J40="—")),1,0)</f>
        <v>0</v>
      </c>
      <c r="X40" s="9" t="n">
        <f aca="false">IF(AND(ISNUMBER($C40),ISNUMBER($D40),ISNUMBER($E40)),IF(AND($D40&lt;=$C40,$C40&lt;=$E40),0,1),0)</f>
        <v>0</v>
      </c>
      <c r="Y40" s="12" t="s">
        <v>69</v>
      </c>
    </row>
    <row r="41" customFormat="false" ht="15" hidden="false" customHeight="false" outlineLevel="0" collapsed="false">
      <c r="A41" s="9" t="s">
        <v>254</v>
      </c>
      <c r="B41" s="10" t="s">
        <v>255</v>
      </c>
      <c r="C41" s="11" t="n">
        <v>9</v>
      </c>
      <c r="D41" s="9"/>
      <c r="E41" s="9"/>
      <c r="F41" s="9" t="s">
        <v>246</v>
      </c>
      <c r="G41" s="10" t="s">
        <v>247</v>
      </c>
      <c r="H41" s="9" t="s">
        <v>58</v>
      </c>
      <c r="I41" s="9" t="s">
        <v>248</v>
      </c>
      <c r="J41" s="9" t="s">
        <v>256</v>
      </c>
      <c r="K41" s="9" t="s">
        <v>250</v>
      </c>
      <c r="L41" s="10" t="s">
        <v>62</v>
      </c>
      <c r="M41" s="10" t="s">
        <v>75</v>
      </c>
      <c r="N41" s="10" t="s">
        <v>89</v>
      </c>
      <c r="O41" s="9" t="s">
        <v>65</v>
      </c>
      <c r="P41" s="9" t="s">
        <v>59</v>
      </c>
      <c r="Q41" s="9" t="s">
        <v>66</v>
      </c>
      <c r="R41" s="10" t="s">
        <v>251</v>
      </c>
      <c r="S41" s="9" t="s">
        <v>257</v>
      </c>
      <c r="T41" s="9" t="s">
        <v>253</v>
      </c>
      <c r="U41" s="9"/>
      <c r="V41" s="9" t="n">
        <f aca="false">IF(AND($O41="Active",$C41="",$D41="",$E41="",$F41&lt;&gt;"文字"),1,0)</f>
        <v>0</v>
      </c>
      <c r="W41" s="9" t="n">
        <f aca="false">IF(AND($O41="Active",OR($J41="",$J41="—")),1,0)</f>
        <v>0</v>
      </c>
      <c r="X41" s="9" t="n">
        <f aca="false">IF(AND(ISNUMBER($C41),ISNUMBER($D41),ISNUMBER($E41)),IF(AND($D41&lt;=$C41,$C41&lt;=$E41),0,1),0)</f>
        <v>0</v>
      </c>
      <c r="Y41" s="12" t="s">
        <v>69</v>
      </c>
    </row>
    <row r="42" customFormat="false" ht="15" hidden="false" customHeight="false" outlineLevel="0" collapsed="false">
      <c r="A42" s="9" t="s">
        <v>258</v>
      </c>
      <c r="B42" s="10" t="s">
        <v>259</v>
      </c>
      <c r="C42" s="11" t="n">
        <v>2.5</v>
      </c>
      <c r="D42" s="9"/>
      <c r="E42" s="9"/>
      <c r="F42" s="9" t="s">
        <v>56</v>
      </c>
      <c r="G42" s="10" t="s">
        <v>260</v>
      </c>
      <c r="H42" s="9" t="s">
        <v>58</v>
      </c>
      <c r="I42" s="9" t="s">
        <v>261</v>
      </c>
      <c r="J42" s="9" t="s">
        <v>262</v>
      </c>
      <c r="K42" s="9" t="s">
        <v>61</v>
      </c>
      <c r="L42" s="10" t="s">
        <v>62</v>
      </c>
      <c r="M42" s="10" t="s">
        <v>75</v>
      </c>
      <c r="N42" s="10" t="s">
        <v>89</v>
      </c>
      <c r="O42" s="9" t="s">
        <v>65</v>
      </c>
      <c r="P42" s="9" t="s">
        <v>59</v>
      </c>
      <c r="Q42" s="9" t="s">
        <v>66</v>
      </c>
      <c r="R42" s="9" t="s">
        <v>59</v>
      </c>
      <c r="S42" s="9" t="s">
        <v>263</v>
      </c>
      <c r="T42" s="9" t="s">
        <v>264</v>
      </c>
      <c r="U42" s="9"/>
      <c r="V42" s="9" t="n">
        <f aca="false">IF(AND($O42="Active",$C42="",$D42="",$E42="",$F42&lt;&gt;"文字"),1,0)</f>
        <v>0</v>
      </c>
      <c r="W42" s="9" t="n">
        <f aca="false">IF(AND($O42="Active",OR($J42="",$J42="—")),1,0)</f>
        <v>0</v>
      </c>
      <c r="X42" s="9" t="n">
        <f aca="false">IF(AND(ISNUMBER($C42),ISNUMBER($D42),ISNUMBER($E42)),IF(AND($D42&lt;=$C42,$C42&lt;=$E42),0,1),0)</f>
        <v>0</v>
      </c>
      <c r="Y42" s="12" t="s">
        <v>69</v>
      </c>
    </row>
    <row r="43" customFormat="false" ht="15" hidden="false" customHeight="false" outlineLevel="0" collapsed="false">
      <c r="A43" s="9" t="s">
        <v>265</v>
      </c>
      <c r="B43" s="10" t="s">
        <v>266</v>
      </c>
      <c r="C43" s="11" t="n">
        <v>11</v>
      </c>
      <c r="D43" s="9"/>
      <c r="E43" s="9"/>
      <c r="F43" s="9" t="s">
        <v>56</v>
      </c>
      <c r="G43" s="10" t="s">
        <v>260</v>
      </c>
      <c r="H43" s="9" t="s">
        <v>58</v>
      </c>
      <c r="I43" s="9" t="s">
        <v>261</v>
      </c>
      <c r="J43" s="9" t="s">
        <v>262</v>
      </c>
      <c r="K43" s="9" t="s">
        <v>61</v>
      </c>
      <c r="L43" s="10" t="s">
        <v>62</v>
      </c>
      <c r="M43" s="10" t="s">
        <v>75</v>
      </c>
      <c r="N43" s="10" t="s">
        <v>89</v>
      </c>
      <c r="O43" s="9" t="s">
        <v>65</v>
      </c>
      <c r="P43" s="9" t="s">
        <v>59</v>
      </c>
      <c r="Q43" s="9" t="s">
        <v>66</v>
      </c>
      <c r="R43" s="9" t="s">
        <v>59</v>
      </c>
      <c r="S43" s="9" t="s">
        <v>263</v>
      </c>
      <c r="T43" s="9" t="s">
        <v>264</v>
      </c>
      <c r="U43" s="9"/>
      <c r="V43" s="9" t="n">
        <f aca="false">IF(AND($O43="Active",$C43="",$D43="",$E43="",$F43&lt;&gt;"文字"),1,0)</f>
        <v>0</v>
      </c>
      <c r="W43" s="9" t="n">
        <f aca="false">IF(AND($O43="Active",OR($J43="",$J43="—")),1,0)</f>
        <v>0</v>
      </c>
      <c r="X43" s="9" t="n">
        <f aca="false">IF(AND(ISNUMBER($C43),ISNUMBER($D43),ISNUMBER($E43)),IF(AND($D43&lt;=$C43,$C43&lt;=$E43),0,1),0)</f>
        <v>0</v>
      </c>
      <c r="Y43" s="12" t="s">
        <v>69</v>
      </c>
    </row>
    <row r="44" customFormat="false" ht="15" hidden="false" customHeight="false" outlineLevel="0" collapsed="false">
      <c r="A44" s="9" t="s">
        <v>267</v>
      </c>
      <c r="B44" s="10" t="s">
        <v>268</v>
      </c>
      <c r="C44" s="11" t="n">
        <v>25</v>
      </c>
      <c r="D44" s="9"/>
      <c r="E44" s="9"/>
      <c r="F44" s="9" t="s">
        <v>56</v>
      </c>
      <c r="G44" s="10" t="s">
        <v>260</v>
      </c>
      <c r="H44" s="9" t="s">
        <v>58</v>
      </c>
      <c r="I44" s="9" t="s">
        <v>261</v>
      </c>
      <c r="J44" s="9" t="s">
        <v>262</v>
      </c>
      <c r="K44" s="9" t="s">
        <v>61</v>
      </c>
      <c r="L44" s="10" t="s">
        <v>62</v>
      </c>
      <c r="M44" s="10" t="s">
        <v>75</v>
      </c>
      <c r="N44" s="10" t="s">
        <v>89</v>
      </c>
      <c r="O44" s="9" t="s">
        <v>65</v>
      </c>
      <c r="P44" s="9" t="s">
        <v>59</v>
      </c>
      <c r="Q44" s="9" t="s">
        <v>66</v>
      </c>
      <c r="R44" s="9" t="s">
        <v>59</v>
      </c>
      <c r="S44" s="9" t="s">
        <v>263</v>
      </c>
      <c r="T44" s="9" t="s">
        <v>264</v>
      </c>
      <c r="U44" s="9"/>
      <c r="V44" s="9" t="n">
        <f aca="false">IF(AND($O44="Active",$C44="",$D44="",$E44="",$F44&lt;&gt;"文字"),1,0)</f>
        <v>0</v>
      </c>
      <c r="W44" s="9" t="n">
        <f aca="false">IF(AND($O44="Active",OR($J44="",$J44="—")),1,0)</f>
        <v>0</v>
      </c>
      <c r="X44" s="9" t="n">
        <f aca="false">IF(AND(ISNUMBER($C44),ISNUMBER($D44),ISNUMBER($E44)),IF(AND($D44&lt;=$C44,$C44&lt;=$E44),0,1),0)</f>
        <v>0</v>
      </c>
      <c r="Y44" s="12" t="s">
        <v>69</v>
      </c>
    </row>
    <row r="45" customFormat="false" ht="15" hidden="false" customHeight="false" outlineLevel="0" collapsed="false">
      <c r="A45" s="9" t="s">
        <v>269</v>
      </c>
      <c r="B45" s="10" t="s">
        <v>270</v>
      </c>
      <c r="C45" s="11" t="n">
        <v>53</v>
      </c>
      <c r="D45" s="9"/>
      <c r="E45" s="9"/>
      <c r="F45" s="9" t="s">
        <v>56</v>
      </c>
      <c r="G45" s="10" t="s">
        <v>260</v>
      </c>
      <c r="H45" s="9" t="s">
        <v>58</v>
      </c>
      <c r="I45" s="9" t="s">
        <v>261</v>
      </c>
      <c r="J45" s="9" t="s">
        <v>262</v>
      </c>
      <c r="K45" s="9" t="s">
        <v>61</v>
      </c>
      <c r="L45" s="10" t="s">
        <v>62</v>
      </c>
      <c r="M45" s="10" t="s">
        <v>75</v>
      </c>
      <c r="N45" s="10" t="s">
        <v>89</v>
      </c>
      <c r="O45" s="9" t="s">
        <v>65</v>
      </c>
      <c r="P45" s="9" t="s">
        <v>59</v>
      </c>
      <c r="Q45" s="9" t="s">
        <v>66</v>
      </c>
      <c r="R45" s="9" t="s">
        <v>59</v>
      </c>
      <c r="S45" s="9" t="s">
        <v>263</v>
      </c>
      <c r="T45" s="9" t="s">
        <v>264</v>
      </c>
      <c r="U45" s="9"/>
      <c r="V45" s="9" t="n">
        <f aca="false">IF(AND($O45="Active",$C45="",$D45="",$E45="",$F45&lt;&gt;"文字"),1,0)</f>
        <v>0</v>
      </c>
      <c r="W45" s="9" t="n">
        <f aca="false">IF(AND($O45="Active",OR($J45="",$J45="—")),1,0)</f>
        <v>0</v>
      </c>
      <c r="X45" s="9" t="n">
        <f aca="false">IF(AND(ISNUMBER($C45),ISNUMBER($D45),ISNUMBER($E45)),IF(AND($D45&lt;=$C45,$C45&lt;=$E45),0,1),0)</f>
        <v>0</v>
      </c>
      <c r="Y45" s="12" t="s">
        <v>69</v>
      </c>
    </row>
    <row r="46" customFormat="false" ht="15" hidden="false" customHeight="false" outlineLevel="0" collapsed="false">
      <c r="A46" s="9" t="s">
        <v>271</v>
      </c>
      <c r="B46" s="10" t="s">
        <v>272</v>
      </c>
      <c r="C46" s="11" t="n">
        <v>100</v>
      </c>
      <c r="D46" s="9"/>
      <c r="E46" s="9"/>
      <c r="F46" s="9" t="s">
        <v>56</v>
      </c>
      <c r="G46" s="10" t="s">
        <v>260</v>
      </c>
      <c r="H46" s="9" t="s">
        <v>58</v>
      </c>
      <c r="I46" s="9" t="s">
        <v>261</v>
      </c>
      <c r="J46" s="9" t="s">
        <v>262</v>
      </c>
      <c r="K46" s="9" t="s">
        <v>61</v>
      </c>
      <c r="L46" s="10" t="s">
        <v>62</v>
      </c>
      <c r="M46" s="10" t="s">
        <v>75</v>
      </c>
      <c r="N46" s="10" t="s">
        <v>89</v>
      </c>
      <c r="O46" s="9" t="s">
        <v>65</v>
      </c>
      <c r="P46" s="9" t="s">
        <v>59</v>
      </c>
      <c r="Q46" s="9" t="s">
        <v>66</v>
      </c>
      <c r="R46" s="9" t="s">
        <v>59</v>
      </c>
      <c r="S46" s="9" t="s">
        <v>263</v>
      </c>
      <c r="T46" s="9" t="s">
        <v>264</v>
      </c>
      <c r="U46" s="9"/>
      <c r="V46" s="9" t="n">
        <f aca="false">IF(AND($O46="Active",$C46="",$D46="",$E46="",$F46&lt;&gt;"文字"),1,0)</f>
        <v>0</v>
      </c>
      <c r="W46" s="9" t="n">
        <f aca="false">IF(AND($O46="Active",OR($J46="",$J46="—")),1,0)</f>
        <v>0</v>
      </c>
      <c r="X46" s="9" t="n">
        <f aca="false">IF(AND(ISNUMBER($C46),ISNUMBER($D46),ISNUMBER($E46)),IF(AND($D46&lt;=$C46,$C46&lt;=$E46),0,1),0)</f>
        <v>0</v>
      </c>
      <c r="Y46" s="12" t="s">
        <v>69</v>
      </c>
    </row>
    <row r="47" customFormat="false" ht="15" hidden="false" customHeight="false" outlineLevel="0" collapsed="false">
      <c r="A47" s="9" t="s">
        <v>273</v>
      </c>
      <c r="B47" s="10" t="s">
        <v>274</v>
      </c>
      <c r="C47" s="11" t="n">
        <v>36</v>
      </c>
      <c r="D47" s="9"/>
      <c r="E47" s="9"/>
      <c r="F47" s="9" t="s">
        <v>56</v>
      </c>
      <c r="G47" s="9" t="s">
        <v>275</v>
      </c>
      <c r="H47" s="9" t="s">
        <v>58</v>
      </c>
      <c r="I47" s="9" t="s">
        <v>276</v>
      </c>
      <c r="J47" s="9" t="s">
        <v>277</v>
      </c>
      <c r="K47" s="9" t="s">
        <v>61</v>
      </c>
      <c r="L47" s="10" t="s">
        <v>62</v>
      </c>
      <c r="M47" s="10" t="s">
        <v>75</v>
      </c>
      <c r="N47" s="10" t="s">
        <v>64</v>
      </c>
      <c r="O47" s="9" t="s">
        <v>65</v>
      </c>
      <c r="P47" s="9" t="s">
        <v>59</v>
      </c>
      <c r="Q47" s="9" t="s">
        <v>66</v>
      </c>
      <c r="R47" s="9" t="s">
        <v>59</v>
      </c>
      <c r="S47" s="9" t="s">
        <v>278</v>
      </c>
      <c r="T47" s="9" t="s">
        <v>279</v>
      </c>
      <c r="U47" s="9"/>
      <c r="V47" s="9" t="n">
        <f aca="false">IF(AND($O47="Active",$C47="",$D47="",$E47="",$F47&lt;&gt;"文字"),1,0)</f>
        <v>0</v>
      </c>
      <c r="W47" s="9" t="n">
        <f aca="false">IF(AND($O47="Active",OR($J47="",$J47="—")),1,0)</f>
        <v>0</v>
      </c>
      <c r="X47" s="9" t="n">
        <f aca="false">IF(AND(ISNUMBER($C47),ISNUMBER($D47),ISNUMBER($E47)),IF(AND($D47&lt;=$C47,$C47&lt;=$E47),0,1),0)</f>
        <v>0</v>
      </c>
      <c r="Y47" s="12" t="s">
        <v>69</v>
      </c>
    </row>
    <row r="48" customFormat="false" ht="15" hidden="false" customHeight="false" outlineLevel="0" collapsed="false">
      <c r="A48" s="9" t="s">
        <v>280</v>
      </c>
      <c r="B48" s="10" t="s">
        <v>281</v>
      </c>
      <c r="C48" s="11" t="n">
        <v>350</v>
      </c>
      <c r="D48" s="9"/>
      <c r="E48" s="9"/>
      <c r="F48" s="9" t="s">
        <v>56</v>
      </c>
      <c r="G48" s="9" t="s">
        <v>282</v>
      </c>
      <c r="H48" s="9" t="s">
        <v>58</v>
      </c>
      <c r="I48" s="9" t="s">
        <v>276</v>
      </c>
      <c r="J48" s="9" t="s">
        <v>277</v>
      </c>
      <c r="K48" s="9" t="s">
        <v>61</v>
      </c>
      <c r="L48" s="10" t="s">
        <v>62</v>
      </c>
      <c r="M48" s="10" t="s">
        <v>75</v>
      </c>
      <c r="N48" s="10" t="s">
        <v>64</v>
      </c>
      <c r="O48" s="9" t="s">
        <v>65</v>
      </c>
      <c r="P48" s="9" t="s">
        <v>59</v>
      </c>
      <c r="Q48" s="9" t="s">
        <v>66</v>
      </c>
      <c r="R48" s="9" t="s">
        <v>59</v>
      </c>
      <c r="S48" s="9" t="s">
        <v>278</v>
      </c>
      <c r="T48" s="9" t="s">
        <v>279</v>
      </c>
      <c r="U48" s="9"/>
      <c r="V48" s="9" t="n">
        <f aca="false">IF(AND($O48="Active",$C48="",$D48="",$E48="",$F48&lt;&gt;"文字"),1,0)</f>
        <v>0</v>
      </c>
      <c r="W48" s="9" t="n">
        <f aca="false">IF(AND($O48="Active",OR($J48="",$J48="—")),1,0)</f>
        <v>0</v>
      </c>
      <c r="X48" s="9" t="n">
        <f aca="false">IF(AND(ISNUMBER($C48),ISNUMBER($D48),ISNUMBER($E48)),IF(AND($D48&lt;=$C48,$C48&lt;=$E48),0,1),0)</f>
        <v>0</v>
      </c>
      <c r="Y48" s="12" t="s">
        <v>69</v>
      </c>
    </row>
    <row r="49" customFormat="false" ht="15" hidden="false" customHeight="false" outlineLevel="0" collapsed="false">
      <c r="A49" s="9" t="s">
        <v>283</v>
      </c>
      <c r="B49" s="10" t="s">
        <v>284</v>
      </c>
      <c r="C49" s="11" t="n">
        <v>840</v>
      </c>
      <c r="D49" s="9"/>
      <c r="E49" s="9"/>
      <c r="F49" s="9" t="s">
        <v>56</v>
      </c>
      <c r="G49" s="9" t="s">
        <v>282</v>
      </c>
      <c r="H49" s="9" t="s">
        <v>58</v>
      </c>
      <c r="I49" s="9" t="s">
        <v>276</v>
      </c>
      <c r="J49" s="9" t="s">
        <v>277</v>
      </c>
      <c r="K49" s="9" t="s">
        <v>61</v>
      </c>
      <c r="L49" s="10" t="s">
        <v>62</v>
      </c>
      <c r="M49" s="10" t="s">
        <v>75</v>
      </c>
      <c r="N49" s="10" t="s">
        <v>64</v>
      </c>
      <c r="O49" s="9" t="s">
        <v>65</v>
      </c>
      <c r="P49" s="9" t="s">
        <v>59</v>
      </c>
      <c r="Q49" s="9" t="s">
        <v>66</v>
      </c>
      <c r="R49" s="9" t="s">
        <v>59</v>
      </c>
      <c r="S49" s="9" t="s">
        <v>278</v>
      </c>
      <c r="T49" s="9" t="s">
        <v>279</v>
      </c>
      <c r="U49" s="9"/>
      <c r="V49" s="9" t="n">
        <f aca="false">IF(AND($O49="Active",$C49="",$D49="",$E49="",$F49&lt;&gt;"文字"),1,0)</f>
        <v>0</v>
      </c>
      <c r="W49" s="9" t="n">
        <f aca="false">IF(AND($O49="Active",OR($J49="",$J49="—")),1,0)</f>
        <v>0</v>
      </c>
      <c r="X49" s="9" t="n">
        <f aca="false">IF(AND(ISNUMBER($C49),ISNUMBER($D49),ISNUMBER($E49)),IF(AND($D49&lt;=$C49,$C49&lt;=$E49),0,1),0)</f>
        <v>0</v>
      </c>
      <c r="Y49" s="12" t="s">
        <v>69</v>
      </c>
    </row>
    <row r="50" customFormat="false" ht="15" hidden="false" customHeight="false" outlineLevel="0" collapsed="false">
      <c r="A50" s="9" t="s">
        <v>285</v>
      </c>
      <c r="B50" s="9" t="s">
        <v>286</v>
      </c>
      <c r="C50" s="11" t="n">
        <v>2750</v>
      </c>
      <c r="D50" s="9"/>
      <c r="E50" s="9"/>
      <c r="F50" s="9" t="s">
        <v>246</v>
      </c>
      <c r="G50" s="10" t="s">
        <v>287</v>
      </c>
      <c r="H50" s="9" t="s">
        <v>58</v>
      </c>
      <c r="I50" s="9" t="s">
        <v>261</v>
      </c>
      <c r="J50" s="9" t="s">
        <v>288</v>
      </c>
      <c r="K50" s="9" t="s">
        <v>61</v>
      </c>
      <c r="L50" s="10" t="s">
        <v>62</v>
      </c>
      <c r="M50" s="10" t="s">
        <v>75</v>
      </c>
      <c r="N50" s="10" t="s">
        <v>89</v>
      </c>
      <c r="O50" s="9" t="s">
        <v>65</v>
      </c>
      <c r="P50" s="9" t="s">
        <v>59</v>
      </c>
      <c r="Q50" s="9" t="s">
        <v>66</v>
      </c>
      <c r="R50" s="9" t="s">
        <v>59</v>
      </c>
      <c r="S50" s="9" t="s">
        <v>289</v>
      </c>
      <c r="T50" s="9" t="s">
        <v>264</v>
      </c>
      <c r="U50" s="9"/>
      <c r="V50" s="9" t="n">
        <f aca="false">IF(AND($O50="Active",$C50="",$D50="",$E50="",$F50&lt;&gt;"文字"),1,0)</f>
        <v>0</v>
      </c>
      <c r="W50" s="9" t="n">
        <f aca="false">IF(AND($O50="Active",OR($J50="",$J50="—")),1,0)</f>
        <v>0</v>
      </c>
      <c r="X50" s="9" t="n">
        <f aca="false">IF(AND(ISNUMBER($C50),ISNUMBER($D50),ISNUMBER($E50)),IF(AND($D50&lt;=$C50,$C50&lt;=$E50),0,1),0)</f>
        <v>0</v>
      </c>
      <c r="Y50" s="12" t="s">
        <v>69</v>
      </c>
    </row>
    <row r="51" customFormat="false" ht="15" hidden="false" customHeight="false" outlineLevel="0" collapsed="false">
      <c r="A51" s="9" t="s">
        <v>290</v>
      </c>
      <c r="B51" s="10" t="s">
        <v>291</v>
      </c>
      <c r="C51" s="11" t="n">
        <v>8.4</v>
      </c>
      <c r="D51" s="9"/>
      <c r="E51" s="9"/>
      <c r="F51" s="9" t="s">
        <v>56</v>
      </c>
      <c r="G51" s="9" t="s">
        <v>292</v>
      </c>
      <c r="H51" s="9" t="s">
        <v>58</v>
      </c>
      <c r="I51" s="9" t="s">
        <v>293</v>
      </c>
      <c r="J51" s="9" t="s">
        <v>294</v>
      </c>
      <c r="K51" s="9" t="s">
        <v>250</v>
      </c>
      <c r="L51" s="10" t="s">
        <v>62</v>
      </c>
      <c r="M51" s="10" t="s">
        <v>75</v>
      </c>
      <c r="N51" s="10" t="s">
        <v>89</v>
      </c>
      <c r="O51" s="9" t="s">
        <v>65</v>
      </c>
      <c r="P51" s="9" t="s">
        <v>59</v>
      </c>
      <c r="Q51" s="9" t="s">
        <v>66</v>
      </c>
      <c r="R51" s="10" t="s">
        <v>251</v>
      </c>
      <c r="S51" s="9" t="s">
        <v>295</v>
      </c>
      <c r="T51" s="9" t="s">
        <v>296</v>
      </c>
      <c r="U51" s="9" t="s">
        <v>297</v>
      </c>
      <c r="V51" s="9" t="n">
        <f aca="false">IF(AND($O51="Active",$C51="",$D51="",$E51="",$F51&lt;&gt;"文字"),1,0)</f>
        <v>0</v>
      </c>
      <c r="W51" s="9" t="n">
        <f aca="false">IF(AND($O51="Active",OR($J51="",$J51="—")),1,0)</f>
        <v>0</v>
      </c>
      <c r="X51" s="9" t="n">
        <f aca="false">IF(AND(ISNUMBER($C51),ISNUMBER($D51),ISNUMBER($E51)),IF(AND($D51&lt;=$C51,$C51&lt;=$E51),0,1),0)</f>
        <v>0</v>
      </c>
      <c r="Y51" s="12" t="s">
        <v>69</v>
      </c>
    </row>
    <row r="52" customFormat="false" ht="15" hidden="false" customHeight="false" outlineLevel="0" collapsed="false">
      <c r="A52" s="9" t="s">
        <v>298</v>
      </c>
      <c r="B52" s="10" t="s">
        <v>299</v>
      </c>
      <c r="C52" s="11" t="n">
        <v>3.9</v>
      </c>
      <c r="D52" s="9"/>
      <c r="E52" s="9"/>
      <c r="F52" s="9" t="s">
        <v>56</v>
      </c>
      <c r="G52" s="10" t="s">
        <v>300</v>
      </c>
      <c r="H52" s="9" t="s">
        <v>58</v>
      </c>
      <c r="I52" s="9" t="s">
        <v>293</v>
      </c>
      <c r="J52" s="9" t="s">
        <v>301</v>
      </c>
      <c r="K52" s="9" t="s">
        <v>250</v>
      </c>
      <c r="L52" s="10" t="s">
        <v>62</v>
      </c>
      <c r="M52" s="10" t="s">
        <v>75</v>
      </c>
      <c r="N52" s="10" t="s">
        <v>89</v>
      </c>
      <c r="O52" s="9" t="s">
        <v>65</v>
      </c>
      <c r="P52" s="9" t="s">
        <v>59</v>
      </c>
      <c r="Q52" s="9" t="s">
        <v>66</v>
      </c>
      <c r="R52" s="10" t="s">
        <v>251</v>
      </c>
      <c r="S52" s="9" t="s">
        <v>302</v>
      </c>
      <c r="T52" s="9" t="s">
        <v>303</v>
      </c>
      <c r="U52" s="9"/>
      <c r="V52" s="9" t="n">
        <f aca="false">IF(AND($O52="Active",$C52="",$D52="",$E52="",$F52&lt;&gt;"文字"),1,0)</f>
        <v>0</v>
      </c>
      <c r="W52" s="9" t="n">
        <f aca="false">IF(AND($O52="Active",OR($J52="",$J52="—")),1,0)</f>
        <v>0</v>
      </c>
      <c r="X52" s="9" t="n">
        <f aca="false">IF(AND(ISNUMBER($C52),ISNUMBER($D52),ISNUMBER($E52)),IF(AND($D52&lt;=$C52,$C52&lt;=$E52),0,1),0)</f>
        <v>0</v>
      </c>
      <c r="Y52" s="12" t="s">
        <v>69</v>
      </c>
    </row>
    <row r="53" customFormat="false" ht="15" hidden="false" customHeight="false" outlineLevel="0" collapsed="false">
      <c r="A53" s="9" t="s">
        <v>304</v>
      </c>
      <c r="B53" s="10" t="s">
        <v>305</v>
      </c>
      <c r="C53" s="11" t="n">
        <v>4.5</v>
      </c>
      <c r="D53" s="9"/>
      <c r="E53" s="9"/>
      <c r="F53" s="9" t="s">
        <v>56</v>
      </c>
      <c r="G53" s="10" t="s">
        <v>306</v>
      </c>
      <c r="H53" s="9" t="s">
        <v>58</v>
      </c>
      <c r="I53" s="9" t="s">
        <v>293</v>
      </c>
      <c r="J53" s="9" t="s">
        <v>307</v>
      </c>
      <c r="K53" s="9" t="s">
        <v>250</v>
      </c>
      <c r="L53" s="10" t="s">
        <v>62</v>
      </c>
      <c r="M53" s="10" t="s">
        <v>75</v>
      </c>
      <c r="N53" s="10" t="s">
        <v>89</v>
      </c>
      <c r="O53" s="9" t="s">
        <v>65</v>
      </c>
      <c r="P53" s="9" t="s">
        <v>59</v>
      </c>
      <c r="Q53" s="9" t="s">
        <v>66</v>
      </c>
      <c r="R53" s="10" t="s">
        <v>251</v>
      </c>
      <c r="S53" s="9" t="s">
        <v>308</v>
      </c>
      <c r="T53" s="9" t="s">
        <v>303</v>
      </c>
      <c r="U53" s="9"/>
      <c r="V53" s="9" t="n">
        <f aca="false">IF(AND($O53="Active",$C53="",$D53="",$E53="",$F53&lt;&gt;"文字"),1,0)</f>
        <v>0</v>
      </c>
      <c r="W53" s="9" t="n">
        <f aca="false">IF(AND($O53="Active",OR($J53="",$J53="—")),1,0)</f>
        <v>0</v>
      </c>
      <c r="X53" s="9" t="n">
        <f aca="false">IF(AND(ISNUMBER($C53),ISNUMBER($D53),ISNUMBER($E53)),IF(AND($D53&lt;=$C53,$C53&lt;=$E53),0,1),0)</f>
        <v>0</v>
      </c>
      <c r="Y53" s="12" t="s">
        <v>69</v>
      </c>
    </row>
    <row r="54" customFormat="false" ht="15" hidden="false" customHeight="false" outlineLevel="0" collapsed="false">
      <c r="A54" s="9" t="s">
        <v>309</v>
      </c>
      <c r="B54" s="10" t="s">
        <v>310</v>
      </c>
      <c r="C54" s="11" t="n">
        <v>14.1</v>
      </c>
      <c r="D54" s="9"/>
      <c r="E54" s="9"/>
      <c r="F54" s="9" t="s">
        <v>56</v>
      </c>
      <c r="G54" s="9" t="s">
        <v>311</v>
      </c>
      <c r="H54" s="9" t="s">
        <v>58</v>
      </c>
      <c r="I54" s="9" t="s">
        <v>293</v>
      </c>
      <c r="J54" s="9" t="s">
        <v>312</v>
      </c>
      <c r="K54" s="9" t="s">
        <v>61</v>
      </c>
      <c r="L54" s="10" t="s">
        <v>62</v>
      </c>
      <c r="M54" s="10" t="s">
        <v>75</v>
      </c>
      <c r="N54" s="10" t="s">
        <v>89</v>
      </c>
      <c r="O54" s="9" t="s">
        <v>65</v>
      </c>
      <c r="P54" s="9" t="s">
        <v>59</v>
      </c>
      <c r="Q54" s="9" t="s">
        <v>66</v>
      </c>
      <c r="R54" s="9" t="s">
        <v>59</v>
      </c>
      <c r="S54" s="9" t="s">
        <v>313</v>
      </c>
      <c r="T54" s="9" t="s">
        <v>314</v>
      </c>
      <c r="U54" s="10" t="s">
        <v>315</v>
      </c>
      <c r="V54" s="9" t="n">
        <f aca="false">IF(AND($O54="Active",$C54="",$D54="",$E54="",$F54&lt;&gt;"文字"),1,0)</f>
        <v>0</v>
      </c>
      <c r="W54" s="9" t="n">
        <f aca="false">IF(AND($O54="Active",OR($J54="",$J54="—")),1,0)</f>
        <v>0</v>
      </c>
      <c r="X54" s="9" t="n">
        <f aca="false">IF(AND(ISNUMBER($C54),ISNUMBER($D54),ISNUMBER($E54)),IF(AND($D54&lt;=$C54,$C54&lt;=$E54),0,1),0)</f>
        <v>0</v>
      </c>
      <c r="Y54" s="12" t="s">
        <v>69</v>
      </c>
    </row>
    <row r="55" customFormat="false" ht="15" hidden="false" customHeight="false" outlineLevel="0" collapsed="false">
      <c r="A55" s="9" t="s">
        <v>316</v>
      </c>
      <c r="B55" s="10" t="s">
        <v>317</v>
      </c>
      <c r="C55" s="11" t="n">
        <v>85</v>
      </c>
      <c r="D55" s="9"/>
      <c r="E55" s="9"/>
      <c r="F55" s="9" t="s">
        <v>56</v>
      </c>
      <c r="G55" s="9" t="s">
        <v>318</v>
      </c>
      <c r="H55" s="9" t="s">
        <v>58</v>
      </c>
      <c r="I55" s="9" t="s">
        <v>293</v>
      </c>
      <c r="J55" s="9" t="s">
        <v>319</v>
      </c>
      <c r="K55" s="9" t="s">
        <v>61</v>
      </c>
      <c r="L55" s="10" t="s">
        <v>62</v>
      </c>
      <c r="M55" s="10" t="s">
        <v>75</v>
      </c>
      <c r="N55" s="10" t="s">
        <v>89</v>
      </c>
      <c r="O55" s="9" t="s">
        <v>65</v>
      </c>
      <c r="P55" s="9" t="s">
        <v>59</v>
      </c>
      <c r="Q55" s="9" t="s">
        <v>66</v>
      </c>
      <c r="R55" s="9" t="s">
        <v>59</v>
      </c>
      <c r="S55" s="9" t="s">
        <v>320</v>
      </c>
      <c r="T55" s="9" t="s">
        <v>314</v>
      </c>
      <c r="U55" s="10" t="s">
        <v>321</v>
      </c>
      <c r="V55" s="9" t="n">
        <f aca="false">IF(AND($O55="Active",$C55="",$D55="",$E55="",$F55&lt;&gt;"文字"),1,0)</f>
        <v>0</v>
      </c>
      <c r="W55" s="9" t="n">
        <f aca="false">IF(AND($O55="Active",OR($J55="",$J55="—")),1,0)</f>
        <v>0</v>
      </c>
      <c r="X55" s="9" t="n">
        <f aca="false">IF(AND(ISNUMBER($C55),ISNUMBER($D55),ISNUMBER($E55)),IF(AND($D55&lt;=$C55,$C55&lt;=$E55),0,1),0)</f>
        <v>0</v>
      </c>
      <c r="Y55" s="12" t="s">
        <v>69</v>
      </c>
    </row>
    <row r="56" customFormat="false" ht="15" hidden="false" customHeight="false" outlineLevel="0" collapsed="false">
      <c r="A56" s="9" t="s">
        <v>322</v>
      </c>
      <c r="B56" s="10" t="s">
        <v>323</v>
      </c>
      <c r="C56" s="11" t="n">
        <v>-278</v>
      </c>
      <c r="D56" s="9"/>
      <c r="E56" s="9"/>
      <c r="F56" s="9" t="s">
        <v>56</v>
      </c>
      <c r="G56" s="9" t="s">
        <v>324</v>
      </c>
      <c r="H56" s="9" t="s">
        <v>58</v>
      </c>
      <c r="I56" s="9" t="s">
        <v>276</v>
      </c>
      <c r="J56" s="9" t="s">
        <v>325</v>
      </c>
      <c r="K56" s="9" t="s">
        <v>61</v>
      </c>
      <c r="L56" s="10" t="s">
        <v>62</v>
      </c>
      <c r="M56" s="10" t="s">
        <v>75</v>
      </c>
      <c r="N56" s="10" t="s">
        <v>89</v>
      </c>
      <c r="O56" s="9" t="s">
        <v>65</v>
      </c>
      <c r="P56" s="9" t="s">
        <v>59</v>
      </c>
      <c r="Q56" s="9" t="s">
        <v>66</v>
      </c>
      <c r="R56" s="9" t="s">
        <v>59</v>
      </c>
      <c r="S56" s="9" t="s">
        <v>326</v>
      </c>
      <c r="T56" s="9" t="s">
        <v>279</v>
      </c>
      <c r="U56" s="9"/>
      <c r="V56" s="9" t="n">
        <f aca="false">IF(AND($O56="Active",$C56="",$D56="",$E56="",$F56&lt;&gt;"文字"),1,0)</f>
        <v>0</v>
      </c>
      <c r="W56" s="9" t="n">
        <f aca="false">IF(AND($O56="Active",OR($J56="",$J56="—")),1,0)</f>
        <v>0</v>
      </c>
      <c r="X56" s="9" t="n">
        <f aca="false">IF(AND(ISNUMBER($C56),ISNUMBER($D56),ISNUMBER($E56)),IF(AND($D56&lt;=$C56,$C56&lt;=$E56),0,1),0)</f>
        <v>0</v>
      </c>
      <c r="Y56" s="12" t="s">
        <v>69</v>
      </c>
    </row>
    <row r="57" customFormat="false" ht="15" hidden="false" customHeight="false" outlineLevel="0" collapsed="false">
      <c r="A57" s="9" t="s">
        <v>327</v>
      </c>
      <c r="B57" s="10" t="s">
        <v>328</v>
      </c>
      <c r="C57" s="11" t="n">
        <v>856</v>
      </c>
      <c r="D57" s="11" t="n">
        <v>600</v>
      </c>
      <c r="E57" s="11" t="n">
        <v>856</v>
      </c>
      <c r="F57" s="9" t="s">
        <v>56</v>
      </c>
      <c r="G57" s="9" t="s">
        <v>329</v>
      </c>
      <c r="H57" s="9" t="s">
        <v>58</v>
      </c>
      <c r="I57" s="9" t="s">
        <v>276</v>
      </c>
      <c r="J57" s="9" t="s">
        <v>330</v>
      </c>
      <c r="K57" s="9" t="s">
        <v>250</v>
      </c>
      <c r="L57" s="10" t="s">
        <v>62</v>
      </c>
      <c r="M57" s="10" t="s">
        <v>75</v>
      </c>
      <c r="N57" s="10" t="s">
        <v>89</v>
      </c>
      <c r="O57" s="9" t="s">
        <v>65</v>
      </c>
      <c r="P57" s="9" t="s">
        <v>59</v>
      </c>
      <c r="Q57" s="9" t="s">
        <v>66</v>
      </c>
      <c r="R57" s="10" t="s">
        <v>251</v>
      </c>
      <c r="S57" s="9" t="s">
        <v>331</v>
      </c>
      <c r="T57" s="9" t="s">
        <v>332</v>
      </c>
      <c r="U57" s="10" t="s">
        <v>333</v>
      </c>
      <c r="V57" s="9" t="n">
        <f aca="false">IF(AND($O57="Active",$C57="",$D57="",$E57="",$F57&lt;&gt;"文字"),1,0)</f>
        <v>0</v>
      </c>
      <c r="W57" s="9" t="n">
        <f aca="false">IF(AND($O57="Active",OR($J57="",$J57="—")),1,0)</f>
        <v>0</v>
      </c>
      <c r="X57" s="9" t="n">
        <f aca="false">IF(AND(ISNUMBER($C57),ISNUMBER($D57),ISNUMBER($E57)),IF(AND($D57&lt;=$C57,$C57&lt;=$E57),0,1),0)</f>
        <v>0</v>
      </c>
      <c r="Y57" s="12" t="s">
        <v>69</v>
      </c>
    </row>
    <row r="58" customFormat="false" ht="15" hidden="false" customHeight="false" outlineLevel="0" collapsed="false">
      <c r="A58" s="9" t="s">
        <v>334</v>
      </c>
      <c r="B58" s="10" t="s">
        <v>335</v>
      </c>
      <c r="C58" s="11" t="n">
        <v>280</v>
      </c>
      <c r="D58" s="9"/>
      <c r="E58" s="9"/>
      <c r="F58" s="9" t="s">
        <v>56</v>
      </c>
      <c r="G58" s="9" t="s">
        <v>336</v>
      </c>
      <c r="H58" s="9" t="s">
        <v>58</v>
      </c>
      <c r="I58" s="9" t="s">
        <v>293</v>
      </c>
      <c r="J58" s="9" t="s">
        <v>337</v>
      </c>
      <c r="K58" s="9" t="s">
        <v>61</v>
      </c>
      <c r="L58" s="10" t="s">
        <v>62</v>
      </c>
      <c r="M58" s="10" t="s">
        <v>75</v>
      </c>
      <c r="N58" s="10" t="s">
        <v>89</v>
      </c>
      <c r="O58" s="9" t="s">
        <v>65</v>
      </c>
      <c r="P58" s="9" t="s">
        <v>59</v>
      </c>
      <c r="Q58" s="9" t="s">
        <v>66</v>
      </c>
      <c r="R58" s="9" t="s">
        <v>59</v>
      </c>
      <c r="S58" s="9" t="s">
        <v>338</v>
      </c>
      <c r="T58" s="9" t="s">
        <v>339</v>
      </c>
      <c r="U58" s="9"/>
      <c r="V58" s="9" t="n">
        <f aca="false">IF(AND($O58="Active",$C58="",$D58="",$E58="",$F58&lt;&gt;"文字"),1,0)</f>
        <v>0</v>
      </c>
      <c r="W58" s="9" t="n">
        <f aca="false">IF(AND($O58="Active",OR($J58="",$J58="—")),1,0)</f>
        <v>0</v>
      </c>
      <c r="X58" s="9" t="n">
        <f aca="false">IF(AND(ISNUMBER($C58),ISNUMBER($D58),ISNUMBER($E58)),IF(AND($D58&lt;=$C58,$C58&lt;=$E58),0,1),0)</f>
        <v>0</v>
      </c>
      <c r="Y58" s="12" t="s">
        <v>69</v>
      </c>
    </row>
    <row r="59" customFormat="false" ht="15" hidden="false" customHeight="false" outlineLevel="0" collapsed="false">
      <c r="A59" s="9" t="s">
        <v>340</v>
      </c>
      <c r="B59" s="10" t="s">
        <v>341</v>
      </c>
      <c r="C59" s="11" t="n">
        <v>250</v>
      </c>
      <c r="D59" s="9"/>
      <c r="E59" s="9"/>
      <c r="F59" s="9" t="s">
        <v>56</v>
      </c>
      <c r="G59" s="9" t="s">
        <v>342</v>
      </c>
      <c r="H59" s="9" t="s">
        <v>126</v>
      </c>
      <c r="I59" s="9" t="s">
        <v>117</v>
      </c>
      <c r="J59" s="9" t="s">
        <v>343</v>
      </c>
      <c r="K59" s="9" t="s">
        <v>61</v>
      </c>
      <c r="L59" s="10" t="s">
        <v>62</v>
      </c>
      <c r="M59" s="10" t="s">
        <v>143</v>
      </c>
      <c r="N59" s="10" t="s">
        <v>119</v>
      </c>
      <c r="O59" s="9" t="s">
        <v>65</v>
      </c>
      <c r="P59" s="9" t="s">
        <v>59</v>
      </c>
      <c r="Q59" s="9" t="s">
        <v>144</v>
      </c>
      <c r="R59" s="9" t="s">
        <v>59</v>
      </c>
      <c r="S59" s="9" t="s">
        <v>344</v>
      </c>
      <c r="T59" s="9" t="s">
        <v>345</v>
      </c>
      <c r="U59" s="9"/>
      <c r="V59" s="9" t="n">
        <f aca="false">IF(AND($O59="Active",$C59="",$D59="",$E59="",$F59&lt;&gt;"文字"),1,0)</f>
        <v>0</v>
      </c>
      <c r="W59" s="9" t="n">
        <f aca="false">IF(AND($O59="Active",OR($J59="",$J59="—")),1,0)</f>
        <v>0</v>
      </c>
      <c r="X59" s="9" t="n">
        <f aca="false">IF(AND(ISNUMBER($C59),ISNUMBER($D59),ISNUMBER($E59)),IF(AND($D59&lt;=$C59,$C59&lt;=$E59),0,1),0)</f>
        <v>0</v>
      </c>
      <c r="Y59" s="12" t="s">
        <v>69</v>
      </c>
    </row>
    <row r="60" customFormat="false" ht="15" hidden="false" customHeight="false" outlineLevel="0" collapsed="false">
      <c r="A60" s="9" t="s">
        <v>346</v>
      </c>
      <c r="B60" s="10" t="s">
        <v>347</v>
      </c>
      <c r="C60" s="11" t="n">
        <v>300</v>
      </c>
      <c r="D60" s="9"/>
      <c r="E60" s="9"/>
      <c r="F60" s="9" t="s">
        <v>56</v>
      </c>
      <c r="G60" s="9" t="s">
        <v>348</v>
      </c>
      <c r="H60" s="9" t="s">
        <v>349</v>
      </c>
      <c r="I60" s="9" t="s">
        <v>350</v>
      </c>
      <c r="J60" s="9" t="s">
        <v>351</v>
      </c>
      <c r="K60" s="9" t="s">
        <v>61</v>
      </c>
      <c r="L60" s="10" t="s">
        <v>62</v>
      </c>
      <c r="M60" s="10" t="s">
        <v>129</v>
      </c>
      <c r="N60" s="10" t="s">
        <v>64</v>
      </c>
      <c r="O60" s="9" t="s">
        <v>65</v>
      </c>
      <c r="P60" s="9" t="s">
        <v>59</v>
      </c>
      <c r="Q60" s="9" t="s">
        <v>66</v>
      </c>
      <c r="R60" s="9" t="s">
        <v>59</v>
      </c>
      <c r="S60" s="9" t="s">
        <v>352</v>
      </c>
      <c r="T60" s="9" t="s">
        <v>353</v>
      </c>
      <c r="U60" s="9"/>
      <c r="V60" s="9" t="n">
        <f aca="false">IF(AND($O60="Active",$C60="",$D60="",$E60="",$F60&lt;&gt;"文字"),1,0)</f>
        <v>0</v>
      </c>
      <c r="W60" s="9" t="n">
        <f aca="false">IF(AND($O60="Active",OR($J60="",$J60="—")),1,0)</f>
        <v>0</v>
      </c>
      <c r="X60" s="9" t="n">
        <f aca="false">IF(AND(ISNUMBER($C60),ISNUMBER($D60),ISNUMBER($E60)),IF(AND($D60&lt;=$C60,$C60&lt;=$E60),0,1),0)</f>
        <v>0</v>
      </c>
      <c r="Y60" s="12" t="s">
        <v>69</v>
      </c>
    </row>
    <row r="61" customFormat="false" ht="15" hidden="false" customHeight="false" outlineLevel="0" collapsed="false">
      <c r="A61" s="9" t="s">
        <v>354</v>
      </c>
      <c r="B61" s="10" t="s">
        <v>355</v>
      </c>
      <c r="C61" s="11" t="n">
        <v>2027</v>
      </c>
      <c r="D61" s="9"/>
      <c r="E61" s="9"/>
      <c r="F61" s="10" t="s">
        <v>140</v>
      </c>
      <c r="G61" s="9" t="s">
        <v>356</v>
      </c>
      <c r="H61" s="9" t="s">
        <v>349</v>
      </c>
      <c r="I61" s="9" t="s">
        <v>350</v>
      </c>
      <c r="J61" s="9" t="s">
        <v>351</v>
      </c>
      <c r="K61" s="9" t="s">
        <v>61</v>
      </c>
      <c r="L61" s="10" t="s">
        <v>62</v>
      </c>
      <c r="M61" s="10" t="s">
        <v>129</v>
      </c>
      <c r="N61" s="10" t="s">
        <v>64</v>
      </c>
      <c r="O61" s="9" t="s">
        <v>65</v>
      </c>
      <c r="P61" s="9" t="s">
        <v>59</v>
      </c>
      <c r="Q61" s="9" t="s">
        <v>66</v>
      </c>
      <c r="R61" s="9" t="s">
        <v>59</v>
      </c>
      <c r="S61" s="9" t="s">
        <v>352</v>
      </c>
      <c r="T61" s="9" t="s">
        <v>357</v>
      </c>
      <c r="U61" s="9"/>
      <c r="V61" s="9" t="n">
        <f aca="false">IF(AND($O61="Active",$C61="",$D61="",$E61="",$F61&lt;&gt;"文字"),1,0)</f>
        <v>0</v>
      </c>
      <c r="W61" s="9" t="n">
        <f aca="false">IF(AND($O61="Active",OR($J61="",$J61="—")),1,0)</f>
        <v>0</v>
      </c>
      <c r="X61" s="9" t="n">
        <f aca="false">IF(AND(ISNUMBER($C61),ISNUMBER($D61),ISNUMBER($E61)),IF(AND($D61&lt;=$C61,$C61&lt;=$E61),0,1),0)</f>
        <v>0</v>
      </c>
      <c r="Y61" s="12" t="s">
        <v>69</v>
      </c>
    </row>
    <row r="62" customFormat="false" ht="15" hidden="false" customHeight="false" outlineLevel="0" collapsed="false">
      <c r="A62" s="9" t="s">
        <v>358</v>
      </c>
      <c r="B62" s="10" t="s">
        <v>359</v>
      </c>
      <c r="C62" s="11" t="n">
        <v>2031</v>
      </c>
      <c r="D62" s="9"/>
      <c r="E62" s="9"/>
      <c r="F62" s="10" t="s">
        <v>140</v>
      </c>
      <c r="G62" s="9" t="s">
        <v>360</v>
      </c>
      <c r="H62" s="9" t="s">
        <v>349</v>
      </c>
      <c r="I62" s="9" t="s">
        <v>350</v>
      </c>
      <c r="J62" s="9" t="s">
        <v>351</v>
      </c>
      <c r="K62" s="9" t="s">
        <v>61</v>
      </c>
      <c r="L62" s="10" t="s">
        <v>62</v>
      </c>
      <c r="M62" s="10" t="s">
        <v>129</v>
      </c>
      <c r="N62" s="10" t="s">
        <v>64</v>
      </c>
      <c r="O62" s="9" t="s">
        <v>65</v>
      </c>
      <c r="P62" s="9" t="s">
        <v>59</v>
      </c>
      <c r="Q62" s="9" t="s">
        <v>66</v>
      </c>
      <c r="R62" s="9" t="s">
        <v>59</v>
      </c>
      <c r="S62" s="9" t="s">
        <v>352</v>
      </c>
      <c r="T62" s="9" t="s">
        <v>357</v>
      </c>
      <c r="U62" s="9"/>
      <c r="V62" s="9" t="n">
        <f aca="false">IF(AND($O62="Active",$C62="",$D62="",$E62="",$F62&lt;&gt;"文字"),1,0)</f>
        <v>0</v>
      </c>
      <c r="W62" s="9" t="n">
        <f aca="false">IF(AND($O62="Active",OR($J62="",$J62="—")),1,0)</f>
        <v>0</v>
      </c>
      <c r="X62" s="9" t="n">
        <f aca="false">IF(AND(ISNUMBER($C62),ISNUMBER($D62),ISNUMBER($E62)),IF(AND($D62&lt;=$C62,$C62&lt;=$E62),0,1),0)</f>
        <v>0</v>
      </c>
      <c r="Y62" s="12" t="s">
        <v>69</v>
      </c>
    </row>
    <row r="63" customFormat="false" ht="15" hidden="false" customHeight="false" outlineLevel="0" collapsed="false">
      <c r="A63" s="9" t="s">
        <v>361</v>
      </c>
      <c r="B63" s="10" t="s">
        <v>362</v>
      </c>
      <c r="C63" s="11" t="n">
        <v>4.5</v>
      </c>
      <c r="D63" s="9"/>
      <c r="E63" s="9"/>
      <c r="F63" s="9" t="s">
        <v>363</v>
      </c>
      <c r="G63" s="10" t="s">
        <v>364</v>
      </c>
      <c r="H63" s="9" t="s">
        <v>349</v>
      </c>
      <c r="I63" s="9" t="s">
        <v>350</v>
      </c>
      <c r="J63" s="9" t="s">
        <v>351</v>
      </c>
      <c r="K63" s="9" t="s">
        <v>61</v>
      </c>
      <c r="L63" s="10" t="s">
        <v>62</v>
      </c>
      <c r="M63" s="10" t="s">
        <v>129</v>
      </c>
      <c r="N63" s="10" t="s">
        <v>64</v>
      </c>
      <c r="O63" s="9" t="s">
        <v>65</v>
      </c>
      <c r="P63" s="9" t="s">
        <v>59</v>
      </c>
      <c r="Q63" s="9" t="s">
        <v>66</v>
      </c>
      <c r="R63" s="9" t="s">
        <v>59</v>
      </c>
      <c r="S63" s="9" t="s">
        <v>352</v>
      </c>
      <c r="T63" s="9" t="s">
        <v>365</v>
      </c>
      <c r="U63" s="9"/>
      <c r="V63" s="9" t="n">
        <f aca="false">IF(AND($O63="Active",$C63="",$D63="",$E63="",$F63&lt;&gt;"文字"),1,0)</f>
        <v>0</v>
      </c>
      <c r="W63" s="9" t="n">
        <f aca="false">IF(AND($O63="Active",OR($J63="",$J63="—")),1,0)</f>
        <v>0</v>
      </c>
      <c r="X63" s="9" t="n">
        <f aca="false">IF(AND(ISNUMBER($C63),ISNUMBER($D63),ISNUMBER($E63)),IF(AND($D63&lt;=$C63,$C63&lt;=$E63),0,1),0)</f>
        <v>0</v>
      </c>
      <c r="Y63" s="12" t="s">
        <v>69</v>
      </c>
    </row>
    <row r="64" customFormat="false" ht="15" hidden="false" customHeight="false" outlineLevel="0" collapsed="false">
      <c r="A64" s="9" t="s">
        <v>366</v>
      </c>
      <c r="B64" s="10" t="s">
        <v>367</v>
      </c>
      <c r="C64" s="11" t="n">
        <v>38</v>
      </c>
      <c r="D64" s="9"/>
      <c r="E64" s="9"/>
      <c r="F64" s="9" t="s">
        <v>56</v>
      </c>
      <c r="G64" s="9" t="s">
        <v>368</v>
      </c>
      <c r="H64" s="9" t="s">
        <v>369</v>
      </c>
      <c r="I64" s="9" t="s">
        <v>370</v>
      </c>
      <c r="J64" s="9" t="s">
        <v>371</v>
      </c>
      <c r="K64" s="9" t="s">
        <v>61</v>
      </c>
      <c r="L64" s="10" t="s">
        <v>62</v>
      </c>
      <c r="M64" s="10" t="s">
        <v>143</v>
      </c>
      <c r="N64" s="10" t="s">
        <v>119</v>
      </c>
      <c r="O64" s="9" t="s">
        <v>65</v>
      </c>
      <c r="P64" s="9" t="s">
        <v>59</v>
      </c>
      <c r="Q64" s="9" t="s">
        <v>144</v>
      </c>
      <c r="R64" s="9" t="s">
        <v>59</v>
      </c>
      <c r="S64" s="9" t="s">
        <v>372</v>
      </c>
      <c r="T64" s="9" t="s">
        <v>373</v>
      </c>
      <c r="U64" s="9"/>
      <c r="V64" s="9" t="n">
        <f aca="false">IF(AND($O64="Active",$C64="",$D64="",$E64="",$F64&lt;&gt;"文字"),1,0)</f>
        <v>0</v>
      </c>
      <c r="W64" s="9" t="n">
        <f aca="false">IF(AND($O64="Active",OR($J64="",$J64="—")),1,0)</f>
        <v>0</v>
      </c>
      <c r="X64" s="9" t="n">
        <f aca="false">IF(AND(ISNUMBER($C64),ISNUMBER($D64),ISNUMBER($E64)),IF(AND($D64&lt;=$C64,$C64&lt;=$E64),0,1),0)</f>
        <v>0</v>
      </c>
      <c r="Y64" s="12" t="s">
        <v>69</v>
      </c>
    </row>
    <row r="65" customFormat="false" ht="15" hidden="false" customHeight="false" outlineLevel="0" collapsed="false">
      <c r="A65" s="9" t="s">
        <v>374</v>
      </c>
      <c r="B65" s="10" t="s">
        <v>375</v>
      </c>
      <c r="C65" s="11" t="n">
        <v>2025</v>
      </c>
      <c r="D65" s="9"/>
      <c r="E65" s="9"/>
      <c r="F65" s="10" t="s">
        <v>140</v>
      </c>
      <c r="G65" s="10" t="s">
        <v>376</v>
      </c>
      <c r="H65" s="9" t="s">
        <v>369</v>
      </c>
      <c r="I65" s="9" t="s">
        <v>370</v>
      </c>
      <c r="J65" s="9" t="s">
        <v>371</v>
      </c>
      <c r="K65" s="9" t="s">
        <v>61</v>
      </c>
      <c r="L65" s="10" t="s">
        <v>62</v>
      </c>
      <c r="M65" s="10" t="s">
        <v>143</v>
      </c>
      <c r="N65" s="10" t="s">
        <v>119</v>
      </c>
      <c r="O65" s="9" t="s">
        <v>65</v>
      </c>
      <c r="P65" s="9" t="s">
        <v>59</v>
      </c>
      <c r="Q65" s="9" t="s">
        <v>144</v>
      </c>
      <c r="R65" s="9" t="s">
        <v>59</v>
      </c>
      <c r="S65" s="9" t="s">
        <v>372</v>
      </c>
      <c r="T65" s="9" t="s">
        <v>357</v>
      </c>
      <c r="U65" s="9"/>
      <c r="V65" s="9" t="n">
        <f aca="false">IF(AND($O65="Active",$C65="",$D65="",$E65="",$F65&lt;&gt;"文字"),1,0)</f>
        <v>0</v>
      </c>
      <c r="W65" s="9" t="n">
        <f aca="false">IF(AND($O65="Active",OR($J65="",$J65="—")),1,0)</f>
        <v>0</v>
      </c>
      <c r="X65" s="9" t="n">
        <f aca="false">IF(AND(ISNUMBER($C65),ISNUMBER($D65),ISNUMBER($E65)),IF(AND($D65&lt;=$C65,$C65&lt;=$E65),0,1),0)</f>
        <v>0</v>
      </c>
      <c r="Y65" s="12" t="s">
        <v>69</v>
      </c>
    </row>
    <row r="66" customFormat="false" ht="15" hidden="false" customHeight="false" outlineLevel="0" collapsed="false">
      <c r="A66" s="9" t="s">
        <v>377</v>
      </c>
      <c r="B66" s="10" t="s">
        <v>378</v>
      </c>
      <c r="C66" s="11" t="n">
        <v>2031</v>
      </c>
      <c r="D66" s="9"/>
      <c r="E66" s="9"/>
      <c r="F66" s="10" t="s">
        <v>140</v>
      </c>
      <c r="G66" s="9" t="s">
        <v>379</v>
      </c>
      <c r="H66" s="9" t="s">
        <v>369</v>
      </c>
      <c r="I66" s="9" t="s">
        <v>370</v>
      </c>
      <c r="J66" s="9" t="s">
        <v>371</v>
      </c>
      <c r="K66" s="9" t="s">
        <v>61</v>
      </c>
      <c r="L66" s="10" t="s">
        <v>62</v>
      </c>
      <c r="M66" s="10" t="s">
        <v>143</v>
      </c>
      <c r="N66" s="10" t="s">
        <v>119</v>
      </c>
      <c r="O66" s="9" t="s">
        <v>65</v>
      </c>
      <c r="P66" s="9" t="s">
        <v>59</v>
      </c>
      <c r="Q66" s="9" t="s">
        <v>144</v>
      </c>
      <c r="R66" s="9" t="s">
        <v>59</v>
      </c>
      <c r="S66" s="9" t="s">
        <v>372</v>
      </c>
      <c r="T66" s="9" t="s">
        <v>357</v>
      </c>
      <c r="U66" s="9"/>
      <c r="V66" s="9" t="n">
        <f aca="false">IF(AND($O66="Active",$C66="",$D66="",$E66="",$F66&lt;&gt;"文字"),1,0)</f>
        <v>0</v>
      </c>
      <c r="W66" s="9" t="n">
        <f aca="false">IF(AND($O66="Active",OR($J66="",$J66="—")),1,0)</f>
        <v>0</v>
      </c>
      <c r="X66" s="9" t="n">
        <f aca="false">IF(AND(ISNUMBER($C66),ISNUMBER($D66),ISNUMBER($E66)),IF(AND($D66&lt;=$C66,$C66&lt;=$E66),0,1),0)</f>
        <v>0</v>
      </c>
      <c r="Y66" s="12" t="s">
        <v>69</v>
      </c>
    </row>
    <row r="67" customFormat="false" ht="15" hidden="false" customHeight="false" outlineLevel="0" collapsed="false">
      <c r="A67" s="9" t="s">
        <v>380</v>
      </c>
      <c r="B67" s="10" t="s">
        <v>381</v>
      </c>
      <c r="C67" s="11" t="n">
        <v>100</v>
      </c>
      <c r="D67" s="9"/>
      <c r="E67" s="9"/>
      <c r="F67" s="9" t="s">
        <v>56</v>
      </c>
      <c r="G67" s="9" t="s">
        <v>382</v>
      </c>
      <c r="H67" s="9" t="s">
        <v>369</v>
      </c>
      <c r="I67" s="9" t="s">
        <v>293</v>
      </c>
      <c r="J67" s="9" t="s">
        <v>383</v>
      </c>
      <c r="K67" s="9" t="s">
        <v>61</v>
      </c>
      <c r="L67" s="10" t="s">
        <v>62</v>
      </c>
      <c r="M67" s="10" t="s">
        <v>143</v>
      </c>
      <c r="N67" s="10" t="s">
        <v>119</v>
      </c>
      <c r="O67" s="9" t="s">
        <v>65</v>
      </c>
      <c r="P67" s="9" t="s">
        <v>59</v>
      </c>
      <c r="Q67" s="9" t="s">
        <v>144</v>
      </c>
      <c r="R67" s="9" t="s">
        <v>59</v>
      </c>
      <c r="S67" s="9" t="s">
        <v>384</v>
      </c>
      <c r="T67" s="9" t="s">
        <v>373</v>
      </c>
      <c r="U67" s="9"/>
      <c r="V67" s="9" t="n">
        <f aca="false">IF(AND($O67="Active",$C67="",$D67="",$E67="",$F67&lt;&gt;"文字"),1,0)</f>
        <v>0</v>
      </c>
      <c r="W67" s="9" t="n">
        <f aca="false">IF(AND($O67="Active",OR($J67="",$J67="—")),1,0)</f>
        <v>0</v>
      </c>
      <c r="X67" s="9" t="n">
        <f aca="false">IF(AND(ISNUMBER($C67),ISNUMBER($D67),ISNUMBER($E67)),IF(AND($D67&lt;=$C67,$C67&lt;=$E67),0,1),0)</f>
        <v>0</v>
      </c>
      <c r="Y67" s="12" t="s">
        <v>69</v>
      </c>
    </row>
    <row r="68" customFormat="false" ht="15" hidden="false" customHeight="false" outlineLevel="0" collapsed="false">
      <c r="A68" s="9" t="s">
        <v>385</v>
      </c>
      <c r="B68" s="10" t="s">
        <v>386</v>
      </c>
      <c r="C68" s="11" t="n">
        <v>2026</v>
      </c>
      <c r="D68" s="9"/>
      <c r="E68" s="9"/>
      <c r="F68" s="10" t="s">
        <v>140</v>
      </c>
      <c r="G68" s="10" t="s">
        <v>376</v>
      </c>
      <c r="H68" s="9" t="s">
        <v>369</v>
      </c>
      <c r="I68" s="9" t="s">
        <v>293</v>
      </c>
      <c r="J68" s="9" t="s">
        <v>383</v>
      </c>
      <c r="K68" s="9" t="s">
        <v>61</v>
      </c>
      <c r="L68" s="10" t="s">
        <v>62</v>
      </c>
      <c r="M68" s="10" t="s">
        <v>143</v>
      </c>
      <c r="N68" s="10" t="s">
        <v>119</v>
      </c>
      <c r="O68" s="9" t="s">
        <v>65</v>
      </c>
      <c r="P68" s="9" t="s">
        <v>59</v>
      </c>
      <c r="Q68" s="9" t="s">
        <v>144</v>
      </c>
      <c r="R68" s="9" t="s">
        <v>59</v>
      </c>
      <c r="S68" s="9" t="s">
        <v>384</v>
      </c>
      <c r="T68" s="9" t="s">
        <v>357</v>
      </c>
      <c r="U68" s="9"/>
      <c r="V68" s="9" t="n">
        <f aca="false">IF(AND($O68="Active",$C68="",$D68="",$E68="",$F68&lt;&gt;"文字"),1,0)</f>
        <v>0</v>
      </c>
      <c r="W68" s="9" t="n">
        <f aca="false">IF(AND($O68="Active",OR($J68="",$J68="—")),1,0)</f>
        <v>0</v>
      </c>
      <c r="X68" s="9" t="n">
        <f aca="false">IF(AND(ISNUMBER($C68),ISNUMBER($D68),ISNUMBER($E68)),IF(AND($D68&lt;=$C68,$C68&lt;=$E68),0,1),0)</f>
        <v>0</v>
      </c>
      <c r="Y68" s="12" t="s">
        <v>69</v>
      </c>
    </row>
    <row r="69" customFormat="false" ht="15" hidden="false" customHeight="false" outlineLevel="0" collapsed="false">
      <c r="A69" s="9" t="s">
        <v>387</v>
      </c>
      <c r="B69" s="10" t="s">
        <v>388</v>
      </c>
      <c r="C69" s="11" t="n">
        <v>2033</v>
      </c>
      <c r="D69" s="9"/>
      <c r="E69" s="9"/>
      <c r="F69" s="10" t="s">
        <v>140</v>
      </c>
      <c r="G69" s="9" t="s">
        <v>389</v>
      </c>
      <c r="H69" s="9" t="s">
        <v>369</v>
      </c>
      <c r="I69" s="9" t="s">
        <v>293</v>
      </c>
      <c r="J69" s="9" t="s">
        <v>383</v>
      </c>
      <c r="K69" s="9" t="s">
        <v>61</v>
      </c>
      <c r="L69" s="10" t="s">
        <v>62</v>
      </c>
      <c r="M69" s="10" t="s">
        <v>143</v>
      </c>
      <c r="N69" s="10" t="s">
        <v>119</v>
      </c>
      <c r="O69" s="9" t="s">
        <v>65</v>
      </c>
      <c r="P69" s="9" t="s">
        <v>59</v>
      </c>
      <c r="Q69" s="9" t="s">
        <v>144</v>
      </c>
      <c r="R69" s="9" t="s">
        <v>59</v>
      </c>
      <c r="S69" s="9" t="s">
        <v>384</v>
      </c>
      <c r="T69" s="9" t="s">
        <v>357</v>
      </c>
      <c r="U69" s="9"/>
      <c r="V69" s="9" t="n">
        <f aca="false">IF(AND($O69="Active",$C69="",$D69="",$E69="",$F69&lt;&gt;"文字"),1,0)</f>
        <v>0</v>
      </c>
      <c r="W69" s="9" t="n">
        <f aca="false">IF(AND($O69="Active",OR($J69="",$J69="—")),1,0)</f>
        <v>0</v>
      </c>
      <c r="X69" s="9" t="n">
        <f aca="false">IF(AND(ISNUMBER($C69),ISNUMBER($D69),ISNUMBER($E69)),IF(AND($D69&lt;=$C69,$C69&lt;=$E69),0,1),0)</f>
        <v>0</v>
      </c>
      <c r="Y69" s="12" t="s">
        <v>69</v>
      </c>
    </row>
    <row r="70" customFormat="false" ht="15" hidden="false" customHeight="false" outlineLevel="0" collapsed="false">
      <c r="A70" s="9" t="s">
        <v>390</v>
      </c>
      <c r="B70" s="10" t="s">
        <v>391</v>
      </c>
      <c r="C70" s="11" t="n">
        <v>2</v>
      </c>
      <c r="D70" s="9"/>
      <c r="E70" s="9"/>
      <c r="F70" s="9" t="s">
        <v>363</v>
      </c>
      <c r="G70" s="9" t="s">
        <v>392</v>
      </c>
      <c r="H70" s="9" t="s">
        <v>369</v>
      </c>
      <c r="I70" s="9" t="s">
        <v>293</v>
      </c>
      <c r="J70" s="9" t="s">
        <v>383</v>
      </c>
      <c r="K70" s="9" t="s">
        <v>61</v>
      </c>
      <c r="L70" s="10" t="s">
        <v>62</v>
      </c>
      <c r="M70" s="10" t="s">
        <v>143</v>
      </c>
      <c r="N70" s="10" t="s">
        <v>119</v>
      </c>
      <c r="O70" s="9" t="s">
        <v>65</v>
      </c>
      <c r="P70" s="9" t="s">
        <v>59</v>
      </c>
      <c r="Q70" s="9" t="s">
        <v>144</v>
      </c>
      <c r="R70" s="9" t="s">
        <v>59</v>
      </c>
      <c r="S70" s="9" t="s">
        <v>384</v>
      </c>
      <c r="T70" s="9" t="s">
        <v>393</v>
      </c>
      <c r="U70" s="10" t="s">
        <v>394</v>
      </c>
      <c r="V70" s="9" t="n">
        <f aca="false">IF(AND($O70="Active",$C70="",$D70="",$E70="",$F70&lt;&gt;"文字"),1,0)</f>
        <v>0</v>
      </c>
      <c r="W70" s="9" t="n">
        <f aca="false">IF(AND($O70="Active",OR($J70="",$J70="—")),1,0)</f>
        <v>0</v>
      </c>
      <c r="X70" s="9" t="n">
        <f aca="false">IF(AND(ISNUMBER($C70),ISNUMBER($D70),ISNUMBER($E70)),IF(AND($D70&lt;=$C70,$C70&lt;=$E70),0,1),0)</f>
        <v>0</v>
      </c>
      <c r="Y70" s="12" t="s">
        <v>69</v>
      </c>
    </row>
    <row r="71" customFormat="false" ht="15" hidden="false" customHeight="false" outlineLevel="0" collapsed="false">
      <c r="A71" s="9" t="s">
        <v>395</v>
      </c>
      <c r="B71" s="10" t="s">
        <v>396</v>
      </c>
      <c r="C71" s="11" t="n">
        <v>22.4</v>
      </c>
      <c r="D71" s="9"/>
      <c r="E71" s="9"/>
      <c r="F71" s="9" t="s">
        <v>56</v>
      </c>
      <c r="G71" s="9" t="s">
        <v>397</v>
      </c>
      <c r="H71" s="9" t="s">
        <v>398</v>
      </c>
      <c r="I71" s="9" t="s">
        <v>399</v>
      </c>
      <c r="J71" s="9" t="s">
        <v>400</v>
      </c>
      <c r="K71" s="9" t="s">
        <v>61</v>
      </c>
      <c r="L71" s="10" t="s">
        <v>62</v>
      </c>
      <c r="M71" s="10" t="s">
        <v>143</v>
      </c>
      <c r="N71" s="10" t="s">
        <v>119</v>
      </c>
      <c r="O71" s="9" t="s">
        <v>65</v>
      </c>
      <c r="P71" s="9" t="s">
        <v>59</v>
      </c>
      <c r="Q71" s="9" t="s">
        <v>144</v>
      </c>
      <c r="R71" s="9" t="s">
        <v>59</v>
      </c>
      <c r="S71" s="9" t="s">
        <v>401</v>
      </c>
      <c r="T71" s="9" t="s">
        <v>373</v>
      </c>
      <c r="U71" s="9"/>
      <c r="V71" s="9" t="n">
        <f aca="false">IF(AND($O71="Active",$C71="",$D71="",$E71="",$F71&lt;&gt;"文字"),1,0)</f>
        <v>0</v>
      </c>
      <c r="W71" s="9" t="n">
        <f aca="false">IF(AND($O71="Active",OR($J71="",$J71="—")),1,0)</f>
        <v>0</v>
      </c>
      <c r="X71" s="9" t="n">
        <f aca="false">IF(AND(ISNUMBER($C71),ISNUMBER($D71),ISNUMBER($E71)),IF(AND($D71&lt;=$C71,$C71&lt;=$E71),0,1),0)</f>
        <v>0</v>
      </c>
      <c r="Y71" s="12" t="s">
        <v>69</v>
      </c>
    </row>
    <row r="72" customFormat="false" ht="15" hidden="false" customHeight="false" outlineLevel="0" collapsed="false">
      <c r="A72" s="9" t="s">
        <v>402</v>
      </c>
      <c r="B72" s="10" t="s">
        <v>403</v>
      </c>
      <c r="C72" s="11" t="n">
        <v>2025</v>
      </c>
      <c r="D72" s="9"/>
      <c r="E72" s="9"/>
      <c r="F72" s="10" t="s">
        <v>140</v>
      </c>
      <c r="G72" s="9" t="s">
        <v>404</v>
      </c>
      <c r="H72" s="9" t="s">
        <v>398</v>
      </c>
      <c r="I72" s="9" t="s">
        <v>399</v>
      </c>
      <c r="J72" s="9" t="s">
        <v>400</v>
      </c>
      <c r="K72" s="9" t="s">
        <v>61</v>
      </c>
      <c r="L72" s="10" t="s">
        <v>62</v>
      </c>
      <c r="M72" s="10" t="s">
        <v>143</v>
      </c>
      <c r="N72" s="10" t="s">
        <v>119</v>
      </c>
      <c r="O72" s="9" t="s">
        <v>65</v>
      </c>
      <c r="P72" s="9" t="s">
        <v>59</v>
      </c>
      <c r="Q72" s="9" t="s">
        <v>144</v>
      </c>
      <c r="R72" s="9" t="s">
        <v>59</v>
      </c>
      <c r="S72" s="9" t="s">
        <v>401</v>
      </c>
      <c r="T72" s="9" t="s">
        <v>357</v>
      </c>
      <c r="U72" s="9"/>
      <c r="V72" s="9" t="n">
        <f aca="false">IF(AND($O72="Active",$C72="",$D72="",$E72="",$F72&lt;&gt;"文字"),1,0)</f>
        <v>0</v>
      </c>
      <c r="W72" s="9" t="n">
        <f aca="false">IF(AND($O72="Active",OR($J72="",$J72="—")),1,0)</f>
        <v>0</v>
      </c>
      <c r="X72" s="9" t="n">
        <f aca="false">IF(AND(ISNUMBER($C72),ISNUMBER($D72),ISNUMBER($E72)),IF(AND($D72&lt;=$C72,$C72&lt;=$E72),0,1),0)</f>
        <v>0</v>
      </c>
      <c r="Y72" s="12" t="s">
        <v>69</v>
      </c>
    </row>
    <row r="73" customFormat="false" ht="15" hidden="false" customHeight="false" outlineLevel="0" collapsed="false">
      <c r="A73" s="9" t="s">
        <v>405</v>
      </c>
      <c r="B73" s="10" t="s">
        <v>406</v>
      </c>
      <c r="C73" s="11" t="n">
        <v>2029</v>
      </c>
      <c r="D73" s="9"/>
      <c r="E73" s="9"/>
      <c r="F73" s="10" t="s">
        <v>140</v>
      </c>
      <c r="G73" s="9" t="s">
        <v>404</v>
      </c>
      <c r="H73" s="9" t="s">
        <v>398</v>
      </c>
      <c r="I73" s="9" t="s">
        <v>399</v>
      </c>
      <c r="J73" s="9" t="s">
        <v>400</v>
      </c>
      <c r="K73" s="9" t="s">
        <v>61</v>
      </c>
      <c r="L73" s="10" t="s">
        <v>62</v>
      </c>
      <c r="M73" s="10" t="s">
        <v>143</v>
      </c>
      <c r="N73" s="10" t="s">
        <v>119</v>
      </c>
      <c r="O73" s="9" t="s">
        <v>65</v>
      </c>
      <c r="P73" s="9" t="s">
        <v>59</v>
      </c>
      <c r="Q73" s="9" t="s">
        <v>144</v>
      </c>
      <c r="R73" s="9" t="s">
        <v>59</v>
      </c>
      <c r="S73" s="9" t="s">
        <v>401</v>
      </c>
      <c r="T73" s="9" t="s">
        <v>357</v>
      </c>
      <c r="U73" s="9"/>
      <c r="V73" s="9" t="n">
        <f aca="false">IF(AND($O73="Active",$C73="",$D73="",$E73="",$F73&lt;&gt;"文字"),1,0)</f>
        <v>0</v>
      </c>
      <c r="W73" s="9" t="n">
        <f aca="false">IF(AND($O73="Active",OR($J73="",$J73="—")),1,0)</f>
        <v>0</v>
      </c>
      <c r="X73" s="9" t="n">
        <f aca="false">IF(AND(ISNUMBER($C73),ISNUMBER($D73),ISNUMBER($E73)),IF(AND($D73&lt;=$C73,$C73&lt;=$E73),0,1),0)</f>
        <v>0</v>
      </c>
      <c r="Y73" s="12" t="s">
        <v>69</v>
      </c>
    </row>
    <row r="74" customFormat="false" ht="15" hidden="false" customHeight="false" outlineLevel="0" collapsed="false">
      <c r="A74" s="9" t="s">
        <v>407</v>
      </c>
      <c r="B74" s="10" t="s">
        <v>408</v>
      </c>
      <c r="C74" s="11" t="n">
        <v>20</v>
      </c>
      <c r="D74" s="11" t="n">
        <v>20</v>
      </c>
      <c r="E74" s="9"/>
      <c r="F74" s="9" t="s">
        <v>56</v>
      </c>
      <c r="G74" s="10" t="s">
        <v>409</v>
      </c>
      <c r="H74" s="9" t="s">
        <v>410</v>
      </c>
      <c r="I74" s="9" t="s">
        <v>411</v>
      </c>
      <c r="J74" s="9" t="s">
        <v>412</v>
      </c>
      <c r="K74" s="9" t="s">
        <v>61</v>
      </c>
      <c r="L74" s="10" t="s">
        <v>62</v>
      </c>
      <c r="M74" s="10" t="s">
        <v>143</v>
      </c>
      <c r="N74" s="10" t="s">
        <v>119</v>
      </c>
      <c r="O74" s="9" t="s">
        <v>65</v>
      </c>
      <c r="P74" s="9" t="s">
        <v>59</v>
      </c>
      <c r="Q74" s="9" t="s">
        <v>144</v>
      </c>
      <c r="R74" s="9" t="s">
        <v>59</v>
      </c>
      <c r="S74" s="9" t="s">
        <v>413</v>
      </c>
      <c r="T74" s="9" t="s">
        <v>373</v>
      </c>
      <c r="U74" s="9" t="s">
        <v>414</v>
      </c>
      <c r="V74" s="9" t="n">
        <f aca="false">IF(AND($O74="Active",$C74="",$D74="",$E74="",$F74&lt;&gt;"文字"),1,0)</f>
        <v>0</v>
      </c>
      <c r="W74" s="9" t="n">
        <f aca="false">IF(AND($O74="Active",OR($J74="",$J74="—")),1,0)</f>
        <v>0</v>
      </c>
      <c r="X74" s="9" t="n">
        <f aca="false">IF(AND(ISNUMBER($C74),ISNUMBER($D74),ISNUMBER($E74)),IF(AND($D74&lt;=$C74,$C74&lt;=$E74),0,1),0)</f>
        <v>0</v>
      </c>
      <c r="Y74" s="12" t="s">
        <v>69</v>
      </c>
    </row>
    <row r="75" customFormat="false" ht="15" hidden="false" customHeight="false" outlineLevel="0" collapsed="false">
      <c r="A75" s="9" t="s">
        <v>415</v>
      </c>
      <c r="B75" s="10" t="s">
        <v>416</v>
      </c>
      <c r="C75" s="11" t="n">
        <v>2026</v>
      </c>
      <c r="D75" s="9"/>
      <c r="E75" s="9"/>
      <c r="F75" s="10" t="s">
        <v>140</v>
      </c>
      <c r="G75" s="9" t="s">
        <v>417</v>
      </c>
      <c r="H75" s="9" t="s">
        <v>410</v>
      </c>
      <c r="I75" s="9" t="s">
        <v>411</v>
      </c>
      <c r="J75" s="9" t="s">
        <v>412</v>
      </c>
      <c r="K75" s="9" t="s">
        <v>61</v>
      </c>
      <c r="L75" s="10" t="s">
        <v>62</v>
      </c>
      <c r="M75" s="10" t="s">
        <v>143</v>
      </c>
      <c r="N75" s="10" t="s">
        <v>119</v>
      </c>
      <c r="O75" s="9" t="s">
        <v>65</v>
      </c>
      <c r="P75" s="9" t="s">
        <v>59</v>
      </c>
      <c r="Q75" s="9" t="s">
        <v>144</v>
      </c>
      <c r="R75" s="9" t="s">
        <v>59</v>
      </c>
      <c r="S75" s="9" t="s">
        <v>413</v>
      </c>
      <c r="T75" s="9" t="s">
        <v>357</v>
      </c>
      <c r="U75" s="9"/>
      <c r="V75" s="9" t="n">
        <f aca="false">IF(AND($O75="Active",$C75="",$D75="",$E75="",$F75&lt;&gt;"文字"),1,0)</f>
        <v>0</v>
      </c>
      <c r="W75" s="9" t="n">
        <f aca="false">IF(AND($O75="Active",OR($J75="",$J75="—")),1,0)</f>
        <v>0</v>
      </c>
      <c r="X75" s="9" t="n">
        <f aca="false">IF(AND(ISNUMBER($C75),ISNUMBER($D75),ISNUMBER($E75)),IF(AND($D75&lt;=$C75,$C75&lt;=$E75),0,1),0)</f>
        <v>0</v>
      </c>
      <c r="Y75" s="12" t="s">
        <v>69</v>
      </c>
    </row>
    <row r="76" customFormat="false" ht="15" hidden="false" customHeight="false" outlineLevel="0" collapsed="false">
      <c r="A76" s="9" t="s">
        <v>418</v>
      </c>
      <c r="B76" s="10" t="s">
        <v>419</v>
      </c>
      <c r="C76" s="11" t="n">
        <v>0.75</v>
      </c>
      <c r="D76" s="9"/>
      <c r="E76" s="9"/>
      <c r="F76" s="9" t="s">
        <v>363</v>
      </c>
      <c r="G76" s="9" t="s">
        <v>420</v>
      </c>
      <c r="H76" s="9" t="s">
        <v>410</v>
      </c>
      <c r="I76" s="9" t="s">
        <v>411</v>
      </c>
      <c r="J76" s="9" t="s">
        <v>412</v>
      </c>
      <c r="K76" s="9" t="s">
        <v>61</v>
      </c>
      <c r="L76" s="10" t="s">
        <v>62</v>
      </c>
      <c r="M76" s="10" t="s">
        <v>143</v>
      </c>
      <c r="N76" s="10" t="s">
        <v>119</v>
      </c>
      <c r="O76" s="9" t="s">
        <v>65</v>
      </c>
      <c r="P76" s="9" t="s">
        <v>59</v>
      </c>
      <c r="Q76" s="9" t="s">
        <v>144</v>
      </c>
      <c r="R76" s="9" t="s">
        <v>59</v>
      </c>
      <c r="S76" s="9" t="s">
        <v>413</v>
      </c>
      <c r="T76" s="9" t="s">
        <v>357</v>
      </c>
      <c r="U76" s="9"/>
      <c r="V76" s="9" t="n">
        <f aca="false">IF(AND($O76="Active",$C76="",$D76="",$E76="",$F76&lt;&gt;"文字"),1,0)</f>
        <v>0</v>
      </c>
      <c r="W76" s="9" t="n">
        <f aca="false">IF(AND($O76="Active",OR($J76="",$J76="—")),1,0)</f>
        <v>0</v>
      </c>
      <c r="X76" s="9" t="n">
        <f aca="false">IF(AND(ISNUMBER($C76),ISNUMBER($D76),ISNUMBER($E76)),IF(AND($D76&lt;=$C76,$C76&lt;=$E76),0,1),0)</f>
        <v>0</v>
      </c>
      <c r="Y76" s="12" t="s">
        <v>69</v>
      </c>
    </row>
    <row r="77" customFormat="false" ht="15" hidden="false" customHeight="false" outlineLevel="0" collapsed="false">
      <c r="A77" s="9" t="s">
        <v>421</v>
      </c>
      <c r="B77" s="10" t="s">
        <v>422</v>
      </c>
      <c r="C77" s="11" t="n">
        <v>750</v>
      </c>
      <c r="D77" s="9"/>
      <c r="E77" s="9"/>
      <c r="F77" s="9" t="s">
        <v>56</v>
      </c>
      <c r="G77" s="9" t="s">
        <v>423</v>
      </c>
      <c r="H77" s="9" t="s">
        <v>58</v>
      </c>
      <c r="I77" s="9" t="s">
        <v>424</v>
      </c>
      <c r="J77" s="9" t="s">
        <v>423</v>
      </c>
      <c r="K77" s="9" t="s">
        <v>61</v>
      </c>
      <c r="L77" s="10" t="s">
        <v>62</v>
      </c>
      <c r="M77" s="10" t="s">
        <v>75</v>
      </c>
      <c r="N77" s="10" t="s">
        <v>89</v>
      </c>
      <c r="O77" s="9" t="s">
        <v>65</v>
      </c>
      <c r="P77" s="9" t="s">
        <v>59</v>
      </c>
      <c r="Q77" s="9" t="s">
        <v>66</v>
      </c>
      <c r="R77" s="9" t="s">
        <v>59</v>
      </c>
      <c r="S77" s="9" t="s">
        <v>425</v>
      </c>
      <c r="T77" s="9" t="s">
        <v>426</v>
      </c>
      <c r="U77" s="9"/>
      <c r="V77" s="9" t="n">
        <f aca="false">IF(AND($O77="Active",$C77="",$D77="",$E77="",$F77&lt;&gt;"文字"),1,0)</f>
        <v>0</v>
      </c>
      <c r="W77" s="9" t="n">
        <f aca="false">IF(AND($O77="Active",OR($J77="",$J77="—")),1,0)</f>
        <v>0</v>
      </c>
      <c r="X77" s="9" t="n">
        <f aca="false">IF(AND(ISNUMBER($C77),ISNUMBER($D77),ISNUMBER($E77)),IF(AND($D77&lt;=$C77,$C77&lt;=$E77),0,1),0)</f>
        <v>0</v>
      </c>
      <c r="Y77" s="12" t="s">
        <v>69</v>
      </c>
    </row>
    <row r="78" customFormat="false" ht="15" hidden="false" customHeight="false" outlineLevel="0" collapsed="false">
      <c r="A78" s="9" t="s">
        <v>427</v>
      </c>
      <c r="B78" s="10" t="s">
        <v>428</v>
      </c>
      <c r="C78" s="11" t="n">
        <v>665</v>
      </c>
      <c r="D78" s="9"/>
      <c r="E78" s="9"/>
      <c r="F78" s="9" t="s">
        <v>56</v>
      </c>
      <c r="G78" s="9" t="s">
        <v>429</v>
      </c>
      <c r="H78" s="9" t="s">
        <v>58</v>
      </c>
      <c r="I78" s="9" t="s">
        <v>59</v>
      </c>
      <c r="J78" s="9" t="s">
        <v>429</v>
      </c>
      <c r="K78" s="9" t="s">
        <v>61</v>
      </c>
      <c r="L78" s="10" t="s">
        <v>62</v>
      </c>
      <c r="M78" s="10" t="s">
        <v>75</v>
      </c>
      <c r="N78" s="10" t="s">
        <v>89</v>
      </c>
      <c r="O78" s="9" t="s">
        <v>65</v>
      </c>
      <c r="P78" s="9" t="s">
        <v>59</v>
      </c>
      <c r="Q78" s="9" t="s">
        <v>66</v>
      </c>
      <c r="R78" s="9" t="s">
        <v>59</v>
      </c>
      <c r="S78" s="9" t="s">
        <v>430</v>
      </c>
      <c r="T78" s="9" t="s">
        <v>339</v>
      </c>
      <c r="U78" s="9"/>
      <c r="V78" s="9" t="n">
        <f aca="false">IF(AND($O78="Active",$C78="",$D78="",$E78="",$F78&lt;&gt;"文字"),1,0)</f>
        <v>0</v>
      </c>
      <c r="W78" s="9" t="n">
        <f aca="false">IF(AND($O78="Active",OR($J78="",$J78="—")),1,0)</f>
        <v>0</v>
      </c>
      <c r="X78" s="9" t="n">
        <f aca="false">IF(AND(ISNUMBER($C78),ISNUMBER($D78),ISNUMBER($E78)),IF(AND($D78&lt;=$C78,$C78&lt;=$E78),0,1),0)</f>
        <v>0</v>
      </c>
      <c r="Y78" s="12" t="s">
        <v>69</v>
      </c>
    </row>
    <row r="79" customFormat="false" ht="15" hidden="false" customHeight="false" outlineLevel="0" collapsed="false">
      <c r="A79" s="9" t="s">
        <v>431</v>
      </c>
      <c r="B79" s="9" t="s">
        <v>432</v>
      </c>
      <c r="C79" s="11" t="n">
        <v>50</v>
      </c>
      <c r="D79" s="9"/>
      <c r="E79" s="9"/>
      <c r="F79" s="9" t="s">
        <v>56</v>
      </c>
      <c r="G79" s="9" t="s">
        <v>433</v>
      </c>
      <c r="H79" s="9" t="s">
        <v>58</v>
      </c>
      <c r="I79" s="9" t="s">
        <v>135</v>
      </c>
      <c r="J79" s="9" t="s">
        <v>433</v>
      </c>
      <c r="K79" s="9" t="s">
        <v>61</v>
      </c>
      <c r="L79" s="10" t="s">
        <v>62</v>
      </c>
      <c r="M79" s="10" t="s">
        <v>75</v>
      </c>
      <c r="N79" s="10" t="s">
        <v>64</v>
      </c>
      <c r="O79" s="9" t="s">
        <v>65</v>
      </c>
      <c r="P79" s="9" t="s">
        <v>59</v>
      </c>
      <c r="Q79" s="9" t="s">
        <v>66</v>
      </c>
      <c r="R79" s="9" t="s">
        <v>59</v>
      </c>
      <c r="S79" s="9" t="s">
        <v>434</v>
      </c>
      <c r="T79" s="9" t="s">
        <v>303</v>
      </c>
      <c r="U79" s="9"/>
      <c r="V79" s="9" t="n">
        <f aca="false">IF(AND($O79="Active",$C79="",$D79="",$E79="",$F79&lt;&gt;"文字"),1,0)</f>
        <v>0</v>
      </c>
      <c r="W79" s="9" t="n">
        <f aca="false">IF(AND($O79="Active",OR($J79="",$J79="—")),1,0)</f>
        <v>0</v>
      </c>
      <c r="X79" s="9" t="n">
        <f aca="false">IF(AND(ISNUMBER($C79),ISNUMBER($D79),ISNUMBER($E79)),IF(AND($D79&lt;=$C79,$C79&lt;=$E79),0,1),0)</f>
        <v>0</v>
      </c>
      <c r="Y79" s="12" t="s">
        <v>69</v>
      </c>
    </row>
    <row r="80" customFormat="false" ht="15" hidden="false" customHeight="false" outlineLevel="0" collapsed="false">
      <c r="A80" s="9" t="s">
        <v>435</v>
      </c>
      <c r="B80" s="10" t="s">
        <v>436</v>
      </c>
      <c r="C80" s="11" t="n">
        <v>40</v>
      </c>
      <c r="D80" s="11" t="n">
        <v>35</v>
      </c>
      <c r="E80" s="11" t="n">
        <v>45</v>
      </c>
      <c r="F80" s="9" t="s">
        <v>56</v>
      </c>
      <c r="G80" s="9" t="s">
        <v>437</v>
      </c>
      <c r="H80" s="9" t="s">
        <v>58</v>
      </c>
      <c r="I80" s="9" t="s">
        <v>59</v>
      </c>
      <c r="J80" s="9" t="s">
        <v>437</v>
      </c>
      <c r="K80" s="9" t="s">
        <v>61</v>
      </c>
      <c r="L80" s="10" t="s">
        <v>62</v>
      </c>
      <c r="M80" s="10" t="s">
        <v>75</v>
      </c>
      <c r="N80" s="10" t="s">
        <v>89</v>
      </c>
      <c r="O80" s="9" t="s">
        <v>65</v>
      </c>
      <c r="P80" s="9" t="s">
        <v>59</v>
      </c>
      <c r="Q80" s="9" t="s">
        <v>66</v>
      </c>
      <c r="R80" s="9" t="s">
        <v>59</v>
      </c>
      <c r="S80" s="9" t="s">
        <v>438</v>
      </c>
      <c r="T80" s="9" t="s">
        <v>439</v>
      </c>
      <c r="U80" s="9"/>
      <c r="V80" s="9" t="n">
        <f aca="false">IF(AND($O80="Active",$C80="",$D80="",$E80="",$F80&lt;&gt;"文字"),1,0)</f>
        <v>0</v>
      </c>
      <c r="W80" s="9" t="n">
        <f aca="false">IF(AND($O80="Active",OR($J80="",$J80="—")),1,0)</f>
        <v>0</v>
      </c>
      <c r="X80" s="9" t="n">
        <f aca="false">IF(AND(ISNUMBER($C80),ISNUMBER($D80),ISNUMBER($E80)),IF(AND($D80&lt;=$C80,$C80&lt;=$E80),0,1),0)</f>
        <v>0</v>
      </c>
      <c r="Y80" s="12" t="s">
        <v>69</v>
      </c>
    </row>
    <row r="81" customFormat="false" ht="15" hidden="false" customHeight="false" outlineLevel="0" collapsed="false">
      <c r="A81" s="9" t="s">
        <v>440</v>
      </c>
      <c r="B81" s="10" t="s">
        <v>441</v>
      </c>
      <c r="C81" s="11" t="n">
        <v>122</v>
      </c>
      <c r="D81" s="9"/>
      <c r="E81" s="9"/>
      <c r="F81" s="9" t="s">
        <v>56</v>
      </c>
      <c r="G81" s="9" t="s">
        <v>442</v>
      </c>
      <c r="H81" s="9" t="s">
        <v>58</v>
      </c>
      <c r="I81" s="9" t="s">
        <v>443</v>
      </c>
      <c r="J81" s="9" t="s">
        <v>444</v>
      </c>
      <c r="K81" s="9" t="s">
        <v>61</v>
      </c>
      <c r="L81" s="10" t="s">
        <v>62</v>
      </c>
      <c r="M81" s="10" t="s">
        <v>75</v>
      </c>
      <c r="N81" s="10" t="s">
        <v>119</v>
      </c>
      <c r="O81" s="9" t="s">
        <v>65</v>
      </c>
      <c r="P81" s="9" t="s">
        <v>59</v>
      </c>
      <c r="Q81" s="9" t="s">
        <v>66</v>
      </c>
      <c r="R81" s="9" t="s">
        <v>59</v>
      </c>
      <c r="S81" s="9" t="s">
        <v>445</v>
      </c>
      <c r="T81" s="9" t="s">
        <v>446</v>
      </c>
      <c r="U81" s="9"/>
      <c r="V81" s="9" t="n">
        <f aca="false">IF(AND($O81="Active",$C81="",$D81="",$E81="",$F81&lt;&gt;"文字"),1,0)</f>
        <v>0</v>
      </c>
      <c r="W81" s="9" t="n">
        <f aca="false">IF(AND($O81="Active",OR($J81="",$J81="—")),1,0)</f>
        <v>0</v>
      </c>
      <c r="X81" s="9" t="n">
        <f aca="false">IF(AND(ISNUMBER($C81),ISNUMBER($D81),ISNUMBER($E81)),IF(AND($D81&lt;=$C81,$C81&lt;=$E81),0,1),0)</f>
        <v>0</v>
      </c>
      <c r="Y81" s="12" t="s">
        <v>69</v>
      </c>
    </row>
    <row r="82" customFormat="false" ht="15" hidden="false" customHeight="false" outlineLevel="0" collapsed="false">
      <c r="A82" s="9" t="s">
        <v>447</v>
      </c>
      <c r="B82" s="10" t="s">
        <v>448</v>
      </c>
      <c r="C82" s="11" t="n">
        <v>35</v>
      </c>
      <c r="D82" s="9"/>
      <c r="E82" s="9"/>
      <c r="F82" s="9" t="s">
        <v>56</v>
      </c>
      <c r="G82" s="9" t="s">
        <v>449</v>
      </c>
      <c r="H82" s="9" t="s">
        <v>58</v>
      </c>
      <c r="I82" s="9" t="s">
        <v>59</v>
      </c>
      <c r="J82" s="9" t="s">
        <v>450</v>
      </c>
      <c r="K82" s="9" t="s">
        <v>61</v>
      </c>
      <c r="L82" s="10" t="s">
        <v>104</v>
      </c>
      <c r="M82" s="10" t="s">
        <v>451</v>
      </c>
      <c r="N82" s="10" t="s">
        <v>89</v>
      </c>
      <c r="O82" s="9" t="s">
        <v>65</v>
      </c>
      <c r="P82" s="9" t="s">
        <v>59</v>
      </c>
      <c r="Q82" s="9" t="s">
        <v>144</v>
      </c>
      <c r="R82" s="9" t="s">
        <v>59</v>
      </c>
      <c r="S82" s="9" t="s">
        <v>452</v>
      </c>
      <c r="T82" s="9" t="s">
        <v>446</v>
      </c>
      <c r="U82" s="9"/>
      <c r="V82" s="9" t="n">
        <f aca="false">IF(AND($O82="Active",$C82="",$D82="",$E82="",$F82&lt;&gt;"文字"),1,0)</f>
        <v>0</v>
      </c>
      <c r="W82" s="9" t="n">
        <f aca="false">IF(AND($O82="Active",OR($J82="",$J82="—")),1,0)</f>
        <v>0</v>
      </c>
      <c r="X82" s="9" t="n">
        <f aca="false">IF(AND(ISNUMBER($C82),ISNUMBER($D82),ISNUMBER($E82)),IF(AND($D82&lt;=$C82,$C82&lt;=$E82),0,1),0)</f>
        <v>0</v>
      </c>
      <c r="Y82" s="12" t="s">
        <v>69</v>
      </c>
    </row>
    <row r="83" customFormat="false" ht="15" hidden="false" customHeight="false" outlineLevel="0" collapsed="false">
      <c r="A83" s="9" t="s">
        <v>453</v>
      </c>
      <c r="B83" s="10" t="s">
        <v>454</v>
      </c>
      <c r="C83" s="11" t="n">
        <v>250</v>
      </c>
      <c r="D83" s="9"/>
      <c r="E83" s="9"/>
      <c r="F83" s="9" t="s">
        <v>56</v>
      </c>
      <c r="G83" s="9" t="s">
        <v>455</v>
      </c>
      <c r="H83" s="9" t="s">
        <v>58</v>
      </c>
      <c r="I83" s="9" t="s">
        <v>59</v>
      </c>
      <c r="J83" s="9" t="s">
        <v>455</v>
      </c>
      <c r="K83" s="9" t="s">
        <v>61</v>
      </c>
      <c r="L83" s="10" t="s">
        <v>62</v>
      </c>
      <c r="M83" s="10" t="s">
        <v>104</v>
      </c>
      <c r="N83" s="10" t="s">
        <v>89</v>
      </c>
      <c r="O83" s="9" t="s">
        <v>65</v>
      </c>
      <c r="P83" s="9" t="s">
        <v>59</v>
      </c>
      <c r="Q83" s="9" t="s">
        <v>66</v>
      </c>
      <c r="R83" s="9" t="s">
        <v>59</v>
      </c>
      <c r="S83" s="9" t="s">
        <v>456</v>
      </c>
      <c r="T83" s="9" t="s">
        <v>457</v>
      </c>
      <c r="U83" s="9"/>
      <c r="V83" s="9" t="n">
        <f aca="false">IF(AND($O83="Active",$C83="",$D83="",$E83="",$F83&lt;&gt;"文字"),1,0)</f>
        <v>0</v>
      </c>
      <c r="W83" s="9" t="n">
        <f aca="false">IF(AND($O83="Active",OR($J83="",$J83="—")),1,0)</f>
        <v>0</v>
      </c>
      <c r="X83" s="9" t="n">
        <f aca="false">IF(AND(ISNUMBER($C83),ISNUMBER($D83),ISNUMBER($E83)),IF(AND($D83&lt;=$C83,$C83&lt;=$E83),0,1),0)</f>
        <v>0</v>
      </c>
      <c r="Y83" s="12" t="s">
        <v>69</v>
      </c>
    </row>
    <row r="84" customFormat="false" ht="15" hidden="false" customHeight="false" outlineLevel="0" collapsed="false">
      <c r="A84" s="9" t="s">
        <v>458</v>
      </c>
      <c r="B84" s="10" t="s">
        <v>459</v>
      </c>
      <c r="C84" s="11" t="n">
        <v>350</v>
      </c>
      <c r="D84" s="9"/>
      <c r="E84" s="9"/>
      <c r="F84" s="9" t="s">
        <v>56</v>
      </c>
      <c r="G84" s="9" t="s">
        <v>460</v>
      </c>
      <c r="H84" s="9" t="s">
        <v>58</v>
      </c>
      <c r="I84" s="9" t="s">
        <v>59</v>
      </c>
      <c r="J84" s="9" t="s">
        <v>461</v>
      </c>
      <c r="K84" s="9" t="s">
        <v>61</v>
      </c>
      <c r="L84" s="10" t="s">
        <v>62</v>
      </c>
      <c r="M84" s="10" t="s">
        <v>75</v>
      </c>
      <c r="N84" s="10" t="s">
        <v>89</v>
      </c>
      <c r="O84" s="9" t="s">
        <v>65</v>
      </c>
      <c r="P84" s="9" t="s">
        <v>59</v>
      </c>
      <c r="Q84" s="9" t="s">
        <v>66</v>
      </c>
      <c r="R84" s="9" t="s">
        <v>59</v>
      </c>
      <c r="S84" s="9" t="s">
        <v>462</v>
      </c>
      <c r="T84" s="9" t="s">
        <v>457</v>
      </c>
      <c r="U84" s="9"/>
      <c r="V84" s="9" t="n">
        <f aca="false">IF(AND($O84="Active",$C84="",$D84="",$E84="",$F84&lt;&gt;"文字"),1,0)</f>
        <v>0</v>
      </c>
      <c r="W84" s="9" t="n">
        <f aca="false">IF(AND($O84="Active",OR($J84="",$J84="—")),1,0)</f>
        <v>0</v>
      </c>
      <c r="X84" s="9" t="n">
        <f aca="false">IF(AND(ISNUMBER($C84),ISNUMBER($D84),ISNUMBER($E84)),IF(AND($D84&lt;=$C84,$C84&lt;=$E84),0,1),0)</f>
        <v>0</v>
      </c>
      <c r="Y84" s="12" t="s">
        <v>69</v>
      </c>
    </row>
    <row r="85" customFormat="false" ht="15" hidden="false" customHeight="false" outlineLevel="0" collapsed="false">
      <c r="A85" s="9" t="s">
        <v>463</v>
      </c>
      <c r="B85" s="10" t="s">
        <v>464</v>
      </c>
      <c r="C85" s="11" t="n">
        <v>3</v>
      </c>
      <c r="D85" s="9"/>
      <c r="E85" s="9"/>
      <c r="F85" s="9" t="s">
        <v>56</v>
      </c>
      <c r="G85" s="9" t="s">
        <v>465</v>
      </c>
      <c r="H85" s="9" t="s">
        <v>58</v>
      </c>
      <c r="I85" s="9" t="s">
        <v>59</v>
      </c>
      <c r="J85" s="9" t="s">
        <v>465</v>
      </c>
      <c r="K85" s="9" t="s">
        <v>250</v>
      </c>
      <c r="L85" s="10" t="s">
        <v>62</v>
      </c>
      <c r="M85" s="10" t="s">
        <v>104</v>
      </c>
      <c r="N85" s="10" t="s">
        <v>89</v>
      </c>
      <c r="O85" s="9" t="s">
        <v>65</v>
      </c>
      <c r="P85" s="9" t="s">
        <v>59</v>
      </c>
      <c r="Q85" s="9" t="s">
        <v>66</v>
      </c>
      <c r="R85" s="10" t="s">
        <v>251</v>
      </c>
      <c r="S85" s="9" t="s">
        <v>466</v>
      </c>
      <c r="T85" s="9" t="s">
        <v>467</v>
      </c>
      <c r="U85" s="9"/>
      <c r="V85" s="9" t="n">
        <f aca="false">IF(AND($O85="Active",$C85="",$D85="",$E85="",$F85&lt;&gt;"文字"),1,0)</f>
        <v>0</v>
      </c>
      <c r="W85" s="9" t="n">
        <f aca="false">IF(AND($O85="Active",OR($J85="",$J85="—")),1,0)</f>
        <v>0</v>
      </c>
      <c r="X85" s="9" t="n">
        <f aca="false">IF(AND(ISNUMBER($C85),ISNUMBER($D85),ISNUMBER($E85)),IF(AND($D85&lt;=$C85,$C85&lt;=$E85),0,1),0)</f>
        <v>0</v>
      </c>
      <c r="Y85" s="12" t="s">
        <v>69</v>
      </c>
    </row>
    <row r="86" customFormat="false" ht="15" hidden="false" customHeight="false" outlineLevel="0" collapsed="false">
      <c r="A86" s="9" t="s">
        <v>468</v>
      </c>
      <c r="B86" s="10" t="s">
        <v>469</v>
      </c>
      <c r="C86" s="11" t="n">
        <v>19.18</v>
      </c>
      <c r="D86" s="9"/>
      <c r="E86" s="9"/>
      <c r="F86" s="9" t="s">
        <v>56</v>
      </c>
      <c r="G86" s="10" t="s">
        <v>470</v>
      </c>
      <c r="H86" s="9" t="s">
        <v>58</v>
      </c>
      <c r="I86" s="9" t="s">
        <v>59</v>
      </c>
      <c r="J86" s="10" t="s">
        <v>470</v>
      </c>
      <c r="K86" s="9" t="s">
        <v>61</v>
      </c>
      <c r="L86" s="10" t="s">
        <v>62</v>
      </c>
      <c r="M86" s="10" t="s">
        <v>75</v>
      </c>
      <c r="N86" s="10" t="s">
        <v>76</v>
      </c>
      <c r="O86" s="9" t="s">
        <v>65</v>
      </c>
      <c r="P86" s="9" t="s">
        <v>59</v>
      </c>
      <c r="Q86" s="9" t="s">
        <v>66</v>
      </c>
      <c r="R86" s="9" t="s">
        <v>59</v>
      </c>
      <c r="S86" s="9" t="s">
        <v>471</v>
      </c>
      <c r="T86" s="9" t="s">
        <v>472</v>
      </c>
      <c r="U86" s="9"/>
      <c r="V86" s="9" t="n">
        <f aca="false">IF(AND($O86="Active",$C86="",$D86="",$E86="",$F86&lt;&gt;"文字"),1,0)</f>
        <v>0</v>
      </c>
      <c r="W86" s="9" t="n">
        <f aca="false">IF(AND($O86="Active",OR($J86="",$J86="—")),1,0)</f>
        <v>0</v>
      </c>
      <c r="X86" s="9" t="n">
        <f aca="false">IF(AND(ISNUMBER($C86),ISNUMBER($D86),ISNUMBER($E86)),IF(AND($D86&lt;=$C86,$C86&lt;=$E86),0,1),0)</f>
        <v>0</v>
      </c>
      <c r="Y86" s="12" t="s">
        <v>69</v>
      </c>
    </row>
    <row r="87" customFormat="false" ht="15" hidden="false" customHeight="false" outlineLevel="0" collapsed="false">
      <c r="A87" s="9" t="s">
        <v>473</v>
      </c>
      <c r="B87" s="10" t="s">
        <v>474</v>
      </c>
      <c r="C87" s="11" t="n">
        <v>0.2</v>
      </c>
      <c r="D87" s="9"/>
      <c r="E87" s="9"/>
      <c r="F87" s="9" t="s">
        <v>363</v>
      </c>
      <c r="G87" s="9" t="s">
        <v>475</v>
      </c>
      <c r="H87" s="9" t="s">
        <v>58</v>
      </c>
      <c r="I87" s="9" t="s">
        <v>476</v>
      </c>
      <c r="J87" s="9" t="s">
        <v>477</v>
      </c>
      <c r="K87" s="9" t="s">
        <v>250</v>
      </c>
      <c r="L87" s="10" t="s">
        <v>62</v>
      </c>
      <c r="M87" s="10" t="s">
        <v>104</v>
      </c>
      <c r="N87" s="10" t="s">
        <v>119</v>
      </c>
      <c r="O87" s="9" t="s">
        <v>65</v>
      </c>
      <c r="P87" s="9" t="s">
        <v>59</v>
      </c>
      <c r="Q87" s="9" t="s">
        <v>66</v>
      </c>
      <c r="R87" s="10" t="s">
        <v>251</v>
      </c>
      <c r="S87" s="9" t="s">
        <v>478</v>
      </c>
      <c r="T87" s="9" t="s">
        <v>479</v>
      </c>
      <c r="U87" s="9"/>
      <c r="V87" s="9" t="n">
        <f aca="false">IF(AND($O87="Active",$C87="",$D87="",$E87="",$F87&lt;&gt;"文字"),1,0)</f>
        <v>0</v>
      </c>
      <c r="W87" s="9" t="n">
        <f aca="false">IF(AND($O87="Active",OR($J87="",$J87="—")),1,0)</f>
        <v>0</v>
      </c>
      <c r="X87" s="9" t="n">
        <f aca="false">IF(AND(ISNUMBER($C87),ISNUMBER($D87),ISNUMBER($E87)),IF(AND($D87&lt;=$C87,$C87&lt;=$E87),0,1),0)</f>
        <v>0</v>
      </c>
      <c r="Y87" s="12" t="s">
        <v>69</v>
      </c>
    </row>
    <row r="88" customFormat="false" ht="15" hidden="false" customHeight="false" outlineLevel="0" collapsed="false">
      <c r="A88" s="9" t="s">
        <v>480</v>
      </c>
      <c r="B88" s="10" t="s">
        <v>481</v>
      </c>
      <c r="C88" s="11" t="n">
        <v>0.6</v>
      </c>
      <c r="D88" s="9"/>
      <c r="E88" s="9"/>
      <c r="F88" s="9" t="s">
        <v>363</v>
      </c>
      <c r="G88" s="10" t="s">
        <v>376</v>
      </c>
      <c r="H88" s="9" t="s">
        <v>58</v>
      </c>
      <c r="I88" s="9" t="s">
        <v>476</v>
      </c>
      <c r="J88" s="9" t="s">
        <v>477</v>
      </c>
      <c r="K88" s="9" t="s">
        <v>250</v>
      </c>
      <c r="L88" s="10" t="s">
        <v>62</v>
      </c>
      <c r="M88" s="10" t="s">
        <v>104</v>
      </c>
      <c r="N88" s="10" t="s">
        <v>119</v>
      </c>
      <c r="O88" s="9" t="s">
        <v>65</v>
      </c>
      <c r="P88" s="9" t="s">
        <v>59</v>
      </c>
      <c r="Q88" s="9" t="s">
        <v>66</v>
      </c>
      <c r="R88" s="10" t="s">
        <v>251</v>
      </c>
      <c r="S88" s="9" t="s">
        <v>482</v>
      </c>
      <c r="T88" s="9" t="s">
        <v>483</v>
      </c>
      <c r="U88" s="9"/>
      <c r="V88" s="9" t="n">
        <f aca="false">IF(AND($O88="Active",$C88="",$D88="",$E88="",$F88&lt;&gt;"文字"),1,0)</f>
        <v>0</v>
      </c>
      <c r="W88" s="9" t="n">
        <f aca="false">IF(AND($O88="Active",OR($J88="",$J88="—")),1,0)</f>
        <v>0</v>
      </c>
      <c r="X88" s="9" t="n">
        <f aca="false">IF(AND(ISNUMBER($C88),ISNUMBER($D88),ISNUMBER($E88)),IF(AND($D88&lt;=$C88,$C88&lt;=$E88),0,1),0)</f>
        <v>0</v>
      </c>
      <c r="Y88" s="12" t="s">
        <v>69</v>
      </c>
    </row>
    <row r="89" customFormat="false" ht="15" hidden="false" customHeight="false" outlineLevel="0" collapsed="false">
      <c r="A89" s="9" t="s">
        <v>484</v>
      </c>
      <c r="B89" s="10" t="s">
        <v>485</v>
      </c>
      <c r="C89" s="11" t="n">
        <v>1.9</v>
      </c>
      <c r="D89" s="9"/>
      <c r="E89" s="9"/>
      <c r="F89" s="9" t="s">
        <v>363</v>
      </c>
      <c r="G89" s="10" t="s">
        <v>486</v>
      </c>
      <c r="H89" s="9" t="s">
        <v>58</v>
      </c>
      <c r="I89" s="9" t="s">
        <v>476</v>
      </c>
      <c r="J89" s="9" t="s">
        <v>477</v>
      </c>
      <c r="K89" s="9" t="s">
        <v>250</v>
      </c>
      <c r="L89" s="10" t="s">
        <v>62</v>
      </c>
      <c r="M89" s="10" t="s">
        <v>104</v>
      </c>
      <c r="N89" s="10" t="s">
        <v>119</v>
      </c>
      <c r="O89" s="9" t="s">
        <v>65</v>
      </c>
      <c r="P89" s="9" t="s">
        <v>59</v>
      </c>
      <c r="Q89" s="9" t="s">
        <v>66</v>
      </c>
      <c r="R89" s="10" t="s">
        <v>251</v>
      </c>
      <c r="S89" s="9" t="s">
        <v>487</v>
      </c>
      <c r="T89" s="9" t="s">
        <v>488</v>
      </c>
      <c r="U89" s="9"/>
      <c r="V89" s="9" t="n">
        <f aca="false">IF(AND($O89="Active",$C89="",$D89="",$E89="",$F89&lt;&gt;"文字"),1,0)</f>
        <v>0</v>
      </c>
      <c r="W89" s="9" t="n">
        <f aca="false">IF(AND($O89="Active",OR($J89="",$J89="—")),1,0)</f>
        <v>0</v>
      </c>
      <c r="X89" s="9" t="n">
        <f aca="false">IF(AND(ISNUMBER($C89),ISNUMBER($D89),ISNUMBER($E89)),IF(AND($D89&lt;=$C89,$C89&lt;=$E89),0,1),0)</f>
        <v>0</v>
      </c>
      <c r="Y89" s="12" t="s">
        <v>69</v>
      </c>
    </row>
    <row r="90" customFormat="false" ht="15" hidden="false" customHeight="false" outlineLevel="0" collapsed="false">
      <c r="A90" s="9" t="s">
        <v>489</v>
      </c>
      <c r="B90" s="10" t="s">
        <v>490</v>
      </c>
      <c r="C90" s="11" t="n">
        <v>20</v>
      </c>
      <c r="D90" s="9"/>
      <c r="E90" s="9"/>
      <c r="F90" s="9" t="s">
        <v>56</v>
      </c>
      <c r="G90" s="10" t="s">
        <v>491</v>
      </c>
      <c r="H90" s="9" t="s">
        <v>58</v>
      </c>
      <c r="I90" s="9" t="s">
        <v>476</v>
      </c>
      <c r="J90" s="9" t="s">
        <v>477</v>
      </c>
      <c r="K90" s="9" t="s">
        <v>250</v>
      </c>
      <c r="L90" s="10" t="s">
        <v>62</v>
      </c>
      <c r="M90" s="10" t="s">
        <v>104</v>
      </c>
      <c r="N90" s="10" t="s">
        <v>119</v>
      </c>
      <c r="O90" s="9" t="s">
        <v>65</v>
      </c>
      <c r="P90" s="9" t="s">
        <v>59</v>
      </c>
      <c r="Q90" s="9" t="s">
        <v>66</v>
      </c>
      <c r="R90" s="10" t="s">
        <v>251</v>
      </c>
      <c r="S90" s="9" t="s">
        <v>492</v>
      </c>
      <c r="T90" s="9" t="s">
        <v>98</v>
      </c>
      <c r="U90" s="9"/>
      <c r="V90" s="9" t="n">
        <f aca="false">IF(AND($O90="Active",$C90="",$D90="",$E90="",$F90&lt;&gt;"文字"),1,0)</f>
        <v>0</v>
      </c>
      <c r="W90" s="9" t="n">
        <f aca="false">IF(AND($O90="Active",OR($J90="",$J90="—")),1,0)</f>
        <v>0</v>
      </c>
      <c r="X90" s="9" t="n">
        <f aca="false">IF(AND(ISNUMBER($C90),ISNUMBER($D90),ISNUMBER($E90)),IF(AND($D90&lt;=$C90,$C90&lt;=$E90),0,1),0)</f>
        <v>0</v>
      </c>
      <c r="Y90" s="12" t="s">
        <v>69</v>
      </c>
    </row>
    <row r="91" customFormat="false" ht="15" hidden="false" customHeight="false" outlineLevel="0" collapsed="false">
      <c r="A91" s="9" t="s">
        <v>493</v>
      </c>
      <c r="B91" s="9" t="s">
        <v>494</v>
      </c>
      <c r="C91" s="11" t="n">
        <v>900</v>
      </c>
      <c r="D91" s="9"/>
      <c r="E91" s="9"/>
      <c r="F91" s="9" t="s">
        <v>246</v>
      </c>
      <c r="G91" s="9" t="s">
        <v>495</v>
      </c>
      <c r="H91" s="9" t="s">
        <v>58</v>
      </c>
      <c r="I91" s="9" t="s">
        <v>293</v>
      </c>
      <c r="J91" s="9" t="s">
        <v>496</v>
      </c>
      <c r="K91" s="9" t="s">
        <v>250</v>
      </c>
      <c r="L91" s="10" t="s">
        <v>62</v>
      </c>
      <c r="M91" s="10" t="s">
        <v>63</v>
      </c>
      <c r="N91" s="10" t="s">
        <v>119</v>
      </c>
      <c r="O91" s="9" t="s">
        <v>65</v>
      </c>
      <c r="P91" s="9" t="s">
        <v>59</v>
      </c>
      <c r="Q91" s="9" t="s">
        <v>66</v>
      </c>
      <c r="R91" s="10" t="s">
        <v>251</v>
      </c>
      <c r="S91" s="9" t="s">
        <v>497</v>
      </c>
      <c r="T91" s="9" t="s">
        <v>498</v>
      </c>
      <c r="U91" s="9" t="s">
        <v>499</v>
      </c>
      <c r="V91" s="9" t="n">
        <f aca="false">IF(AND($O91="Active",$C91="",$D91="",$E91="",$F91&lt;&gt;"文字"),1,0)</f>
        <v>0</v>
      </c>
      <c r="W91" s="9" t="n">
        <f aca="false">IF(AND($O91="Active",OR($J91="",$J91="—")),1,0)</f>
        <v>0</v>
      </c>
      <c r="X91" s="9" t="n">
        <f aca="false">IF(AND(ISNUMBER($C91),ISNUMBER($D91),ISNUMBER($E91)),IF(AND($D91&lt;=$C91,$C91&lt;=$E91),0,1),0)</f>
        <v>0</v>
      </c>
      <c r="Y91" s="12" t="s">
        <v>69</v>
      </c>
    </row>
    <row r="92" customFormat="false" ht="15" hidden="false" customHeight="false" outlineLevel="0" collapsed="false">
      <c r="A92" s="9" t="s">
        <v>500</v>
      </c>
      <c r="B92" s="9" t="s">
        <v>501</v>
      </c>
      <c r="C92" s="11" t="n">
        <v>3</v>
      </c>
      <c r="D92" s="9"/>
      <c r="E92" s="9"/>
      <c r="F92" s="9" t="s">
        <v>246</v>
      </c>
      <c r="G92" s="10" t="s">
        <v>502</v>
      </c>
      <c r="H92" s="9" t="s">
        <v>58</v>
      </c>
      <c r="I92" s="9" t="s">
        <v>503</v>
      </c>
      <c r="J92" s="9" t="s">
        <v>504</v>
      </c>
      <c r="K92" s="9" t="s">
        <v>250</v>
      </c>
      <c r="L92" s="10" t="s">
        <v>62</v>
      </c>
      <c r="M92" s="10" t="s">
        <v>104</v>
      </c>
      <c r="N92" s="10" t="s">
        <v>89</v>
      </c>
      <c r="O92" s="9" t="s">
        <v>65</v>
      </c>
      <c r="P92" s="9" t="s">
        <v>59</v>
      </c>
      <c r="Q92" s="9" t="s">
        <v>66</v>
      </c>
      <c r="R92" s="10" t="s">
        <v>251</v>
      </c>
      <c r="S92" s="9" t="s">
        <v>505</v>
      </c>
      <c r="T92" s="9" t="s">
        <v>506</v>
      </c>
      <c r="U92" s="9" t="s">
        <v>499</v>
      </c>
      <c r="V92" s="9" t="n">
        <f aca="false">IF(AND($O92="Active",$C92="",$D92="",$E92="",$F92&lt;&gt;"文字"),1,0)</f>
        <v>0</v>
      </c>
      <c r="W92" s="9" t="n">
        <f aca="false">IF(AND($O92="Active",OR($J92="",$J92="—")),1,0)</f>
        <v>0</v>
      </c>
      <c r="X92" s="9" t="n">
        <f aca="false">IF(AND(ISNUMBER($C92),ISNUMBER($D92),ISNUMBER($E92)),IF(AND($D92&lt;=$C92,$C92&lt;=$E92),0,1),0)</f>
        <v>0</v>
      </c>
      <c r="Y92" s="12" t="s">
        <v>69</v>
      </c>
    </row>
    <row r="93" customFormat="false" ht="15" hidden="false" customHeight="false" outlineLevel="0" collapsed="false">
      <c r="A93" s="9" t="s">
        <v>507</v>
      </c>
      <c r="B93" s="9" t="s">
        <v>508</v>
      </c>
      <c r="C93" s="11" t="n">
        <v>35</v>
      </c>
      <c r="D93" s="9"/>
      <c r="E93" s="9"/>
      <c r="F93" s="9" t="s">
        <v>246</v>
      </c>
      <c r="G93" s="9" t="s">
        <v>509</v>
      </c>
      <c r="H93" s="9" t="s">
        <v>58</v>
      </c>
      <c r="I93" s="9" t="s">
        <v>510</v>
      </c>
      <c r="J93" s="9" t="s">
        <v>511</v>
      </c>
      <c r="K93" s="9" t="s">
        <v>250</v>
      </c>
      <c r="L93" s="10" t="s">
        <v>62</v>
      </c>
      <c r="M93" s="10" t="s">
        <v>104</v>
      </c>
      <c r="N93" s="10" t="s">
        <v>89</v>
      </c>
      <c r="O93" s="9" t="s">
        <v>65</v>
      </c>
      <c r="P93" s="9" t="s">
        <v>59</v>
      </c>
      <c r="Q93" s="9" t="s">
        <v>66</v>
      </c>
      <c r="R93" s="10" t="s">
        <v>251</v>
      </c>
      <c r="S93" s="9" t="s">
        <v>512</v>
      </c>
      <c r="T93" s="9" t="s">
        <v>513</v>
      </c>
      <c r="U93" s="9" t="s">
        <v>499</v>
      </c>
      <c r="V93" s="9" t="n">
        <f aca="false">IF(AND($O93="Active",$C93="",$D93="",$E93="",$F93&lt;&gt;"文字"),1,0)</f>
        <v>0</v>
      </c>
      <c r="W93" s="9" t="n">
        <f aca="false">IF(AND($O93="Active",OR($J93="",$J93="—")),1,0)</f>
        <v>0</v>
      </c>
      <c r="X93" s="9" t="n">
        <f aca="false">IF(AND(ISNUMBER($C93),ISNUMBER($D93),ISNUMBER($E93)),IF(AND($D93&lt;=$C93,$C93&lt;=$E93),0,1),0)</f>
        <v>0</v>
      </c>
      <c r="Y93" s="12" t="s">
        <v>69</v>
      </c>
    </row>
    <row r="94" customFormat="false" ht="15" hidden="false" customHeight="false" outlineLevel="0" collapsed="false">
      <c r="A94" s="9" t="s">
        <v>514</v>
      </c>
      <c r="B94" s="9" t="s">
        <v>515</v>
      </c>
      <c r="C94" s="11" t="n">
        <v>44</v>
      </c>
      <c r="D94" s="9"/>
      <c r="E94" s="9"/>
      <c r="F94" s="9" t="s">
        <v>246</v>
      </c>
      <c r="G94" s="9" t="s">
        <v>516</v>
      </c>
      <c r="H94" s="9" t="s">
        <v>58</v>
      </c>
      <c r="I94" s="9" t="s">
        <v>248</v>
      </c>
      <c r="J94" s="9" t="s">
        <v>517</v>
      </c>
      <c r="K94" s="9" t="s">
        <v>250</v>
      </c>
      <c r="L94" s="10" t="s">
        <v>62</v>
      </c>
      <c r="M94" s="10" t="s">
        <v>75</v>
      </c>
      <c r="N94" s="10" t="s">
        <v>89</v>
      </c>
      <c r="O94" s="9" t="s">
        <v>65</v>
      </c>
      <c r="P94" s="9" t="s">
        <v>59</v>
      </c>
      <c r="Q94" s="9" t="s">
        <v>66</v>
      </c>
      <c r="R94" s="10" t="s">
        <v>251</v>
      </c>
      <c r="S94" s="9" t="s">
        <v>512</v>
      </c>
      <c r="T94" s="9" t="s">
        <v>513</v>
      </c>
      <c r="U94" s="9" t="s">
        <v>499</v>
      </c>
      <c r="V94" s="9" t="n">
        <f aca="false">IF(AND($O94="Active",$C94="",$D94="",$E94="",$F94&lt;&gt;"文字"),1,0)</f>
        <v>0</v>
      </c>
      <c r="W94" s="9" t="n">
        <f aca="false">IF(AND($O94="Active",OR($J94="",$J94="—")),1,0)</f>
        <v>0</v>
      </c>
      <c r="X94" s="9" t="n">
        <f aca="false">IF(AND(ISNUMBER($C94),ISNUMBER($D94),ISNUMBER($E94)),IF(AND($D94&lt;=$C94,$C94&lt;=$E94),0,1),0)</f>
        <v>0</v>
      </c>
      <c r="Y94" s="12" t="s">
        <v>69</v>
      </c>
    </row>
    <row r="95" customFormat="false" ht="15" hidden="false" customHeight="false" outlineLevel="0" collapsed="false">
      <c r="A95" s="9" t="s">
        <v>518</v>
      </c>
      <c r="B95" s="10" t="s">
        <v>519</v>
      </c>
      <c r="C95" s="11" t="n">
        <v>9</v>
      </c>
      <c r="D95" s="11" t="n">
        <v>9</v>
      </c>
      <c r="E95" s="9"/>
      <c r="F95" s="9" t="s">
        <v>246</v>
      </c>
      <c r="G95" s="10" t="s">
        <v>520</v>
      </c>
      <c r="H95" s="9" t="s">
        <v>58</v>
      </c>
      <c r="I95" s="9" t="s">
        <v>293</v>
      </c>
      <c r="J95" s="9" t="s">
        <v>521</v>
      </c>
      <c r="K95" s="9" t="s">
        <v>250</v>
      </c>
      <c r="L95" s="10" t="s">
        <v>62</v>
      </c>
      <c r="M95" s="10" t="s">
        <v>63</v>
      </c>
      <c r="N95" s="10" t="s">
        <v>119</v>
      </c>
      <c r="O95" s="9" t="s">
        <v>65</v>
      </c>
      <c r="P95" s="9" t="s">
        <v>59</v>
      </c>
      <c r="Q95" s="9" t="s">
        <v>66</v>
      </c>
      <c r="R95" s="10" t="s">
        <v>251</v>
      </c>
      <c r="S95" s="9" t="s">
        <v>522</v>
      </c>
      <c r="T95" s="9" t="s">
        <v>523</v>
      </c>
      <c r="U95" s="9" t="s">
        <v>499</v>
      </c>
      <c r="V95" s="9" t="n">
        <f aca="false">IF(AND($O95="Active",$C95="",$D95="",$E95="",$F95&lt;&gt;"文字"),1,0)</f>
        <v>0</v>
      </c>
      <c r="W95" s="9" t="n">
        <f aca="false">IF(AND($O95="Active",OR($J95="",$J95="—")),1,0)</f>
        <v>0</v>
      </c>
      <c r="X95" s="9" t="n">
        <f aca="false">IF(AND(ISNUMBER($C95),ISNUMBER($D95),ISNUMBER($E95)),IF(AND($D95&lt;=$C95,$C95&lt;=$E95),0,1),0)</f>
        <v>0</v>
      </c>
      <c r="Y95" s="12" t="s">
        <v>69</v>
      </c>
    </row>
    <row r="96" customFormat="false" ht="15" hidden="false" customHeight="false" outlineLevel="0" collapsed="false">
      <c r="A96" s="9" t="s">
        <v>524</v>
      </c>
      <c r="B96" s="10" t="s">
        <v>525</v>
      </c>
      <c r="C96" s="11" t="n">
        <v>10.59</v>
      </c>
      <c r="D96" s="9"/>
      <c r="E96" s="9"/>
      <c r="F96" s="9" t="s">
        <v>56</v>
      </c>
      <c r="G96" s="9" t="s">
        <v>526</v>
      </c>
      <c r="H96" s="9" t="s">
        <v>58</v>
      </c>
      <c r="I96" s="9" t="s">
        <v>59</v>
      </c>
      <c r="J96" s="10" t="s">
        <v>527</v>
      </c>
      <c r="K96" s="9" t="s">
        <v>250</v>
      </c>
      <c r="L96" s="10" t="s">
        <v>62</v>
      </c>
      <c r="M96" s="10" t="s">
        <v>75</v>
      </c>
      <c r="N96" s="10" t="s">
        <v>76</v>
      </c>
      <c r="O96" s="9" t="s">
        <v>65</v>
      </c>
      <c r="P96" s="9" t="s">
        <v>59</v>
      </c>
      <c r="Q96" s="9" t="s">
        <v>66</v>
      </c>
      <c r="R96" s="10" t="s">
        <v>251</v>
      </c>
      <c r="S96" s="9" t="s">
        <v>528</v>
      </c>
      <c r="T96" s="9" t="s">
        <v>529</v>
      </c>
      <c r="U96" s="9" t="s">
        <v>530</v>
      </c>
      <c r="V96" s="9" t="n">
        <f aca="false">IF(AND($O96="Active",$C96="",$D96="",$E96="",$F96&lt;&gt;"文字"),1,0)</f>
        <v>0</v>
      </c>
      <c r="W96" s="9" t="n">
        <f aca="false">IF(AND($O96="Active",OR($J96="",$J96="—")),1,0)</f>
        <v>0</v>
      </c>
      <c r="X96" s="9" t="n">
        <f aca="false">IF(AND(ISNUMBER($C96),ISNUMBER($D96),ISNUMBER($E96)),IF(AND($D96&lt;=$C96,$C96&lt;=$E96),0,1),0)</f>
        <v>0</v>
      </c>
      <c r="Y96" s="12" t="s">
        <v>69</v>
      </c>
    </row>
    <row r="97" customFormat="false" ht="15" hidden="false" customHeight="false" outlineLevel="0" collapsed="false">
      <c r="A97" s="9" t="s">
        <v>531</v>
      </c>
      <c r="B97" s="10" t="s">
        <v>532</v>
      </c>
      <c r="C97" s="11" t="n">
        <v>20</v>
      </c>
      <c r="D97" s="9"/>
      <c r="E97" s="9"/>
      <c r="F97" s="9" t="s">
        <v>56</v>
      </c>
      <c r="G97" s="10" t="s">
        <v>533</v>
      </c>
      <c r="H97" s="9" t="s">
        <v>58</v>
      </c>
      <c r="I97" s="9" t="s">
        <v>424</v>
      </c>
      <c r="J97" s="9" t="s">
        <v>534</v>
      </c>
      <c r="K97" s="9" t="s">
        <v>61</v>
      </c>
      <c r="L97" s="10" t="s">
        <v>62</v>
      </c>
      <c r="M97" s="10" t="s">
        <v>104</v>
      </c>
      <c r="N97" s="10" t="s">
        <v>89</v>
      </c>
      <c r="O97" s="9" t="s">
        <v>65</v>
      </c>
      <c r="P97" s="9" t="s">
        <v>59</v>
      </c>
      <c r="Q97" s="9" t="s">
        <v>66</v>
      </c>
      <c r="R97" s="9" t="s">
        <v>59</v>
      </c>
      <c r="S97" s="9" t="s">
        <v>535</v>
      </c>
      <c r="T97" s="9" t="s">
        <v>536</v>
      </c>
      <c r="U97" s="9" t="s">
        <v>537</v>
      </c>
      <c r="V97" s="9" t="n">
        <f aca="false">IF(AND($O97="Active",$C97="",$D97="",$E97="",$F97&lt;&gt;"文字"),1,0)</f>
        <v>0</v>
      </c>
      <c r="W97" s="9" t="n">
        <f aca="false">IF(AND($O97="Active",OR($J97="",$J97="—")),1,0)</f>
        <v>0</v>
      </c>
      <c r="X97" s="9" t="n">
        <f aca="false">IF(AND(ISNUMBER($C97),ISNUMBER($D97),ISNUMBER($E97)),IF(AND($D97&lt;=$C97,$C97&lt;=$E97),0,1),0)</f>
        <v>0</v>
      </c>
      <c r="Y97" s="12" t="s">
        <v>69</v>
      </c>
    </row>
    <row r="98" customFormat="false" ht="15" hidden="false" customHeight="false" outlineLevel="0" collapsed="false">
      <c r="A98" s="9" t="s">
        <v>538</v>
      </c>
      <c r="B98" s="9" t="s">
        <v>539</v>
      </c>
      <c r="C98" s="11" t="n">
        <v>2.5</v>
      </c>
      <c r="D98" s="9"/>
      <c r="E98" s="9"/>
      <c r="F98" s="9" t="s">
        <v>540</v>
      </c>
      <c r="G98" s="10" t="s">
        <v>541</v>
      </c>
      <c r="H98" s="9" t="s">
        <v>58</v>
      </c>
      <c r="I98" s="9" t="s">
        <v>510</v>
      </c>
      <c r="J98" s="9" t="s">
        <v>542</v>
      </c>
      <c r="K98" s="9" t="s">
        <v>250</v>
      </c>
      <c r="L98" s="10" t="s">
        <v>62</v>
      </c>
      <c r="M98" s="10" t="s">
        <v>63</v>
      </c>
      <c r="N98" s="10" t="s">
        <v>119</v>
      </c>
      <c r="O98" s="9" t="s">
        <v>65</v>
      </c>
      <c r="P98" s="9" t="s">
        <v>59</v>
      </c>
      <c r="Q98" s="9" t="s">
        <v>66</v>
      </c>
      <c r="R98" s="10" t="s">
        <v>543</v>
      </c>
      <c r="S98" s="9" t="s">
        <v>544</v>
      </c>
      <c r="T98" s="9" t="s">
        <v>545</v>
      </c>
      <c r="U98" s="9"/>
      <c r="V98" s="9" t="n">
        <f aca="false">IF(AND($O98="Active",$C98="",$D98="",$E98="",$F98&lt;&gt;"文字"),1,0)</f>
        <v>0</v>
      </c>
      <c r="W98" s="9" t="n">
        <f aca="false">IF(AND($O98="Active",OR($J98="",$J98="—")),1,0)</f>
        <v>0</v>
      </c>
      <c r="X98" s="9" t="n">
        <f aca="false">IF(AND(ISNUMBER($C98),ISNUMBER($D98),ISNUMBER($E98)),IF(AND($D98&lt;=$C98,$C98&lt;=$E98),0,1),0)</f>
        <v>0</v>
      </c>
      <c r="Y98" s="12" t="s">
        <v>69</v>
      </c>
    </row>
    <row r="99" customFormat="false" ht="15" hidden="false" customHeight="false" outlineLevel="0" collapsed="false">
      <c r="A99" s="9" t="s">
        <v>546</v>
      </c>
      <c r="B99" s="9" t="s">
        <v>547</v>
      </c>
      <c r="C99" s="11" t="n">
        <v>2</v>
      </c>
      <c r="D99" s="9"/>
      <c r="E99" s="9"/>
      <c r="F99" s="10" t="s">
        <v>548</v>
      </c>
      <c r="G99" s="10" t="s">
        <v>549</v>
      </c>
      <c r="H99" s="9" t="s">
        <v>58</v>
      </c>
      <c r="I99" s="9" t="s">
        <v>248</v>
      </c>
      <c r="J99" s="9" t="s">
        <v>550</v>
      </c>
      <c r="K99" s="9" t="s">
        <v>250</v>
      </c>
      <c r="L99" s="10" t="s">
        <v>62</v>
      </c>
      <c r="M99" s="10" t="s">
        <v>75</v>
      </c>
      <c r="N99" s="10" t="s">
        <v>89</v>
      </c>
      <c r="O99" s="9" t="s">
        <v>65</v>
      </c>
      <c r="P99" s="9" t="s">
        <v>59</v>
      </c>
      <c r="Q99" s="9" t="s">
        <v>66</v>
      </c>
      <c r="R99" s="10" t="s">
        <v>251</v>
      </c>
      <c r="S99" s="9" t="s">
        <v>551</v>
      </c>
      <c r="T99" s="9" t="s">
        <v>552</v>
      </c>
      <c r="U99" s="9" t="s">
        <v>499</v>
      </c>
      <c r="V99" s="9" t="n">
        <f aca="false">IF(AND($O99="Active",$C99="",$D99="",$E99="",$F99&lt;&gt;"文字"),1,0)</f>
        <v>0</v>
      </c>
      <c r="W99" s="9" t="n">
        <f aca="false">IF(AND($O99="Active",OR($J99="",$J99="—")),1,0)</f>
        <v>0</v>
      </c>
      <c r="X99" s="9" t="n">
        <f aca="false">IF(AND(ISNUMBER($C99),ISNUMBER($D99),ISNUMBER($E99)),IF(AND($D99&lt;=$C99,$C99&lt;=$E99),0,1),0)</f>
        <v>0</v>
      </c>
      <c r="Y99" s="12" t="s">
        <v>69</v>
      </c>
    </row>
    <row r="100" customFormat="false" ht="15" hidden="false" customHeight="false" outlineLevel="0" collapsed="false">
      <c r="A100" s="9" t="s">
        <v>553</v>
      </c>
      <c r="B100" s="9" t="s">
        <v>554</v>
      </c>
      <c r="C100" s="9"/>
      <c r="D100" s="9"/>
      <c r="E100" s="11" t="n">
        <v>0.01</v>
      </c>
      <c r="F100" s="10" t="s">
        <v>108</v>
      </c>
      <c r="G100" s="10" t="s">
        <v>555</v>
      </c>
      <c r="H100" s="9" t="s">
        <v>58</v>
      </c>
      <c r="I100" s="9" t="s">
        <v>248</v>
      </c>
      <c r="J100" s="9" t="s">
        <v>550</v>
      </c>
      <c r="K100" s="9" t="s">
        <v>250</v>
      </c>
      <c r="L100" s="10" t="s">
        <v>62</v>
      </c>
      <c r="M100" s="10" t="s">
        <v>75</v>
      </c>
      <c r="N100" s="10" t="s">
        <v>89</v>
      </c>
      <c r="O100" s="9" t="s">
        <v>65</v>
      </c>
      <c r="P100" s="9" t="s">
        <v>59</v>
      </c>
      <c r="Q100" s="9" t="s">
        <v>66</v>
      </c>
      <c r="R100" s="10" t="s">
        <v>251</v>
      </c>
      <c r="S100" s="9" t="s">
        <v>551</v>
      </c>
      <c r="T100" s="9" t="s">
        <v>556</v>
      </c>
      <c r="U100" s="9" t="s">
        <v>499</v>
      </c>
      <c r="V100" s="9" t="n">
        <f aca="false">IF(AND($O100="Active",$C100="",$D100="",$E100="",$F100&lt;&gt;"文字"),1,0)</f>
        <v>0</v>
      </c>
      <c r="W100" s="9" t="n">
        <f aca="false">IF(AND($O100="Active",OR($J100="",$J100="—")),1,0)</f>
        <v>0</v>
      </c>
      <c r="X100" s="9" t="n">
        <f aca="false">IF(AND(ISNUMBER($C100),ISNUMBER($D100),ISNUMBER($E100)),IF(AND($D100&lt;=$C100,$C100&lt;=$E100),0,1),0)</f>
        <v>0</v>
      </c>
      <c r="Y100" s="12" t="s">
        <v>69</v>
      </c>
    </row>
    <row r="101" customFormat="false" ht="15" hidden="false" customHeight="false" outlineLevel="0" collapsed="false">
      <c r="A101" s="9" t="s">
        <v>557</v>
      </c>
      <c r="B101" s="10" t="s">
        <v>558</v>
      </c>
      <c r="C101" s="11" t="n">
        <v>3</v>
      </c>
      <c r="D101" s="9"/>
      <c r="E101" s="9"/>
      <c r="F101" s="9" t="s">
        <v>363</v>
      </c>
      <c r="G101" s="9" t="s">
        <v>559</v>
      </c>
      <c r="H101" s="9" t="s">
        <v>369</v>
      </c>
      <c r="I101" s="9" t="s">
        <v>560</v>
      </c>
      <c r="J101" s="9" t="s">
        <v>561</v>
      </c>
      <c r="K101" s="9" t="s">
        <v>61</v>
      </c>
      <c r="L101" s="10" t="s">
        <v>62</v>
      </c>
      <c r="M101" s="10" t="s">
        <v>129</v>
      </c>
      <c r="N101" s="10" t="s">
        <v>89</v>
      </c>
      <c r="O101" s="9" t="s">
        <v>562</v>
      </c>
      <c r="P101" s="9" t="s">
        <v>59</v>
      </c>
      <c r="Q101" s="9" t="s">
        <v>66</v>
      </c>
      <c r="R101" s="9" t="s">
        <v>59</v>
      </c>
      <c r="S101" s="9" t="s">
        <v>563</v>
      </c>
      <c r="T101" s="9" t="s">
        <v>564</v>
      </c>
      <c r="U101" s="10" t="s">
        <v>565</v>
      </c>
      <c r="V101" s="9" t="n">
        <f aca="false">IF(AND($O101="Active",$C101="",$D101="",$E101="",$F101&lt;&gt;"文字"),1,0)</f>
        <v>0</v>
      </c>
      <c r="W101" s="9" t="n">
        <f aca="false">IF(AND($O101="Active",OR($J101="",$J101="—")),1,0)</f>
        <v>0</v>
      </c>
      <c r="X101" s="9" t="n">
        <f aca="false">IF(AND(ISNUMBER($C101),ISNUMBER($D101),ISNUMBER($E101)),IF(AND($D101&lt;=$C101,$C101&lt;=$E101),0,1),0)</f>
        <v>0</v>
      </c>
      <c r="Y101" s="12" t="s">
        <v>69</v>
      </c>
    </row>
    <row r="102" customFormat="false" ht="15" hidden="false" customHeight="false" outlineLevel="0" collapsed="false">
      <c r="A102" s="9" t="s">
        <v>566</v>
      </c>
      <c r="B102" s="10" t="s">
        <v>567</v>
      </c>
      <c r="C102" s="11" t="n">
        <v>2</v>
      </c>
      <c r="D102" s="9"/>
      <c r="E102" s="9"/>
      <c r="F102" s="9" t="s">
        <v>363</v>
      </c>
      <c r="G102" s="9" t="s">
        <v>568</v>
      </c>
      <c r="H102" s="9" t="s">
        <v>369</v>
      </c>
      <c r="I102" s="9" t="s">
        <v>560</v>
      </c>
      <c r="J102" s="9" t="s">
        <v>561</v>
      </c>
      <c r="K102" s="9" t="s">
        <v>61</v>
      </c>
      <c r="L102" s="10" t="s">
        <v>62</v>
      </c>
      <c r="M102" s="10" t="s">
        <v>129</v>
      </c>
      <c r="N102" s="10" t="s">
        <v>89</v>
      </c>
      <c r="O102" s="9" t="s">
        <v>562</v>
      </c>
      <c r="P102" s="9" t="s">
        <v>59</v>
      </c>
      <c r="Q102" s="9" t="s">
        <v>66</v>
      </c>
      <c r="R102" s="9" t="s">
        <v>59</v>
      </c>
      <c r="S102" s="9" t="s">
        <v>563</v>
      </c>
      <c r="T102" s="9" t="s">
        <v>569</v>
      </c>
      <c r="U102" s="10" t="s">
        <v>565</v>
      </c>
      <c r="V102" s="9" t="n">
        <f aca="false">IF(AND($O102="Active",$C102="",$D102="",$E102="",$F102&lt;&gt;"文字"),1,0)</f>
        <v>0</v>
      </c>
      <c r="W102" s="9" t="n">
        <f aca="false">IF(AND($O102="Active",OR($J102="",$J102="—")),1,0)</f>
        <v>0</v>
      </c>
      <c r="X102" s="9" t="n">
        <f aca="false">IF(AND(ISNUMBER($C102),ISNUMBER($D102),ISNUMBER($E102)),IF(AND($D102&lt;=$C102,$C102&lt;=$E102),0,1),0)</f>
        <v>0</v>
      </c>
      <c r="Y102" s="12" t="s">
        <v>69</v>
      </c>
    </row>
    <row r="103" customFormat="false" ht="15" hidden="false" customHeight="false" outlineLevel="0" collapsed="false">
      <c r="A103" s="9" t="s">
        <v>570</v>
      </c>
      <c r="B103" s="9" t="s">
        <v>571</v>
      </c>
      <c r="C103" s="11" t="n">
        <v>10</v>
      </c>
      <c r="D103" s="9"/>
      <c r="E103" s="9"/>
      <c r="F103" s="9" t="s">
        <v>363</v>
      </c>
      <c r="G103" s="10" t="s">
        <v>572</v>
      </c>
      <c r="H103" s="9" t="s">
        <v>573</v>
      </c>
      <c r="I103" s="9" t="s">
        <v>574</v>
      </c>
      <c r="J103" s="9" t="s">
        <v>575</v>
      </c>
      <c r="K103" s="9" t="s">
        <v>61</v>
      </c>
      <c r="L103" s="10" t="s">
        <v>62</v>
      </c>
      <c r="M103" s="10" t="s">
        <v>576</v>
      </c>
      <c r="N103" s="10" t="s">
        <v>119</v>
      </c>
      <c r="O103" s="9" t="s">
        <v>65</v>
      </c>
      <c r="P103" s="9" t="s">
        <v>59</v>
      </c>
      <c r="Q103" s="10" t="s">
        <v>577</v>
      </c>
      <c r="R103" s="9" t="s">
        <v>59</v>
      </c>
      <c r="S103" s="9" t="s">
        <v>578</v>
      </c>
      <c r="T103" s="10" t="s">
        <v>579</v>
      </c>
      <c r="U103" s="10" t="s">
        <v>580</v>
      </c>
      <c r="V103" s="9" t="n">
        <f aca="false">IF(AND($O103="Active",$C103="",$D103="",$E103="",$F103&lt;&gt;"文字"),1,0)</f>
        <v>0</v>
      </c>
      <c r="W103" s="9" t="n">
        <f aca="false">IF(AND($O103="Active",OR($J103="",$J103="—")),1,0)</f>
        <v>0</v>
      </c>
      <c r="X103" s="9" t="n">
        <f aca="false">IF(AND(ISNUMBER($C103),ISNUMBER($D103),ISNUMBER($E103)),IF(AND($D103&lt;=$C103,$C103&lt;=$E103),0,1),0)</f>
        <v>0</v>
      </c>
      <c r="Y103" s="12" t="s">
        <v>69</v>
      </c>
    </row>
    <row r="104" customFormat="false" ht="15" hidden="false" customHeight="false" outlineLevel="0" collapsed="false">
      <c r="A104" s="9" t="s">
        <v>581</v>
      </c>
      <c r="B104" s="9" t="s">
        <v>582</v>
      </c>
      <c r="C104" s="11" t="n">
        <v>100</v>
      </c>
      <c r="D104" s="9"/>
      <c r="E104" s="9"/>
      <c r="F104" s="9" t="s">
        <v>56</v>
      </c>
      <c r="G104" s="10" t="s">
        <v>583</v>
      </c>
      <c r="H104" s="9" t="s">
        <v>573</v>
      </c>
      <c r="I104" s="9" t="s">
        <v>574</v>
      </c>
      <c r="J104" s="9" t="s">
        <v>575</v>
      </c>
      <c r="K104" s="9" t="s">
        <v>61</v>
      </c>
      <c r="L104" s="10" t="s">
        <v>62</v>
      </c>
      <c r="M104" s="10" t="s">
        <v>576</v>
      </c>
      <c r="N104" s="10" t="s">
        <v>119</v>
      </c>
      <c r="O104" s="9" t="s">
        <v>65</v>
      </c>
      <c r="P104" s="9" t="s">
        <v>59</v>
      </c>
      <c r="Q104" s="10" t="s">
        <v>577</v>
      </c>
      <c r="R104" s="9" t="s">
        <v>59</v>
      </c>
      <c r="S104" s="9" t="s">
        <v>578</v>
      </c>
      <c r="T104" s="10" t="s">
        <v>579</v>
      </c>
      <c r="U104" s="10" t="s">
        <v>580</v>
      </c>
      <c r="V104" s="9" t="n">
        <f aca="false">IF(AND($O104="Active",$C104="",$D104="",$E104="",$F104&lt;&gt;"文字"),1,0)</f>
        <v>0</v>
      </c>
      <c r="W104" s="9" t="n">
        <f aca="false">IF(AND($O104="Active",OR($J104="",$J104="—")),1,0)</f>
        <v>0</v>
      </c>
      <c r="X104" s="9" t="n">
        <f aca="false">IF(AND(ISNUMBER($C104),ISNUMBER($D104),ISNUMBER($E104)),IF(AND($D104&lt;=$C104,$C104&lt;=$E104),0,1),0)</f>
        <v>0</v>
      </c>
      <c r="Y104" s="12" t="s">
        <v>69</v>
      </c>
    </row>
    <row r="105" customFormat="false" ht="15" hidden="false" customHeight="false" outlineLevel="0" collapsed="false">
      <c r="A105" s="9" t="s">
        <v>584</v>
      </c>
      <c r="B105" s="9" t="s">
        <v>585</v>
      </c>
      <c r="C105" s="11" t="n">
        <v>10</v>
      </c>
      <c r="D105" s="9"/>
      <c r="E105" s="9"/>
      <c r="F105" s="9" t="s">
        <v>363</v>
      </c>
      <c r="G105" s="10" t="s">
        <v>586</v>
      </c>
      <c r="H105" s="9" t="s">
        <v>587</v>
      </c>
      <c r="I105" s="9" t="s">
        <v>588</v>
      </c>
      <c r="J105" s="9" t="s">
        <v>589</v>
      </c>
      <c r="K105" s="9" t="s">
        <v>61</v>
      </c>
      <c r="L105" s="10" t="s">
        <v>62</v>
      </c>
      <c r="M105" s="10" t="s">
        <v>590</v>
      </c>
      <c r="N105" s="10" t="s">
        <v>119</v>
      </c>
      <c r="O105" s="9" t="s">
        <v>65</v>
      </c>
      <c r="P105" s="9" t="s">
        <v>59</v>
      </c>
      <c r="Q105" s="10" t="s">
        <v>577</v>
      </c>
      <c r="R105" s="9" t="s">
        <v>59</v>
      </c>
      <c r="S105" s="9" t="s">
        <v>578</v>
      </c>
      <c r="T105" s="10" t="s">
        <v>579</v>
      </c>
      <c r="U105" s="10" t="s">
        <v>580</v>
      </c>
      <c r="V105" s="9" t="n">
        <f aca="false">IF(AND($O105="Active",$C105="",$D105="",$E105="",$F105&lt;&gt;"文字"),1,0)</f>
        <v>0</v>
      </c>
      <c r="W105" s="9" t="n">
        <f aca="false">IF(AND($O105="Active",OR($J105="",$J105="—")),1,0)</f>
        <v>0</v>
      </c>
      <c r="X105" s="9" t="n">
        <f aca="false">IF(AND(ISNUMBER($C105),ISNUMBER($D105),ISNUMBER($E105)),IF(AND($D105&lt;=$C105,$C105&lt;=$E105),0,1),0)</f>
        <v>0</v>
      </c>
      <c r="Y105" s="12" t="s">
        <v>69</v>
      </c>
    </row>
    <row r="106" customFormat="false" ht="15" hidden="false" customHeight="false" outlineLevel="0" collapsed="false">
      <c r="A106" s="9" t="s">
        <v>591</v>
      </c>
      <c r="B106" s="9" t="s">
        <v>592</v>
      </c>
      <c r="C106" s="11" t="n">
        <v>6</v>
      </c>
      <c r="D106" s="9"/>
      <c r="E106" s="9"/>
      <c r="F106" s="9" t="s">
        <v>363</v>
      </c>
      <c r="G106" s="10" t="s">
        <v>593</v>
      </c>
      <c r="H106" s="9" t="s">
        <v>594</v>
      </c>
      <c r="I106" s="9" t="s">
        <v>595</v>
      </c>
      <c r="J106" s="9" t="s">
        <v>596</v>
      </c>
      <c r="K106" s="9" t="s">
        <v>61</v>
      </c>
      <c r="L106" s="10" t="s">
        <v>62</v>
      </c>
      <c r="M106" s="10" t="s">
        <v>597</v>
      </c>
      <c r="N106" s="10" t="s">
        <v>119</v>
      </c>
      <c r="O106" s="9" t="s">
        <v>65</v>
      </c>
      <c r="P106" s="9" t="s">
        <v>59</v>
      </c>
      <c r="Q106" s="10" t="s">
        <v>577</v>
      </c>
      <c r="R106" s="9" t="s">
        <v>59</v>
      </c>
      <c r="S106" s="9" t="s">
        <v>578</v>
      </c>
      <c r="T106" s="10" t="s">
        <v>579</v>
      </c>
      <c r="U106" s="10" t="s">
        <v>580</v>
      </c>
      <c r="V106" s="9" t="n">
        <f aca="false">IF(AND($O106="Active",$C106="",$D106="",$E106="",$F106&lt;&gt;"文字"),1,0)</f>
        <v>0</v>
      </c>
      <c r="W106" s="9" t="n">
        <f aca="false">IF(AND($O106="Active",OR($J106="",$J106="—")),1,0)</f>
        <v>0</v>
      </c>
      <c r="X106" s="9" t="n">
        <f aca="false">IF(AND(ISNUMBER($C106),ISNUMBER($D106),ISNUMBER($E106)),IF(AND($D106&lt;=$C106,$C106&lt;=$E106),0,1),0)</f>
        <v>0</v>
      </c>
      <c r="Y106" s="12" t="s">
        <v>69</v>
      </c>
    </row>
    <row r="107" customFormat="false" ht="15" hidden="false" customHeight="false" outlineLevel="0" collapsed="false">
      <c r="A107" s="9" t="s">
        <v>598</v>
      </c>
      <c r="B107" s="10" t="s">
        <v>599</v>
      </c>
      <c r="C107" s="11" t="n">
        <v>15</v>
      </c>
      <c r="D107" s="9"/>
      <c r="E107" s="9"/>
      <c r="F107" s="9" t="s">
        <v>56</v>
      </c>
      <c r="G107" s="9" t="s">
        <v>600</v>
      </c>
      <c r="H107" s="9" t="s">
        <v>58</v>
      </c>
      <c r="I107" s="9" t="s">
        <v>443</v>
      </c>
      <c r="J107" s="9" t="s">
        <v>601</v>
      </c>
      <c r="K107" s="9" t="s">
        <v>61</v>
      </c>
      <c r="L107" s="10" t="s">
        <v>62</v>
      </c>
      <c r="M107" s="10" t="s">
        <v>75</v>
      </c>
      <c r="N107" s="10" t="s">
        <v>89</v>
      </c>
      <c r="O107" s="9" t="s">
        <v>65</v>
      </c>
      <c r="P107" s="9" t="s">
        <v>59</v>
      </c>
      <c r="Q107" s="9" t="s">
        <v>66</v>
      </c>
      <c r="R107" s="9" t="s">
        <v>59</v>
      </c>
      <c r="S107" s="9" t="s">
        <v>602</v>
      </c>
      <c r="T107" s="9" t="s">
        <v>603</v>
      </c>
      <c r="U107" s="9"/>
      <c r="V107" s="9" t="n">
        <f aca="false">IF(AND($O107="Active",$C107="",$D107="",$E107="",$F107&lt;&gt;"文字"),1,0)</f>
        <v>0</v>
      </c>
      <c r="W107" s="9" t="n">
        <f aca="false">IF(AND($O107="Active",OR($J107="",$J107="—")),1,0)</f>
        <v>0</v>
      </c>
      <c r="X107" s="9" t="n">
        <f aca="false">IF(AND(ISNUMBER($C107),ISNUMBER($D107),ISNUMBER($E107)),IF(AND($D107&lt;=$C107,$C107&lt;=$E107),0,1),0)</f>
        <v>0</v>
      </c>
      <c r="Y107" s="12" t="s">
        <v>69</v>
      </c>
    </row>
    <row r="108" customFormat="false" ht="15" hidden="false" customHeight="false" outlineLevel="0" collapsed="false">
      <c r="A108" s="9" t="s">
        <v>604</v>
      </c>
      <c r="B108" s="10" t="s">
        <v>605</v>
      </c>
      <c r="C108" s="11" t="n">
        <v>30</v>
      </c>
      <c r="D108" s="9"/>
      <c r="E108" s="9"/>
      <c r="F108" s="9" t="s">
        <v>56</v>
      </c>
      <c r="G108" s="9" t="s">
        <v>600</v>
      </c>
      <c r="H108" s="9" t="s">
        <v>58</v>
      </c>
      <c r="I108" s="9" t="s">
        <v>443</v>
      </c>
      <c r="J108" s="9" t="s">
        <v>601</v>
      </c>
      <c r="K108" s="9" t="s">
        <v>61</v>
      </c>
      <c r="L108" s="10" t="s">
        <v>62</v>
      </c>
      <c r="M108" s="10" t="s">
        <v>75</v>
      </c>
      <c r="N108" s="10" t="s">
        <v>89</v>
      </c>
      <c r="O108" s="9" t="s">
        <v>65</v>
      </c>
      <c r="P108" s="9" t="s">
        <v>59</v>
      </c>
      <c r="Q108" s="9" t="s">
        <v>66</v>
      </c>
      <c r="R108" s="9" t="s">
        <v>59</v>
      </c>
      <c r="S108" s="9" t="s">
        <v>602</v>
      </c>
      <c r="T108" s="9" t="s">
        <v>603</v>
      </c>
      <c r="U108" s="9"/>
      <c r="V108" s="9" t="n">
        <f aca="false">IF(AND($O108="Active",$C108="",$D108="",$E108="",$F108&lt;&gt;"文字"),1,0)</f>
        <v>0</v>
      </c>
      <c r="W108" s="9" t="n">
        <f aca="false">IF(AND($O108="Active",OR($J108="",$J108="—")),1,0)</f>
        <v>0</v>
      </c>
      <c r="X108" s="9" t="n">
        <f aca="false">IF(AND(ISNUMBER($C108),ISNUMBER($D108),ISNUMBER($E108)),IF(AND($D108&lt;=$C108,$C108&lt;=$E108),0,1),0)</f>
        <v>0</v>
      </c>
      <c r="Y108" s="12" t="s">
        <v>69</v>
      </c>
    </row>
    <row r="109" customFormat="false" ht="15" hidden="false" customHeight="false" outlineLevel="0" collapsed="false">
      <c r="A109" s="9" t="s">
        <v>606</v>
      </c>
      <c r="B109" s="10" t="s">
        <v>607</v>
      </c>
      <c r="C109" s="11" t="n">
        <v>30</v>
      </c>
      <c r="D109" s="9"/>
      <c r="E109" s="9"/>
      <c r="F109" s="9" t="s">
        <v>56</v>
      </c>
      <c r="G109" s="9" t="s">
        <v>608</v>
      </c>
      <c r="H109" s="9" t="s">
        <v>58</v>
      </c>
      <c r="I109" s="9" t="s">
        <v>443</v>
      </c>
      <c r="J109" s="9" t="s">
        <v>601</v>
      </c>
      <c r="K109" s="9" t="s">
        <v>61</v>
      </c>
      <c r="L109" s="10" t="s">
        <v>62</v>
      </c>
      <c r="M109" s="10" t="s">
        <v>75</v>
      </c>
      <c r="N109" s="10" t="s">
        <v>89</v>
      </c>
      <c r="O109" s="9" t="s">
        <v>65</v>
      </c>
      <c r="P109" s="9" t="s">
        <v>59</v>
      </c>
      <c r="Q109" s="9" t="s">
        <v>66</v>
      </c>
      <c r="R109" s="9" t="s">
        <v>59</v>
      </c>
      <c r="S109" s="9" t="s">
        <v>602</v>
      </c>
      <c r="T109" s="9" t="s">
        <v>603</v>
      </c>
      <c r="U109" s="9"/>
      <c r="V109" s="9" t="n">
        <f aca="false">IF(AND($O109="Active",$C109="",$D109="",$E109="",$F109&lt;&gt;"文字"),1,0)</f>
        <v>0</v>
      </c>
      <c r="W109" s="9" t="n">
        <f aca="false">IF(AND($O109="Active",OR($J109="",$J109="—")),1,0)</f>
        <v>0</v>
      </c>
      <c r="X109" s="9" t="n">
        <f aca="false">IF(AND(ISNUMBER($C109),ISNUMBER($D109),ISNUMBER($E109)),IF(AND($D109&lt;=$C109,$C109&lt;=$E109),0,1),0)</f>
        <v>0</v>
      </c>
      <c r="Y109" s="12" t="s">
        <v>69</v>
      </c>
    </row>
    <row r="110" customFormat="false" ht="15" hidden="false" customHeight="false" outlineLevel="0" collapsed="false">
      <c r="A110" s="9" t="s">
        <v>609</v>
      </c>
      <c r="B110" s="10" t="s">
        <v>610</v>
      </c>
      <c r="C110" s="11" t="n">
        <v>12</v>
      </c>
      <c r="D110" s="9"/>
      <c r="E110" s="9"/>
      <c r="F110" s="9" t="s">
        <v>56</v>
      </c>
      <c r="G110" s="9" t="s">
        <v>611</v>
      </c>
      <c r="H110" s="9" t="s">
        <v>58</v>
      </c>
      <c r="I110" s="9" t="s">
        <v>443</v>
      </c>
      <c r="J110" s="9" t="s">
        <v>601</v>
      </c>
      <c r="K110" s="9" t="s">
        <v>61</v>
      </c>
      <c r="L110" s="10" t="s">
        <v>62</v>
      </c>
      <c r="M110" s="10" t="s">
        <v>75</v>
      </c>
      <c r="N110" s="10" t="s">
        <v>89</v>
      </c>
      <c r="O110" s="9" t="s">
        <v>65</v>
      </c>
      <c r="P110" s="9" t="s">
        <v>59</v>
      </c>
      <c r="Q110" s="9" t="s">
        <v>66</v>
      </c>
      <c r="R110" s="9" t="s">
        <v>59</v>
      </c>
      <c r="S110" s="9" t="s">
        <v>602</v>
      </c>
      <c r="T110" s="9" t="s">
        <v>603</v>
      </c>
      <c r="U110" s="9"/>
      <c r="V110" s="9" t="n">
        <f aca="false">IF(AND($O110="Active",$C110="",$D110="",$E110="",$F110&lt;&gt;"文字"),1,0)</f>
        <v>0</v>
      </c>
      <c r="W110" s="9" t="n">
        <f aca="false">IF(AND($O110="Active",OR($J110="",$J110="—")),1,0)</f>
        <v>0</v>
      </c>
      <c r="X110" s="9" t="n">
        <f aca="false">IF(AND(ISNUMBER($C110),ISNUMBER($D110),ISNUMBER($E110)),IF(AND($D110&lt;=$C110,$C110&lt;=$E110),0,1),0)</f>
        <v>0</v>
      </c>
      <c r="Y110" s="12" t="s">
        <v>69</v>
      </c>
    </row>
    <row r="111" customFormat="false" ht="15" hidden="false" customHeight="false" outlineLevel="0" collapsed="false">
      <c r="A111" s="9" t="s">
        <v>612</v>
      </c>
      <c r="B111" s="9" t="s">
        <v>613</v>
      </c>
      <c r="C111" s="11" t="n">
        <v>5</v>
      </c>
      <c r="D111" s="9"/>
      <c r="E111" s="9"/>
      <c r="F111" s="9" t="s">
        <v>153</v>
      </c>
      <c r="G111" s="9" t="s">
        <v>614</v>
      </c>
      <c r="H111" s="9" t="s">
        <v>58</v>
      </c>
      <c r="I111" s="9" t="s">
        <v>199</v>
      </c>
      <c r="J111" s="9" t="s">
        <v>200</v>
      </c>
      <c r="K111" s="9" t="s">
        <v>61</v>
      </c>
      <c r="L111" s="10" t="s">
        <v>62</v>
      </c>
      <c r="M111" s="10" t="s">
        <v>157</v>
      </c>
      <c r="N111" s="10" t="s">
        <v>119</v>
      </c>
      <c r="O111" s="9" t="s">
        <v>65</v>
      </c>
      <c r="P111" s="9" t="s">
        <v>59</v>
      </c>
      <c r="Q111" s="9" t="s">
        <v>144</v>
      </c>
      <c r="R111" s="9" t="s">
        <v>59</v>
      </c>
      <c r="S111" s="9" t="s">
        <v>615</v>
      </c>
      <c r="T111" s="9" t="s">
        <v>616</v>
      </c>
      <c r="U111" s="10" t="s">
        <v>617</v>
      </c>
      <c r="V111" s="9" t="n">
        <f aca="false">IF(AND($O111="Active",$C111="",$D111="",$E111="",$F111&lt;&gt;"文字"),1,0)</f>
        <v>0</v>
      </c>
      <c r="W111" s="9" t="n">
        <f aca="false">IF(AND($O111="Active",OR($J111="",$J111="—")),1,0)</f>
        <v>0</v>
      </c>
      <c r="X111" s="9" t="n">
        <f aca="false">IF(AND(ISNUMBER($C111),ISNUMBER($D111),ISNUMBER($E111)),IF(AND($D111&lt;=$C111,$C111&lt;=$E111),0,1),0)</f>
        <v>0</v>
      </c>
      <c r="Y111" s="12" t="s">
        <v>69</v>
      </c>
    </row>
    <row r="112" customFormat="false" ht="15" hidden="false" customHeight="false" outlineLevel="0" collapsed="false">
      <c r="A112" s="9" t="s">
        <v>618</v>
      </c>
      <c r="B112" s="9" t="s">
        <v>619</v>
      </c>
      <c r="C112" s="11" t="n">
        <v>30</v>
      </c>
      <c r="D112" s="9"/>
      <c r="E112" s="9"/>
      <c r="F112" s="9" t="s">
        <v>153</v>
      </c>
      <c r="G112" s="9" t="s">
        <v>620</v>
      </c>
      <c r="H112" s="9" t="s">
        <v>58</v>
      </c>
      <c r="I112" s="9" t="s">
        <v>199</v>
      </c>
      <c r="J112" s="9" t="s">
        <v>200</v>
      </c>
      <c r="K112" s="9" t="s">
        <v>61</v>
      </c>
      <c r="L112" s="10" t="s">
        <v>62</v>
      </c>
      <c r="M112" s="10" t="s">
        <v>157</v>
      </c>
      <c r="N112" s="10" t="s">
        <v>119</v>
      </c>
      <c r="O112" s="9" t="s">
        <v>65</v>
      </c>
      <c r="P112" s="9" t="s">
        <v>59</v>
      </c>
      <c r="Q112" s="9" t="s">
        <v>144</v>
      </c>
      <c r="R112" s="9" t="s">
        <v>59</v>
      </c>
      <c r="S112" s="9" t="s">
        <v>615</v>
      </c>
      <c r="T112" s="9" t="s">
        <v>616</v>
      </c>
      <c r="U112" s="10" t="s">
        <v>617</v>
      </c>
      <c r="V112" s="9" t="n">
        <f aca="false">IF(AND($O112="Active",$C112="",$D112="",$E112="",$F112&lt;&gt;"文字"),1,0)</f>
        <v>0</v>
      </c>
      <c r="W112" s="9" t="n">
        <f aca="false">IF(AND($O112="Active",OR($J112="",$J112="—")),1,0)</f>
        <v>0</v>
      </c>
      <c r="X112" s="9" t="n">
        <f aca="false">IF(AND(ISNUMBER($C112),ISNUMBER($D112),ISNUMBER($E112)),IF(AND($D112&lt;=$C112,$C112&lt;=$E112),0,1),0)</f>
        <v>0</v>
      </c>
      <c r="Y112" s="12" t="s">
        <v>69</v>
      </c>
    </row>
    <row r="113" customFormat="false" ht="15" hidden="false" customHeight="false" outlineLevel="0" collapsed="false">
      <c r="A113" s="9" t="s">
        <v>621</v>
      </c>
      <c r="B113" s="9" t="s">
        <v>622</v>
      </c>
      <c r="C113" s="11" t="n">
        <v>2.5</v>
      </c>
      <c r="D113" s="9"/>
      <c r="E113" s="9"/>
      <c r="F113" s="9" t="s">
        <v>153</v>
      </c>
      <c r="G113" s="9" t="s">
        <v>623</v>
      </c>
      <c r="H113" s="9" t="s">
        <v>58</v>
      </c>
      <c r="I113" s="9" t="s">
        <v>199</v>
      </c>
      <c r="J113" s="9" t="s">
        <v>200</v>
      </c>
      <c r="K113" s="9" t="s">
        <v>61</v>
      </c>
      <c r="L113" s="10" t="s">
        <v>62</v>
      </c>
      <c r="M113" s="10" t="s">
        <v>157</v>
      </c>
      <c r="N113" s="10" t="s">
        <v>119</v>
      </c>
      <c r="O113" s="9" t="s">
        <v>65</v>
      </c>
      <c r="P113" s="9" t="s">
        <v>59</v>
      </c>
      <c r="Q113" s="9" t="s">
        <v>144</v>
      </c>
      <c r="R113" s="9" t="s">
        <v>59</v>
      </c>
      <c r="S113" s="9" t="s">
        <v>615</v>
      </c>
      <c r="T113" s="9" t="s">
        <v>616</v>
      </c>
      <c r="U113" s="10" t="s">
        <v>617</v>
      </c>
      <c r="V113" s="9" t="n">
        <f aca="false">IF(AND($O113="Active",$C113="",$D113="",$E113="",$F113&lt;&gt;"文字"),1,0)</f>
        <v>0</v>
      </c>
      <c r="W113" s="9" t="n">
        <f aca="false">IF(AND($O113="Active",OR($J113="",$J113="—")),1,0)</f>
        <v>0</v>
      </c>
      <c r="X113" s="9" t="n">
        <f aca="false">IF(AND(ISNUMBER($C113),ISNUMBER($D113),ISNUMBER($E113)),IF(AND($D113&lt;=$C113,$C113&lt;=$E113),0,1),0)</f>
        <v>0</v>
      </c>
      <c r="Y113" s="12" t="s">
        <v>69</v>
      </c>
    </row>
    <row r="114" customFormat="false" ht="15" hidden="false" customHeight="false" outlineLevel="0" collapsed="false">
      <c r="A114" s="9" t="s">
        <v>624</v>
      </c>
      <c r="B114" s="9" t="s">
        <v>625</v>
      </c>
      <c r="C114" s="11" t="n">
        <v>15</v>
      </c>
      <c r="D114" s="9"/>
      <c r="E114" s="9"/>
      <c r="F114" s="9" t="s">
        <v>153</v>
      </c>
      <c r="G114" s="9" t="s">
        <v>626</v>
      </c>
      <c r="H114" s="9" t="s">
        <v>58</v>
      </c>
      <c r="I114" s="9" t="s">
        <v>199</v>
      </c>
      <c r="J114" s="9" t="s">
        <v>200</v>
      </c>
      <c r="K114" s="9" t="s">
        <v>61</v>
      </c>
      <c r="L114" s="10" t="s">
        <v>62</v>
      </c>
      <c r="M114" s="10" t="s">
        <v>157</v>
      </c>
      <c r="N114" s="10" t="s">
        <v>119</v>
      </c>
      <c r="O114" s="9" t="s">
        <v>65</v>
      </c>
      <c r="P114" s="9" t="s">
        <v>59</v>
      </c>
      <c r="Q114" s="9" t="s">
        <v>144</v>
      </c>
      <c r="R114" s="9" t="s">
        <v>59</v>
      </c>
      <c r="S114" s="9" t="s">
        <v>615</v>
      </c>
      <c r="T114" s="9" t="s">
        <v>616</v>
      </c>
      <c r="U114" s="10" t="s">
        <v>617</v>
      </c>
      <c r="V114" s="9" t="n">
        <f aca="false">IF(AND($O114="Active",$C114="",$D114="",$E114="",$F114&lt;&gt;"文字"),1,0)</f>
        <v>0</v>
      </c>
      <c r="W114" s="9" t="n">
        <f aca="false">IF(AND($O114="Active",OR($J114="",$J114="—")),1,0)</f>
        <v>0</v>
      </c>
      <c r="X114" s="9" t="n">
        <f aca="false">IF(AND(ISNUMBER($C114),ISNUMBER($D114),ISNUMBER($E114)),IF(AND($D114&lt;=$C114,$C114&lt;=$E114),0,1),0)</f>
        <v>0</v>
      </c>
      <c r="Y114" s="12" t="s">
        <v>69</v>
      </c>
    </row>
    <row r="115" customFormat="false" ht="15" hidden="false" customHeight="false" outlineLevel="0" collapsed="false">
      <c r="A115" s="9" t="s">
        <v>627</v>
      </c>
      <c r="B115" s="9" t="s">
        <v>628</v>
      </c>
      <c r="C115" s="11" t="n">
        <v>1</v>
      </c>
      <c r="D115" s="9"/>
      <c r="E115" s="9"/>
      <c r="F115" s="9" t="s">
        <v>153</v>
      </c>
      <c r="G115" s="9" t="s">
        <v>629</v>
      </c>
      <c r="H115" s="9" t="s">
        <v>58</v>
      </c>
      <c r="I115" s="9" t="s">
        <v>199</v>
      </c>
      <c r="J115" s="9" t="s">
        <v>200</v>
      </c>
      <c r="K115" s="9" t="s">
        <v>61</v>
      </c>
      <c r="L115" s="10" t="s">
        <v>62</v>
      </c>
      <c r="M115" s="10" t="s">
        <v>157</v>
      </c>
      <c r="N115" s="10" t="s">
        <v>119</v>
      </c>
      <c r="O115" s="9" t="s">
        <v>65</v>
      </c>
      <c r="P115" s="9" t="s">
        <v>59</v>
      </c>
      <c r="Q115" s="9" t="s">
        <v>144</v>
      </c>
      <c r="R115" s="9" t="s">
        <v>59</v>
      </c>
      <c r="S115" s="9" t="s">
        <v>615</v>
      </c>
      <c r="T115" s="9" t="s">
        <v>616</v>
      </c>
      <c r="U115" s="10" t="s">
        <v>617</v>
      </c>
      <c r="V115" s="9" t="n">
        <f aca="false">IF(AND($O115="Active",$C115="",$D115="",$E115="",$F115&lt;&gt;"文字"),1,0)</f>
        <v>0</v>
      </c>
      <c r="W115" s="9" t="n">
        <f aca="false">IF(AND($O115="Active",OR($J115="",$J115="—")),1,0)</f>
        <v>0</v>
      </c>
      <c r="X115" s="9" t="n">
        <f aca="false">IF(AND(ISNUMBER($C115),ISNUMBER($D115),ISNUMBER($E115)),IF(AND($D115&lt;=$C115,$C115&lt;=$E115),0,1),0)</f>
        <v>0</v>
      </c>
      <c r="Y115" s="12" t="s">
        <v>69</v>
      </c>
    </row>
    <row r="116" customFormat="false" ht="15" hidden="false" customHeight="false" outlineLevel="0" collapsed="false">
      <c r="A116" s="9" t="s">
        <v>630</v>
      </c>
      <c r="B116" s="9" t="s">
        <v>631</v>
      </c>
      <c r="C116" s="11" t="n">
        <v>6</v>
      </c>
      <c r="D116" s="9"/>
      <c r="E116" s="9"/>
      <c r="F116" s="9" t="s">
        <v>153</v>
      </c>
      <c r="G116" s="9" t="s">
        <v>632</v>
      </c>
      <c r="H116" s="9" t="s">
        <v>58</v>
      </c>
      <c r="I116" s="9" t="s">
        <v>199</v>
      </c>
      <c r="J116" s="9" t="s">
        <v>200</v>
      </c>
      <c r="K116" s="9" t="s">
        <v>61</v>
      </c>
      <c r="L116" s="10" t="s">
        <v>62</v>
      </c>
      <c r="M116" s="10" t="s">
        <v>157</v>
      </c>
      <c r="N116" s="10" t="s">
        <v>119</v>
      </c>
      <c r="O116" s="9" t="s">
        <v>65</v>
      </c>
      <c r="P116" s="9" t="s">
        <v>59</v>
      </c>
      <c r="Q116" s="9" t="s">
        <v>144</v>
      </c>
      <c r="R116" s="9" t="s">
        <v>59</v>
      </c>
      <c r="S116" s="9" t="s">
        <v>615</v>
      </c>
      <c r="T116" s="9" t="s">
        <v>616</v>
      </c>
      <c r="U116" s="10" t="s">
        <v>617</v>
      </c>
      <c r="V116" s="9" t="n">
        <f aca="false">IF(AND($O116="Active",$C116="",$D116="",$E116="",$F116&lt;&gt;"文字"),1,0)</f>
        <v>0</v>
      </c>
      <c r="W116" s="9" t="n">
        <f aca="false">IF(AND($O116="Active",OR($J116="",$J116="—")),1,0)</f>
        <v>0</v>
      </c>
      <c r="X116" s="9" t="n">
        <f aca="false">IF(AND(ISNUMBER($C116),ISNUMBER($D116),ISNUMBER($E116)),IF(AND($D116&lt;=$C116,$C116&lt;=$E116),0,1),0)</f>
        <v>0</v>
      </c>
      <c r="Y116" s="12" t="s">
        <v>69</v>
      </c>
    </row>
    <row r="117" customFormat="false" ht="15" hidden="false" customHeight="false" outlineLevel="0" collapsed="false">
      <c r="A117" s="9" t="s">
        <v>633</v>
      </c>
      <c r="B117" s="9" t="s">
        <v>634</v>
      </c>
      <c r="C117" s="11" t="n">
        <v>2</v>
      </c>
      <c r="D117" s="9"/>
      <c r="E117" s="9"/>
      <c r="F117" s="9" t="s">
        <v>153</v>
      </c>
      <c r="G117" s="9" t="s">
        <v>635</v>
      </c>
      <c r="H117" s="9" t="s">
        <v>58</v>
      </c>
      <c r="I117" s="9" t="s">
        <v>206</v>
      </c>
      <c r="J117" s="9" t="s">
        <v>200</v>
      </c>
      <c r="K117" s="9" t="s">
        <v>61</v>
      </c>
      <c r="L117" s="10" t="s">
        <v>62</v>
      </c>
      <c r="M117" s="10" t="s">
        <v>157</v>
      </c>
      <c r="N117" s="10" t="s">
        <v>119</v>
      </c>
      <c r="O117" s="9" t="s">
        <v>65</v>
      </c>
      <c r="P117" s="9" t="s">
        <v>59</v>
      </c>
      <c r="Q117" s="9" t="s">
        <v>144</v>
      </c>
      <c r="R117" s="9" t="s">
        <v>59</v>
      </c>
      <c r="S117" s="9" t="s">
        <v>615</v>
      </c>
      <c r="T117" s="9" t="s">
        <v>616</v>
      </c>
      <c r="U117" s="10" t="s">
        <v>617</v>
      </c>
      <c r="V117" s="9" t="n">
        <f aca="false">IF(AND($O117="Active",$C117="",$D117="",$E117="",$F117&lt;&gt;"文字"),1,0)</f>
        <v>0</v>
      </c>
      <c r="W117" s="9" t="n">
        <f aca="false">IF(AND($O117="Active",OR($J117="",$J117="—")),1,0)</f>
        <v>0</v>
      </c>
      <c r="X117" s="9" t="n">
        <f aca="false">IF(AND(ISNUMBER($C117),ISNUMBER($D117),ISNUMBER($E117)),IF(AND($D117&lt;=$C117,$C117&lt;=$E117),0,1),0)</f>
        <v>0</v>
      </c>
      <c r="Y117" s="12" t="s">
        <v>69</v>
      </c>
    </row>
    <row r="118" customFormat="false" ht="15" hidden="false" customHeight="false" outlineLevel="0" collapsed="false">
      <c r="A118" s="9" t="s">
        <v>636</v>
      </c>
      <c r="B118" s="9" t="s">
        <v>637</v>
      </c>
      <c r="C118" s="11" t="n">
        <v>12</v>
      </c>
      <c r="D118" s="9"/>
      <c r="E118" s="9"/>
      <c r="F118" s="9" t="s">
        <v>153</v>
      </c>
      <c r="G118" s="9" t="s">
        <v>638</v>
      </c>
      <c r="H118" s="9" t="s">
        <v>58</v>
      </c>
      <c r="I118" s="9" t="s">
        <v>206</v>
      </c>
      <c r="J118" s="9" t="s">
        <v>200</v>
      </c>
      <c r="K118" s="9" t="s">
        <v>61</v>
      </c>
      <c r="L118" s="10" t="s">
        <v>62</v>
      </c>
      <c r="M118" s="10" t="s">
        <v>157</v>
      </c>
      <c r="N118" s="10" t="s">
        <v>119</v>
      </c>
      <c r="O118" s="9" t="s">
        <v>65</v>
      </c>
      <c r="P118" s="9" t="s">
        <v>59</v>
      </c>
      <c r="Q118" s="9" t="s">
        <v>144</v>
      </c>
      <c r="R118" s="9" t="s">
        <v>59</v>
      </c>
      <c r="S118" s="9" t="s">
        <v>615</v>
      </c>
      <c r="T118" s="9" t="s">
        <v>616</v>
      </c>
      <c r="U118" s="10" t="s">
        <v>617</v>
      </c>
      <c r="V118" s="9" t="n">
        <f aca="false">IF(AND($O118="Active",$C118="",$D118="",$E118="",$F118&lt;&gt;"文字"),1,0)</f>
        <v>0</v>
      </c>
      <c r="W118" s="9" t="n">
        <f aca="false">IF(AND($O118="Active",OR($J118="",$J118="—")),1,0)</f>
        <v>0</v>
      </c>
      <c r="X118" s="9" t="n">
        <f aca="false">IF(AND(ISNUMBER($C118),ISNUMBER($D118),ISNUMBER($E118)),IF(AND($D118&lt;=$C118,$C118&lt;=$E118),0,1),0)</f>
        <v>0</v>
      </c>
      <c r="Y118" s="12" t="s">
        <v>69</v>
      </c>
    </row>
    <row r="119" customFormat="false" ht="15" hidden="false" customHeight="false" outlineLevel="0" collapsed="false">
      <c r="A119" s="9" t="s">
        <v>639</v>
      </c>
      <c r="B119" s="9" t="s">
        <v>640</v>
      </c>
      <c r="C119" s="11" t="n">
        <v>0.2</v>
      </c>
      <c r="D119" s="9"/>
      <c r="E119" s="9"/>
      <c r="F119" s="9" t="s">
        <v>153</v>
      </c>
      <c r="G119" s="9" t="s">
        <v>641</v>
      </c>
      <c r="H119" s="9" t="s">
        <v>58</v>
      </c>
      <c r="I119" s="9" t="s">
        <v>206</v>
      </c>
      <c r="J119" s="9" t="s">
        <v>200</v>
      </c>
      <c r="K119" s="9" t="s">
        <v>61</v>
      </c>
      <c r="L119" s="10" t="s">
        <v>62</v>
      </c>
      <c r="M119" s="10" t="s">
        <v>157</v>
      </c>
      <c r="N119" s="10" t="s">
        <v>119</v>
      </c>
      <c r="O119" s="9" t="s">
        <v>65</v>
      </c>
      <c r="P119" s="9" t="s">
        <v>59</v>
      </c>
      <c r="Q119" s="9" t="s">
        <v>144</v>
      </c>
      <c r="R119" s="9" t="s">
        <v>59</v>
      </c>
      <c r="S119" s="9" t="s">
        <v>615</v>
      </c>
      <c r="T119" s="9" t="s">
        <v>616</v>
      </c>
      <c r="U119" s="10" t="s">
        <v>617</v>
      </c>
      <c r="V119" s="9" t="n">
        <f aca="false">IF(AND($O119="Active",$C119="",$D119="",$E119="",$F119&lt;&gt;"文字"),1,0)</f>
        <v>0</v>
      </c>
      <c r="W119" s="9" t="n">
        <f aca="false">IF(AND($O119="Active",OR($J119="",$J119="—")),1,0)</f>
        <v>0</v>
      </c>
      <c r="X119" s="9" t="n">
        <f aca="false">IF(AND(ISNUMBER($C119),ISNUMBER($D119),ISNUMBER($E119)),IF(AND($D119&lt;=$C119,$C119&lt;=$E119),0,1),0)</f>
        <v>0</v>
      </c>
      <c r="Y119" s="12" t="s">
        <v>69</v>
      </c>
    </row>
    <row r="120" customFormat="false" ht="15" hidden="false" customHeight="false" outlineLevel="0" collapsed="false">
      <c r="A120" s="9" t="s">
        <v>642</v>
      </c>
      <c r="B120" s="9" t="s">
        <v>643</v>
      </c>
      <c r="C120" s="11" t="n">
        <v>1.2</v>
      </c>
      <c r="D120" s="9"/>
      <c r="E120" s="9"/>
      <c r="F120" s="9" t="s">
        <v>153</v>
      </c>
      <c r="G120" s="9" t="s">
        <v>644</v>
      </c>
      <c r="H120" s="9" t="s">
        <v>58</v>
      </c>
      <c r="I120" s="9" t="s">
        <v>206</v>
      </c>
      <c r="J120" s="9" t="s">
        <v>200</v>
      </c>
      <c r="K120" s="9" t="s">
        <v>61</v>
      </c>
      <c r="L120" s="10" t="s">
        <v>62</v>
      </c>
      <c r="M120" s="10" t="s">
        <v>157</v>
      </c>
      <c r="N120" s="10" t="s">
        <v>119</v>
      </c>
      <c r="O120" s="9" t="s">
        <v>65</v>
      </c>
      <c r="P120" s="9" t="s">
        <v>59</v>
      </c>
      <c r="Q120" s="9" t="s">
        <v>144</v>
      </c>
      <c r="R120" s="9" t="s">
        <v>59</v>
      </c>
      <c r="S120" s="9" t="s">
        <v>615</v>
      </c>
      <c r="T120" s="9" t="s">
        <v>616</v>
      </c>
      <c r="U120" s="10" t="s">
        <v>617</v>
      </c>
      <c r="V120" s="9" t="n">
        <f aca="false">IF(AND($O120="Active",$C120="",$D120="",$E120="",$F120&lt;&gt;"文字"),1,0)</f>
        <v>0</v>
      </c>
      <c r="W120" s="9" t="n">
        <f aca="false">IF(AND($O120="Active",OR($J120="",$J120="—")),1,0)</f>
        <v>0</v>
      </c>
      <c r="X120" s="9" t="n">
        <f aca="false">IF(AND(ISNUMBER($C120),ISNUMBER($D120),ISNUMBER($E120)),IF(AND($D120&lt;=$C120,$C120&lt;=$E120),0,1),0)</f>
        <v>0</v>
      </c>
      <c r="Y120" s="12" t="s">
        <v>69</v>
      </c>
    </row>
    <row r="121" customFormat="false" ht="15" hidden="false" customHeight="false" outlineLevel="0" collapsed="false">
      <c r="A121" s="9" t="s">
        <v>645</v>
      </c>
      <c r="B121" s="9" t="s">
        <v>646</v>
      </c>
      <c r="C121" s="11" t="n">
        <v>4</v>
      </c>
      <c r="D121" s="9"/>
      <c r="E121" s="9"/>
      <c r="F121" s="9" t="s">
        <v>153</v>
      </c>
      <c r="G121" s="9" t="s">
        <v>647</v>
      </c>
      <c r="H121" s="9" t="s">
        <v>58</v>
      </c>
      <c r="I121" s="9" t="s">
        <v>210</v>
      </c>
      <c r="J121" s="9" t="s">
        <v>200</v>
      </c>
      <c r="K121" s="9" t="s">
        <v>61</v>
      </c>
      <c r="L121" s="10" t="s">
        <v>62</v>
      </c>
      <c r="M121" s="10" t="s">
        <v>157</v>
      </c>
      <c r="N121" s="10" t="s">
        <v>119</v>
      </c>
      <c r="O121" s="9" t="s">
        <v>65</v>
      </c>
      <c r="P121" s="9" t="s">
        <v>59</v>
      </c>
      <c r="Q121" s="9" t="s">
        <v>144</v>
      </c>
      <c r="R121" s="9" t="s">
        <v>59</v>
      </c>
      <c r="S121" s="9" t="s">
        <v>615</v>
      </c>
      <c r="T121" s="9" t="s">
        <v>616</v>
      </c>
      <c r="U121" s="10" t="s">
        <v>617</v>
      </c>
      <c r="V121" s="9" t="n">
        <f aca="false">IF(AND($O121="Active",$C121="",$D121="",$E121="",$F121&lt;&gt;"文字"),1,0)</f>
        <v>0</v>
      </c>
      <c r="W121" s="9" t="n">
        <f aca="false">IF(AND($O121="Active",OR($J121="",$J121="—")),1,0)</f>
        <v>0</v>
      </c>
      <c r="X121" s="9" t="n">
        <f aca="false">IF(AND(ISNUMBER($C121),ISNUMBER($D121),ISNUMBER($E121)),IF(AND($D121&lt;=$C121,$C121&lt;=$E121),0,1),0)</f>
        <v>0</v>
      </c>
      <c r="Y121" s="12" t="s">
        <v>69</v>
      </c>
    </row>
    <row r="122" customFormat="false" ht="15" hidden="false" customHeight="false" outlineLevel="0" collapsed="false">
      <c r="A122" s="9" t="s">
        <v>648</v>
      </c>
      <c r="B122" s="9" t="s">
        <v>649</v>
      </c>
      <c r="C122" s="11" t="n">
        <v>20</v>
      </c>
      <c r="D122" s="9"/>
      <c r="E122" s="9"/>
      <c r="F122" s="9" t="s">
        <v>153</v>
      </c>
      <c r="G122" s="9" t="s">
        <v>650</v>
      </c>
      <c r="H122" s="9" t="s">
        <v>58</v>
      </c>
      <c r="I122" s="9" t="s">
        <v>210</v>
      </c>
      <c r="J122" s="9" t="s">
        <v>200</v>
      </c>
      <c r="K122" s="9" t="s">
        <v>61</v>
      </c>
      <c r="L122" s="10" t="s">
        <v>62</v>
      </c>
      <c r="M122" s="10" t="s">
        <v>157</v>
      </c>
      <c r="N122" s="10" t="s">
        <v>119</v>
      </c>
      <c r="O122" s="9" t="s">
        <v>65</v>
      </c>
      <c r="P122" s="9" t="s">
        <v>59</v>
      </c>
      <c r="Q122" s="9" t="s">
        <v>144</v>
      </c>
      <c r="R122" s="9" t="s">
        <v>59</v>
      </c>
      <c r="S122" s="9" t="s">
        <v>615</v>
      </c>
      <c r="T122" s="9" t="s">
        <v>616</v>
      </c>
      <c r="U122" s="10" t="s">
        <v>617</v>
      </c>
      <c r="V122" s="9" t="n">
        <f aca="false">IF(AND($O122="Active",$C122="",$D122="",$E122="",$F122&lt;&gt;"文字"),1,0)</f>
        <v>0</v>
      </c>
      <c r="W122" s="9" t="n">
        <f aca="false">IF(AND($O122="Active",OR($J122="",$J122="—")),1,0)</f>
        <v>0</v>
      </c>
      <c r="X122" s="9" t="n">
        <f aca="false">IF(AND(ISNUMBER($C122),ISNUMBER($D122),ISNUMBER($E122)),IF(AND($D122&lt;=$C122,$C122&lt;=$E122),0,1),0)</f>
        <v>0</v>
      </c>
      <c r="Y122" s="12" t="s">
        <v>69</v>
      </c>
    </row>
    <row r="123" customFormat="false" ht="15" hidden="false" customHeight="false" outlineLevel="0" collapsed="false">
      <c r="A123" s="9" t="s">
        <v>651</v>
      </c>
      <c r="B123" s="9" t="s">
        <v>652</v>
      </c>
      <c r="C123" s="11" t="n">
        <v>46233</v>
      </c>
      <c r="D123" s="9"/>
      <c r="E123" s="9"/>
      <c r="F123" s="10" t="s">
        <v>653</v>
      </c>
      <c r="G123" s="9" t="s">
        <v>654</v>
      </c>
      <c r="H123" s="9" t="s">
        <v>58</v>
      </c>
      <c r="I123" s="9" t="s">
        <v>206</v>
      </c>
      <c r="J123" s="9" t="s">
        <v>200</v>
      </c>
      <c r="K123" s="9" t="s">
        <v>61</v>
      </c>
      <c r="L123" s="10" t="s">
        <v>62</v>
      </c>
      <c r="M123" s="10" t="s">
        <v>157</v>
      </c>
      <c r="N123" s="10" t="s">
        <v>119</v>
      </c>
      <c r="O123" s="9" t="s">
        <v>65</v>
      </c>
      <c r="P123" s="9" t="s">
        <v>59</v>
      </c>
      <c r="Q123" s="9" t="s">
        <v>144</v>
      </c>
      <c r="R123" s="9" t="s">
        <v>59</v>
      </c>
      <c r="S123" s="9" t="s">
        <v>615</v>
      </c>
      <c r="T123" s="9" t="s">
        <v>655</v>
      </c>
      <c r="U123" s="9" t="s">
        <v>656</v>
      </c>
      <c r="V123" s="9" t="n">
        <f aca="false">IF(AND($O123="Active",$C123="",$D123="",$E123="",$F123&lt;&gt;"文字"),1,0)</f>
        <v>0</v>
      </c>
      <c r="W123" s="9" t="n">
        <f aca="false">IF(AND($O123="Active",OR($J123="",$J123="—")),1,0)</f>
        <v>0</v>
      </c>
      <c r="X123" s="9" t="n">
        <f aca="false">IF(AND(ISNUMBER($C123),ISNUMBER($D123),ISNUMBER($E123)),IF(AND($D123&lt;=$C123,$C123&lt;=$E123),0,1),0)</f>
        <v>0</v>
      </c>
      <c r="Y123" s="12" t="s">
        <v>69</v>
      </c>
    </row>
    <row r="124" customFormat="false" ht="15" hidden="false" customHeight="false" outlineLevel="0" collapsed="false">
      <c r="A124" s="9" t="s">
        <v>657</v>
      </c>
      <c r="B124" s="9" t="s">
        <v>658</v>
      </c>
      <c r="C124" s="11" t="n">
        <v>46256</v>
      </c>
      <c r="D124" s="9"/>
      <c r="E124" s="9"/>
      <c r="F124" s="10" t="s">
        <v>653</v>
      </c>
      <c r="G124" s="9" t="s">
        <v>659</v>
      </c>
      <c r="H124" s="9" t="s">
        <v>58</v>
      </c>
      <c r="I124" s="9" t="s">
        <v>210</v>
      </c>
      <c r="J124" s="9" t="s">
        <v>200</v>
      </c>
      <c r="K124" s="9" t="s">
        <v>61</v>
      </c>
      <c r="L124" s="10" t="s">
        <v>62</v>
      </c>
      <c r="M124" s="10" t="s">
        <v>157</v>
      </c>
      <c r="N124" s="10" t="s">
        <v>119</v>
      </c>
      <c r="O124" s="9" t="s">
        <v>65</v>
      </c>
      <c r="P124" s="9" t="s">
        <v>59</v>
      </c>
      <c r="Q124" s="9" t="s">
        <v>144</v>
      </c>
      <c r="R124" s="9" t="s">
        <v>59</v>
      </c>
      <c r="S124" s="9" t="s">
        <v>615</v>
      </c>
      <c r="T124" s="9" t="s">
        <v>655</v>
      </c>
      <c r="U124" s="9" t="s">
        <v>656</v>
      </c>
      <c r="V124" s="9" t="n">
        <f aca="false">IF(AND($O124="Active",$C124="",$D124="",$E124="",$F124&lt;&gt;"文字"),1,0)</f>
        <v>0</v>
      </c>
      <c r="W124" s="9" t="n">
        <f aca="false">IF(AND($O124="Active",OR($J124="",$J124="—")),1,0)</f>
        <v>0</v>
      </c>
      <c r="X124" s="9" t="n">
        <f aca="false">IF(AND(ISNUMBER($C124),ISNUMBER($D124),ISNUMBER($E124)),IF(AND($D124&lt;=$C124,$C124&lt;=$E124),0,1),0)</f>
        <v>0</v>
      </c>
      <c r="Y124" s="12" t="s">
        <v>69</v>
      </c>
    </row>
    <row r="125" customFormat="false" ht="15" hidden="false" customHeight="false" outlineLevel="0" collapsed="false">
      <c r="A125" s="9" t="s">
        <v>660</v>
      </c>
      <c r="B125" s="9" t="s">
        <v>661</v>
      </c>
      <c r="C125" s="11" t="n">
        <v>46268</v>
      </c>
      <c r="D125" s="9"/>
      <c r="E125" s="9"/>
      <c r="F125" s="10" t="s">
        <v>653</v>
      </c>
      <c r="G125" s="9" t="s">
        <v>662</v>
      </c>
      <c r="H125" s="9" t="s">
        <v>58</v>
      </c>
      <c r="I125" s="9" t="s">
        <v>214</v>
      </c>
      <c r="J125" s="9" t="s">
        <v>200</v>
      </c>
      <c r="K125" s="9" t="s">
        <v>61</v>
      </c>
      <c r="L125" s="10" t="s">
        <v>62</v>
      </c>
      <c r="M125" s="10" t="s">
        <v>157</v>
      </c>
      <c r="N125" s="10" t="s">
        <v>119</v>
      </c>
      <c r="O125" s="9" t="s">
        <v>65</v>
      </c>
      <c r="P125" s="9" t="s">
        <v>59</v>
      </c>
      <c r="Q125" s="9" t="s">
        <v>144</v>
      </c>
      <c r="R125" s="9" t="s">
        <v>59</v>
      </c>
      <c r="S125" s="9" t="s">
        <v>615</v>
      </c>
      <c r="T125" s="9" t="s">
        <v>655</v>
      </c>
      <c r="U125" s="9" t="s">
        <v>656</v>
      </c>
      <c r="V125" s="9" t="n">
        <f aca="false">IF(AND($O125="Active",$C125="",$D125="",$E125="",$F125&lt;&gt;"文字"),1,0)</f>
        <v>0</v>
      </c>
      <c r="W125" s="9" t="n">
        <f aca="false">IF(AND($O125="Active",OR($J125="",$J125="—")),1,0)</f>
        <v>0</v>
      </c>
      <c r="X125" s="9" t="n">
        <f aca="false">IF(AND(ISNUMBER($C125),ISNUMBER($D125),ISNUMBER($E125)),IF(AND($D125&lt;=$C125,$C125&lt;=$E125),0,1),0)</f>
        <v>0</v>
      </c>
      <c r="Y125" s="12" t="s">
        <v>69</v>
      </c>
    </row>
    <row r="126" customFormat="false" ht="15" hidden="false" customHeight="false" outlineLevel="0" collapsed="false">
      <c r="A126" s="9" t="s">
        <v>663</v>
      </c>
      <c r="B126" s="9" t="s">
        <v>664</v>
      </c>
      <c r="C126" s="11" t="n">
        <v>46287</v>
      </c>
      <c r="D126" s="9"/>
      <c r="E126" s="9"/>
      <c r="F126" s="10" t="s">
        <v>653</v>
      </c>
      <c r="G126" s="9" t="s">
        <v>665</v>
      </c>
      <c r="H126" s="9" t="s">
        <v>58</v>
      </c>
      <c r="I126" s="9" t="s">
        <v>218</v>
      </c>
      <c r="J126" s="9" t="s">
        <v>200</v>
      </c>
      <c r="K126" s="9" t="s">
        <v>61</v>
      </c>
      <c r="L126" s="10" t="s">
        <v>62</v>
      </c>
      <c r="M126" s="10" t="s">
        <v>157</v>
      </c>
      <c r="N126" s="10" t="s">
        <v>119</v>
      </c>
      <c r="O126" s="9" t="s">
        <v>65</v>
      </c>
      <c r="P126" s="9" t="s">
        <v>59</v>
      </c>
      <c r="Q126" s="9" t="s">
        <v>144</v>
      </c>
      <c r="R126" s="9" t="s">
        <v>59</v>
      </c>
      <c r="S126" s="9" t="s">
        <v>615</v>
      </c>
      <c r="T126" s="9" t="s">
        <v>655</v>
      </c>
      <c r="U126" s="9" t="s">
        <v>656</v>
      </c>
      <c r="V126" s="9" t="n">
        <f aca="false">IF(AND($O126="Active",$C126="",$D126="",$E126="",$F126&lt;&gt;"文字"),1,0)</f>
        <v>0</v>
      </c>
      <c r="W126" s="9" t="n">
        <f aca="false">IF(AND($O126="Active",OR($J126="",$J126="—")),1,0)</f>
        <v>0</v>
      </c>
      <c r="X126" s="9" t="n">
        <f aca="false">IF(AND(ISNUMBER($C126),ISNUMBER($D126),ISNUMBER($E126)),IF(AND($D126&lt;=$C126,$C126&lt;=$E126),0,1),0)</f>
        <v>0</v>
      </c>
      <c r="Y126" s="12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50"/>
  </cols>
  <sheetData>
    <row r="1" customFormat="false" ht="20.1" hidden="false" customHeight="false" outlineLevel="0" collapsed="false">
      <c r="A1" s="1" t="s">
        <v>666</v>
      </c>
    </row>
    <row r="2" customFormat="false" ht="15" hidden="false" customHeight="false" outlineLevel="0" collapsed="false">
      <c r="A2" s="2" t="s">
        <v>667</v>
      </c>
    </row>
    <row r="3" customFormat="false" ht="15" hidden="false" customHeight="false" outlineLevel="0" collapsed="false">
      <c r="A3" s="5" t="s">
        <v>668</v>
      </c>
      <c r="B3" s="9" t="s">
        <v>669</v>
      </c>
    </row>
    <row r="4" customFormat="false" ht="15" hidden="false" customHeight="false" outlineLevel="0" collapsed="false">
      <c r="A4" s="5" t="s">
        <v>670</v>
      </c>
      <c r="B4" s="9" t="s">
        <v>671</v>
      </c>
    </row>
    <row r="5" customFormat="false" ht="15" hidden="false" customHeight="false" outlineLevel="0" collapsed="false">
      <c r="A5" s="5" t="s">
        <v>672</v>
      </c>
      <c r="B5" s="9" t="s">
        <v>673</v>
      </c>
    </row>
    <row r="6" customFormat="false" ht="15" hidden="false" customHeight="false" outlineLevel="0" collapsed="false">
      <c r="A6" s="3" t="s">
        <v>674</v>
      </c>
      <c r="B6" s="9" t="s">
        <v>675</v>
      </c>
    </row>
    <row r="7" customFormat="false" ht="15" hidden="false" customHeight="false" outlineLevel="0" collapsed="false">
      <c r="I7" s="3" t="s">
        <v>676</v>
      </c>
      <c r="J7" s="9" t="s">
        <v>677</v>
      </c>
      <c r="K7" s="9" t="s">
        <v>677</v>
      </c>
      <c r="L7" s="9" t="s">
        <v>677</v>
      </c>
      <c r="M7" s="9" t="s">
        <v>678</v>
      </c>
      <c r="N7" s="9" t="s">
        <v>678</v>
      </c>
      <c r="O7" s="9" t="s">
        <v>678</v>
      </c>
      <c r="P7" s="9" t="s">
        <v>679</v>
      </c>
      <c r="Q7" s="9" t="s">
        <v>679</v>
      </c>
      <c r="R7" s="9" t="s">
        <v>679</v>
      </c>
      <c r="S7" s="9" t="s">
        <v>680</v>
      </c>
      <c r="T7" s="9" t="s">
        <v>680</v>
      </c>
      <c r="U7" s="9" t="s">
        <v>680</v>
      </c>
      <c r="V7" s="9" t="s">
        <v>681</v>
      </c>
      <c r="W7" s="9" t="s">
        <v>681</v>
      </c>
      <c r="X7" s="9" t="s">
        <v>681</v>
      </c>
    </row>
    <row r="8" customFormat="false" ht="15" hidden="false" customHeight="false" outlineLevel="0" collapsed="false">
      <c r="I8" s="3" t="s">
        <v>682</v>
      </c>
      <c r="J8" s="10" t="s">
        <v>683</v>
      </c>
      <c r="K8" s="10" t="s">
        <v>684</v>
      </c>
      <c r="L8" s="10" t="s">
        <v>685</v>
      </c>
      <c r="M8" s="10" t="s">
        <v>683</v>
      </c>
      <c r="N8" s="10" t="s">
        <v>684</v>
      </c>
      <c r="O8" s="10" t="s">
        <v>685</v>
      </c>
      <c r="P8" s="10" t="s">
        <v>683</v>
      </c>
      <c r="Q8" s="10" t="s">
        <v>684</v>
      </c>
      <c r="R8" s="10" t="s">
        <v>685</v>
      </c>
      <c r="S8" s="10" t="s">
        <v>683</v>
      </c>
      <c r="T8" s="10" t="s">
        <v>684</v>
      </c>
      <c r="U8" s="10" t="s">
        <v>685</v>
      </c>
      <c r="V8" s="10" t="s">
        <v>683</v>
      </c>
      <c r="W8" s="10" t="s">
        <v>684</v>
      </c>
      <c r="X8" s="10" t="s">
        <v>685</v>
      </c>
    </row>
    <row r="9" customFormat="false" ht="26.85" hidden="false" customHeight="false" outlineLevel="0" collapsed="false">
      <c r="A9" s="7" t="s">
        <v>686</v>
      </c>
      <c r="B9" s="8" t="s">
        <v>687</v>
      </c>
      <c r="C9" s="8" t="s">
        <v>688</v>
      </c>
      <c r="D9" s="8" t="s">
        <v>34</v>
      </c>
      <c r="E9" s="8" t="s">
        <v>689</v>
      </c>
      <c r="F9" s="8" t="s">
        <v>43</v>
      </c>
      <c r="G9" s="7" t="s">
        <v>670</v>
      </c>
      <c r="H9" s="8" t="s">
        <v>690</v>
      </c>
      <c r="I9" s="8" t="s">
        <v>674</v>
      </c>
      <c r="J9" s="8" t="s">
        <v>691</v>
      </c>
      <c r="K9" s="8" t="s">
        <v>692</v>
      </c>
      <c r="L9" s="8" t="s">
        <v>693</v>
      </c>
      <c r="M9" s="8" t="s">
        <v>694</v>
      </c>
      <c r="N9" s="8" t="s">
        <v>695</v>
      </c>
      <c r="O9" s="8" t="s">
        <v>696</v>
      </c>
      <c r="P9" s="8" t="s">
        <v>697</v>
      </c>
      <c r="Q9" s="8" t="s">
        <v>698</v>
      </c>
      <c r="R9" s="8" t="s">
        <v>699</v>
      </c>
      <c r="S9" s="8" t="s">
        <v>700</v>
      </c>
      <c r="T9" s="8" t="s">
        <v>701</v>
      </c>
      <c r="U9" s="8" t="s">
        <v>702</v>
      </c>
      <c r="V9" s="8" t="s">
        <v>703</v>
      </c>
      <c r="W9" s="8" t="s">
        <v>704</v>
      </c>
      <c r="X9" s="8" t="s">
        <v>705</v>
      </c>
    </row>
    <row r="10" customFormat="false" ht="15" hidden="false" customHeight="false" outlineLevel="0" collapsed="false">
      <c r="A10" s="9" t="s">
        <v>706</v>
      </c>
      <c r="B10" s="9" t="s">
        <v>707</v>
      </c>
      <c r="C10" s="10" t="s">
        <v>708</v>
      </c>
      <c r="D10" s="9" t="s">
        <v>709</v>
      </c>
      <c r="E10" s="9" t="n">
        <v>15</v>
      </c>
      <c r="F10" s="9" t="s">
        <v>710</v>
      </c>
      <c r="G10" s="9" t="s">
        <v>671</v>
      </c>
      <c r="H10" s="9" t="s">
        <v>711</v>
      </c>
      <c r="I10" s="9" t="s">
        <v>675</v>
      </c>
      <c r="J10" s="11" t="n">
        <v>3876518295.93805</v>
      </c>
      <c r="K10" s="11" t="n">
        <v>3876518295.93805</v>
      </c>
      <c r="L10" s="11" t="n">
        <v>3876518295.93805</v>
      </c>
      <c r="M10" s="11" t="n">
        <v>20041838664.2467</v>
      </c>
      <c r="N10" s="11" t="n">
        <v>20041838664.2467</v>
      </c>
      <c r="O10" s="11" t="n">
        <v>20041838664.2467</v>
      </c>
      <c r="P10" s="11" t="n">
        <v>24234237528.7831</v>
      </c>
      <c r="Q10" s="11" t="n">
        <v>24234237528.7831</v>
      </c>
      <c r="R10" s="11" t="n">
        <v>24234237528.7831</v>
      </c>
      <c r="S10" s="11" t="n">
        <v>51167890551.5595</v>
      </c>
      <c r="T10" s="11" t="n">
        <v>51167890551.5595</v>
      </c>
      <c r="U10" s="11" t="n">
        <v>51167890551.5595</v>
      </c>
      <c r="V10" s="11" t="n">
        <v>74400955991.7707</v>
      </c>
      <c r="W10" s="11" t="n">
        <v>74400955991.7707</v>
      </c>
      <c r="X10" s="11" t="n">
        <v>74400955991.7707</v>
      </c>
    </row>
    <row r="11" customFormat="false" ht="15" hidden="false" customHeight="false" outlineLevel="0" collapsed="false">
      <c r="A11" s="9" t="s">
        <v>712</v>
      </c>
      <c r="B11" s="9" t="s">
        <v>713</v>
      </c>
      <c r="C11" s="10" t="s">
        <v>708</v>
      </c>
      <c r="D11" s="9" t="s">
        <v>709</v>
      </c>
      <c r="E11" s="9" t="n">
        <v>15</v>
      </c>
      <c r="F11" s="9" t="s">
        <v>710</v>
      </c>
      <c r="G11" s="9" t="s">
        <v>671</v>
      </c>
      <c r="H11" s="9" t="s">
        <v>711</v>
      </c>
      <c r="I11" s="9" t="s">
        <v>675</v>
      </c>
      <c r="J11" s="11" t="n">
        <v>74067251304.9223</v>
      </c>
      <c r="K11" s="11" t="n">
        <v>74067251304.9223</v>
      </c>
      <c r="L11" s="11" t="n">
        <v>74067251304.9223</v>
      </c>
      <c r="M11" s="11" t="n">
        <v>362306894085.614</v>
      </c>
      <c r="N11" s="11" t="n">
        <v>362306894085.614</v>
      </c>
      <c r="O11" s="11" t="n">
        <v>362306894085.614</v>
      </c>
      <c r="P11" s="11" t="n">
        <v>527473919843.971</v>
      </c>
      <c r="Q11" s="11" t="n">
        <v>527473919843.971</v>
      </c>
      <c r="R11" s="11" t="n">
        <v>527473919843.971</v>
      </c>
      <c r="S11" s="11" t="n">
        <v>772778400993.445</v>
      </c>
      <c r="T11" s="11" t="n">
        <v>772778400993.445</v>
      </c>
      <c r="U11" s="11" t="n">
        <v>772778400993.445</v>
      </c>
      <c r="V11" s="11" t="n">
        <v>1044373713057.39</v>
      </c>
      <c r="W11" s="11" t="n">
        <v>1044373713057.39</v>
      </c>
      <c r="X11" s="11" t="n">
        <v>1044373713057.39</v>
      </c>
    </row>
    <row r="12" customFormat="false" ht="15" hidden="false" customHeight="false" outlineLevel="0" collapsed="false">
      <c r="A12" s="9" t="s">
        <v>714</v>
      </c>
      <c r="B12" s="9" t="s">
        <v>715</v>
      </c>
      <c r="C12" s="10" t="s">
        <v>708</v>
      </c>
      <c r="D12" s="9" t="s">
        <v>709</v>
      </c>
      <c r="E12" s="9" t="n">
        <v>15</v>
      </c>
      <c r="F12" s="9" t="s">
        <v>710</v>
      </c>
      <c r="G12" s="9" t="s">
        <v>671</v>
      </c>
      <c r="H12" s="9" t="s">
        <v>711</v>
      </c>
      <c r="I12" s="9" t="s">
        <v>675</v>
      </c>
      <c r="J12" s="11" t="n">
        <v>21490429685.4234</v>
      </c>
      <c r="K12" s="11" t="n">
        <v>21490429685.4234</v>
      </c>
      <c r="L12" s="11" t="n">
        <v>21490429685.4234</v>
      </c>
      <c r="M12" s="11" t="n">
        <v>104125401080.667</v>
      </c>
      <c r="N12" s="11" t="n">
        <v>104125401080.667</v>
      </c>
      <c r="O12" s="11" t="n">
        <v>104125401080.667</v>
      </c>
      <c r="P12" s="11" t="n">
        <v>151593674754.548</v>
      </c>
      <c r="Q12" s="11" t="n">
        <v>151593674754.548</v>
      </c>
      <c r="R12" s="11" t="n">
        <v>151593674754.548</v>
      </c>
      <c r="S12" s="11" t="n">
        <v>237287338734.99</v>
      </c>
      <c r="T12" s="11" t="n">
        <v>237287338734.99</v>
      </c>
      <c r="U12" s="11" t="n">
        <v>237287338734.99</v>
      </c>
      <c r="V12" s="11" t="n">
        <v>326185670522.351</v>
      </c>
      <c r="W12" s="11" t="n">
        <v>326185670522.351</v>
      </c>
      <c r="X12" s="11" t="n">
        <v>326185670522.351</v>
      </c>
    </row>
    <row r="13" customFormat="false" ht="15" hidden="false" customHeight="false" outlineLevel="0" collapsed="false">
      <c r="A13" s="9" t="s">
        <v>716</v>
      </c>
      <c r="B13" s="9" t="s">
        <v>717</v>
      </c>
      <c r="C13" s="10" t="s">
        <v>718</v>
      </c>
      <c r="D13" s="9" t="s">
        <v>719</v>
      </c>
      <c r="E13" s="9" t="n">
        <v>1</v>
      </c>
      <c r="F13" s="9" t="s">
        <v>710</v>
      </c>
      <c r="G13" s="9" t="s">
        <v>671</v>
      </c>
      <c r="H13" s="9" t="s">
        <v>711</v>
      </c>
      <c r="I13" s="9" t="s">
        <v>675</v>
      </c>
      <c r="J13" s="11" t="n">
        <v>0.6</v>
      </c>
    </row>
    <row r="14" customFormat="false" ht="15" hidden="false" customHeight="false" outlineLevel="0" collapsed="false">
      <c r="A14" s="9" t="s">
        <v>720</v>
      </c>
      <c r="B14" s="9" t="s">
        <v>721</v>
      </c>
      <c r="C14" s="10" t="s">
        <v>722</v>
      </c>
      <c r="D14" s="9" t="s">
        <v>723</v>
      </c>
      <c r="E14" s="9" t="n">
        <v>15</v>
      </c>
      <c r="F14" s="9" t="s">
        <v>710</v>
      </c>
      <c r="G14" s="9" t="s">
        <v>671</v>
      </c>
      <c r="H14" s="9" t="s">
        <v>711</v>
      </c>
      <c r="I14" s="9" t="s">
        <v>675</v>
      </c>
      <c r="J14" s="11" t="n">
        <v>7.0000433103819</v>
      </c>
      <c r="K14" s="11" t="n">
        <v>10.0957952959174</v>
      </c>
      <c r="L14" s="11" t="n">
        <v>17.4059720636914</v>
      </c>
      <c r="M14" s="11" t="n">
        <v>6.81316695089878</v>
      </c>
      <c r="N14" s="11" t="n">
        <v>9.17098191725462</v>
      </c>
      <c r="O14" s="11" t="n">
        <v>14.9200285257983</v>
      </c>
      <c r="P14" s="11" t="n">
        <v>8.70747076237914</v>
      </c>
      <c r="Q14" s="11" t="n">
        <v>12.7247463559608</v>
      </c>
      <c r="R14" s="11" t="n">
        <v>23.87186935202</v>
      </c>
      <c r="S14" s="11" t="n">
        <v>9.83668060375303</v>
      </c>
      <c r="T14" s="11" t="n">
        <v>12.7620157762701</v>
      </c>
      <c r="U14" s="11" t="n">
        <v>20.6780894215396</v>
      </c>
      <c r="V14" s="11" t="n">
        <v>10.4522416094636</v>
      </c>
      <c r="W14" s="11" t="n">
        <v>16.0694566753819</v>
      </c>
      <c r="X14" s="11" t="n">
        <v>29.454615058956</v>
      </c>
    </row>
    <row r="15" customFormat="false" ht="15" hidden="false" customHeight="false" outlineLevel="0" collapsed="false">
      <c r="A15" s="9" t="s">
        <v>724</v>
      </c>
      <c r="B15" s="9" t="s">
        <v>725</v>
      </c>
      <c r="C15" s="10" t="s">
        <v>726</v>
      </c>
      <c r="D15" s="9" t="s">
        <v>727</v>
      </c>
      <c r="E15" s="9" t="n">
        <v>15</v>
      </c>
      <c r="F15" s="9" t="s">
        <v>710</v>
      </c>
      <c r="G15" s="9" t="s">
        <v>671</v>
      </c>
      <c r="H15" s="9" t="s">
        <v>711</v>
      </c>
      <c r="I15" s="9" t="s">
        <v>675</v>
      </c>
      <c r="J15" s="11" t="n">
        <v>6.98232343835803</v>
      </c>
      <c r="K15" s="11" t="n">
        <v>10.0701401279639</v>
      </c>
      <c r="L15" s="11" t="n">
        <v>17.3615788262088</v>
      </c>
      <c r="M15" s="11" t="n">
        <v>0.929824661004986</v>
      </c>
      <c r="N15" s="11" t="n">
        <v>1.25152940803565</v>
      </c>
      <c r="O15" s="11" t="n">
        <v>2.03594023384679</v>
      </c>
      <c r="P15" s="11" t="n">
        <v>0.933052266852849</v>
      </c>
      <c r="Q15" s="11" t="n">
        <v>1.36342193413465</v>
      </c>
      <c r="R15" s="11" t="n">
        <v>2.55761025983181</v>
      </c>
      <c r="S15" s="11" t="n">
        <v>0.425384609769744</v>
      </c>
      <c r="T15" s="11" t="n">
        <v>0.551823554780618</v>
      </c>
      <c r="U15" s="11" t="n">
        <v>0.8939723826276</v>
      </c>
      <c r="V15" s="11" t="n">
        <v>0.278094026413058</v>
      </c>
      <c r="W15" s="11" t="n">
        <v>0.427426585241239</v>
      </c>
      <c r="X15" s="11" t="n">
        <v>0.783268390883916</v>
      </c>
    </row>
    <row r="16" customFormat="false" ht="15" hidden="false" customHeight="false" outlineLevel="0" collapsed="false">
      <c r="A16" s="9" t="s">
        <v>728</v>
      </c>
      <c r="B16" s="9" t="s">
        <v>729</v>
      </c>
      <c r="C16" s="10" t="s">
        <v>726</v>
      </c>
      <c r="D16" s="9" t="s">
        <v>727</v>
      </c>
      <c r="E16" s="9" t="n">
        <v>15</v>
      </c>
      <c r="F16" s="9" t="s">
        <v>710</v>
      </c>
      <c r="G16" s="9" t="s">
        <v>671</v>
      </c>
      <c r="H16" s="9" t="s">
        <v>711</v>
      </c>
      <c r="I16" s="9" t="s">
        <v>675</v>
      </c>
      <c r="J16" s="11" t="n">
        <v>0.133329814173381</v>
      </c>
      <c r="K16" s="11" t="n">
        <v>0.192289806873558</v>
      </c>
      <c r="L16" s="11" t="n">
        <v>0.331515420191033</v>
      </c>
      <c r="M16" s="11" t="n">
        <v>0.0276536496722329</v>
      </c>
      <c r="N16" s="11" t="n">
        <v>0.0372199275435518</v>
      </c>
      <c r="O16" s="11" t="n">
        <v>0.0605453276013408</v>
      </c>
      <c r="P16" s="11" t="n">
        <v>0.0242079987569706</v>
      </c>
      <c r="Q16" s="11" t="n">
        <v>0.0353715947566594</v>
      </c>
      <c r="R16" s="11" t="n">
        <v>0.0663483039188753</v>
      </c>
      <c r="S16" s="11" t="n">
        <v>0.018368231651997</v>
      </c>
      <c r="T16" s="11" t="n">
        <v>0.0238275474334597</v>
      </c>
      <c r="U16" s="11" t="n">
        <v>0.0386006736669421</v>
      </c>
      <c r="V16" s="11" t="n">
        <v>0.014351217590964</v>
      </c>
      <c r="W16" s="11" t="n">
        <v>0.0220579881248366</v>
      </c>
      <c r="X16" s="11" t="n">
        <v>0.0404223097702075</v>
      </c>
    </row>
    <row r="17" customFormat="false" ht="15" hidden="false" customHeight="false" outlineLevel="0" collapsed="false">
      <c r="A17" s="9" t="s">
        <v>730</v>
      </c>
      <c r="B17" s="9" t="s">
        <v>731</v>
      </c>
      <c r="C17" s="10" t="s">
        <v>726</v>
      </c>
      <c r="D17" s="9" t="s">
        <v>727</v>
      </c>
      <c r="E17" s="9" t="n">
        <v>15</v>
      </c>
      <c r="F17" s="9" t="s">
        <v>710</v>
      </c>
      <c r="G17" s="9" t="s">
        <v>671</v>
      </c>
      <c r="H17" s="9" t="s">
        <v>711</v>
      </c>
      <c r="I17" s="9" t="s">
        <v>675</v>
      </c>
      <c r="J17" s="11" t="n">
        <v>0.531910528331284</v>
      </c>
      <c r="K17" s="11" t="n">
        <v>0.767139858927169</v>
      </c>
      <c r="L17" s="11" t="n">
        <v>1.32260037244879</v>
      </c>
      <c r="M17" s="11" t="n">
        <v>0.103191989823563</v>
      </c>
      <c r="N17" s="11" t="n">
        <v>0.138898055360943</v>
      </c>
      <c r="O17" s="11" t="n">
        <v>0.22595994864402</v>
      </c>
      <c r="P17" s="11" t="n">
        <v>0.0903712380397286</v>
      </c>
      <c r="Q17" s="11" t="n">
        <v>0.132057790392487</v>
      </c>
      <c r="R17" s="11" t="n">
        <v>0.247729497631164</v>
      </c>
      <c r="S17" s="11" t="n">
        <v>0.0615718912295467</v>
      </c>
      <c r="T17" s="11" t="n">
        <v>0.0798782155803801</v>
      </c>
      <c r="U17" s="11" t="n">
        <v>0.129415859367946</v>
      </c>
      <c r="V17" s="11" t="n">
        <v>0.0464745260500349</v>
      </c>
      <c r="W17" s="11" t="n">
        <v>0.0714424801387287</v>
      </c>
      <c r="X17" s="11" t="n">
        <v>0.130938158347436</v>
      </c>
    </row>
    <row r="18" customFormat="false" ht="15" hidden="false" customHeight="false" outlineLevel="0" collapsed="false">
      <c r="A18" s="9" t="s">
        <v>732</v>
      </c>
      <c r="B18" s="9" t="s">
        <v>733</v>
      </c>
      <c r="C18" s="10" t="s">
        <v>734</v>
      </c>
      <c r="D18" s="9" t="s">
        <v>727</v>
      </c>
      <c r="E18" s="9" t="n">
        <v>1</v>
      </c>
      <c r="F18" s="9" t="s">
        <v>710</v>
      </c>
      <c r="G18" s="9" t="s">
        <v>671</v>
      </c>
      <c r="H18" s="9" t="s">
        <v>711</v>
      </c>
      <c r="I18" s="9" t="s">
        <v>675</v>
      </c>
      <c r="J18" s="11" t="n">
        <v>0.8</v>
      </c>
    </row>
    <row r="19" customFormat="false" ht="15" hidden="false" customHeight="false" outlineLevel="0" collapsed="false">
      <c r="A19" s="9" t="s">
        <v>735</v>
      </c>
      <c r="B19" s="9" t="s">
        <v>736</v>
      </c>
      <c r="C19" s="10" t="s">
        <v>734</v>
      </c>
      <c r="D19" s="9" t="s">
        <v>727</v>
      </c>
      <c r="E19" s="9" t="n">
        <v>1</v>
      </c>
      <c r="F19" s="9" t="s">
        <v>710</v>
      </c>
      <c r="G19" s="9" t="s">
        <v>671</v>
      </c>
      <c r="H19" s="9" t="s">
        <v>711</v>
      </c>
      <c r="I19" s="9" t="s">
        <v>675</v>
      </c>
      <c r="J19" s="11" t="n">
        <v>0.008</v>
      </c>
    </row>
    <row r="20" customFormat="false" ht="15" hidden="false" customHeight="false" outlineLevel="0" collapsed="false">
      <c r="A20" s="9" t="s">
        <v>737</v>
      </c>
      <c r="B20" s="9" t="s">
        <v>738</v>
      </c>
      <c r="C20" s="10" t="s">
        <v>734</v>
      </c>
      <c r="D20" s="9" t="s">
        <v>727</v>
      </c>
      <c r="E20" s="9" t="n">
        <v>1</v>
      </c>
      <c r="F20" s="9" t="s">
        <v>710</v>
      </c>
      <c r="G20" s="9" t="s">
        <v>671</v>
      </c>
      <c r="H20" s="9" t="s">
        <v>711</v>
      </c>
      <c r="I20" s="9" t="s">
        <v>675</v>
      </c>
      <c r="J20" s="11" t="n">
        <v>0.16</v>
      </c>
    </row>
    <row r="21" customFormat="false" ht="15" hidden="false" customHeight="false" outlineLevel="0" collapsed="false">
      <c r="A21" s="9" t="s">
        <v>739</v>
      </c>
      <c r="B21" s="9" t="s">
        <v>740</v>
      </c>
      <c r="C21" s="10" t="s">
        <v>741</v>
      </c>
      <c r="D21" s="9" t="s">
        <v>727</v>
      </c>
      <c r="E21" s="9" t="n">
        <v>1</v>
      </c>
      <c r="F21" s="9" t="s">
        <v>710</v>
      </c>
      <c r="G21" s="9" t="s">
        <v>671</v>
      </c>
      <c r="H21" s="9" t="s">
        <v>711</v>
      </c>
      <c r="I21" s="9" t="s">
        <v>675</v>
      </c>
      <c r="J21" s="11" t="n">
        <v>8</v>
      </c>
    </row>
    <row r="22" customFormat="false" ht="15" hidden="false" customHeight="false" outlineLevel="0" collapsed="false">
      <c r="A22" s="9" t="s">
        <v>742</v>
      </c>
      <c r="B22" s="9" t="s">
        <v>743</v>
      </c>
      <c r="C22" s="10" t="s">
        <v>741</v>
      </c>
      <c r="D22" s="9" t="s">
        <v>727</v>
      </c>
      <c r="E22" s="9" t="n">
        <v>1</v>
      </c>
      <c r="F22" s="9" t="s">
        <v>710</v>
      </c>
      <c r="G22" s="9" t="s">
        <v>671</v>
      </c>
      <c r="H22" s="9" t="s">
        <v>711</v>
      </c>
      <c r="I22" s="9" t="s">
        <v>675</v>
      </c>
      <c r="J22" s="11" t="n">
        <v>0.08</v>
      </c>
    </row>
    <row r="23" customFormat="false" ht="15" hidden="false" customHeight="false" outlineLevel="0" collapsed="false">
      <c r="A23" s="9" t="s">
        <v>744</v>
      </c>
      <c r="B23" s="9" t="s">
        <v>745</v>
      </c>
      <c r="C23" s="10" t="s">
        <v>741</v>
      </c>
      <c r="D23" s="9" t="s">
        <v>727</v>
      </c>
      <c r="E23" s="9" t="n">
        <v>1</v>
      </c>
      <c r="F23" s="9" t="s">
        <v>710</v>
      </c>
      <c r="G23" s="9" t="s">
        <v>671</v>
      </c>
      <c r="H23" s="9" t="s">
        <v>711</v>
      </c>
      <c r="I23" s="9" t="s">
        <v>675</v>
      </c>
      <c r="J23" s="11" t="n">
        <v>1.6</v>
      </c>
    </row>
    <row r="24" customFormat="false" ht="15" hidden="false" customHeight="false" outlineLevel="0" collapsed="false">
      <c r="A24" s="9" t="s">
        <v>746</v>
      </c>
      <c r="B24" s="9" t="s">
        <v>747</v>
      </c>
      <c r="C24" s="10" t="s">
        <v>748</v>
      </c>
      <c r="D24" s="9" t="s">
        <v>727</v>
      </c>
      <c r="E24" s="9" t="n">
        <v>1</v>
      </c>
      <c r="F24" s="9" t="s">
        <v>710</v>
      </c>
      <c r="G24" s="9" t="s">
        <v>671</v>
      </c>
      <c r="H24" s="9" t="s">
        <v>711</v>
      </c>
      <c r="I24" s="9" t="s">
        <v>675</v>
      </c>
      <c r="J24" s="11" t="n">
        <v>40</v>
      </c>
    </row>
    <row r="25" customFormat="false" ht="15" hidden="false" customHeight="false" outlineLevel="0" collapsed="false">
      <c r="A25" s="9" t="s">
        <v>749</v>
      </c>
      <c r="B25" s="9" t="s">
        <v>750</v>
      </c>
      <c r="C25" s="10" t="s">
        <v>748</v>
      </c>
      <c r="D25" s="9" t="s">
        <v>727</v>
      </c>
      <c r="E25" s="9" t="n">
        <v>1</v>
      </c>
      <c r="F25" s="9" t="s">
        <v>710</v>
      </c>
      <c r="G25" s="9" t="s">
        <v>671</v>
      </c>
      <c r="H25" s="9" t="s">
        <v>711</v>
      </c>
      <c r="I25" s="9" t="s">
        <v>675</v>
      </c>
      <c r="J25" s="11" t="n">
        <v>0.4</v>
      </c>
    </row>
    <row r="26" customFormat="false" ht="15" hidden="false" customHeight="false" outlineLevel="0" collapsed="false">
      <c r="A26" s="9" t="s">
        <v>751</v>
      </c>
      <c r="B26" s="9" t="s">
        <v>752</v>
      </c>
      <c r="C26" s="10" t="s">
        <v>748</v>
      </c>
      <c r="D26" s="9" t="s">
        <v>727</v>
      </c>
      <c r="E26" s="9" t="n">
        <v>1</v>
      </c>
      <c r="F26" s="9" t="s">
        <v>710</v>
      </c>
      <c r="G26" s="9" t="s">
        <v>671</v>
      </c>
      <c r="H26" s="9" t="s">
        <v>711</v>
      </c>
      <c r="I26" s="9" t="s">
        <v>675</v>
      </c>
      <c r="J26" s="11" t="n">
        <v>8</v>
      </c>
    </row>
    <row r="27" customFormat="false" ht="15" hidden="false" customHeight="false" outlineLevel="0" collapsed="false">
      <c r="A27" s="9" t="s">
        <v>753</v>
      </c>
      <c r="B27" s="9" t="s">
        <v>754</v>
      </c>
      <c r="C27" s="10" t="s">
        <v>755</v>
      </c>
      <c r="D27" s="9" t="s">
        <v>727</v>
      </c>
      <c r="E27" s="9" t="n">
        <v>1</v>
      </c>
      <c r="F27" s="9" t="s">
        <v>710</v>
      </c>
      <c r="G27" s="9" t="s">
        <v>671</v>
      </c>
      <c r="H27" s="9" t="s">
        <v>711</v>
      </c>
      <c r="I27" s="9" t="s">
        <v>675</v>
      </c>
      <c r="J27" s="11" t="n">
        <v>8.03555555555555</v>
      </c>
    </row>
    <row r="28" customFormat="false" ht="15" hidden="false" customHeight="false" outlineLevel="0" collapsed="false">
      <c r="A28" s="9" t="s">
        <v>756</v>
      </c>
      <c r="B28" s="9" t="s">
        <v>757</v>
      </c>
      <c r="C28" s="10" t="s">
        <v>755</v>
      </c>
      <c r="D28" s="9" t="s">
        <v>727</v>
      </c>
      <c r="E28" s="9" t="n">
        <v>1</v>
      </c>
      <c r="F28" s="9" t="s">
        <v>710</v>
      </c>
      <c r="G28" s="9" t="s">
        <v>671</v>
      </c>
      <c r="H28" s="9" t="s">
        <v>711</v>
      </c>
      <c r="I28" s="9" t="s">
        <v>675</v>
      </c>
      <c r="J28" s="11" t="n">
        <v>0.0803555555555556</v>
      </c>
    </row>
    <row r="29" customFormat="false" ht="15" hidden="false" customHeight="false" outlineLevel="0" collapsed="false">
      <c r="A29" s="9" t="s">
        <v>758</v>
      </c>
      <c r="B29" s="9" t="s">
        <v>759</v>
      </c>
      <c r="C29" s="10" t="s">
        <v>755</v>
      </c>
      <c r="D29" s="9" t="s">
        <v>727</v>
      </c>
      <c r="E29" s="9" t="n">
        <v>1</v>
      </c>
      <c r="F29" s="9" t="s">
        <v>710</v>
      </c>
      <c r="G29" s="9" t="s">
        <v>671</v>
      </c>
      <c r="H29" s="9" t="s">
        <v>711</v>
      </c>
      <c r="I29" s="9" t="s">
        <v>675</v>
      </c>
      <c r="J29" s="11" t="n">
        <v>1.60711111111111</v>
      </c>
    </row>
    <row r="30" customFormat="false" ht="15" hidden="false" customHeight="false" outlineLevel="0" collapsed="false">
      <c r="A30" s="9" t="s">
        <v>760</v>
      </c>
      <c r="B30" s="9" t="s">
        <v>761</v>
      </c>
      <c r="C30" s="10" t="s">
        <v>762</v>
      </c>
      <c r="D30" s="9" t="s">
        <v>727</v>
      </c>
      <c r="E30" s="9" t="n">
        <v>1</v>
      </c>
      <c r="F30" s="9" t="s">
        <v>710</v>
      </c>
      <c r="G30" s="9" t="s">
        <v>671</v>
      </c>
      <c r="H30" s="9" t="s">
        <v>711</v>
      </c>
      <c r="I30" s="9" t="s">
        <v>675</v>
      </c>
      <c r="J30" s="11" t="n">
        <v>40</v>
      </c>
    </row>
    <row r="31" customFormat="false" ht="15" hidden="false" customHeight="false" outlineLevel="0" collapsed="false">
      <c r="A31" s="9" t="s">
        <v>763</v>
      </c>
      <c r="B31" s="9" t="s">
        <v>764</v>
      </c>
      <c r="C31" s="10" t="s">
        <v>762</v>
      </c>
      <c r="D31" s="9" t="s">
        <v>727</v>
      </c>
      <c r="E31" s="9" t="n">
        <v>1</v>
      </c>
      <c r="F31" s="9" t="s">
        <v>710</v>
      </c>
      <c r="G31" s="9" t="s">
        <v>671</v>
      </c>
      <c r="H31" s="9" t="s">
        <v>711</v>
      </c>
      <c r="I31" s="9" t="s">
        <v>675</v>
      </c>
      <c r="J31" s="11" t="n">
        <v>0.4</v>
      </c>
    </row>
    <row r="32" customFormat="false" ht="15" hidden="false" customHeight="false" outlineLevel="0" collapsed="false">
      <c r="A32" s="9" t="s">
        <v>765</v>
      </c>
      <c r="B32" s="9" t="s">
        <v>766</v>
      </c>
      <c r="C32" s="10" t="s">
        <v>762</v>
      </c>
      <c r="D32" s="9" t="s">
        <v>727</v>
      </c>
      <c r="E32" s="9" t="n">
        <v>1</v>
      </c>
      <c r="F32" s="9" t="s">
        <v>710</v>
      </c>
      <c r="G32" s="9" t="s">
        <v>671</v>
      </c>
      <c r="H32" s="9" t="s">
        <v>711</v>
      </c>
      <c r="I32" s="9" t="s">
        <v>675</v>
      </c>
      <c r="J32" s="11" t="n">
        <v>8</v>
      </c>
    </row>
    <row r="33" customFormat="false" ht="15" hidden="false" customHeight="false" outlineLevel="0" collapsed="false">
      <c r="A33" s="9" t="s">
        <v>767</v>
      </c>
      <c r="B33" s="9" t="s">
        <v>768</v>
      </c>
      <c r="C33" s="10" t="s">
        <v>769</v>
      </c>
      <c r="D33" s="9" t="s">
        <v>727</v>
      </c>
      <c r="E33" s="9" t="n">
        <v>1</v>
      </c>
      <c r="F33" s="9" t="s">
        <v>710</v>
      </c>
      <c r="G33" s="9" t="s">
        <v>671</v>
      </c>
      <c r="H33" s="9" t="s">
        <v>711</v>
      </c>
      <c r="I33" s="9" t="s">
        <v>675</v>
      </c>
      <c r="J33" s="11" t="n">
        <v>7.74222222222222</v>
      </c>
    </row>
    <row r="34" customFormat="false" ht="15" hidden="false" customHeight="false" outlineLevel="0" collapsed="false">
      <c r="A34" s="9" t="s">
        <v>770</v>
      </c>
      <c r="B34" s="9" t="s">
        <v>771</v>
      </c>
      <c r="C34" s="10" t="s">
        <v>769</v>
      </c>
      <c r="D34" s="9" t="s">
        <v>727</v>
      </c>
      <c r="E34" s="9" t="n">
        <v>1</v>
      </c>
      <c r="F34" s="9" t="s">
        <v>710</v>
      </c>
      <c r="G34" s="9" t="s">
        <v>671</v>
      </c>
      <c r="H34" s="9" t="s">
        <v>711</v>
      </c>
      <c r="I34" s="9" t="s">
        <v>675</v>
      </c>
      <c r="J34" s="11" t="n">
        <v>0.0803555555555556</v>
      </c>
    </row>
    <row r="35" customFormat="false" ht="15" hidden="false" customHeight="false" outlineLevel="0" collapsed="false">
      <c r="A35" s="9" t="s">
        <v>772</v>
      </c>
      <c r="B35" s="9" t="s">
        <v>773</v>
      </c>
      <c r="C35" s="10" t="s">
        <v>769</v>
      </c>
      <c r="D35" s="9" t="s">
        <v>727</v>
      </c>
      <c r="E35" s="9" t="n">
        <v>1</v>
      </c>
      <c r="F35" s="9" t="s">
        <v>710</v>
      </c>
      <c r="G35" s="9" t="s">
        <v>671</v>
      </c>
      <c r="H35" s="9" t="s">
        <v>711</v>
      </c>
      <c r="I35" s="9" t="s">
        <v>675</v>
      </c>
      <c r="J35" s="11" t="n">
        <v>1.60711111111111</v>
      </c>
    </row>
    <row r="36" customFormat="false" ht="15" hidden="false" customHeight="false" outlineLevel="0" collapsed="false">
      <c r="A36" s="9" t="s">
        <v>774</v>
      </c>
      <c r="B36" s="9" t="s">
        <v>775</v>
      </c>
      <c r="C36" s="10" t="s">
        <v>776</v>
      </c>
      <c r="D36" s="9" t="s">
        <v>719</v>
      </c>
      <c r="E36" s="9" t="n">
        <v>15</v>
      </c>
      <c r="F36" s="9" t="s">
        <v>710</v>
      </c>
      <c r="G36" s="9" t="s">
        <v>671</v>
      </c>
      <c r="H36" s="9" t="s">
        <v>711</v>
      </c>
      <c r="I36" s="9" t="s">
        <v>675</v>
      </c>
      <c r="J36" s="11" t="n">
        <v>0.142679390737942</v>
      </c>
      <c r="K36" s="11" t="n">
        <v>0.142679390737942</v>
      </c>
      <c r="L36" s="11" t="n">
        <v>0.142679390737942</v>
      </c>
      <c r="M36" s="11" t="n">
        <v>0.0703975899347298</v>
      </c>
      <c r="N36" s="11" t="n">
        <v>0.0703975899347298</v>
      </c>
      <c r="O36" s="11" t="n">
        <v>0.0703975899347298</v>
      </c>
      <c r="P36" s="11" t="n">
        <v>0.0655864074968763</v>
      </c>
      <c r="Q36" s="11" t="n">
        <v>0.0655864074968763</v>
      </c>
      <c r="R36" s="11" t="n">
        <v>0.0655864074968763</v>
      </c>
      <c r="S36" s="11" t="n">
        <v>0.0400178434586299</v>
      </c>
      <c r="T36" s="11" t="n">
        <v>0.0400178434586299</v>
      </c>
      <c r="U36" s="11" t="n">
        <v>0.0400178434586299</v>
      </c>
      <c r="V36" s="11" t="n">
        <v>0.0272504145323638</v>
      </c>
      <c r="W36" s="11" t="n">
        <v>0.0272504145323638</v>
      </c>
      <c r="X36" s="11" t="n">
        <v>0.0272504145323638</v>
      </c>
    </row>
    <row r="37" customFormat="false" ht="15" hidden="false" customHeight="false" outlineLevel="0" collapsed="false">
      <c r="A37" s="9" t="s">
        <v>777</v>
      </c>
      <c r="B37" s="9" t="s">
        <v>778</v>
      </c>
      <c r="C37" s="10" t="s">
        <v>776</v>
      </c>
      <c r="D37" s="9" t="s">
        <v>719</v>
      </c>
      <c r="E37" s="9" t="n">
        <v>15</v>
      </c>
      <c r="F37" s="9" t="s">
        <v>710</v>
      </c>
      <c r="G37" s="9" t="s">
        <v>671</v>
      </c>
      <c r="H37" s="9" t="s">
        <v>711</v>
      </c>
      <c r="I37" s="9" t="s">
        <v>675</v>
      </c>
      <c r="J37" s="11" t="n">
        <v>0.00813235831640886</v>
      </c>
      <c r="K37" s="11" t="n">
        <v>0.00813235831640886</v>
      </c>
      <c r="L37" s="11" t="n">
        <v>0.00813235831640886</v>
      </c>
      <c r="M37" s="11" t="n">
        <v>0.00378530041866208</v>
      </c>
      <c r="N37" s="11" t="n">
        <v>0.00378530041866208</v>
      </c>
      <c r="O37" s="11" t="n">
        <v>0.00378530041866208</v>
      </c>
      <c r="P37" s="11" t="n">
        <v>0.00332896549749013</v>
      </c>
      <c r="Q37" s="11" t="n">
        <v>0.00332896549749013</v>
      </c>
      <c r="R37" s="11" t="n">
        <v>0.00332896549749013</v>
      </c>
      <c r="S37" s="11" t="n">
        <v>0.00220433968028437</v>
      </c>
      <c r="T37" s="11" t="n">
        <v>0.00220433968028437</v>
      </c>
      <c r="U37" s="11" t="n">
        <v>0.00220433968028437</v>
      </c>
      <c r="V37" s="11" t="n">
        <v>0.00143044852589726</v>
      </c>
      <c r="W37" s="11" t="n">
        <v>0.00143044852589726</v>
      </c>
      <c r="X37" s="11" t="n">
        <v>0.00143044852589726</v>
      </c>
    </row>
    <row r="38" customFormat="false" ht="15" hidden="false" customHeight="false" outlineLevel="0" collapsed="false">
      <c r="A38" s="9" t="s">
        <v>779</v>
      </c>
      <c r="B38" s="9" t="s">
        <v>780</v>
      </c>
      <c r="C38" s="10" t="s">
        <v>776</v>
      </c>
      <c r="D38" s="9" t="s">
        <v>719</v>
      </c>
      <c r="E38" s="9" t="n">
        <v>15</v>
      </c>
      <c r="F38" s="9" t="s">
        <v>710</v>
      </c>
      <c r="G38" s="9" t="s">
        <v>671</v>
      </c>
      <c r="H38" s="9" t="s">
        <v>711</v>
      </c>
      <c r="I38" s="9" t="s">
        <v>675</v>
      </c>
      <c r="J38" s="11" t="n">
        <v>0.0231462920032773</v>
      </c>
      <c r="K38" s="11" t="n">
        <v>0.0231462920032773</v>
      </c>
      <c r="L38" s="11" t="n">
        <v>0.0231462920032773</v>
      </c>
      <c r="M38" s="11" t="n">
        <v>0.0111975472382432</v>
      </c>
      <c r="N38" s="11" t="n">
        <v>0.0111975472382432</v>
      </c>
      <c r="O38" s="11" t="n">
        <v>0.0111975472382432</v>
      </c>
      <c r="P38" s="11" t="n">
        <v>0.0102273044724078</v>
      </c>
      <c r="Q38" s="11" t="n">
        <v>0.0102273044724078</v>
      </c>
      <c r="R38" s="11" t="n">
        <v>0.0102273044724078</v>
      </c>
      <c r="S38" s="11" t="n">
        <v>0.00642112099901794</v>
      </c>
      <c r="T38" s="11" t="n">
        <v>0.00642112099901794</v>
      </c>
      <c r="U38" s="11" t="n">
        <v>0.00642112099901794</v>
      </c>
      <c r="V38" s="11" t="n">
        <v>0.00430948556016603</v>
      </c>
      <c r="W38" s="11" t="n">
        <v>0.00430948556016603</v>
      </c>
      <c r="X38" s="11" t="n">
        <v>0.00430948556016603</v>
      </c>
    </row>
    <row r="39" customFormat="false" ht="15" hidden="false" customHeight="false" outlineLevel="0" collapsed="false">
      <c r="A39" s="9" t="s">
        <v>781</v>
      </c>
      <c r="B39" s="9" t="s">
        <v>782</v>
      </c>
      <c r="C39" s="10" t="s">
        <v>783</v>
      </c>
      <c r="D39" s="9" t="s">
        <v>784</v>
      </c>
      <c r="E39" s="9" t="n">
        <v>1</v>
      </c>
      <c r="F39" s="9" t="s">
        <v>710</v>
      </c>
      <c r="G39" s="9" t="s">
        <v>671</v>
      </c>
      <c r="H39" s="9" t="s">
        <v>711</v>
      </c>
      <c r="I39" s="9" t="s">
        <v>675</v>
      </c>
      <c r="J39" s="11" t="n">
        <v>8</v>
      </c>
    </row>
    <row r="40" customFormat="false" ht="15" hidden="false" customHeight="false" outlineLevel="0" collapsed="false">
      <c r="A40" s="9" t="s">
        <v>785</v>
      </c>
      <c r="B40" s="9" t="s">
        <v>786</v>
      </c>
      <c r="C40" s="10" t="s">
        <v>787</v>
      </c>
      <c r="D40" s="10" t="s">
        <v>788</v>
      </c>
      <c r="E40" s="9" t="n">
        <v>1</v>
      </c>
      <c r="F40" s="9" t="s">
        <v>710</v>
      </c>
      <c r="G40" s="9" t="s">
        <v>671</v>
      </c>
      <c r="H40" s="9" t="s">
        <v>711</v>
      </c>
      <c r="I40" s="9" t="s">
        <v>675</v>
      </c>
      <c r="J40" s="11" t="n">
        <v>4</v>
      </c>
    </row>
    <row r="41" customFormat="false" ht="15" hidden="false" customHeight="false" outlineLevel="0" collapsed="false">
      <c r="A41" s="9" t="s">
        <v>789</v>
      </c>
      <c r="B41" s="9" t="s">
        <v>790</v>
      </c>
      <c r="C41" s="9" t="s">
        <v>791</v>
      </c>
      <c r="D41" s="9" t="s">
        <v>56</v>
      </c>
      <c r="E41" s="9" t="n">
        <v>1</v>
      </c>
      <c r="F41" s="9" t="s">
        <v>710</v>
      </c>
      <c r="G41" s="9" t="s">
        <v>671</v>
      </c>
      <c r="H41" s="9" t="s">
        <v>711</v>
      </c>
      <c r="I41" s="9" t="s">
        <v>675</v>
      </c>
      <c r="J41" s="11" t="n">
        <v>8.4</v>
      </c>
    </row>
    <row r="42" customFormat="false" ht="15" hidden="false" customHeight="false" outlineLevel="0" collapsed="false">
      <c r="A42" s="9" t="s">
        <v>792</v>
      </c>
      <c r="B42" s="9" t="s">
        <v>793</v>
      </c>
      <c r="C42" s="9" t="s">
        <v>794</v>
      </c>
      <c r="D42" s="9" t="s">
        <v>56</v>
      </c>
      <c r="E42" s="9" t="n">
        <v>1</v>
      </c>
      <c r="F42" s="9" t="s">
        <v>710</v>
      </c>
      <c r="G42" s="9" t="s">
        <v>671</v>
      </c>
      <c r="H42" s="9" t="s">
        <v>711</v>
      </c>
      <c r="I42" s="9" t="s">
        <v>675</v>
      </c>
      <c r="J42" s="11" t="n">
        <v>3.9</v>
      </c>
    </row>
    <row r="43" customFormat="false" ht="15" hidden="false" customHeight="false" outlineLevel="0" collapsed="false">
      <c r="A43" s="9" t="s">
        <v>795</v>
      </c>
      <c r="B43" s="9" t="s">
        <v>796</v>
      </c>
      <c r="C43" s="9" t="s">
        <v>797</v>
      </c>
      <c r="D43" s="9" t="s">
        <v>56</v>
      </c>
      <c r="E43" s="9" t="n">
        <v>1</v>
      </c>
      <c r="F43" s="9" t="s">
        <v>710</v>
      </c>
      <c r="G43" s="9" t="s">
        <v>671</v>
      </c>
      <c r="H43" s="9" t="s">
        <v>711</v>
      </c>
      <c r="I43" s="9" t="s">
        <v>675</v>
      </c>
      <c r="J43" s="11" t="n">
        <v>12</v>
      </c>
    </row>
    <row r="44" customFormat="false" ht="15" hidden="false" customHeight="false" outlineLevel="0" collapsed="false">
      <c r="A44" s="9" t="s">
        <v>798</v>
      </c>
      <c r="B44" s="9" t="s">
        <v>799</v>
      </c>
      <c r="C44" s="9" t="s">
        <v>800</v>
      </c>
      <c r="D44" s="9" t="s">
        <v>56</v>
      </c>
      <c r="E44" s="9" t="n">
        <v>1</v>
      </c>
      <c r="F44" s="9" t="s">
        <v>710</v>
      </c>
      <c r="G44" s="9" t="s">
        <v>671</v>
      </c>
      <c r="H44" s="9" t="s">
        <v>711</v>
      </c>
      <c r="I44" s="9" t="s">
        <v>675</v>
      </c>
      <c r="J44" s="11" t="n">
        <v>13.07</v>
      </c>
    </row>
    <row r="45" customFormat="false" ht="15" hidden="false" customHeight="false" outlineLevel="0" collapsed="false">
      <c r="A45" s="9" t="s">
        <v>801</v>
      </c>
      <c r="B45" s="9" t="s">
        <v>802</v>
      </c>
      <c r="C45" s="9" t="s">
        <v>803</v>
      </c>
      <c r="D45" s="9" t="s">
        <v>363</v>
      </c>
      <c r="E45" s="9" t="n">
        <v>1</v>
      </c>
      <c r="F45" s="9" t="s">
        <v>710</v>
      </c>
      <c r="G45" s="9" t="s">
        <v>671</v>
      </c>
      <c r="H45" s="9" t="s">
        <v>711</v>
      </c>
      <c r="I45" s="9" t="s">
        <v>675</v>
      </c>
      <c r="J45" s="11" t="n">
        <v>0.6</v>
      </c>
    </row>
    <row r="46" customFormat="false" ht="15" hidden="false" customHeight="false" outlineLevel="0" collapsed="false">
      <c r="A46" s="9" t="s">
        <v>804</v>
      </c>
      <c r="B46" s="9" t="s">
        <v>805</v>
      </c>
      <c r="C46" s="9" t="s">
        <v>806</v>
      </c>
      <c r="D46" s="9" t="s">
        <v>363</v>
      </c>
      <c r="E46" s="9" t="n">
        <v>1</v>
      </c>
      <c r="F46" s="9" t="s">
        <v>710</v>
      </c>
      <c r="G46" s="9" t="s">
        <v>671</v>
      </c>
      <c r="H46" s="9" t="s">
        <v>711</v>
      </c>
      <c r="I46" s="9" t="s">
        <v>675</v>
      </c>
      <c r="J46" s="11" t="n">
        <v>1.9</v>
      </c>
    </row>
    <row r="47" customFormat="false" ht="15" hidden="false" customHeight="false" outlineLevel="0" collapsed="false">
      <c r="A47" s="9" t="s">
        <v>807</v>
      </c>
      <c r="B47" s="9" t="s">
        <v>808</v>
      </c>
      <c r="C47" s="9" t="s">
        <v>809</v>
      </c>
      <c r="D47" s="9" t="s">
        <v>115</v>
      </c>
      <c r="E47" s="9" t="n">
        <v>1</v>
      </c>
      <c r="F47" s="9" t="s">
        <v>710</v>
      </c>
      <c r="G47" s="9" t="s">
        <v>671</v>
      </c>
      <c r="H47" s="9" t="s">
        <v>711</v>
      </c>
      <c r="I47" s="9" t="s">
        <v>675</v>
      </c>
      <c r="J47" s="11" t="n">
        <v>6</v>
      </c>
    </row>
    <row r="48" customFormat="false" ht="15" hidden="false" customHeight="false" outlineLevel="0" collapsed="false">
      <c r="A48" s="9" t="s">
        <v>810</v>
      </c>
      <c r="B48" s="9" t="s">
        <v>811</v>
      </c>
      <c r="C48" s="9" t="s">
        <v>812</v>
      </c>
      <c r="D48" s="9" t="s">
        <v>115</v>
      </c>
      <c r="E48" s="9" t="n">
        <v>1</v>
      </c>
      <c r="F48" s="9" t="s">
        <v>710</v>
      </c>
      <c r="G48" s="9" t="s">
        <v>671</v>
      </c>
      <c r="H48" s="9" t="s">
        <v>711</v>
      </c>
      <c r="I48" s="9" t="s">
        <v>675</v>
      </c>
      <c r="J48" s="11" t="n">
        <v>15</v>
      </c>
    </row>
    <row r="49" customFormat="false" ht="15" hidden="false" customHeight="false" outlineLevel="0" collapsed="false">
      <c r="A49" s="9" t="s">
        <v>813</v>
      </c>
      <c r="B49" s="9" t="s">
        <v>814</v>
      </c>
      <c r="C49" s="9" t="s">
        <v>815</v>
      </c>
      <c r="D49" s="9" t="s">
        <v>540</v>
      </c>
      <c r="E49" s="9" t="n">
        <v>1</v>
      </c>
      <c r="F49" s="9" t="s">
        <v>710</v>
      </c>
      <c r="G49" s="9" t="s">
        <v>671</v>
      </c>
      <c r="H49" s="9" t="s">
        <v>711</v>
      </c>
      <c r="I49" s="9" t="s">
        <v>675</v>
      </c>
      <c r="J49" s="11" t="n">
        <v>2.5</v>
      </c>
    </row>
    <row r="50" customFormat="false" ht="15" hidden="false" customHeight="false" outlineLevel="0" collapsed="false">
      <c r="A50" s="9" t="s">
        <v>816</v>
      </c>
      <c r="B50" s="9" t="s">
        <v>817</v>
      </c>
      <c r="C50" s="10" t="s">
        <v>818</v>
      </c>
      <c r="D50" s="9" t="s">
        <v>819</v>
      </c>
      <c r="E50" s="9" t="n">
        <v>1</v>
      </c>
      <c r="F50" s="9" t="s">
        <v>710</v>
      </c>
      <c r="G50" s="9" t="s">
        <v>671</v>
      </c>
      <c r="H50" s="9" t="s">
        <v>711</v>
      </c>
      <c r="I50" s="9" t="s">
        <v>675</v>
      </c>
      <c r="J50" s="11"/>
    </row>
    <row r="51" customFormat="false" ht="15" hidden="false" customHeight="false" outlineLevel="0" collapsed="false">
      <c r="A51" s="9" t="s">
        <v>820</v>
      </c>
      <c r="B51" s="9" t="s">
        <v>821</v>
      </c>
      <c r="C51" s="10" t="s">
        <v>818</v>
      </c>
      <c r="D51" s="9" t="s">
        <v>819</v>
      </c>
      <c r="E51" s="9" t="n">
        <v>1</v>
      </c>
      <c r="F51" s="9" t="s">
        <v>710</v>
      </c>
      <c r="G51" s="9" t="s">
        <v>671</v>
      </c>
      <c r="H51" s="9" t="s">
        <v>711</v>
      </c>
      <c r="I51" s="9" t="s">
        <v>675</v>
      </c>
      <c r="J51" s="11" t="n">
        <v>10</v>
      </c>
    </row>
    <row r="52" customFormat="false" ht="15" hidden="false" customHeight="false" outlineLevel="0" collapsed="false">
      <c r="A52" s="9" t="s">
        <v>822</v>
      </c>
      <c r="B52" s="9" t="s">
        <v>823</v>
      </c>
      <c r="C52" s="10" t="s">
        <v>818</v>
      </c>
      <c r="D52" s="9" t="s">
        <v>819</v>
      </c>
      <c r="E52" s="9" t="n">
        <v>1</v>
      </c>
      <c r="F52" s="9" t="s">
        <v>710</v>
      </c>
      <c r="G52" s="9" t="s">
        <v>671</v>
      </c>
      <c r="H52" s="9" t="s">
        <v>711</v>
      </c>
      <c r="I52" s="9" t="s">
        <v>675</v>
      </c>
      <c r="J52" s="11" t="n">
        <v>100</v>
      </c>
    </row>
    <row r="53" customFormat="false" ht="15" hidden="false" customHeight="false" outlineLevel="0" collapsed="false">
      <c r="A53" s="9" t="s">
        <v>824</v>
      </c>
      <c r="B53" s="9" t="s">
        <v>825</v>
      </c>
      <c r="C53" s="10" t="s">
        <v>826</v>
      </c>
      <c r="D53" s="9" t="s">
        <v>719</v>
      </c>
      <c r="E53" s="9" t="n">
        <v>1</v>
      </c>
      <c r="F53" s="9" t="s">
        <v>710</v>
      </c>
      <c r="G53" s="9" t="s">
        <v>671</v>
      </c>
      <c r="H53" s="9" t="s">
        <v>711</v>
      </c>
      <c r="I53" s="9" t="s">
        <v>675</v>
      </c>
      <c r="J53" s="11" t="n">
        <v>0.63609601991434</v>
      </c>
    </row>
    <row r="54" customFormat="false" ht="15" hidden="false" customHeight="false" outlineLevel="0" collapsed="false">
      <c r="A54" s="9" t="s">
        <v>827</v>
      </c>
      <c r="B54" s="9" t="s">
        <v>828</v>
      </c>
      <c r="C54" s="10" t="s">
        <v>829</v>
      </c>
      <c r="D54" s="9" t="s">
        <v>719</v>
      </c>
      <c r="E54" s="9" t="n">
        <v>1</v>
      </c>
      <c r="F54" s="9" t="s">
        <v>710</v>
      </c>
      <c r="G54" s="9" t="s">
        <v>671</v>
      </c>
      <c r="H54" s="9" t="s">
        <v>711</v>
      </c>
      <c r="I54" s="9" t="s">
        <v>675</v>
      </c>
      <c r="J54" s="11" t="n">
        <v>0.667220154597978</v>
      </c>
    </row>
    <row r="55" customFormat="false" ht="15" hidden="false" customHeight="false" outlineLevel="0" collapsed="false">
      <c r="A55" s="9" t="s">
        <v>830</v>
      </c>
      <c r="B55" s="9" t="s">
        <v>831</v>
      </c>
      <c r="C55" s="10" t="s">
        <v>832</v>
      </c>
      <c r="D55" s="9" t="s">
        <v>719</v>
      </c>
      <c r="E55" s="9" t="n">
        <v>1</v>
      </c>
      <c r="F55" s="9" t="s">
        <v>710</v>
      </c>
      <c r="G55" s="9" t="s">
        <v>671</v>
      </c>
      <c r="H55" s="9" t="s">
        <v>711</v>
      </c>
      <c r="I55" s="9" t="s">
        <v>675</v>
      </c>
      <c r="J55" s="11" t="n">
        <v>0.663556558253475</v>
      </c>
    </row>
    <row r="56" customFormat="false" ht="15" hidden="false" customHeight="false" outlineLevel="0" collapsed="false">
      <c r="A56" s="9" t="s">
        <v>833</v>
      </c>
      <c r="B56" s="9" t="s">
        <v>834</v>
      </c>
      <c r="C56" s="10" t="s">
        <v>835</v>
      </c>
      <c r="D56" s="9" t="s">
        <v>363</v>
      </c>
      <c r="E56" s="9" t="n">
        <v>1</v>
      </c>
      <c r="F56" s="9" t="s">
        <v>710</v>
      </c>
      <c r="G56" s="9" t="s">
        <v>671</v>
      </c>
      <c r="H56" s="9" t="s">
        <v>711</v>
      </c>
      <c r="I56" s="9" t="s">
        <v>675</v>
      </c>
      <c r="J56" s="11" t="n">
        <v>0.0518797846974362</v>
      </c>
    </row>
    <row r="57" customFormat="false" ht="15" hidden="false" customHeight="false" outlineLevel="0" collapsed="false">
      <c r="A57" s="9" t="s">
        <v>836</v>
      </c>
      <c r="B57" s="9" t="s">
        <v>837</v>
      </c>
      <c r="C57" s="10" t="s">
        <v>838</v>
      </c>
      <c r="D57" s="9" t="s">
        <v>839</v>
      </c>
      <c r="E57" s="9" t="n">
        <v>1</v>
      </c>
      <c r="F57" s="9" t="s">
        <v>710</v>
      </c>
      <c r="G57" s="9" t="s">
        <v>671</v>
      </c>
      <c r="H57" s="9" t="s">
        <v>711</v>
      </c>
      <c r="I57" s="9" t="s">
        <v>675</v>
      </c>
      <c r="J57" s="11" t="n">
        <v>0.0906847035646163</v>
      </c>
    </row>
    <row r="58" customFormat="false" ht="15" hidden="false" customHeight="false" outlineLevel="0" collapsed="false">
      <c r="A58" s="9" t="s">
        <v>840</v>
      </c>
      <c r="B58" s="9" t="s">
        <v>841</v>
      </c>
      <c r="C58" s="10" t="s">
        <v>842</v>
      </c>
      <c r="D58" s="9" t="s">
        <v>709</v>
      </c>
      <c r="E58" s="9" t="n">
        <v>1</v>
      </c>
      <c r="F58" s="9" t="s">
        <v>710</v>
      </c>
      <c r="G58" s="9" t="s">
        <v>671</v>
      </c>
      <c r="H58" s="9" t="s">
        <v>711</v>
      </c>
      <c r="I58" s="9" t="s">
        <v>675</v>
      </c>
      <c r="J58" s="11" t="n">
        <v>4190200000</v>
      </c>
    </row>
    <row r="59" customFormat="false" ht="15" hidden="false" customHeight="false" outlineLevel="0" collapsed="false">
      <c r="A59" s="9" t="s">
        <v>843</v>
      </c>
      <c r="B59" s="9" t="s">
        <v>844</v>
      </c>
      <c r="C59" s="10" t="s">
        <v>845</v>
      </c>
      <c r="D59" s="10" t="s">
        <v>846</v>
      </c>
      <c r="E59" s="9" t="n">
        <v>1</v>
      </c>
      <c r="F59" s="9" t="s">
        <v>710</v>
      </c>
      <c r="G59" s="9" t="s">
        <v>671</v>
      </c>
      <c r="H59" s="9" t="s">
        <v>711</v>
      </c>
      <c r="I59" s="9" t="s">
        <v>675</v>
      </c>
      <c r="J59" s="11" t="n">
        <v>1.52362137919411</v>
      </c>
    </row>
    <row r="60" customFormat="false" ht="15" hidden="false" customHeight="false" outlineLevel="0" collapsed="false">
      <c r="A60" s="9" t="s">
        <v>847</v>
      </c>
      <c r="B60" s="9" t="s">
        <v>848</v>
      </c>
      <c r="C60" s="10" t="s">
        <v>849</v>
      </c>
      <c r="D60" s="9" t="s">
        <v>850</v>
      </c>
      <c r="E60" s="9" t="n">
        <v>15</v>
      </c>
      <c r="F60" s="9" t="s">
        <v>710</v>
      </c>
      <c r="G60" s="9" t="s">
        <v>671</v>
      </c>
      <c r="H60" s="9" t="s">
        <v>711</v>
      </c>
      <c r="I60" s="9" t="s">
        <v>675</v>
      </c>
      <c r="J60" s="11" t="n">
        <v>124.845239333062</v>
      </c>
      <c r="K60" s="11" t="n">
        <v>180.057740229558</v>
      </c>
      <c r="L60" s="11" t="n">
        <v>310.434186156141</v>
      </c>
      <c r="M60" s="11" t="n">
        <v>59.9538166457782</v>
      </c>
      <c r="N60" s="11" t="n">
        <v>80.7018780387141</v>
      </c>
      <c r="O60" s="11" t="n">
        <v>131.291756246702</v>
      </c>
      <c r="P60" s="11" t="n">
        <v>71.3864657110668</v>
      </c>
      <c r="Q60" s="11" t="n">
        <v>104.321299974554</v>
      </c>
      <c r="R60" s="11" t="n">
        <v>195.708768879222</v>
      </c>
      <c r="S60" s="11" t="n">
        <v>49.2053430691912</v>
      </c>
      <c r="T60" s="11" t="n">
        <v>63.8385436939176</v>
      </c>
      <c r="U60" s="11" t="n">
        <v>103.43656818684</v>
      </c>
      <c r="V60" s="11" t="n">
        <v>35.603489581288</v>
      </c>
      <c r="W60" s="11" t="n">
        <v>54.7374194642521</v>
      </c>
      <c r="X60" s="11" t="n">
        <v>100.33130878097</v>
      </c>
    </row>
    <row r="61" customFormat="false" ht="15" hidden="false" customHeight="false" outlineLevel="0" collapsed="false">
      <c r="A61" s="9" t="s">
        <v>851</v>
      </c>
      <c r="B61" s="9" t="s">
        <v>852</v>
      </c>
      <c r="C61" s="10" t="s">
        <v>849</v>
      </c>
      <c r="D61" s="9" t="s">
        <v>850</v>
      </c>
      <c r="E61" s="9" t="n">
        <v>15</v>
      </c>
      <c r="F61" s="9" t="s">
        <v>710</v>
      </c>
      <c r="G61" s="9" t="s">
        <v>671</v>
      </c>
      <c r="H61" s="9" t="s">
        <v>711</v>
      </c>
      <c r="I61" s="9" t="s">
        <v>675</v>
      </c>
      <c r="J61" s="11" t="n">
        <v>7.1158575538008</v>
      </c>
      <c r="K61" s="11" t="n">
        <v>10.2628281044394</v>
      </c>
      <c r="L61" s="11" t="n">
        <v>17.6939502084177</v>
      </c>
      <c r="M61" s="11" t="n">
        <v>3.22373546395647</v>
      </c>
      <c r="N61" s="11" t="n">
        <v>4.33936521136578</v>
      </c>
      <c r="O61" s="11" t="n">
        <v>7.05959877814428</v>
      </c>
      <c r="P61" s="11" t="n">
        <v>3.62335871729553</v>
      </c>
      <c r="Q61" s="11" t="n">
        <v>5.29503019791332</v>
      </c>
      <c r="R61" s="11" t="n">
        <v>9.93357867918331</v>
      </c>
      <c r="S61" s="11" t="n">
        <v>2.71042317214205</v>
      </c>
      <c r="T61" s="11" t="n">
        <v>3.51647722200591</v>
      </c>
      <c r="U61" s="11" t="n">
        <v>5.69769162804601</v>
      </c>
      <c r="V61" s="11" t="n">
        <v>1.86892420032239</v>
      </c>
      <c r="W61" s="11" t="n">
        <v>2.87331632665873</v>
      </c>
      <c r="X61" s="11" t="n">
        <v>5.26666383649436</v>
      </c>
    </row>
    <row r="62" customFormat="false" ht="15" hidden="false" customHeight="false" outlineLevel="0" collapsed="false">
      <c r="A62" s="9" t="s">
        <v>853</v>
      </c>
      <c r="B62" s="9" t="s">
        <v>854</v>
      </c>
      <c r="C62" s="10" t="s">
        <v>849</v>
      </c>
      <c r="D62" s="9" t="s">
        <v>850</v>
      </c>
      <c r="E62" s="9" t="n">
        <v>15</v>
      </c>
      <c r="F62" s="9" t="s">
        <v>710</v>
      </c>
      <c r="G62" s="9" t="s">
        <v>671</v>
      </c>
      <c r="H62" s="9" t="s">
        <v>711</v>
      </c>
      <c r="I62" s="9" t="s">
        <v>675</v>
      </c>
      <c r="J62" s="11" t="n">
        <v>20.2531308122109</v>
      </c>
      <c r="K62" s="11" t="n">
        <v>29.2100282405771</v>
      </c>
      <c r="L62" s="11" t="n">
        <v>50.3604639983862</v>
      </c>
      <c r="M62" s="11" t="n">
        <v>9.53634484684077</v>
      </c>
      <c r="N62" s="11" t="n">
        <v>12.8365629049415</v>
      </c>
      <c r="O62" s="11" t="n">
        <v>20.8834655266952</v>
      </c>
      <c r="P62" s="11" t="n">
        <v>11.13174433393</v>
      </c>
      <c r="Q62" s="11" t="n">
        <v>16.2674819145715</v>
      </c>
      <c r="R62" s="11" t="n">
        <v>30.5181095235811</v>
      </c>
      <c r="S62" s="11" t="n">
        <v>7.89531454817388</v>
      </c>
      <c r="T62" s="11" t="n">
        <v>10.2433059363508</v>
      </c>
      <c r="U62" s="11" t="n">
        <v>16.5970642755273</v>
      </c>
      <c r="V62" s="11" t="n">
        <v>5.63047303591872</v>
      </c>
      <c r="W62" s="11" t="n">
        <v>8.65638643778396</v>
      </c>
      <c r="X62" s="11" t="n">
        <v>15.8667797846025</v>
      </c>
    </row>
    <row r="63" customFormat="false" ht="15" hidden="false" customHeight="false" outlineLevel="0" collapsed="false">
      <c r="A63" s="9" t="s">
        <v>855</v>
      </c>
      <c r="B63" s="9" t="s">
        <v>856</v>
      </c>
      <c r="C63" s="10" t="s">
        <v>857</v>
      </c>
      <c r="D63" s="9" t="s">
        <v>723</v>
      </c>
      <c r="E63" s="9" t="n">
        <v>15</v>
      </c>
      <c r="F63" s="9" t="s">
        <v>710</v>
      </c>
      <c r="G63" s="9" t="s">
        <v>671</v>
      </c>
      <c r="H63" s="9" t="s">
        <v>711</v>
      </c>
      <c r="I63" s="9" t="s">
        <v>675</v>
      </c>
      <c r="J63" s="11" t="n">
        <v>18.6899868774826</v>
      </c>
      <c r="K63" s="11" t="n">
        <v>18.6899868774826</v>
      </c>
      <c r="L63" s="11" t="n">
        <v>18.6899868774826</v>
      </c>
      <c r="M63" s="11" t="n">
        <v>96.6283848132214</v>
      </c>
      <c r="N63" s="11" t="n">
        <v>96.6283848132214</v>
      </c>
      <c r="O63" s="11" t="n">
        <v>96.6283848132214</v>
      </c>
      <c r="P63" s="11" t="n">
        <v>116.841337205439</v>
      </c>
      <c r="Q63" s="11" t="n">
        <v>116.841337205439</v>
      </c>
      <c r="R63" s="11" t="n">
        <v>116.841337205439</v>
      </c>
      <c r="S63" s="11" t="n">
        <v>246.697456312585</v>
      </c>
      <c r="T63" s="11" t="n">
        <v>246.697456312585</v>
      </c>
      <c r="U63" s="11" t="n">
        <v>246.697456312585</v>
      </c>
      <c r="V63" s="11" t="n">
        <v>358.71180915499</v>
      </c>
      <c r="W63" s="11" t="n">
        <v>358.71180915499</v>
      </c>
      <c r="X63" s="11" t="n">
        <v>358.71180915499</v>
      </c>
    </row>
    <row r="64" customFormat="false" ht="15" hidden="false" customHeight="false" outlineLevel="0" collapsed="false">
      <c r="A64" s="9" t="s">
        <v>858</v>
      </c>
      <c r="B64" s="9" t="s">
        <v>859</v>
      </c>
      <c r="C64" s="10" t="s">
        <v>857</v>
      </c>
      <c r="D64" s="9" t="s">
        <v>723</v>
      </c>
      <c r="E64" s="9" t="n">
        <v>15</v>
      </c>
      <c r="F64" s="9" t="s">
        <v>710</v>
      </c>
      <c r="G64" s="9" t="s">
        <v>671</v>
      </c>
      <c r="H64" s="9" t="s">
        <v>711</v>
      </c>
      <c r="I64" s="9" t="s">
        <v>675</v>
      </c>
      <c r="J64" s="11" t="n">
        <v>3.57102907624799</v>
      </c>
      <c r="K64" s="11" t="n">
        <v>3.57102907624799</v>
      </c>
      <c r="L64" s="11" t="n">
        <v>3.57102907624799</v>
      </c>
      <c r="M64" s="11" t="n">
        <v>17.4680230535144</v>
      </c>
      <c r="N64" s="11" t="n">
        <v>17.4680230535144</v>
      </c>
      <c r="O64" s="11" t="n">
        <v>17.4680230535144</v>
      </c>
      <c r="P64" s="11" t="n">
        <v>25.4312759220773</v>
      </c>
      <c r="Q64" s="11" t="n">
        <v>25.4312759220773</v>
      </c>
      <c r="R64" s="11" t="n">
        <v>25.4312759220773</v>
      </c>
      <c r="S64" s="11" t="n">
        <v>37.2582226398973</v>
      </c>
      <c r="T64" s="11" t="n">
        <v>37.2582226398973</v>
      </c>
      <c r="U64" s="11" t="n">
        <v>37.2582226398973</v>
      </c>
      <c r="V64" s="11" t="n">
        <v>50.3527379522069</v>
      </c>
      <c r="W64" s="11" t="n">
        <v>50.3527379522069</v>
      </c>
      <c r="X64" s="11" t="n">
        <v>50.3527379522069</v>
      </c>
    </row>
    <row r="65" customFormat="false" ht="15" hidden="false" customHeight="false" outlineLevel="0" collapsed="false">
      <c r="A65" s="9" t="s">
        <v>860</v>
      </c>
      <c r="B65" s="9" t="s">
        <v>861</v>
      </c>
      <c r="C65" s="10" t="s">
        <v>857</v>
      </c>
      <c r="D65" s="9" t="s">
        <v>723</v>
      </c>
      <c r="E65" s="9" t="n">
        <v>15</v>
      </c>
      <c r="F65" s="9" t="s">
        <v>710</v>
      </c>
      <c r="G65" s="9" t="s">
        <v>671</v>
      </c>
      <c r="H65" s="9" t="s">
        <v>711</v>
      </c>
      <c r="I65" s="9" t="s">
        <v>675</v>
      </c>
      <c r="J65" s="11" t="n">
        <v>20.7225049979976</v>
      </c>
      <c r="K65" s="11" t="n">
        <v>20.7225049979976</v>
      </c>
      <c r="L65" s="11" t="n">
        <v>20.7225049979976</v>
      </c>
      <c r="M65" s="11" t="n">
        <v>100.404653415384</v>
      </c>
      <c r="N65" s="11" t="n">
        <v>100.404653415384</v>
      </c>
      <c r="O65" s="11" t="n">
        <v>100.404653415384</v>
      </c>
      <c r="P65" s="11" t="n">
        <v>146.176727443319</v>
      </c>
      <c r="Q65" s="11" t="n">
        <v>146.176727443319</v>
      </c>
      <c r="R65" s="11" t="n">
        <v>146.176727443319</v>
      </c>
      <c r="S65" s="11" t="n">
        <v>228.808271164193</v>
      </c>
      <c r="T65" s="11" t="n">
        <v>228.808271164193</v>
      </c>
      <c r="U65" s="11" t="n">
        <v>228.808271164193</v>
      </c>
      <c r="V65" s="11" t="n">
        <v>314.529969229019</v>
      </c>
      <c r="W65" s="11" t="n">
        <v>314.529969229019</v>
      </c>
      <c r="X65" s="11" t="n">
        <v>314.529969229019</v>
      </c>
    </row>
    <row r="66" customFormat="false" ht="15" hidden="false" customHeight="false" outlineLevel="0" collapsed="false">
      <c r="A66" s="9" t="s">
        <v>862</v>
      </c>
      <c r="B66" s="9" t="s">
        <v>863</v>
      </c>
      <c r="C66" s="10" t="s">
        <v>864</v>
      </c>
      <c r="D66" s="9" t="s">
        <v>727</v>
      </c>
      <c r="E66" s="9" t="n">
        <v>15</v>
      </c>
      <c r="F66" s="9" t="s">
        <v>710</v>
      </c>
      <c r="G66" s="9" t="s">
        <v>671</v>
      </c>
      <c r="H66" s="9" t="s">
        <v>711</v>
      </c>
      <c r="I66" s="9" t="s">
        <v>675</v>
      </c>
      <c r="J66" s="11" t="n">
        <v>12.1259494958246</v>
      </c>
      <c r="K66" s="11" t="n">
        <v>17.4882236341092</v>
      </c>
      <c r="L66" s="11" t="n">
        <v>30.1504691923057</v>
      </c>
      <c r="M66" s="11" t="n">
        <v>2.47874275603365</v>
      </c>
      <c r="N66" s="11" t="n">
        <v>3.33624632374847</v>
      </c>
      <c r="O66" s="11" t="n">
        <v>5.42709231808209</v>
      </c>
      <c r="P66" s="11" t="n">
        <v>2.50359127783313</v>
      </c>
      <c r="Q66" s="11" t="n">
        <v>3.65821842869405</v>
      </c>
      <c r="R66" s="11" t="n">
        <v>6.86207401823829</v>
      </c>
      <c r="S66" s="11" t="n">
        <v>1.43636730002922</v>
      </c>
      <c r="T66" s="11" t="n">
        <v>1.86327342843922</v>
      </c>
      <c r="U66" s="11" t="n">
        <v>3.01849843781912</v>
      </c>
      <c r="V66" s="11" t="n">
        <v>1.06974114187471</v>
      </c>
      <c r="W66" s="11" t="n">
        <v>1.64418091652518</v>
      </c>
      <c r="X66" s="11" t="n">
        <v>3.01300288173229</v>
      </c>
    </row>
    <row r="67" customFormat="false" ht="15" hidden="false" customHeight="false" outlineLevel="0" collapsed="false">
      <c r="A67" s="9" t="s">
        <v>865</v>
      </c>
      <c r="B67" s="9" t="s">
        <v>866</v>
      </c>
      <c r="C67" s="10" t="s">
        <v>864</v>
      </c>
      <c r="D67" s="9" t="s">
        <v>727</v>
      </c>
      <c r="E67" s="9" t="n">
        <v>15</v>
      </c>
      <c r="F67" s="9" t="s">
        <v>710</v>
      </c>
      <c r="G67" s="9" t="s">
        <v>671</v>
      </c>
      <c r="H67" s="9" t="s">
        <v>711</v>
      </c>
      <c r="I67" s="9" t="s">
        <v>675</v>
      </c>
      <c r="J67" s="11" t="n">
        <v>0.14312525381939</v>
      </c>
      <c r="K67" s="11" t="n">
        <v>0.206416687105845</v>
      </c>
      <c r="L67" s="11" t="n">
        <v>0.355870379575896</v>
      </c>
      <c r="M67" s="11" t="n">
        <v>0.0305159047022073</v>
      </c>
      <c r="N67" s="11" t="n">
        <v>0.0410722884251396</v>
      </c>
      <c r="O67" s="11" t="n">
        <v>0.0668118578598896</v>
      </c>
      <c r="P67" s="11" t="n">
        <v>0.026689888040409</v>
      </c>
      <c r="Q67" s="11" t="n">
        <v>0.0389980126855996</v>
      </c>
      <c r="R67" s="11" t="n">
        <v>0.0731505561381752</v>
      </c>
      <c r="S67" s="11" t="n">
        <v>0.0204678080994292</v>
      </c>
      <c r="T67" s="11" t="n">
        <v>0.0265511244968956</v>
      </c>
      <c r="U67" s="11" t="n">
        <v>0.043012821283724</v>
      </c>
      <c r="V67" s="11" t="n">
        <v>0.0159747161030332</v>
      </c>
      <c r="W67" s="11" t="n">
        <v>0.0245532903975434</v>
      </c>
      <c r="X67" s="11" t="n">
        <v>0.0449950171767023</v>
      </c>
    </row>
    <row r="68" customFormat="false" ht="15" hidden="false" customHeight="false" outlineLevel="0" collapsed="false">
      <c r="A68" s="9" t="s">
        <v>867</v>
      </c>
      <c r="B68" s="9" t="s">
        <v>868</v>
      </c>
      <c r="C68" s="10" t="s">
        <v>864</v>
      </c>
      <c r="D68" s="9" t="s">
        <v>727</v>
      </c>
      <c r="E68" s="9" t="n">
        <v>15</v>
      </c>
      <c r="F68" s="9" t="s">
        <v>710</v>
      </c>
      <c r="G68" s="9" t="s">
        <v>671</v>
      </c>
      <c r="H68" s="9" t="s">
        <v>711</v>
      </c>
      <c r="I68" s="9" t="s">
        <v>675</v>
      </c>
      <c r="J68" s="11" t="n">
        <v>0.652311022264843</v>
      </c>
      <c r="K68" s="11" t="n">
        <v>0.940780187403963</v>
      </c>
      <c r="L68" s="11" t="n">
        <v>1.62195897661968</v>
      </c>
      <c r="M68" s="11" t="n">
        <v>0.139221764502238</v>
      </c>
      <c r="N68" s="11" t="n">
        <v>0.187391181616638</v>
      </c>
      <c r="O68" s="11" t="n">
        <v>0.304842393034249</v>
      </c>
      <c r="P68" s="11" t="n">
        <v>0.124510333313163</v>
      </c>
      <c r="Q68" s="11" t="n">
        <v>0.181940203763427</v>
      </c>
      <c r="R68" s="11" t="n">
        <v>0.341296417855299</v>
      </c>
      <c r="S68" s="11" t="n">
        <v>0.0863304123367692</v>
      </c>
      <c r="T68" s="11" t="n">
        <v>0.111995045760437</v>
      </c>
      <c r="U68" s="11" t="n">
        <v>0.181444567363731</v>
      </c>
      <c r="V68" s="11" t="n">
        <v>0.0658875303105049</v>
      </c>
      <c r="W68" s="11" t="n">
        <v>0.101280089037722</v>
      </c>
      <c r="X68" s="11" t="n">
        <v>0.185616365752151</v>
      </c>
    </row>
    <row r="69" customFormat="false" ht="15" hidden="false" customHeight="false" outlineLevel="0" collapsed="false">
      <c r="A69" s="9" t="s">
        <v>869</v>
      </c>
      <c r="B69" s="9" t="s">
        <v>870</v>
      </c>
      <c r="C69" s="10" t="s">
        <v>871</v>
      </c>
      <c r="D69" s="9" t="s">
        <v>723</v>
      </c>
      <c r="E69" s="9" t="n">
        <v>1</v>
      </c>
      <c r="F69" s="9" t="s">
        <v>710</v>
      </c>
      <c r="G69" s="9" t="s">
        <v>671</v>
      </c>
      <c r="H69" s="9" t="s">
        <v>711</v>
      </c>
      <c r="I69" s="9" t="s">
        <v>675</v>
      </c>
      <c r="J69" s="11" t="n">
        <v>1.15731961755801</v>
      </c>
    </row>
    <row r="70" customFormat="false" ht="15" hidden="false" customHeight="false" outlineLevel="0" collapsed="false">
      <c r="A70" s="9" t="s">
        <v>872</v>
      </c>
      <c r="B70" s="9" t="s">
        <v>873</v>
      </c>
      <c r="C70" s="10" t="s">
        <v>874</v>
      </c>
      <c r="D70" s="9" t="s">
        <v>723</v>
      </c>
      <c r="E70" s="9" t="n">
        <v>1</v>
      </c>
      <c r="F70" s="9" t="s">
        <v>710</v>
      </c>
      <c r="G70" s="9" t="s">
        <v>671</v>
      </c>
      <c r="H70" s="9" t="s">
        <v>711</v>
      </c>
      <c r="I70" s="9" t="s">
        <v>675</v>
      </c>
      <c r="J70" s="11" t="n">
        <v>0.578659808779004</v>
      </c>
    </row>
    <row r="71" customFormat="false" ht="15" hidden="false" customHeight="false" outlineLevel="0" collapsed="false">
      <c r="A71" s="9" t="s">
        <v>875</v>
      </c>
      <c r="B71" s="9" t="s">
        <v>876</v>
      </c>
      <c r="C71" s="10" t="s">
        <v>877</v>
      </c>
      <c r="D71" s="9" t="s">
        <v>723</v>
      </c>
      <c r="E71" s="9" t="n">
        <v>1</v>
      </c>
      <c r="F71" s="9" t="s">
        <v>710</v>
      </c>
      <c r="G71" s="9" t="s">
        <v>671</v>
      </c>
      <c r="H71" s="9" t="s">
        <v>711</v>
      </c>
      <c r="I71" s="9" t="s">
        <v>675</v>
      </c>
      <c r="J71" s="11" t="n">
        <v>8.10123732290606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7" min="6" style="0" width="8"/>
    <col collapsed="false" customWidth="true" hidden="false" outlineLevel="0" max="8" min="8" style="0" width="18"/>
    <col collapsed="false" customWidth="true" hidden="false" outlineLevel="0" max="9" min="9" style="0" width="10"/>
    <col collapsed="false" customWidth="true" hidden="false" outlineLevel="0" max="10" min="10" style="0" width="30"/>
    <col collapsed="false" customWidth="true" hidden="false" outlineLevel="0" max="11" min="11" style="0" width="40"/>
    <col collapsed="false" customWidth="true" hidden="false" outlineLevel="0" max="12" min="12" style="0" width="60"/>
  </cols>
  <sheetData>
    <row r="1" customFormat="false" ht="20.1" hidden="false" customHeight="false" outlineLevel="0" collapsed="false">
      <c r="A1" s="1" t="s">
        <v>878</v>
      </c>
    </row>
    <row r="2" customFormat="false" ht="15" hidden="false" customHeight="false" outlineLevel="0" collapsed="false">
      <c r="A2" s="2" t="s">
        <v>879</v>
      </c>
    </row>
    <row r="3" customFormat="false" ht="15" hidden="false" customHeight="false" outlineLevel="0" collapsed="false">
      <c r="A3" s="2" t="s">
        <v>880</v>
      </c>
    </row>
    <row r="4" customFormat="false" ht="44" hidden="false" customHeight="false" outlineLevel="0" collapsed="false">
      <c r="A4" s="7" t="s">
        <v>881</v>
      </c>
      <c r="B4" s="8" t="s">
        <v>882</v>
      </c>
      <c r="C4" s="8" t="s">
        <v>788</v>
      </c>
      <c r="D4" s="8" t="s">
        <v>34</v>
      </c>
      <c r="E4" s="8" t="s">
        <v>883</v>
      </c>
      <c r="F4" s="8" t="s">
        <v>32</v>
      </c>
      <c r="G4" s="8" t="s">
        <v>33</v>
      </c>
      <c r="H4" s="8" t="s">
        <v>22</v>
      </c>
      <c r="I4" s="7" t="s">
        <v>884</v>
      </c>
      <c r="J4" s="8" t="s">
        <v>43</v>
      </c>
      <c r="K4" s="7" t="s">
        <v>47</v>
      </c>
      <c r="L4" s="8" t="s">
        <v>49</v>
      </c>
      <c r="M4" s="8" t="s">
        <v>52</v>
      </c>
    </row>
    <row r="5" customFormat="false" ht="15" hidden="false" customHeight="false" outlineLevel="0" collapsed="false">
      <c r="A5" s="9" t="s">
        <v>885</v>
      </c>
      <c r="B5" s="10" t="s">
        <v>886</v>
      </c>
      <c r="C5" s="9" t="s">
        <v>59</v>
      </c>
      <c r="D5" s="10" t="s">
        <v>140</v>
      </c>
      <c r="E5" s="11" t="n">
        <v>2025</v>
      </c>
      <c r="F5" s="9"/>
      <c r="G5" s="9"/>
      <c r="H5" s="9" t="s">
        <v>887</v>
      </c>
      <c r="I5" s="9" t="s">
        <v>59</v>
      </c>
      <c r="J5" s="9" t="s">
        <v>888</v>
      </c>
      <c r="K5" s="9" t="s">
        <v>889</v>
      </c>
      <c r="L5" s="9"/>
      <c r="M5" s="9" t="n">
        <f aca="false">IF(AND(ISNUMBER($E5),ISNUMBER($F5),ISNUMBER($G5)),IF(AND($F5&lt;=$E5,$E5&lt;=$G5),0,1),0)</f>
        <v>0</v>
      </c>
    </row>
    <row r="6" customFormat="false" ht="15" hidden="false" customHeight="false" outlineLevel="0" collapsed="false">
      <c r="A6" s="9" t="s">
        <v>890</v>
      </c>
      <c r="B6" s="10" t="s">
        <v>891</v>
      </c>
      <c r="C6" s="9" t="s">
        <v>59</v>
      </c>
      <c r="D6" s="10" t="s">
        <v>140</v>
      </c>
      <c r="E6" s="11" t="n">
        <v>2025</v>
      </c>
      <c r="F6" s="9"/>
      <c r="G6" s="9"/>
      <c r="H6" s="9" t="s">
        <v>887</v>
      </c>
      <c r="I6" s="9" t="s">
        <v>59</v>
      </c>
      <c r="J6" s="9" t="s">
        <v>888</v>
      </c>
      <c r="K6" s="9" t="s">
        <v>892</v>
      </c>
      <c r="L6" s="9" t="s">
        <v>893</v>
      </c>
      <c r="M6" s="9" t="n">
        <f aca="false">IF(AND(ISNUMBER($E6),ISNUMBER($F6),ISNUMBER($G6)),IF(AND($F6&lt;=$E6,$E6&lt;=$G6),0,1),0)</f>
        <v>0</v>
      </c>
    </row>
    <row r="7" customFormat="false" ht="15" hidden="false" customHeight="false" outlineLevel="0" collapsed="false">
      <c r="A7" s="9" t="s">
        <v>894</v>
      </c>
      <c r="B7" s="10" t="s">
        <v>895</v>
      </c>
      <c r="C7" s="9" t="s">
        <v>59</v>
      </c>
      <c r="D7" s="10" t="s">
        <v>140</v>
      </c>
      <c r="E7" s="11" t="n">
        <v>2026</v>
      </c>
      <c r="F7" s="9"/>
      <c r="G7" s="9"/>
      <c r="H7" s="9" t="s">
        <v>887</v>
      </c>
      <c r="I7" s="9" t="s">
        <v>59</v>
      </c>
      <c r="J7" s="9" t="s">
        <v>888</v>
      </c>
      <c r="K7" s="9" t="s">
        <v>896</v>
      </c>
      <c r="L7" s="9"/>
      <c r="M7" s="9" t="n">
        <f aca="false">IF(AND(ISNUMBER($E7),ISNUMBER($F7),ISNUMBER($G7)),IF(AND($F7&lt;=$E7,$E7&lt;=$G7),0,1),0)</f>
        <v>0</v>
      </c>
    </row>
    <row r="8" customFormat="false" ht="15" hidden="false" customHeight="false" outlineLevel="0" collapsed="false">
      <c r="A8" s="9" t="s">
        <v>897</v>
      </c>
      <c r="B8" s="10" t="s">
        <v>898</v>
      </c>
      <c r="C8" s="9" t="s">
        <v>59</v>
      </c>
      <c r="D8" s="10" t="s">
        <v>140</v>
      </c>
      <c r="E8" s="11" t="n">
        <v>2027</v>
      </c>
      <c r="F8" s="9"/>
      <c r="G8" s="9"/>
      <c r="H8" s="9" t="s">
        <v>887</v>
      </c>
      <c r="I8" s="9" t="s">
        <v>59</v>
      </c>
      <c r="J8" s="9" t="s">
        <v>888</v>
      </c>
      <c r="K8" s="9" t="s">
        <v>899</v>
      </c>
      <c r="L8" s="9"/>
      <c r="M8" s="9" t="n">
        <f aca="false">IF(AND(ISNUMBER($E8),ISNUMBER($F8),ISNUMBER($G8)),IF(AND($F8&lt;=$E8,$E8&lt;=$G8),0,1),0)</f>
        <v>0</v>
      </c>
    </row>
    <row r="9" customFormat="false" ht="15" hidden="false" customHeight="false" outlineLevel="0" collapsed="false">
      <c r="A9" s="9" t="s">
        <v>900</v>
      </c>
      <c r="B9" s="10" t="s">
        <v>901</v>
      </c>
      <c r="C9" s="10" t="s">
        <v>902</v>
      </c>
      <c r="D9" s="10" t="s">
        <v>140</v>
      </c>
      <c r="E9" s="11" t="n">
        <v>2025</v>
      </c>
      <c r="F9" s="9"/>
      <c r="G9" s="9"/>
      <c r="H9" s="9" t="s">
        <v>887</v>
      </c>
      <c r="I9" s="9" t="s">
        <v>903</v>
      </c>
      <c r="J9" s="9" t="s">
        <v>888</v>
      </c>
      <c r="K9" s="9" t="s">
        <v>904</v>
      </c>
      <c r="L9" s="10" t="s">
        <v>905</v>
      </c>
      <c r="M9" s="9" t="n">
        <f aca="false">IF(AND(ISNUMBER($E9),ISNUMBER($F9),ISNUMBER($G9)),IF(AND($F9&lt;=$E9,$E9&lt;=$G9),0,1),0)</f>
        <v>0</v>
      </c>
    </row>
    <row r="10" customFormat="false" ht="15" hidden="false" customHeight="false" outlineLevel="0" collapsed="false">
      <c r="A10" s="9" t="s">
        <v>906</v>
      </c>
      <c r="B10" s="10" t="s">
        <v>901</v>
      </c>
      <c r="C10" s="10" t="s">
        <v>907</v>
      </c>
      <c r="D10" s="10" t="s">
        <v>140</v>
      </c>
      <c r="E10" s="11" t="n">
        <v>2026</v>
      </c>
      <c r="F10" s="9"/>
      <c r="G10" s="9"/>
      <c r="H10" s="9" t="s">
        <v>887</v>
      </c>
      <c r="I10" s="9" t="s">
        <v>903</v>
      </c>
      <c r="J10" s="9" t="s">
        <v>888</v>
      </c>
      <c r="K10" s="9" t="s">
        <v>908</v>
      </c>
      <c r="L10" s="10" t="s">
        <v>905</v>
      </c>
      <c r="M10" s="9" t="n">
        <f aca="false">IF(AND(ISNUMBER($E10),ISNUMBER($F10),ISNUMBER($G10)),IF(AND($F10&lt;=$E10,$E10&lt;=$G10),0,1),0)</f>
        <v>0</v>
      </c>
    </row>
    <row r="11" customFormat="false" ht="15" hidden="false" customHeight="false" outlineLevel="0" collapsed="false">
      <c r="A11" s="9" t="s">
        <v>909</v>
      </c>
      <c r="B11" s="10" t="s">
        <v>901</v>
      </c>
      <c r="C11" s="10" t="s">
        <v>910</v>
      </c>
      <c r="D11" s="10" t="s">
        <v>140</v>
      </c>
      <c r="E11" s="11" t="n">
        <v>2027</v>
      </c>
      <c r="F11" s="9"/>
      <c r="G11" s="9"/>
      <c r="H11" s="9" t="s">
        <v>887</v>
      </c>
      <c r="I11" s="9" t="s">
        <v>903</v>
      </c>
      <c r="J11" s="9" t="s">
        <v>888</v>
      </c>
      <c r="K11" s="9" t="s">
        <v>911</v>
      </c>
      <c r="L11" s="10" t="s">
        <v>905</v>
      </c>
      <c r="M11" s="9" t="n">
        <f aca="false">IF(AND(ISNUMBER($E11),ISNUMBER($F11),ISNUMBER($G11)),IF(AND($F11&lt;=$E11,$E11&lt;=$G11),0,1),0)</f>
        <v>0</v>
      </c>
    </row>
    <row r="12" customFormat="false" ht="15" hidden="false" customHeight="false" outlineLevel="0" collapsed="false">
      <c r="A12" s="9" t="s">
        <v>912</v>
      </c>
      <c r="B12" s="10" t="s">
        <v>901</v>
      </c>
      <c r="C12" s="10" t="s">
        <v>913</v>
      </c>
      <c r="D12" s="10" t="s">
        <v>140</v>
      </c>
      <c r="E12" s="11" t="n">
        <v>2028</v>
      </c>
      <c r="F12" s="9"/>
      <c r="G12" s="9"/>
      <c r="H12" s="9" t="s">
        <v>887</v>
      </c>
      <c r="I12" s="9" t="s">
        <v>903</v>
      </c>
      <c r="J12" s="9" t="s">
        <v>888</v>
      </c>
      <c r="K12" s="9" t="s">
        <v>914</v>
      </c>
      <c r="L12" s="10" t="s">
        <v>905</v>
      </c>
      <c r="M12" s="9" t="n">
        <f aca="false">IF(AND(ISNUMBER($E12),ISNUMBER($F12),ISNUMBER($G12)),IF(AND($F12&lt;=$E12,$E12&lt;=$G12),0,1),0)</f>
        <v>0</v>
      </c>
    </row>
    <row r="13" customFormat="false" ht="15" hidden="false" customHeight="false" outlineLevel="0" collapsed="false">
      <c r="A13" s="9" t="s">
        <v>915</v>
      </c>
      <c r="B13" s="10" t="s">
        <v>901</v>
      </c>
      <c r="C13" s="10" t="s">
        <v>916</v>
      </c>
      <c r="D13" s="10" t="s">
        <v>140</v>
      </c>
      <c r="E13" s="11" t="n">
        <v>2029</v>
      </c>
      <c r="F13" s="9"/>
      <c r="G13" s="9"/>
      <c r="H13" s="9" t="s">
        <v>887</v>
      </c>
      <c r="I13" s="9" t="s">
        <v>903</v>
      </c>
      <c r="J13" s="9" t="s">
        <v>888</v>
      </c>
      <c r="K13" s="9" t="s">
        <v>917</v>
      </c>
      <c r="L13" s="10" t="s">
        <v>905</v>
      </c>
      <c r="M13" s="9" t="n">
        <f aca="false">IF(AND(ISNUMBER($E13),ISNUMBER($F13),ISNUMBER($G13)),IF(AND($F13&lt;=$E13,$E13&lt;=$G13),0,1),0)</f>
        <v>0</v>
      </c>
    </row>
    <row r="14" customFormat="false" ht="15" hidden="false" customHeight="false" outlineLevel="0" collapsed="false">
      <c r="A14" s="9" t="s">
        <v>918</v>
      </c>
      <c r="B14" s="10" t="s">
        <v>901</v>
      </c>
      <c r="C14" s="10" t="s">
        <v>919</v>
      </c>
      <c r="D14" s="10" t="s">
        <v>140</v>
      </c>
      <c r="E14" s="11" t="n">
        <v>2030</v>
      </c>
      <c r="F14" s="9"/>
      <c r="G14" s="9"/>
      <c r="H14" s="9" t="s">
        <v>887</v>
      </c>
      <c r="I14" s="9" t="s">
        <v>903</v>
      </c>
      <c r="J14" s="9" t="s">
        <v>888</v>
      </c>
      <c r="K14" s="9" t="s">
        <v>920</v>
      </c>
      <c r="L14" s="10" t="s">
        <v>905</v>
      </c>
      <c r="M14" s="9" t="n">
        <f aca="false">IF(AND(ISNUMBER($E14),ISNUMBER($F14),ISNUMBER($G14)),IF(AND($F14&lt;=$E14,$E14&lt;=$G14),0,1),0)</f>
        <v>0</v>
      </c>
    </row>
    <row r="15" customFormat="false" ht="15" hidden="false" customHeight="false" outlineLevel="0" collapsed="false">
      <c r="A15" s="9" t="s">
        <v>921</v>
      </c>
      <c r="B15" s="10" t="s">
        <v>922</v>
      </c>
      <c r="C15" s="9" t="s">
        <v>59</v>
      </c>
      <c r="D15" s="10" t="s">
        <v>140</v>
      </c>
      <c r="E15" s="11" t="n">
        <v>2026</v>
      </c>
      <c r="F15" s="9"/>
      <c r="G15" s="9"/>
      <c r="H15" s="9" t="s">
        <v>923</v>
      </c>
      <c r="I15" s="9" t="s">
        <v>924</v>
      </c>
      <c r="J15" s="9" t="s">
        <v>888</v>
      </c>
      <c r="K15" s="9" t="s">
        <v>925</v>
      </c>
      <c r="L15" s="10" t="s">
        <v>926</v>
      </c>
      <c r="M15" s="9" t="n">
        <f aca="false">IF(AND(ISNUMBER($E15),ISNUMBER($F15),ISNUMBER($G15)),IF(AND($F15&lt;=$E15,$E15&lt;=$G15),0,1),0)</f>
        <v>0</v>
      </c>
    </row>
    <row r="16" customFormat="false" ht="15" hidden="false" customHeight="false" outlineLevel="0" collapsed="false">
      <c r="A16" s="9" t="s">
        <v>927</v>
      </c>
      <c r="B16" s="9" t="s">
        <v>928</v>
      </c>
      <c r="C16" s="9" t="s">
        <v>59</v>
      </c>
      <c r="D16" s="10" t="s">
        <v>108</v>
      </c>
      <c r="E16" s="11" t="n">
        <v>0</v>
      </c>
      <c r="F16" s="9"/>
      <c r="G16" s="9"/>
      <c r="H16" s="9" t="s">
        <v>887</v>
      </c>
      <c r="I16" s="9" t="s">
        <v>929</v>
      </c>
      <c r="J16" s="9" t="s">
        <v>888</v>
      </c>
      <c r="K16" s="9" t="s">
        <v>930</v>
      </c>
      <c r="L16" s="10" t="s">
        <v>931</v>
      </c>
      <c r="M16" s="9" t="n">
        <f aca="false">IF(AND(ISNUMBER($E16),ISNUMBER($F16),ISNUMBER($G16)),IF(AND($F16&lt;=$E16,$E16&lt;=$G16),0,1),0)</f>
        <v>0</v>
      </c>
    </row>
    <row r="17" customFormat="false" ht="15" hidden="false" customHeight="false" outlineLevel="0" collapsed="false">
      <c r="A17" s="9" t="s">
        <v>932</v>
      </c>
      <c r="B17" s="9" t="s">
        <v>933</v>
      </c>
      <c r="C17" s="9" t="s">
        <v>59</v>
      </c>
      <c r="D17" s="10" t="s">
        <v>108</v>
      </c>
      <c r="E17" s="11" t="n">
        <v>0.3</v>
      </c>
      <c r="F17" s="9"/>
      <c r="G17" s="9"/>
      <c r="H17" s="9" t="s">
        <v>887</v>
      </c>
      <c r="I17" s="9" t="s">
        <v>929</v>
      </c>
      <c r="J17" s="9" t="s">
        <v>888</v>
      </c>
      <c r="K17" s="9" t="s">
        <v>930</v>
      </c>
      <c r="L17" s="9" t="s">
        <v>934</v>
      </c>
      <c r="M17" s="9" t="n">
        <f aca="false">IF(AND(ISNUMBER($E17),ISNUMBER($F17),ISNUMBER($G17)),IF(AND($F17&lt;=$E17,$E17&lt;=$G17),0,1),0)</f>
        <v>0</v>
      </c>
    </row>
    <row r="18" customFormat="false" ht="15" hidden="false" customHeight="false" outlineLevel="0" collapsed="false">
      <c r="A18" s="9" t="s">
        <v>935</v>
      </c>
      <c r="B18" s="9" t="s">
        <v>936</v>
      </c>
      <c r="C18" s="9" t="s">
        <v>59</v>
      </c>
      <c r="D18" s="10" t="s">
        <v>108</v>
      </c>
      <c r="E18" s="11" t="n">
        <v>0.8</v>
      </c>
      <c r="F18" s="9"/>
      <c r="G18" s="9"/>
      <c r="H18" s="9" t="s">
        <v>887</v>
      </c>
      <c r="I18" s="9" t="s">
        <v>929</v>
      </c>
      <c r="J18" s="9" t="s">
        <v>888</v>
      </c>
      <c r="K18" s="9" t="s">
        <v>930</v>
      </c>
      <c r="L18" s="9"/>
      <c r="M18" s="9" t="n">
        <f aca="false">IF(AND(ISNUMBER($E18),ISNUMBER($F18),ISNUMBER($G18)),IF(AND($F18&lt;=$E18,$E18&lt;=$G18),0,1),0)</f>
        <v>0</v>
      </c>
    </row>
    <row r="19" customFormat="false" ht="15" hidden="false" customHeight="false" outlineLevel="0" collapsed="false">
      <c r="A19" s="9" t="s">
        <v>937</v>
      </c>
      <c r="B19" s="9" t="s">
        <v>938</v>
      </c>
      <c r="C19" s="9" t="s">
        <v>399</v>
      </c>
      <c r="D19" s="9" t="s">
        <v>153</v>
      </c>
      <c r="E19" s="11" t="n">
        <v>2.5</v>
      </c>
      <c r="F19" s="11" t="n">
        <v>1.5</v>
      </c>
      <c r="G19" s="11" t="n">
        <v>4</v>
      </c>
      <c r="H19" s="9" t="s">
        <v>939</v>
      </c>
      <c r="I19" s="9" t="s">
        <v>59</v>
      </c>
      <c r="J19" s="9" t="s">
        <v>888</v>
      </c>
      <c r="K19" s="9" t="s">
        <v>940</v>
      </c>
      <c r="L19" s="9" t="s">
        <v>941</v>
      </c>
      <c r="M19" s="9" t="n">
        <f aca="false">IF(AND(ISNUMBER($E19),ISNUMBER($F19),ISNUMBER($G19)),IF(AND($F19&lt;=$E19,$E19&lt;=$G19),0,1),0)</f>
        <v>0</v>
      </c>
    </row>
    <row r="20" customFormat="false" ht="15" hidden="false" customHeight="false" outlineLevel="0" collapsed="false">
      <c r="A20" s="9" t="s">
        <v>942</v>
      </c>
      <c r="B20" s="9" t="s">
        <v>943</v>
      </c>
      <c r="C20" s="9" t="s">
        <v>399</v>
      </c>
      <c r="D20" s="9" t="s">
        <v>153</v>
      </c>
      <c r="E20" s="11" t="n">
        <v>1.5</v>
      </c>
      <c r="F20" s="11" t="n">
        <v>1</v>
      </c>
      <c r="G20" s="11" t="n">
        <v>2.5</v>
      </c>
      <c r="H20" s="9" t="s">
        <v>939</v>
      </c>
      <c r="I20" s="9" t="s">
        <v>59</v>
      </c>
      <c r="J20" s="9" t="s">
        <v>888</v>
      </c>
      <c r="K20" s="9" t="s">
        <v>944</v>
      </c>
      <c r="L20" s="9" t="s">
        <v>941</v>
      </c>
      <c r="M20" s="9" t="n">
        <f aca="false">IF(AND(ISNUMBER($E20),ISNUMBER($F20),ISNUMBER($G20)),IF(AND($F20&lt;=$E20,$E20&lt;=$G20),0,1),0)</f>
        <v>0</v>
      </c>
    </row>
    <row r="21" customFormat="false" ht="15" hidden="false" customHeight="false" outlineLevel="0" collapsed="false">
      <c r="A21" s="9" t="s">
        <v>945</v>
      </c>
      <c r="B21" s="9" t="s">
        <v>946</v>
      </c>
      <c r="C21" s="9" t="s">
        <v>399</v>
      </c>
      <c r="D21" s="9" t="s">
        <v>153</v>
      </c>
      <c r="E21" s="11" t="n">
        <v>0.2</v>
      </c>
      <c r="F21" s="11" t="n">
        <v>0.1</v>
      </c>
      <c r="G21" s="11" t="n">
        <v>0.4</v>
      </c>
      <c r="H21" s="9" t="s">
        <v>939</v>
      </c>
      <c r="I21" s="9" t="s">
        <v>59</v>
      </c>
      <c r="J21" s="9" t="s">
        <v>888</v>
      </c>
      <c r="K21" s="9" t="s">
        <v>947</v>
      </c>
      <c r="L21" s="9" t="s">
        <v>941</v>
      </c>
      <c r="M21" s="9" t="n">
        <f aca="false">IF(AND(ISNUMBER($E21),ISNUMBER($F21),ISNUMBER($G21)),IF(AND($F21&lt;=$E21,$E21&lt;=$G21),0,1),0)</f>
        <v>0</v>
      </c>
    </row>
    <row r="22" customFormat="false" ht="15" hidden="false" customHeight="false" outlineLevel="0" collapsed="false">
      <c r="A22" s="9" t="s">
        <v>948</v>
      </c>
      <c r="B22" s="9" t="s">
        <v>949</v>
      </c>
      <c r="C22" s="9" t="s">
        <v>399</v>
      </c>
      <c r="D22" s="9" t="s">
        <v>153</v>
      </c>
      <c r="E22" s="11" t="n">
        <v>14</v>
      </c>
      <c r="F22" s="11" t="n">
        <v>8</v>
      </c>
      <c r="G22" s="11" t="n">
        <v>20</v>
      </c>
      <c r="H22" s="9" t="s">
        <v>939</v>
      </c>
      <c r="I22" s="9" t="s">
        <v>59</v>
      </c>
      <c r="J22" s="9" t="s">
        <v>888</v>
      </c>
      <c r="K22" s="9" t="s">
        <v>950</v>
      </c>
      <c r="L22" s="9" t="s">
        <v>941</v>
      </c>
      <c r="M22" s="9" t="n">
        <f aca="false">IF(AND(ISNUMBER($E22),ISNUMBER($F22),ISNUMBER($G22)),IF(AND($F22&lt;=$E22,$E22&lt;=$G22),0,1),0)</f>
        <v>0</v>
      </c>
    </row>
    <row r="23" customFormat="false" ht="15" hidden="false" customHeight="false" outlineLevel="0" collapsed="false">
      <c r="A23" s="9" t="s">
        <v>951</v>
      </c>
      <c r="B23" s="9" t="s">
        <v>952</v>
      </c>
      <c r="C23" s="9" t="s">
        <v>399</v>
      </c>
      <c r="D23" s="9" t="s">
        <v>153</v>
      </c>
      <c r="E23" s="11" t="n">
        <v>8</v>
      </c>
      <c r="F23" s="11" t="n">
        <v>5</v>
      </c>
      <c r="G23" s="11" t="n">
        <v>10</v>
      </c>
      <c r="H23" s="9" t="s">
        <v>939</v>
      </c>
      <c r="I23" s="9" t="s">
        <v>59</v>
      </c>
      <c r="J23" s="9" t="s">
        <v>888</v>
      </c>
      <c r="K23" s="9" t="s">
        <v>953</v>
      </c>
      <c r="L23" s="9" t="s">
        <v>941</v>
      </c>
      <c r="M23" s="9" t="n">
        <f aca="false">IF(AND(ISNUMBER($E23),ISNUMBER($F23),ISNUMBER($G23)),IF(AND($F23&lt;=$E23,$E23&lt;=$G23),0,1),0)</f>
        <v>0</v>
      </c>
    </row>
    <row r="24" customFormat="false" ht="15" hidden="false" customHeight="false" outlineLevel="0" collapsed="false">
      <c r="A24" s="9" t="s">
        <v>954</v>
      </c>
      <c r="B24" s="9" t="s">
        <v>955</v>
      </c>
      <c r="C24" s="9" t="s">
        <v>399</v>
      </c>
      <c r="D24" s="9" t="s">
        <v>153</v>
      </c>
      <c r="E24" s="11" t="n">
        <v>1</v>
      </c>
      <c r="F24" s="11" t="n">
        <v>0.5</v>
      </c>
      <c r="G24" s="11" t="n">
        <v>2</v>
      </c>
      <c r="H24" s="9" t="s">
        <v>939</v>
      </c>
      <c r="I24" s="9" t="s">
        <v>59</v>
      </c>
      <c r="J24" s="9" t="s">
        <v>888</v>
      </c>
      <c r="K24" s="9" t="s">
        <v>956</v>
      </c>
      <c r="L24" s="9" t="s">
        <v>941</v>
      </c>
      <c r="M24" s="9" t="n">
        <f aca="false">IF(AND(ISNUMBER($E24),ISNUMBER($F24),ISNUMBER($G24)),IF(AND($F24&lt;=$E24,$E24&lt;=$G24),0,1),0)</f>
        <v>0</v>
      </c>
    </row>
    <row r="25" customFormat="false" ht="15" hidden="false" customHeight="false" outlineLevel="0" collapsed="false">
      <c r="A25" s="9" t="s">
        <v>957</v>
      </c>
      <c r="B25" s="10" t="s">
        <v>958</v>
      </c>
      <c r="C25" s="9" t="s">
        <v>59</v>
      </c>
      <c r="D25" s="10" t="s">
        <v>959</v>
      </c>
      <c r="E25" s="11" t="n">
        <v>-0.3</v>
      </c>
      <c r="F25" s="11" t="n">
        <v>-0.45</v>
      </c>
      <c r="G25" s="11" t="n">
        <v>-0.15</v>
      </c>
      <c r="H25" s="9" t="s">
        <v>923</v>
      </c>
      <c r="I25" s="9" t="s">
        <v>960</v>
      </c>
      <c r="J25" s="9" t="s">
        <v>888</v>
      </c>
      <c r="K25" s="9" t="s">
        <v>961</v>
      </c>
      <c r="L25" s="9" t="s">
        <v>962</v>
      </c>
      <c r="M25" s="9" t="n">
        <f aca="false">IF(AND(ISNUMBER($E25),ISNUMBER($F25),ISNUMBER($G25)),IF(AND($F25&lt;=$E25,$E25&lt;=$G25),0,1),0)</f>
        <v>0</v>
      </c>
    </row>
    <row r="26" customFormat="false" ht="15" hidden="false" customHeight="false" outlineLevel="0" collapsed="false">
      <c r="A26" s="9" t="s">
        <v>963</v>
      </c>
      <c r="B26" s="10" t="s">
        <v>964</v>
      </c>
      <c r="C26" s="9" t="s">
        <v>59</v>
      </c>
      <c r="D26" s="10" t="s">
        <v>959</v>
      </c>
      <c r="E26" s="11" t="n">
        <v>-0.4</v>
      </c>
      <c r="F26" s="11" t="n">
        <v>-0.6</v>
      </c>
      <c r="G26" s="11" t="n">
        <v>-0.2</v>
      </c>
      <c r="H26" s="9" t="s">
        <v>923</v>
      </c>
      <c r="I26" s="9" t="s">
        <v>960</v>
      </c>
      <c r="J26" s="9" t="s">
        <v>888</v>
      </c>
      <c r="K26" s="9" t="s">
        <v>965</v>
      </c>
      <c r="L26" s="9" t="s">
        <v>962</v>
      </c>
      <c r="M26" s="9" t="n">
        <f aca="false">IF(AND(ISNUMBER($E26),ISNUMBER($F26),ISNUMBER($G26)),IF(AND($F26&lt;=$E26,$E26&lt;=$G26),0,1),0)</f>
        <v>0</v>
      </c>
    </row>
    <row r="27" customFormat="false" ht="15" hidden="false" customHeight="false" outlineLevel="0" collapsed="false">
      <c r="A27" s="9" t="s">
        <v>966</v>
      </c>
      <c r="B27" s="10" t="s">
        <v>967</v>
      </c>
      <c r="C27" s="9" t="s">
        <v>59</v>
      </c>
      <c r="D27" s="10" t="s">
        <v>959</v>
      </c>
      <c r="E27" s="11" t="n">
        <v>-0.4</v>
      </c>
      <c r="F27" s="11" t="n">
        <v>-0.6</v>
      </c>
      <c r="G27" s="11" t="n">
        <v>-0.2</v>
      </c>
      <c r="H27" s="9" t="s">
        <v>923</v>
      </c>
      <c r="I27" s="9" t="s">
        <v>960</v>
      </c>
      <c r="J27" s="9" t="s">
        <v>888</v>
      </c>
      <c r="K27" s="9" t="s">
        <v>968</v>
      </c>
      <c r="L27" s="9" t="s">
        <v>962</v>
      </c>
      <c r="M27" s="9" t="n">
        <f aca="false">IF(AND(ISNUMBER($E27),ISNUMBER($F27),ISNUMBER($G27)),IF(AND($F27&lt;=$E27,$E27&lt;=$G27),0,1),0)</f>
        <v>0</v>
      </c>
    </row>
    <row r="28" customFormat="false" ht="15" hidden="false" customHeight="false" outlineLevel="0" collapsed="false">
      <c r="A28" s="9" t="s">
        <v>969</v>
      </c>
      <c r="B28" s="9" t="s">
        <v>970</v>
      </c>
      <c r="C28" s="10" t="s">
        <v>971</v>
      </c>
      <c r="D28" s="10" t="s">
        <v>108</v>
      </c>
      <c r="E28" s="11" t="n">
        <v>0.4</v>
      </c>
      <c r="F28" s="11" t="n">
        <v>0.25</v>
      </c>
      <c r="G28" s="11" t="n">
        <v>0.5</v>
      </c>
      <c r="H28" s="9" t="s">
        <v>923</v>
      </c>
      <c r="I28" s="9" t="s">
        <v>59</v>
      </c>
      <c r="J28" s="9" t="s">
        <v>888</v>
      </c>
      <c r="K28" s="9" t="s">
        <v>972</v>
      </c>
      <c r="L28" s="9" t="s">
        <v>973</v>
      </c>
      <c r="M28" s="9" t="n">
        <f aca="false">IF(AND(ISNUMBER($E28),ISNUMBER($F28),ISNUMBER($G28)),IF(AND($F28&lt;=$E28,$E28&lt;=$G28),0,1),0)</f>
        <v>0</v>
      </c>
    </row>
    <row r="29" customFormat="false" ht="15" hidden="false" customHeight="false" outlineLevel="0" collapsed="false">
      <c r="A29" s="9" t="s">
        <v>974</v>
      </c>
      <c r="B29" s="9" t="s">
        <v>970</v>
      </c>
      <c r="C29" s="10" t="s">
        <v>975</v>
      </c>
      <c r="D29" s="10" t="s">
        <v>108</v>
      </c>
      <c r="E29" s="11" t="n">
        <v>0.15</v>
      </c>
      <c r="F29" s="11" t="n">
        <v>0.08</v>
      </c>
      <c r="G29" s="11" t="n">
        <v>0.25</v>
      </c>
      <c r="H29" s="9" t="s">
        <v>923</v>
      </c>
      <c r="I29" s="9" t="s">
        <v>59</v>
      </c>
      <c r="J29" s="9" t="s">
        <v>888</v>
      </c>
      <c r="K29" s="9" t="s">
        <v>972</v>
      </c>
      <c r="L29" s="9" t="s">
        <v>973</v>
      </c>
      <c r="M29" s="9" t="n">
        <f aca="false">IF(AND(ISNUMBER($E29),ISNUMBER($F29),ISNUMBER($G29)),IF(AND($F29&lt;=$E29,$E29&lt;=$G29),0,1),0)</f>
        <v>0</v>
      </c>
    </row>
    <row r="30" customFormat="false" ht="15" hidden="false" customHeight="false" outlineLevel="0" collapsed="false">
      <c r="A30" s="9" t="s">
        <v>976</v>
      </c>
      <c r="B30" s="9" t="s">
        <v>977</v>
      </c>
      <c r="C30" s="10" t="s">
        <v>971</v>
      </c>
      <c r="D30" s="10" t="s">
        <v>108</v>
      </c>
      <c r="E30" s="11" t="n">
        <v>0.4</v>
      </c>
      <c r="F30" s="11" t="n">
        <v>0.3</v>
      </c>
      <c r="G30" s="11" t="n">
        <v>0.5</v>
      </c>
      <c r="H30" s="9" t="s">
        <v>923</v>
      </c>
      <c r="I30" s="9" t="s">
        <v>59</v>
      </c>
      <c r="J30" s="9" t="s">
        <v>888</v>
      </c>
      <c r="K30" s="9" t="s">
        <v>978</v>
      </c>
      <c r="L30" s="9" t="s">
        <v>973</v>
      </c>
      <c r="M30" s="9" t="n">
        <f aca="false">IF(AND(ISNUMBER($E30),ISNUMBER($F30),ISNUMBER($G30)),IF(AND($F30&lt;=$E30,$E30&lt;=$G30),0,1),0)</f>
        <v>0</v>
      </c>
    </row>
    <row r="31" customFormat="false" ht="15" hidden="false" customHeight="false" outlineLevel="0" collapsed="false">
      <c r="A31" s="9" t="s">
        <v>979</v>
      </c>
      <c r="B31" s="9" t="s">
        <v>977</v>
      </c>
      <c r="C31" s="10" t="s">
        <v>975</v>
      </c>
      <c r="D31" s="10" t="s">
        <v>108</v>
      </c>
      <c r="E31" s="11" t="n">
        <v>0.45</v>
      </c>
      <c r="F31" s="11" t="n">
        <v>0.35</v>
      </c>
      <c r="G31" s="11" t="n">
        <v>0.55</v>
      </c>
      <c r="H31" s="9" t="s">
        <v>923</v>
      </c>
      <c r="I31" s="9" t="s">
        <v>59</v>
      </c>
      <c r="J31" s="9" t="s">
        <v>888</v>
      </c>
      <c r="K31" s="9" t="s">
        <v>978</v>
      </c>
      <c r="L31" s="9" t="s">
        <v>973</v>
      </c>
      <c r="M31" s="9" t="n">
        <f aca="false">IF(AND(ISNUMBER($E31),ISNUMBER($F31),ISNUMBER($G31)),IF(AND($F31&lt;=$E31,$E31&lt;=$G31),0,1),0)</f>
        <v>0</v>
      </c>
    </row>
    <row r="32" customFormat="false" ht="15" hidden="false" customHeight="false" outlineLevel="0" collapsed="false">
      <c r="A32" s="9" t="s">
        <v>980</v>
      </c>
      <c r="B32" s="10" t="s">
        <v>981</v>
      </c>
      <c r="C32" s="9" t="s">
        <v>59</v>
      </c>
      <c r="D32" s="10" t="s">
        <v>108</v>
      </c>
      <c r="E32" s="11" t="n">
        <v>0.2</v>
      </c>
      <c r="F32" s="11" t="n">
        <v>0.1</v>
      </c>
      <c r="G32" s="11" t="n">
        <v>0.35</v>
      </c>
      <c r="H32" s="9" t="s">
        <v>939</v>
      </c>
      <c r="I32" s="9" t="s">
        <v>59</v>
      </c>
      <c r="J32" s="9" t="s">
        <v>888</v>
      </c>
      <c r="K32" s="9" t="s">
        <v>982</v>
      </c>
      <c r="L32" s="9"/>
      <c r="M32" s="9" t="n">
        <f aca="false">IF(AND(ISNUMBER($E32),ISNUMBER($F32),ISNUMBER($G32)),IF(AND($F32&lt;=$E32,$E32&lt;=$G32),0,1),0)</f>
        <v>0</v>
      </c>
    </row>
    <row r="33" customFormat="false" ht="15" hidden="false" customHeight="false" outlineLevel="0" collapsed="false">
      <c r="A33" s="9" t="s">
        <v>983</v>
      </c>
      <c r="B33" s="10" t="s">
        <v>984</v>
      </c>
      <c r="C33" s="9" t="s">
        <v>59</v>
      </c>
      <c r="D33" s="10" t="s">
        <v>108</v>
      </c>
      <c r="E33" s="11" t="n">
        <v>0.55</v>
      </c>
      <c r="F33" s="11" t="n">
        <v>0.3</v>
      </c>
      <c r="G33" s="11" t="n">
        <v>0.75</v>
      </c>
      <c r="H33" s="9" t="s">
        <v>923</v>
      </c>
      <c r="I33" s="9" t="s">
        <v>59</v>
      </c>
      <c r="J33" s="9" t="s">
        <v>888</v>
      </c>
      <c r="K33" s="9" t="s">
        <v>985</v>
      </c>
      <c r="L33" s="9"/>
      <c r="M33" s="9" t="n">
        <f aca="false">IF(AND(ISNUMBER($E33),ISNUMBER($F33),ISNUMBER($G33)),IF(AND($F33&lt;=$E33,$E33&lt;=$G33),0,1),0)</f>
        <v>0</v>
      </c>
    </row>
    <row r="34" customFormat="false" ht="15" hidden="false" customHeight="false" outlineLevel="0" collapsed="false">
      <c r="A34" s="9" t="s">
        <v>986</v>
      </c>
      <c r="B34" s="10" t="s">
        <v>987</v>
      </c>
      <c r="C34" s="9" t="s">
        <v>59</v>
      </c>
      <c r="D34" s="10" t="s">
        <v>108</v>
      </c>
      <c r="E34" s="11" t="n">
        <v>0.2</v>
      </c>
      <c r="F34" s="11" t="n">
        <v>0.1</v>
      </c>
      <c r="G34" s="11" t="n">
        <v>0.3</v>
      </c>
      <c r="H34" s="9" t="s">
        <v>923</v>
      </c>
      <c r="I34" s="9" t="s">
        <v>59</v>
      </c>
      <c r="J34" s="9" t="s">
        <v>888</v>
      </c>
      <c r="K34" s="9" t="s">
        <v>988</v>
      </c>
      <c r="L34" s="9"/>
      <c r="M34" s="9" t="n">
        <f aca="false">IF(AND(ISNUMBER($E34),ISNUMBER($F34),ISNUMBER($G34)),IF(AND($F34&lt;=$E34,$E34&lt;=$G34),0,1),0)</f>
        <v>0</v>
      </c>
    </row>
    <row r="35" customFormat="false" ht="15" hidden="false" customHeight="false" outlineLevel="0" collapsed="false">
      <c r="A35" s="9" t="s">
        <v>989</v>
      </c>
      <c r="B35" s="10" t="s">
        <v>990</v>
      </c>
      <c r="C35" s="9" t="s">
        <v>59</v>
      </c>
      <c r="D35" s="9" t="s">
        <v>991</v>
      </c>
      <c r="E35" s="11" t="n">
        <v>10</v>
      </c>
      <c r="F35" s="11" t="n">
        <v>5</v>
      </c>
      <c r="G35" s="11" t="n">
        <v>30</v>
      </c>
      <c r="H35" s="9" t="s">
        <v>923</v>
      </c>
      <c r="I35" s="9" t="s">
        <v>59</v>
      </c>
      <c r="J35" s="9" t="s">
        <v>888</v>
      </c>
      <c r="K35" s="9" t="s">
        <v>992</v>
      </c>
      <c r="L35" s="10" t="s">
        <v>993</v>
      </c>
      <c r="M35" s="9" t="n">
        <f aca="false">IF(AND(ISNUMBER($E35),ISNUMBER($F35),ISNUMBER($G35)),IF(AND($F35&lt;=$E35,$E35&lt;=$G35),0,1),0)</f>
        <v>0</v>
      </c>
    </row>
    <row r="36" customFormat="false" ht="15" hidden="false" customHeight="false" outlineLevel="0" collapsed="false">
      <c r="A36" s="9" t="s">
        <v>994</v>
      </c>
      <c r="B36" s="10" t="s">
        <v>995</v>
      </c>
      <c r="C36" s="9" t="s">
        <v>399</v>
      </c>
      <c r="D36" s="10" t="s">
        <v>959</v>
      </c>
      <c r="E36" s="11" t="n">
        <v>0</v>
      </c>
      <c r="F36" s="9"/>
      <c r="G36" s="9"/>
      <c r="H36" s="9" t="s">
        <v>923</v>
      </c>
      <c r="I36" s="9" t="s">
        <v>59</v>
      </c>
      <c r="J36" s="9" t="s">
        <v>888</v>
      </c>
      <c r="K36" s="9" t="s">
        <v>996</v>
      </c>
      <c r="L36" s="9" t="s">
        <v>997</v>
      </c>
      <c r="M36" s="9" t="n">
        <f aca="false">IF(AND(ISNUMBER($E36),ISNUMBER($F36),ISNUMBER($G36)),IF(AND($F36&lt;=$E36,$E36&lt;=$G36),0,1),0)</f>
        <v>0</v>
      </c>
    </row>
    <row r="37" customFormat="false" ht="15" hidden="false" customHeight="false" outlineLevel="0" collapsed="false">
      <c r="A37" s="9" t="s">
        <v>998</v>
      </c>
      <c r="B37" s="10" t="s">
        <v>995</v>
      </c>
      <c r="C37" s="9" t="s">
        <v>411</v>
      </c>
      <c r="D37" s="10" t="s">
        <v>959</v>
      </c>
      <c r="E37" s="11" t="n">
        <v>1.34</v>
      </c>
      <c r="F37" s="9"/>
      <c r="G37" s="9"/>
      <c r="H37" s="9" t="s">
        <v>923</v>
      </c>
      <c r="I37" s="9" t="s">
        <v>59</v>
      </c>
      <c r="J37" s="9" t="s">
        <v>888</v>
      </c>
      <c r="K37" s="9" t="s">
        <v>996</v>
      </c>
      <c r="L37" s="9"/>
      <c r="M37" s="9" t="n">
        <f aca="false">IF(AND(ISNUMBER($E37),ISNUMBER($F37),ISNUMBER($G37)),IF(AND($F37&lt;=$E37,$E37&lt;=$G37),0,1),0)</f>
        <v>0</v>
      </c>
    </row>
    <row r="38" customFormat="false" ht="15" hidden="false" customHeight="false" outlineLevel="0" collapsed="false">
      <c r="A38" s="9" t="s">
        <v>999</v>
      </c>
      <c r="B38" s="10" t="s">
        <v>995</v>
      </c>
      <c r="C38" s="9" t="s">
        <v>1000</v>
      </c>
      <c r="D38" s="10" t="s">
        <v>959</v>
      </c>
      <c r="E38" s="11" t="n">
        <v>0.45</v>
      </c>
      <c r="F38" s="9"/>
      <c r="G38" s="9"/>
      <c r="H38" s="9" t="s">
        <v>923</v>
      </c>
      <c r="I38" s="9" t="s">
        <v>59</v>
      </c>
      <c r="J38" s="9" t="s">
        <v>888</v>
      </c>
      <c r="K38" s="9" t="s">
        <v>996</v>
      </c>
      <c r="L38" s="9"/>
      <c r="M38" s="9" t="n">
        <f aca="false">IF(AND(ISNUMBER($E38),ISNUMBER($F38),ISNUMBER($G38)),IF(AND($F38&lt;=$E38,$E38&lt;=$G38),0,1),0)</f>
        <v>0</v>
      </c>
    </row>
    <row r="39" customFormat="false" ht="15" hidden="false" customHeight="false" outlineLevel="0" collapsed="false">
      <c r="A39" s="9" t="s">
        <v>1001</v>
      </c>
      <c r="B39" s="10" t="s">
        <v>995</v>
      </c>
      <c r="C39" s="9" t="s">
        <v>1002</v>
      </c>
      <c r="D39" s="10" t="s">
        <v>959</v>
      </c>
      <c r="E39" s="11" t="n">
        <v>0.35</v>
      </c>
      <c r="F39" s="9"/>
      <c r="G39" s="9"/>
      <c r="H39" s="9" t="s">
        <v>923</v>
      </c>
      <c r="I39" s="9" t="s">
        <v>59</v>
      </c>
      <c r="J39" s="9" t="s">
        <v>888</v>
      </c>
      <c r="K39" s="9" t="s">
        <v>996</v>
      </c>
      <c r="L39" s="9"/>
      <c r="M39" s="9" t="n">
        <f aca="false">IF(AND(ISNUMBER($E39),ISNUMBER($F39),ISNUMBER($G39)),IF(AND($F39&lt;=$E39,$E39&lt;=$G39),0,1),0)</f>
        <v>0</v>
      </c>
    </row>
    <row r="40" customFormat="false" ht="15" hidden="false" customHeight="false" outlineLevel="0" collapsed="false">
      <c r="A40" s="9" t="s">
        <v>1003</v>
      </c>
      <c r="B40" s="10" t="s">
        <v>995</v>
      </c>
      <c r="C40" s="9" t="s">
        <v>1004</v>
      </c>
      <c r="D40" s="10" t="s">
        <v>959</v>
      </c>
      <c r="E40" s="11" t="n">
        <v>0.25</v>
      </c>
      <c r="F40" s="9"/>
      <c r="G40" s="9"/>
      <c r="H40" s="9" t="s">
        <v>923</v>
      </c>
      <c r="I40" s="9" t="s">
        <v>59</v>
      </c>
      <c r="J40" s="9" t="s">
        <v>888</v>
      </c>
      <c r="K40" s="9" t="s">
        <v>996</v>
      </c>
      <c r="L40" s="9"/>
      <c r="M40" s="9" t="n">
        <f aca="false">IF(AND(ISNUMBER($E40),ISNUMBER($F40),ISNUMBER($G40)),IF(AND($F40&lt;=$E40,$E40&lt;=$G40),0,1),0)</f>
        <v>0</v>
      </c>
    </row>
    <row r="41" customFormat="false" ht="15" hidden="false" customHeight="false" outlineLevel="0" collapsed="false">
      <c r="A41" s="9" t="s">
        <v>1005</v>
      </c>
      <c r="B41" s="10" t="s">
        <v>995</v>
      </c>
      <c r="C41" s="9" t="s">
        <v>1006</v>
      </c>
      <c r="D41" s="10" t="s">
        <v>959</v>
      </c>
      <c r="E41" s="11" t="n">
        <v>0.2</v>
      </c>
      <c r="F41" s="9"/>
      <c r="G41" s="9"/>
      <c r="H41" s="9" t="s">
        <v>923</v>
      </c>
      <c r="I41" s="9" t="s">
        <v>59</v>
      </c>
      <c r="J41" s="9" t="s">
        <v>888</v>
      </c>
      <c r="K41" s="9" t="s">
        <v>996</v>
      </c>
      <c r="L41" s="9"/>
      <c r="M41" s="9" t="n">
        <f aca="false">IF(AND(ISNUMBER($E41),ISNUMBER($F41),ISNUMBER($G41)),IF(AND($F41&lt;=$E41,$E41&lt;=$G41),0,1),0)</f>
        <v>0</v>
      </c>
    </row>
    <row r="42" customFormat="false" ht="15" hidden="false" customHeight="false" outlineLevel="0" collapsed="false">
      <c r="A42" s="9" t="s">
        <v>1007</v>
      </c>
      <c r="B42" s="10" t="s">
        <v>1008</v>
      </c>
      <c r="C42" s="9" t="s">
        <v>59</v>
      </c>
      <c r="D42" s="10" t="s">
        <v>548</v>
      </c>
      <c r="E42" s="11" t="n">
        <v>0.5</v>
      </c>
      <c r="F42" s="9"/>
      <c r="G42" s="9"/>
      <c r="H42" s="9" t="s">
        <v>923</v>
      </c>
      <c r="I42" s="9" t="s">
        <v>59</v>
      </c>
      <c r="J42" s="9" t="s">
        <v>888</v>
      </c>
      <c r="K42" s="9" t="s">
        <v>996</v>
      </c>
      <c r="L42" s="10" t="s">
        <v>1009</v>
      </c>
      <c r="M42" s="9" t="n">
        <f aca="false">IF(AND(ISNUMBER($E42),ISNUMBER($F42),ISNUMBER($G42)),IF(AND($F42&lt;=$E42,$E42&lt;=$G42),0,1),0)</f>
        <v>0</v>
      </c>
    </row>
    <row r="43" customFormat="false" ht="15" hidden="false" customHeight="false" outlineLevel="0" collapsed="false">
      <c r="A43" s="9" t="s">
        <v>1010</v>
      </c>
      <c r="B43" s="10" t="s">
        <v>1011</v>
      </c>
      <c r="C43" s="9" t="s">
        <v>59</v>
      </c>
      <c r="D43" s="10" t="s">
        <v>548</v>
      </c>
      <c r="E43" s="11" t="n">
        <v>1.5</v>
      </c>
      <c r="F43" s="9"/>
      <c r="G43" s="9"/>
      <c r="H43" s="9" t="s">
        <v>923</v>
      </c>
      <c r="I43" s="9" t="s">
        <v>59</v>
      </c>
      <c r="J43" s="9" t="s">
        <v>888</v>
      </c>
      <c r="K43" s="9" t="s">
        <v>996</v>
      </c>
      <c r="L43" s="10" t="s">
        <v>1009</v>
      </c>
      <c r="M43" s="9" t="n">
        <f aca="false">IF(AND(ISNUMBER($E43),ISNUMBER($F43),ISNUMBER($G43)),IF(AND($F43&lt;=$E43,$E43&lt;=$G43),0,1),0)</f>
        <v>0</v>
      </c>
    </row>
    <row r="44" customFormat="false" ht="15" hidden="false" customHeight="false" outlineLevel="0" collapsed="false">
      <c r="A44" s="9" t="s">
        <v>1012</v>
      </c>
      <c r="B44" s="10" t="s">
        <v>1013</v>
      </c>
      <c r="C44" s="9" t="s">
        <v>399</v>
      </c>
      <c r="D44" s="10" t="s">
        <v>959</v>
      </c>
      <c r="E44" s="11" t="n">
        <v>0</v>
      </c>
      <c r="F44" s="9"/>
      <c r="G44" s="9"/>
      <c r="H44" s="9" t="s">
        <v>923</v>
      </c>
      <c r="I44" s="9" t="s">
        <v>59</v>
      </c>
      <c r="J44" s="9" t="s">
        <v>888</v>
      </c>
      <c r="K44" s="9" t="s">
        <v>1014</v>
      </c>
      <c r="L44" s="9" t="s">
        <v>997</v>
      </c>
      <c r="M44" s="9" t="n">
        <f aca="false">IF(AND(ISNUMBER($E44),ISNUMBER($F44),ISNUMBER($G44)),IF(AND($F44&lt;=$E44,$E44&lt;=$G44),0,1),0)</f>
        <v>0</v>
      </c>
    </row>
    <row r="45" customFormat="false" ht="15" hidden="false" customHeight="false" outlineLevel="0" collapsed="false">
      <c r="A45" s="9" t="s">
        <v>1015</v>
      </c>
      <c r="B45" s="10" t="s">
        <v>1013</v>
      </c>
      <c r="C45" s="9" t="s">
        <v>411</v>
      </c>
      <c r="D45" s="10" t="s">
        <v>959</v>
      </c>
      <c r="E45" s="11" t="n">
        <v>0.2</v>
      </c>
      <c r="F45" s="9"/>
      <c r="G45" s="9"/>
      <c r="H45" s="9" t="s">
        <v>923</v>
      </c>
      <c r="I45" s="9" t="s">
        <v>59</v>
      </c>
      <c r="J45" s="9" t="s">
        <v>888</v>
      </c>
      <c r="K45" s="9" t="s">
        <v>1014</v>
      </c>
      <c r="L45" s="9"/>
      <c r="M45" s="9" t="n">
        <f aca="false">IF(AND(ISNUMBER($E45),ISNUMBER($F45),ISNUMBER($G45)),IF(AND($F45&lt;=$E45,$E45&lt;=$G45),0,1),0)</f>
        <v>0</v>
      </c>
    </row>
    <row r="46" customFormat="false" ht="15" hidden="false" customHeight="false" outlineLevel="0" collapsed="false">
      <c r="A46" s="9" t="s">
        <v>1016</v>
      </c>
      <c r="B46" s="10" t="s">
        <v>1013</v>
      </c>
      <c r="C46" s="9" t="s">
        <v>1000</v>
      </c>
      <c r="D46" s="10" t="s">
        <v>959</v>
      </c>
      <c r="E46" s="11" t="n">
        <v>0.15</v>
      </c>
      <c r="F46" s="9"/>
      <c r="G46" s="9"/>
      <c r="H46" s="9" t="s">
        <v>923</v>
      </c>
      <c r="I46" s="9" t="s">
        <v>59</v>
      </c>
      <c r="J46" s="9" t="s">
        <v>888</v>
      </c>
      <c r="K46" s="9" t="s">
        <v>1014</v>
      </c>
      <c r="L46" s="9"/>
      <c r="M46" s="9" t="n">
        <f aca="false">IF(AND(ISNUMBER($E46),ISNUMBER($F46),ISNUMBER($G46)),IF(AND($F46&lt;=$E46,$E46&lt;=$G46),0,1),0)</f>
        <v>0</v>
      </c>
    </row>
    <row r="47" customFormat="false" ht="15" hidden="false" customHeight="false" outlineLevel="0" collapsed="false">
      <c r="A47" s="9" t="s">
        <v>1017</v>
      </c>
      <c r="B47" s="10" t="s">
        <v>1013</v>
      </c>
      <c r="C47" s="9" t="s">
        <v>1002</v>
      </c>
      <c r="D47" s="10" t="s">
        <v>959</v>
      </c>
      <c r="E47" s="11" t="n">
        <v>0.12</v>
      </c>
      <c r="F47" s="9"/>
      <c r="G47" s="9"/>
      <c r="H47" s="9" t="s">
        <v>923</v>
      </c>
      <c r="I47" s="9" t="s">
        <v>59</v>
      </c>
      <c r="J47" s="9" t="s">
        <v>888</v>
      </c>
      <c r="K47" s="9" t="s">
        <v>1014</v>
      </c>
      <c r="L47" s="9"/>
      <c r="M47" s="9" t="n">
        <f aca="false">IF(AND(ISNUMBER($E47),ISNUMBER($F47),ISNUMBER($G47)),IF(AND($F47&lt;=$E47,$E47&lt;=$G47),0,1),0)</f>
        <v>0</v>
      </c>
    </row>
    <row r="48" customFormat="false" ht="15" hidden="false" customHeight="false" outlineLevel="0" collapsed="false">
      <c r="A48" s="9" t="s">
        <v>1018</v>
      </c>
      <c r="B48" s="10" t="s">
        <v>1013</v>
      </c>
      <c r="C48" s="9" t="s">
        <v>1004</v>
      </c>
      <c r="D48" s="10" t="s">
        <v>959</v>
      </c>
      <c r="E48" s="11" t="n">
        <v>0.1</v>
      </c>
      <c r="F48" s="9"/>
      <c r="G48" s="9"/>
      <c r="H48" s="9" t="s">
        <v>923</v>
      </c>
      <c r="I48" s="9" t="s">
        <v>59</v>
      </c>
      <c r="J48" s="9" t="s">
        <v>888</v>
      </c>
      <c r="K48" s="9" t="s">
        <v>1014</v>
      </c>
      <c r="L48" s="9"/>
      <c r="M48" s="9" t="n">
        <f aca="false">IF(AND(ISNUMBER($E48),ISNUMBER($F48),ISNUMBER($G48)),IF(AND($F48&lt;=$E48,$E48&lt;=$G48),0,1),0)</f>
        <v>0</v>
      </c>
    </row>
    <row r="49" customFormat="false" ht="15" hidden="false" customHeight="false" outlineLevel="0" collapsed="false">
      <c r="A49" s="9" t="s">
        <v>1019</v>
      </c>
      <c r="B49" s="10" t="s">
        <v>1013</v>
      </c>
      <c r="C49" s="9" t="s">
        <v>1006</v>
      </c>
      <c r="D49" s="10" t="s">
        <v>959</v>
      </c>
      <c r="E49" s="11" t="n">
        <v>0.08</v>
      </c>
      <c r="F49" s="9"/>
      <c r="G49" s="9"/>
      <c r="H49" s="9" t="s">
        <v>923</v>
      </c>
      <c r="I49" s="9" t="s">
        <v>59</v>
      </c>
      <c r="J49" s="9" t="s">
        <v>888</v>
      </c>
      <c r="K49" s="9" t="s">
        <v>1014</v>
      </c>
      <c r="L49" s="9"/>
      <c r="M49" s="9" t="n">
        <f aca="false">IF(AND(ISNUMBER($E49),ISNUMBER($F49),ISNUMBER($G49)),IF(AND($F49&lt;=$E49,$E49&lt;=$G49),0,1),0)</f>
        <v>0</v>
      </c>
    </row>
    <row r="50" customFormat="false" ht="15" hidden="false" customHeight="false" outlineLevel="0" collapsed="false">
      <c r="A50" s="9" t="s">
        <v>1020</v>
      </c>
      <c r="B50" s="10" t="s">
        <v>1021</v>
      </c>
      <c r="C50" s="9" t="s">
        <v>59</v>
      </c>
      <c r="D50" s="10" t="s">
        <v>548</v>
      </c>
      <c r="E50" s="11" t="n">
        <v>0.5</v>
      </c>
      <c r="F50" s="9"/>
      <c r="G50" s="9"/>
      <c r="H50" s="9" t="s">
        <v>923</v>
      </c>
      <c r="I50" s="9" t="s">
        <v>59</v>
      </c>
      <c r="J50" s="9" t="s">
        <v>888</v>
      </c>
      <c r="K50" s="9" t="s">
        <v>1014</v>
      </c>
      <c r="L50" s="10" t="s">
        <v>1009</v>
      </c>
      <c r="M50" s="9" t="n">
        <f aca="false">IF(AND(ISNUMBER($E50),ISNUMBER($F50),ISNUMBER($G50)),IF(AND($F50&lt;=$E50,$E50&lt;=$G50),0,1),0)</f>
        <v>0</v>
      </c>
    </row>
    <row r="51" customFormat="false" ht="15" hidden="false" customHeight="false" outlineLevel="0" collapsed="false">
      <c r="A51" s="9" t="s">
        <v>1022</v>
      </c>
      <c r="B51" s="10" t="s">
        <v>1023</v>
      </c>
      <c r="C51" s="9" t="s">
        <v>59</v>
      </c>
      <c r="D51" s="10" t="s">
        <v>548</v>
      </c>
      <c r="E51" s="11" t="n">
        <v>1.5</v>
      </c>
      <c r="F51" s="9"/>
      <c r="G51" s="9"/>
      <c r="H51" s="9" t="s">
        <v>923</v>
      </c>
      <c r="I51" s="9" t="s">
        <v>59</v>
      </c>
      <c r="J51" s="9" t="s">
        <v>888</v>
      </c>
      <c r="K51" s="9" t="s">
        <v>1014</v>
      </c>
      <c r="L51" s="10" t="s">
        <v>1009</v>
      </c>
      <c r="M51" s="9" t="n">
        <f aca="false">IF(AND(ISNUMBER($E51),ISNUMBER($F51),ISNUMBER($G51)),IF(AND($F51&lt;=$E51,$E51&lt;=$G51),0,1),0)</f>
        <v>0</v>
      </c>
    </row>
    <row r="52" customFormat="false" ht="15" hidden="false" customHeight="false" outlineLevel="0" collapsed="false">
      <c r="A52" s="9" t="s">
        <v>1024</v>
      </c>
      <c r="B52" s="10" t="s">
        <v>1025</v>
      </c>
      <c r="C52" s="9" t="s">
        <v>59</v>
      </c>
      <c r="D52" s="10" t="s">
        <v>1026</v>
      </c>
      <c r="E52" s="11" t="n">
        <v>-0.7</v>
      </c>
      <c r="F52" s="11" t="n">
        <v>-1.05</v>
      </c>
      <c r="G52" s="11" t="n">
        <v>-0.35</v>
      </c>
      <c r="H52" s="9" t="s">
        <v>923</v>
      </c>
      <c r="I52" s="9" t="s">
        <v>960</v>
      </c>
      <c r="J52" s="9" t="s">
        <v>888</v>
      </c>
      <c r="K52" s="9" t="s">
        <v>1027</v>
      </c>
      <c r="L52" s="10" t="s">
        <v>1028</v>
      </c>
      <c r="M52" s="9" t="n">
        <f aca="false">IF(AND(ISNUMBER($E52),ISNUMBER($F52),ISNUMBER($G52)),IF(AND($F52&lt;=$E52,$E52&lt;=$G52),0,1),0)</f>
        <v>0</v>
      </c>
    </row>
    <row r="53" customFormat="false" ht="15" hidden="false" customHeight="false" outlineLevel="0" collapsed="false">
      <c r="A53" s="9" t="s">
        <v>1029</v>
      </c>
      <c r="B53" s="10" t="s">
        <v>1030</v>
      </c>
      <c r="C53" s="9" t="s">
        <v>59</v>
      </c>
      <c r="D53" s="10" t="s">
        <v>1026</v>
      </c>
      <c r="E53" s="11" t="n">
        <v>-0.3</v>
      </c>
      <c r="F53" s="11" t="n">
        <v>-0.45</v>
      </c>
      <c r="G53" s="11" t="n">
        <v>-0.15</v>
      </c>
      <c r="H53" s="9" t="s">
        <v>923</v>
      </c>
      <c r="I53" s="9" t="s">
        <v>960</v>
      </c>
      <c r="J53" s="9" t="s">
        <v>888</v>
      </c>
      <c r="K53" s="9" t="s">
        <v>1031</v>
      </c>
      <c r="L53" s="9"/>
      <c r="M53" s="9" t="n">
        <f aca="false">IF(AND(ISNUMBER($E53),ISNUMBER($F53),ISNUMBER($G53)),IF(AND($F53&lt;=$E53,$E53&lt;=$G53),0,1),0)</f>
        <v>0</v>
      </c>
    </row>
    <row r="54" customFormat="false" ht="15" hidden="false" customHeight="false" outlineLevel="0" collapsed="false">
      <c r="A54" s="9" t="s">
        <v>1032</v>
      </c>
      <c r="B54" s="10" t="s">
        <v>1033</v>
      </c>
      <c r="C54" s="9" t="s">
        <v>59</v>
      </c>
      <c r="D54" s="10" t="s">
        <v>1034</v>
      </c>
      <c r="E54" s="9" t="s">
        <v>1035</v>
      </c>
      <c r="F54" s="9"/>
      <c r="G54" s="9"/>
      <c r="H54" s="9" t="s">
        <v>887</v>
      </c>
      <c r="I54" s="9" t="s">
        <v>1036</v>
      </c>
      <c r="J54" s="9" t="s">
        <v>888</v>
      </c>
      <c r="K54" s="9" t="s">
        <v>1037</v>
      </c>
      <c r="L54" s="10" t="s">
        <v>1038</v>
      </c>
      <c r="M54" s="9" t="n">
        <f aca="false">IF(AND(ISNUMBER($E54),ISNUMBER($F54),ISNUMBER($G54)),IF(AND($F54&lt;=$E54,$E54&lt;=$G54),0,1),0)</f>
        <v>0</v>
      </c>
    </row>
    <row r="55" customFormat="false" ht="15" hidden="false" customHeight="false" outlineLevel="0" collapsed="false">
      <c r="A55" s="9" t="s">
        <v>1039</v>
      </c>
      <c r="B55" s="10" t="s">
        <v>1040</v>
      </c>
      <c r="C55" s="9" t="s">
        <v>1041</v>
      </c>
      <c r="D55" s="10" t="s">
        <v>181</v>
      </c>
      <c r="E55" s="9" t="s">
        <v>1042</v>
      </c>
      <c r="F55" s="9"/>
      <c r="G55" s="9"/>
      <c r="H55" s="9" t="s">
        <v>923</v>
      </c>
      <c r="I55" s="9" t="s">
        <v>59</v>
      </c>
      <c r="J55" s="9" t="s">
        <v>888</v>
      </c>
      <c r="K55" s="9" t="s">
        <v>1043</v>
      </c>
      <c r="L55" s="9" t="s">
        <v>1044</v>
      </c>
      <c r="M55" s="9" t="n">
        <f aca="false">IF(AND(ISNUMBER($E55),ISNUMBER($F55),ISNUMBER($G55)),IF(AND($F55&lt;=$E55,$E55&lt;=$G55),0,1),0)</f>
        <v>0</v>
      </c>
    </row>
    <row r="56" customFormat="false" ht="15" hidden="false" customHeight="false" outlineLevel="0" collapsed="false">
      <c r="A56" s="9" t="s">
        <v>1045</v>
      </c>
      <c r="B56" s="10" t="s">
        <v>1046</v>
      </c>
      <c r="C56" s="9" t="s">
        <v>1047</v>
      </c>
      <c r="D56" s="10" t="s">
        <v>181</v>
      </c>
      <c r="E56" s="9" t="s">
        <v>1042</v>
      </c>
      <c r="F56" s="9"/>
      <c r="G56" s="9"/>
      <c r="H56" s="9" t="s">
        <v>923</v>
      </c>
      <c r="I56" s="9" t="s">
        <v>59</v>
      </c>
      <c r="J56" s="9" t="s">
        <v>888</v>
      </c>
      <c r="K56" s="9" t="s">
        <v>1043</v>
      </c>
      <c r="L56" s="9" t="s">
        <v>1044</v>
      </c>
      <c r="M56" s="9" t="n">
        <f aca="false">IF(AND(ISNUMBER($E56),ISNUMBER($F56),ISNUMBER($G56)),IF(AND($F56&lt;=$E56,$E56&lt;=$G56),0,1),0)</f>
        <v>0</v>
      </c>
    </row>
    <row r="57" customFormat="false" ht="15" hidden="false" customHeight="false" outlineLevel="0" collapsed="false">
      <c r="A57" s="9" t="s">
        <v>1048</v>
      </c>
      <c r="B57" s="10" t="s">
        <v>1049</v>
      </c>
      <c r="C57" s="9" t="s">
        <v>1050</v>
      </c>
      <c r="D57" s="10" t="s">
        <v>181</v>
      </c>
      <c r="E57" s="9" t="s">
        <v>1051</v>
      </c>
      <c r="F57" s="9"/>
      <c r="G57" s="9"/>
      <c r="H57" s="9" t="s">
        <v>923</v>
      </c>
      <c r="I57" s="9" t="s">
        <v>59</v>
      </c>
      <c r="J57" s="9" t="s">
        <v>888</v>
      </c>
      <c r="K57" s="9" t="s">
        <v>1043</v>
      </c>
      <c r="L57" s="9" t="s">
        <v>1044</v>
      </c>
      <c r="M57" s="9" t="n">
        <f aca="false">IF(AND(ISNUMBER($E57),ISNUMBER($F57),ISNUMBER($G57)),IF(AND($F57&lt;=$E57,$E57&lt;=$G57),0,1),0)</f>
        <v>0</v>
      </c>
    </row>
    <row r="58" customFormat="false" ht="15" hidden="false" customHeight="false" outlineLevel="0" collapsed="false">
      <c r="A58" s="9" t="s">
        <v>1052</v>
      </c>
      <c r="B58" s="10" t="s">
        <v>1053</v>
      </c>
      <c r="C58" s="9" t="s">
        <v>1054</v>
      </c>
      <c r="D58" s="10" t="s">
        <v>181</v>
      </c>
      <c r="E58" s="9" t="s">
        <v>1055</v>
      </c>
      <c r="F58" s="9"/>
      <c r="G58" s="9"/>
      <c r="H58" s="9" t="s">
        <v>923</v>
      </c>
      <c r="I58" s="9" t="s">
        <v>59</v>
      </c>
      <c r="J58" s="9" t="s">
        <v>888</v>
      </c>
      <c r="K58" s="9" t="s">
        <v>1043</v>
      </c>
      <c r="L58" s="9" t="s">
        <v>1044</v>
      </c>
      <c r="M58" s="9" t="n">
        <f aca="false">IF(AND(ISNUMBER($E58),ISNUMBER($F58),ISNUMBER($G58)),IF(AND($F58&lt;=$E58,$E58&lt;=$G58),0,1),0)</f>
        <v>0</v>
      </c>
    </row>
    <row r="59" customFormat="false" ht="15" hidden="false" customHeight="false" outlineLevel="0" collapsed="false">
      <c r="A59" s="9" t="s">
        <v>1056</v>
      </c>
      <c r="B59" s="10" t="s">
        <v>1057</v>
      </c>
      <c r="C59" s="9" t="s">
        <v>1058</v>
      </c>
      <c r="D59" s="10" t="s">
        <v>181</v>
      </c>
      <c r="E59" s="9" t="s">
        <v>1051</v>
      </c>
      <c r="F59" s="9"/>
      <c r="G59" s="9"/>
      <c r="H59" s="9" t="s">
        <v>923</v>
      </c>
      <c r="I59" s="9" t="s">
        <v>59</v>
      </c>
      <c r="J59" s="9" t="s">
        <v>888</v>
      </c>
      <c r="K59" s="9" t="s">
        <v>1043</v>
      </c>
      <c r="L59" s="9" t="s">
        <v>1044</v>
      </c>
      <c r="M59" s="9" t="n">
        <f aca="false">IF(AND(ISNUMBER($E59),ISNUMBER($F59),ISNUMBER($G59)),IF(AND($F59&lt;=$E59,$E59&lt;=$G59),0,1),0)</f>
        <v>0</v>
      </c>
    </row>
    <row r="60" customFormat="false" ht="15" hidden="false" customHeight="false" outlineLevel="0" collapsed="false">
      <c r="A60" s="9" t="s">
        <v>1059</v>
      </c>
      <c r="B60" s="9" t="s">
        <v>1060</v>
      </c>
      <c r="C60" s="9" t="s">
        <v>399</v>
      </c>
      <c r="D60" s="9" t="s">
        <v>246</v>
      </c>
      <c r="E60" s="11" t="n">
        <v>600</v>
      </c>
      <c r="F60" s="9"/>
      <c r="G60" s="9"/>
      <c r="H60" s="9" t="s">
        <v>939</v>
      </c>
      <c r="I60" s="9" t="s">
        <v>59</v>
      </c>
      <c r="J60" s="9" t="s">
        <v>888</v>
      </c>
      <c r="K60" s="9" t="s">
        <v>1061</v>
      </c>
      <c r="L60" s="10" t="s">
        <v>1062</v>
      </c>
      <c r="M60" s="9" t="n">
        <f aca="false">IF(AND(ISNUMBER($E60),ISNUMBER($F60),ISNUMBER($G60)),IF(AND($F60&lt;=$E60,$E60&lt;=$G60),0,1),0)</f>
        <v>0</v>
      </c>
    </row>
    <row r="61" customFormat="false" ht="15" hidden="false" customHeight="false" outlineLevel="0" collapsed="false">
      <c r="A61" s="9" t="s">
        <v>1063</v>
      </c>
      <c r="B61" s="9" t="s">
        <v>1060</v>
      </c>
      <c r="C61" s="9" t="s">
        <v>1000</v>
      </c>
      <c r="D61" s="9" t="s">
        <v>246</v>
      </c>
      <c r="E61" s="11" t="n">
        <v>1250</v>
      </c>
      <c r="F61" s="9"/>
      <c r="G61" s="9"/>
      <c r="H61" s="9" t="s">
        <v>923</v>
      </c>
      <c r="I61" s="9" t="s">
        <v>59</v>
      </c>
      <c r="J61" s="9" t="s">
        <v>888</v>
      </c>
      <c r="K61" s="9" t="s">
        <v>1061</v>
      </c>
      <c r="L61" s="9" t="s">
        <v>1064</v>
      </c>
      <c r="M61" s="9" t="n">
        <f aca="false">IF(AND(ISNUMBER($E61),ISNUMBER($F61),ISNUMBER($G61)),IF(AND($F61&lt;=$E61,$E61&lt;=$G61),0,1),0)</f>
        <v>0</v>
      </c>
    </row>
    <row r="62" customFormat="false" ht="15" hidden="false" customHeight="false" outlineLevel="0" collapsed="false">
      <c r="A62" s="9" t="s">
        <v>1065</v>
      </c>
      <c r="B62" s="9" t="s">
        <v>1060</v>
      </c>
      <c r="C62" s="9" t="s">
        <v>1002</v>
      </c>
      <c r="D62" s="9" t="s">
        <v>246</v>
      </c>
      <c r="E62" s="11" t="n">
        <v>1500</v>
      </c>
      <c r="F62" s="9"/>
      <c r="G62" s="9"/>
      <c r="H62" s="9" t="s">
        <v>923</v>
      </c>
      <c r="I62" s="9" t="s">
        <v>59</v>
      </c>
      <c r="J62" s="9" t="s">
        <v>888</v>
      </c>
      <c r="K62" s="9" t="s">
        <v>1061</v>
      </c>
      <c r="L62" s="9" t="s">
        <v>1064</v>
      </c>
      <c r="M62" s="9" t="n">
        <f aca="false">IF(AND(ISNUMBER($E62),ISNUMBER($F62),ISNUMBER($G62)),IF(AND($F62&lt;=$E62,$E62&lt;=$G62),0,1),0)</f>
        <v>0</v>
      </c>
    </row>
    <row r="63" customFormat="false" ht="15" hidden="false" customHeight="false" outlineLevel="0" collapsed="false">
      <c r="A63" s="9" t="s">
        <v>1066</v>
      </c>
      <c r="B63" s="9" t="s">
        <v>1060</v>
      </c>
      <c r="C63" s="9" t="s">
        <v>1004</v>
      </c>
      <c r="D63" s="9" t="s">
        <v>246</v>
      </c>
      <c r="E63" s="11" t="n">
        <v>1700</v>
      </c>
      <c r="F63" s="9"/>
      <c r="G63" s="9"/>
      <c r="H63" s="9" t="s">
        <v>923</v>
      </c>
      <c r="I63" s="9" t="s">
        <v>59</v>
      </c>
      <c r="J63" s="9" t="s">
        <v>888</v>
      </c>
      <c r="K63" s="9" t="s">
        <v>1061</v>
      </c>
      <c r="L63" s="9" t="s">
        <v>1064</v>
      </c>
      <c r="M63" s="9" t="n">
        <f aca="false">IF(AND(ISNUMBER($E63),ISNUMBER($F63),ISNUMBER($G63)),IF(AND($F63&lt;=$E63,$E63&lt;=$G63),0,1),0)</f>
        <v>0</v>
      </c>
    </row>
    <row r="64" customFormat="false" ht="15" hidden="false" customHeight="false" outlineLevel="0" collapsed="false">
      <c r="A64" s="9" t="s">
        <v>1067</v>
      </c>
      <c r="B64" s="9" t="s">
        <v>1060</v>
      </c>
      <c r="C64" s="9" t="s">
        <v>1006</v>
      </c>
      <c r="D64" s="9" t="s">
        <v>246</v>
      </c>
      <c r="E64" s="11" t="n">
        <v>1850</v>
      </c>
      <c r="F64" s="9"/>
      <c r="G64" s="9"/>
      <c r="H64" s="9" t="s">
        <v>923</v>
      </c>
      <c r="I64" s="9" t="s">
        <v>59</v>
      </c>
      <c r="J64" s="9" t="s">
        <v>888</v>
      </c>
      <c r="K64" s="9" t="s">
        <v>1061</v>
      </c>
      <c r="L64" s="9" t="s">
        <v>1064</v>
      </c>
      <c r="M64" s="9" t="n">
        <f aca="false">IF(AND(ISNUMBER($E64),ISNUMBER($F64),ISNUMBER($G64)),IF(AND($F64&lt;=$E64,$E64&lt;=$G64),0,1),0)</f>
        <v>0</v>
      </c>
    </row>
    <row r="65" customFormat="false" ht="15" hidden="false" customHeight="false" outlineLevel="0" collapsed="false">
      <c r="A65" s="9" t="s">
        <v>1068</v>
      </c>
      <c r="B65" s="9" t="s">
        <v>1069</v>
      </c>
      <c r="C65" s="9" t="s">
        <v>59</v>
      </c>
      <c r="D65" s="10" t="s">
        <v>548</v>
      </c>
      <c r="E65" s="11" t="n">
        <v>0.8</v>
      </c>
      <c r="F65" s="9"/>
      <c r="G65" s="9"/>
      <c r="H65" s="9" t="s">
        <v>923</v>
      </c>
      <c r="I65" s="9" t="s">
        <v>59</v>
      </c>
      <c r="J65" s="9" t="s">
        <v>888</v>
      </c>
      <c r="K65" s="9" t="s">
        <v>1061</v>
      </c>
      <c r="L65" s="10" t="s">
        <v>1070</v>
      </c>
      <c r="M65" s="9" t="n">
        <f aca="false">IF(AND(ISNUMBER($E65),ISNUMBER($F65),ISNUMBER($G65)),IF(AND($F65&lt;=$E65,$E65&lt;=$G65),0,1),0)</f>
        <v>0</v>
      </c>
    </row>
    <row r="66" customFormat="false" ht="15" hidden="false" customHeight="false" outlineLevel="0" collapsed="false">
      <c r="A66" s="9" t="s">
        <v>1071</v>
      </c>
      <c r="B66" s="9" t="s">
        <v>1072</v>
      </c>
      <c r="C66" s="9" t="s">
        <v>59</v>
      </c>
      <c r="D66" s="10" t="s">
        <v>548</v>
      </c>
      <c r="E66" s="11" t="n">
        <v>1.2</v>
      </c>
      <c r="F66" s="9"/>
      <c r="G66" s="9"/>
      <c r="H66" s="9" t="s">
        <v>923</v>
      </c>
      <c r="I66" s="9" t="s">
        <v>59</v>
      </c>
      <c r="J66" s="9" t="s">
        <v>888</v>
      </c>
      <c r="K66" s="9" t="s">
        <v>1061</v>
      </c>
      <c r="L66" s="10" t="s">
        <v>1070</v>
      </c>
      <c r="M66" s="9" t="n">
        <f aca="false">IF(AND(ISNUMBER($E66),ISNUMBER($F66),ISNUMBER($G66)),IF(AND($F66&lt;=$E66,$E66&lt;=$G66),0,1),0)</f>
        <v>0</v>
      </c>
    </row>
    <row r="67" customFormat="false" ht="15" hidden="false" customHeight="false" outlineLevel="0" collapsed="false">
      <c r="A67" s="9" t="s">
        <v>1073</v>
      </c>
      <c r="B67" s="9" t="s">
        <v>1074</v>
      </c>
      <c r="C67" s="9" t="s">
        <v>399</v>
      </c>
      <c r="D67" s="9" t="s">
        <v>246</v>
      </c>
      <c r="E67" s="11" t="n">
        <v>2</v>
      </c>
      <c r="F67" s="9"/>
      <c r="G67" s="9"/>
      <c r="H67" s="9" t="s">
        <v>923</v>
      </c>
      <c r="I67" s="9" t="s">
        <v>59</v>
      </c>
      <c r="J67" s="9" t="s">
        <v>888</v>
      </c>
      <c r="K67" s="9" t="s">
        <v>1075</v>
      </c>
      <c r="L67" s="9"/>
      <c r="M67" s="9" t="n">
        <f aca="false">IF(AND(ISNUMBER($E67),ISNUMBER($F67),ISNUMBER($G67)),IF(AND($F67&lt;=$E67,$E67&lt;=$G67),0,1),0)</f>
        <v>0</v>
      </c>
    </row>
    <row r="68" customFormat="false" ht="15" hidden="false" customHeight="false" outlineLevel="0" collapsed="false">
      <c r="A68" s="9" t="s">
        <v>1076</v>
      </c>
      <c r="B68" s="9" t="s">
        <v>1074</v>
      </c>
      <c r="C68" s="9" t="s">
        <v>411</v>
      </c>
      <c r="D68" s="9" t="s">
        <v>246</v>
      </c>
      <c r="E68" s="11" t="n">
        <v>10</v>
      </c>
      <c r="F68" s="9"/>
      <c r="G68" s="9"/>
      <c r="H68" s="9" t="s">
        <v>923</v>
      </c>
      <c r="I68" s="9" t="s">
        <v>59</v>
      </c>
      <c r="J68" s="9" t="s">
        <v>888</v>
      </c>
      <c r="K68" s="9" t="s">
        <v>1075</v>
      </c>
      <c r="L68" s="9" t="s">
        <v>1064</v>
      </c>
      <c r="M68" s="9" t="n">
        <f aca="false">IF(AND(ISNUMBER($E68),ISNUMBER($F68),ISNUMBER($G68)),IF(AND($F68&lt;=$E68,$E68&lt;=$G68),0,1),0)</f>
        <v>0</v>
      </c>
    </row>
    <row r="69" customFormat="false" ht="15" hidden="false" customHeight="false" outlineLevel="0" collapsed="false">
      <c r="A69" s="9" t="s">
        <v>1077</v>
      </c>
      <c r="B69" s="9" t="s">
        <v>1074</v>
      </c>
      <c r="C69" s="9" t="s">
        <v>1000</v>
      </c>
      <c r="D69" s="9" t="s">
        <v>246</v>
      </c>
      <c r="E69" s="11" t="n">
        <v>22</v>
      </c>
      <c r="F69" s="9"/>
      <c r="G69" s="9"/>
      <c r="H69" s="9" t="s">
        <v>923</v>
      </c>
      <c r="I69" s="9" t="s">
        <v>59</v>
      </c>
      <c r="J69" s="9" t="s">
        <v>888</v>
      </c>
      <c r="K69" s="9" t="s">
        <v>1075</v>
      </c>
      <c r="L69" s="9" t="s">
        <v>1064</v>
      </c>
      <c r="M69" s="9" t="n">
        <f aca="false">IF(AND(ISNUMBER($E69),ISNUMBER($F69),ISNUMBER($G69)),IF(AND($F69&lt;=$E69,$E69&lt;=$G69),0,1),0)</f>
        <v>0</v>
      </c>
    </row>
    <row r="70" customFormat="false" ht="15" hidden="false" customHeight="false" outlineLevel="0" collapsed="false">
      <c r="A70" s="9" t="s">
        <v>1078</v>
      </c>
      <c r="B70" s="9" t="s">
        <v>1074</v>
      </c>
      <c r="C70" s="9" t="s">
        <v>1002</v>
      </c>
      <c r="D70" s="9" t="s">
        <v>246</v>
      </c>
      <c r="E70" s="11" t="n">
        <v>35</v>
      </c>
      <c r="F70" s="9"/>
      <c r="G70" s="9"/>
      <c r="H70" s="9" t="s">
        <v>923</v>
      </c>
      <c r="I70" s="9" t="s">
        <v>59</v>
      </c>
      <c r="J70" s="9" t="s">
        <v>888</v>
      </c>
      <c r="K70" s="9" t="s">
        <v>1075</v>
      </c>
      <c r="L70" s="9" t="s">
        <v>1064</v>
      </c>
      <c r="M70" s="9" t="n">
        <f aca="false">IF(AND(ISNUMBER($E70),ISNUMBER($F70),ISNUMBER($G70)),IF(AND($F70&lt;=$E70,$E70&lt;=$G70),0,1),0)</f>
        <v>0</v>
      </c>
    </row>
    <row r="71" customFormat="false" ht="15" hidden="false" customHeight="false" outlineLevel="0" collapsed="false">
      <c r="A71" s="9" t="s">
        <v>1079</v>
      </c>
      <c r="B71" s="9" t="s">
        <v>1074</v>
      </c>
      <c r="C71" s="9" t="s">
        <v>1004</v>
      </c>
      <c r="D71" s="9" t="s">
        <v>246</v>
      </c>
      <c r="E71" s="11" t="n">
        <v>45</v>
      </c>
      <c r="F71" s="9"/>
      <c r="G71" s="9"/>
      <c r="H71" s="9" t="s">
        <v>923</v>
      </c>
      <c r="I71" s="9" t="s">
        <v>59</v>
      </c>
      <c r="J71" s="9" t="s">
        <v>888</v>
      </c>
      <c r="K71" s="9" t="s">
        <v>1075</v>
      </c>
      <c r="L71" s="9" t="s">
        <v>1064</v>
      </c>
      <c r="M71" s="9" t="n">
        <f aca="false">IF(AND(ISNUMBER($E71),ISNUMBER($F71),ISNUMBER($G71)),IF(AND($F71&lt;=$E71,$E71&lt;=$G71),0,1),0)</f>
        <v>0</v>
      </c>
    </row>
    <row r="72" customFormat="false" ht="15" hidden="false" customHeight="false" outlineLevel="0" collapsed="false">
      <c r="A72" s="9" t="s">
        <v>1080</v>
      </c>
      <c r="B72" s="9" t="s">
        <v>1074</v>
      </c>
      <c r="C72" s="9" t="s">
        <v>1006</v>
      </c>
      <c r="D72" s="9" t="s">
        <v>246</v>
      </c>
      <c r="E72" s="11" t="n">
        <v>55</v>
      </c>
      <c r="F72" s="9"/>
      <c r="G72" s="9"/>
      <c r="H72" s="9" t="s">
        <v>923</v>
      </c>
      <c r="I72" s="9" t="s">
        <v>59</v>
      </c>
      <c r="J72" s="9" t="s">
        <v>888</v>
      </c>
      <c r="K72" s="9" t="s">
        <v>1075</v>
      </c>
      <c r="L72" s="9" t="s">
        <v>1064</v>
      </c>
      <c r="M72" s="9" t="n">
        <f aca="false">IF(AND(ISNUMBER($E72),ISNUMBER($F72),ISNUMBER($G72)),IF(AND($F72&lt;=$E72,$E72&lt;=$G72),0,1),0)</f>
        <v>0</v>
      </c>
    </row>
    <row r="73" customFormat="false" ht="15" hidden="false" customHeight="false" outlineLevel="0" collapsed="false">
      <c r="A73" s="9" t="s">
        <v>1081</v>
      </c>
      <c r="B73" s="9" t="s">
        <v>1082</v>
      </c>
      <c r="C73" s="9" t="s">
        <v>59</v>
      </c>
      <c r="D73" s="10" t="s">
        <v>548</v>
      </c>
      <c r="E73" s="11" t="n">
        <v>0.6</v>
      </c>
      <c r="F73" s="9"/>
      <c r="G73" s="9"/>
      <c r="H73" s="9" t="s">
        <v>923</v>
      </c>
      <c r="I73" s="9" t="s">
        <v>59</v>
      </c>
      <c r="J73" s="9" t="s">
        <v>888</v>
      </c>
      <c r="K73" s="9" t="s">
        <v>1075</v>
      </c>
      <c r="L73" s="10" t="s">
        <v>1070</v>
      </c>
      <c r="M73" s="9" t="n">
        <f aca="false">IF(AND(ISNUMBER($E73),ISNUMBER($F73),ISNUMBER($G73)),IF(AND($F73&lt;=$E73,$E73&lt;=$G73),0,1),0)</f>
        <v>0</v>
      </c>
    </row>
    <row r="74" customFormat="false" ht="15" hidden="false" customHeight="false" outlineLevel="0" collapsed="false">
      <c r="A74" s="9" t="s">
        <v>1083</v>
      </c>
      <c r="B74" s="9" t="s">
        <v>1084</v>
      </c>
      <c r="C74" s="9" t="s">
        <v>59</v>
      </c>
      <c r="D74" s="10" t="s">
        <v>548</v>
      </c>
      <c r="E74" s="11" t="n">
        <v>1.5</v>
      </c>
      <c r="F74" s="9"/>
      <c r="G74" s="9"/>
      <c r="H74" s="9" t="s">
        <v>923</v>
      </c>
      <c r="I74" s="9" t="s">
        <v>59</v>
      </c>
      <c r="J74" s="9" t="s">
        <v>888</v>
      </c>
      <c r="K74" s="9" t="s">
        <v>1075</v>
      </c>
      <c r="L74" s="10" t="s">
        <v>1070</v>
      </c>
      <c r="M74" s="9" t="n">
        <f aca="false">IF(AND(ISNUMBER($E74),ISNUMBER($F74),ISNUMBER($G74)),IF(AND($F74&lt;=$E74,$E74&lt;=$G74),0,1),0)</f>
        <v>0</v>
      </c>
    </row>
    <row r="75" customFormat="false" ht="15" hidden="false" customHeight="false" outlineLevel="0" collapsed="false">
      <c r="A75" s="9" t="s">
        <v>1085</v>
      </c>
      <c r="B75" s="9" t="s">
        <v>1086</v>
      </c>
      <c r="C75" s="9" t="s">
        <v>411</v>
      </c>
      <c r="D75" s="9" t="s">
        <v>246</v>
      </c>
      <c r="E75" s="11" t="n">
        <v>46</v>
      </c>
      <c r="F75" s="9"/>
      <c r="G75" s="9"/>
      <c r="H75" s="9" t="s">
        <v>923</v>
      </c>
      <c r="I75" s="9" t="s">
        <v>59</v>
      </c>
      <c r="J75" s="9" t="s">
        <v>888</v>
      </c>
      <c r="K75" s="9" t="s">
        <v>1087</v>
      </c>
      <c r="L75" s="9" t="s">
        <v>1064</v>
      </c>
      <c r="M75" s="9" t="n">
        <f aca="false">IF(AND(ISNUMBER($E75),ISNUMBER($F75),ISNUMBER($G75)),IF(AND($F75&lt;=$E75,$E75&lt;=$G75),0,1),0)</f>
        <v>0</v>
      </c>
    </row>
    <row r="76" customFormat="false" ht="15" hidden="false" customHeight="false" outlineLevel="0" collapsed="false">
      <c r="A76" s="9" t="s">
        <v>1088</v>
      </c>
      <c r="B76" s="9" t="s">
        <v>1086</v>
      </c>
      <c r="C76" s="9" t="s">
        <v>1000</v>
      </c>
      <c r="D76" s="9" t="s">
        <v>246</v>
      </c>
      <c r="E76" s="11" t="n">
        <v>52</v>
      </c>
      <c r="F76" s="9"/>
      <c r="G76" s="9"/>
      <c r="H76" s="9" t="s">
        <v>923</v>
      </c>
      <c r="I76" s="9" t="s">
        <v>59</v>
      </c>
      <c r="J76" s="9" t="s">
        <v>888</v>
      </c>
      <c r="K76" s="9" t="s">
        <v>1087</v>
      </c>
      <c r="L76" s="9" t="s">
        <v>1064</v>
      </c>
      <c r="M76" s="9" t="n">
        <f aca="false">IF(AND(ISNUMBER($E76),ISNUMBER($F76),ISNUMBER($G76)),IF(AND($F76&lt;=$E76,$E76&lt;=$G76),0,1),0)</f>
        <v>0</v>
      </c>
    </row>
    <row r="77" customFormat="false" ht="15" hidden="false" customHeight="false" outlineLevel="0" collapsed="false">
      <c r="A77" s="9" t="s">
        <v>1089</v>
      </c>
      <c r="B77" s="9" t="s">
        <v>1086</v>
      </c>
      <c r="C77" s="9" t="s">
        <v>1002</v>
      </c>
      <c r="D77" s="9" t="s">
        <v>246</v>
      </c>
      <c r="E77" s="11" t="n">
        <v>57</v>
      </c>
      <c r="F77" s="9"/>
      <c r="G77" s="9"/>
      <c r="H77" s="9" t="s">
        <v>923</v>
      </c>
      <c r="I77" s="9" t="s">
        <v>59</v>
      </c>
      <c r="J77" s="9" t="s">
        <v>888</v>
      </c>
      <c r="K77" s="9" t="s">
        <v>1087</v>
      </c>
      <c r="L77" s="9" t="s">
        <v>1064</v>
      </c>
      <c r="M77" s="9" t="n">
        <f aca="false">IF(AND(ISNUMBER($E77),ISNUMBER($F77),ISNUMBER($G77)),IF(AND($F77&lt;=$E77,$E77&lt;=$G77),0,1),0)</f>
        <v>0</v>
      </c>
    </row>
    <row r="78" customFormat="false" ht="15" hidden="false" customHeight="false" outlineLevel="0" collapsed="false">
      <c r="A78" s="9" t="s">
        <v>1090</v>
      </c>
      <c r="B78" s="9" t="s">
        <v>1086</v>
      </c>
      <c r="C78" s="9" t="s">
        <v>1004</v>
      </c>
      <c r="D78" s="9" t="s">
        <v>246</v>
      </c>
      <c r="E78" s="11" t="n">
        <v>61</v>
      </c>
      <c r="F78" s="9"/>
      <c r="G78" s="9"/>
      <c r="H78" s="9" t="s">
        <v>923</v>
      </c>
      <c r="I78" s="9" t="s">
        <v>59</v>
      </c>
      <c r="J78" s="9" t="s">
        <v>888</v>
      </c>
      <c r="K78" s="9" t="s">
        <v>1087</v>
      </c>
      <c r="L78" s="9" t="s">
        <v>1064</v>
      </c>
      <c r="M78" s="9" t="n">
        <f aca="false">IF(AND(ISNUMBER($E78),ISNUMBER($F78),ISNUMBER($G78)),IF(AND($F78&lt;=$E78,$E78&lt;=$G78),0,1),0)</f>
        <v>0</v>
      </c>
    </row>
    <row r="79" customFormat="false" ht="15" hidden="false" customHeight="false" outlineLevel="0" collapsed="false">
      <c r="A79" s="9" t="s">
        <v>1091</v>
      </c>
      <c r="B79" s="9" t="s">
        <v>1086</v>
      </c>
      <c r="C79" s="9" t="s">
        <v>1006</v>
      </c>
      <c r="D79" s="9" t="s">
        <v>246</v>
      </c>
      <c r="E79" s="11" t="n">
        <v>64</v>
      </c>
      <c r="F79" s="9"/>
      <c r="G79" s="9"/>
      <c r="H79" s="9" t="s">
        <v>923</v>
      </c>
      <c r="I79" s="9" t="s">
        <v>59</v>
      </c>
      <c r="J79" s="9" t="s">
        <v>888</v>
      </c>
      <c r="K79" s="9" t="s">
        <v>1087</v>
      </c>
      <c r="L79" s="9" t="s">
        <v>1064</v>
      </c>
      <c r="M79" s="9" t="n">
        <f aca="false">IF(AND(ISNUMBER($E79),ISNUMBER($F79),ISNUMBER($G79)),IF(AND($F79&lt;=$E79,$E79&lt;=$G79),0,1),0)</f>
        <v>0</v>
      </c>
    </row>
    <row r="80" customFormat="false" ht="15" hidden="false" customHeight="false" outlineLevel="0" collapsed="false">
      <c r="A80" s="9" t="s">
        <v>1092</v>
      </c>
      <c r="B80" s="9" t="s">
        <v>1093</v>
      </c>
      <c r="C80" s="9" t="s">
        <v>59</v>
      </c>
      <c r="D80" s="10" t="s">
        <v>548</v>
      </c>
      <c r="E80" s="11" t="n">
        <v>0.85</v>
      </c>
      <c r="F80" s="9"/>
      <c r="G80" s="9"/>
      <c r="H80" s="9" t="s">
        <v>923</v>
      </c>
      <c r="I80" s="9" t="s">
        <v>59</v>
      </c>
      <c r="J80" s="9" t="s">
        <v>888</v>
      </c>
      <c r="K80" s="9" t="s">
        <v>1087</v>
      </c>
      <c r="L80" s="10" t="s">
        <v>1070</v>
      </c>
      <c r="M80" s="9" t="n">
        <f aca="false">IF(AND(ISNUMBER($E80),ISNUMBER($F80),ISNUMBER($G80)),IF(AND($F80&lt;=$E80,$E80&lt;=$G80),0,1),0)</f>
        <v>0</v>
      </c>
    </row>
    <row r="81" customFormat="false" ht="15" hidden="false" customHeight="false" outlineLevel="0" collapsed="false">
      <c r="A81" s="9" t="s">
        <v>1094</v>
      </c>
      <c r="B81" s="9" t="s">
        <v>1095</v>
      </c>
      <c r="C81" s="9" t="s">
        <v>59</v>
      </c>
      <c r="D81" s="10" t="s">
        <v>548</v>
      </c>
      <c r="E81" s="11" t="n">
        <v>1.15</v>
      </c>
      <c r="F81" s="9"/>
      <c r="G81" s="9"/>
      <c r="H81" s="9" t="s">
        <v>923</v>
      </c>
      <c r="I81" s="9" t="s">
        <v>59</v>
      </c>
      <c r="J81" s="9" t="s">
        <v>888</v>
      </c>
      <c r="K81" s="9" t="s">
        <v>1087</v>
      </c>
      <c r="L81" s="10" t="s">
        <v>1070</v>
      </c>
      <c r="M81" s="9" t="n">
        <f aca="false">IF(AND(ISNUMBER($E81),ISNUMBER($F81),ISNUMBER($G81)),IF(AND($F81&lt;=$E81,$E81&lt;=$G81),0,1),0)</f>
        <v>0</v>
      </c>
    </row>
    <row r="82" customFormat="false" ht="15" hidden="false" customHeight="false" outlineLevel="0" collapsed="false">
      <c r="A82" s="9" t="s">
        <v>1096</v>
      </c>
      <c r="B82" s="9" t="s">
        <v>1097</v>
      </c>
      <c r="C82" s="9" t="s">
        <v>399</v>
      </c>
      <c r="D82" s="9" t="s">
        <v>246</v>
      </c>
      <c r="E82" s="11" t="n">
        <v>3</v>
      </c>
      <c r="F82" s="9"/>
      <c r="G82" s="9"/>
      <c r="H82" s="9" t="s">
        <v>923</v>
      </c>
      <c r="I82" s="9" t="s">
        <v>59</v>
      </c>
      <c r="J82" s="9" t="s">
        <v>888</v>
      </c>
      <c r="K82" s="9" t="s">
        <v>1098</v>
      </c>
      <c r="L82" s="9"/>
      <c r="M82" s="9" t="n">
        <f aca="false">IF(AND(ISNUMBER($E82),ISNUMBER($F82),ISNUMBER($G82)),IF(AND($F82&lt;=$E82,$E82&lt;=$G82),0,1),0)</f>
        <v>0</v>
      </c>
    </row>
    <row r="83" customFormat="false" ht="15" hidden="false" customHeight="false" outlineLevel="0" collapsed="false">
      <c r="A83" s="9" t="s">
        <v>1099</v>
      </c>
      <c r="B83" s="9" t="s">
        <v>1097</v>
      </c>
      <c r="C83" s="9" t="s">
        <v>411</v>
      </c>
      <c r="D83" s="9" t="s">
        <v>246</v>
      </c>
      <c r="E83" s="11" t="n">
        <v>14</v>
      </c>
      <c r="F83" s="9"/>
      <c r="G83" s="9"/>
      <c r="H83" s="9" t="s">
        <v>923</v>
      </c>
      <c r="I83" s="9" t="s">
        <v>59</v>
      </c>
      <c r="J83" s="9" t="s">
        <v>888</v>
      </c>
      <c r="K83" s="9" t="s">
        <v>1098</v>
      </c>
      <c r="L83" s="9" t="s">
        <v>1064</v>
      </c>
      <c r="M83" s="9" t="n">
        <f aca="false">IF(AND(ISNUMBER($E83),ISNUMBER($F83),ISNUMBER($G83)),IF(AND($F83&lt;=$E83,$E83&lt;=$G83),0,1),0)</f>
        <v>0</v>
      </c>
    </row>
    <row r="84" customFormat="false" ht="15" hidden="false" customHeight="false" outlineLevel="0" collapsed="false">
      <c r="A84" s="9" t="s">
        <v>1100</v>
      </c>
      <c r="B84" s="9" t="s">
        <v>1097</v>
      </c>
      <c r="C84" s="9" t="s">
        <v>1000</v>
      </c>
      <c r="D84" s="9" t="s">
        <v>246</v>
      </c>
      <c r="E84" s="11" t="n">
        <v>26</v>
      </c>
      <c r="F84" s="9"/>
      <c r="G84" s="9"/>
      <c r="H84" s="9" t="s">
        <v>923</v>
      </c>
      <c r="I84" s="9" t="s">
        <v>59</v>
      </c>
      <c r="J84" s="9" t="s">
        <v>888</v>
      </c>
      <c r="K84" s="9" t="s">
        <v>1098</v>
      </c>
      <c r="L84" s="9" t="s">
        <v>1064</v>
      </c>
      <c r="M84" s="9" t="n">
        <f aca="false">IF(AND(ISNUMBER($E84),ISNUMBER($F84),ISNUMBER($G84)),IF(AND($F84&lt;=$E84,$E84&lt;=$G84),0,1),0)</f>
        <v>0</v>
      </c>
    </row>
    <row r="85" customFormat="false" ht="15" hidden="false" customHeight="false" outlineLevel="0" collapsed="false">
      <c r="A85" s="9" t="s">
        <v>1101</v>
      </c>
      <c r="B85" s="9" t="s">
        <v>1097</v>
      </c>
      <c r="C85" s="9" t="s">
        <v>1002</v>
      </c>
      <c r="D85" s="9" t="s">
        <v>246</v>
      </c>
      <c r="E85" s="11" t="n">
        <v>38</v>
      </c>
      <c r="F85" s="9"/>
      <c r="G85" s="9"/>
      <c r="H85" s="9" t="s">
        <v>923</v>
      </c>
      <c r="I85" s="9" t="s">
        <v>59</v>
      </c>
      <c r="J85" s="9" t="s">
        <v>888</v>
      </c>
      <c r="K85" s="9" t="s">
        <v>1098</v>
      </c>
      <c r="L85" s="9" t="s">
        <v>1064</v>
      </c>
      <c r="M85" s="9" t="n">
        <f aca="false">IF(AND(ISNUMBER($E85),ISNUMBER($F85),ISNUMBER($G85)),IF(AND($F85&lt;=$E85,$E85&lt;=$G85),0,1),0)</f>
        <v>0</v>
      </c>
    </row>
    <row r="86" customFormat="false" ht="15" hidden="false" customHeight="false" outlineLevel="0" collapsed="false">
      <c r="A86" s="9" t="s">
        <v>1102</v>
      </c>
      <c r="B86" s="9" t="s">
        <v>1097</v>
      </c>
      <c r="C86" s="9" t="s">
        <v>1004</v>
      </c>
      <c r="D86" s="9" t="s">
        <v>246</v>
      </c>
      <c r="E86" s="11" t="n">
        <v>48</v>
      </c>
      <c r="F86" s="9"/>
      <c r="G86" s="9"/>
      <c r="H86" s="9" t="s">
        <v>923</v>
      </c>
      <c r="I86" s="9" t="s">
        <v>59</v>
      </c>
      <c r="J86" s="9" t="s">
        <v>888</v>
      </c>
      <c r="K86" s="9" t="s">
        <v>1098</v>
      </c>
      <c r="L86" s="9" t="s">
        <v>1064</v>
      </c>
      <c r="M86" s="9" t="n">
        <f aca="false">IF(AND(ISNUMBER($E86),ISNUMBER($F86),ISNUMBER($G86)),IF(AND($F86&lt;=$E86,$E86&lt;=$G86),0,1),0)</f>
        <v>0</v>
      </c>
    </row>
    <row r="87" customFormat="false" ht="15" hidden="false" customHeight="false" outlineLevel="0" collapsed="false">
      <c r="A87" s="9" t="s">
        <v>1103</v>
      </c>
      <c r="B87" s="9" t="s">
        <v>1097</v>
      </c>
      <c r="C87" s="9" t="s">
        <v>1006</v>
      </c>
      <c r="D87" s="9" t="s">
        <v>246</v>
      </c>
      <c r="E87" s="11" t="n">
        <v>56</v>
      </c>
      <c r="F87" s="9"/>
      <c r="G87" s="9"/>
      <c r="H87" s="9" t="s">
        <v>923</v>
      </c>
      <c r="I87" s="9" t="s">
        <v>59</v>
      </c>
      <c r="J87" s="9" t="s">
        <v>888</v>
      </c>
      <c r="K87" s="9" t="s">
        <v>1098</v>
      </c>
      <c r="L87" s="9" t="s">
        <v>1064</v>
      </c>
      <c r="M87" s="9" t="n">
        <f aca="false">IF(AND(ISNUMBER($E87),ISNUMBER($F87),ISNUMBER($G87)),IF(AND($F87&lt;=$E87,$E87&lt;=$G87),0,1),0)</f>
        <v>0</v>
      </c>
    </row>
    <row r="88" customFormat="false" ht="15" hidden="false" customHeight="false" outlineLevel="0" collapsed="false">
      <c r="A88" s="9" t="s">
        <v>1104</v>
      </c>
      <c r="B88" s="9" t="s">
        <v>1105</v>
      </c>
      <c r="C88" s="9" t="s">
        <v>59</v>
      </c>
      <c r="D88" s="10" t="s">
        <v>548</v>
      </c>
      <c r="E88" s="11" t="n">
        <v>0.7</v>
      </c>
      <c r="F88" s="9"/>
      <c r="G88" s="9"/>
      <c r="H88" s="9" t="s">
        <v>923</v>
      </c>
      <c r="I88" s="9" t="s">
        <v>59</v>
      </c>
      <c r="J88" s="9" t="s">
        <v>888</v>
      </c>
      <c r="K88" s="9" t="s">
        <v>1098</v>
      </c>
      <c r="L88" s="10" t="s">
        <v>1070</v>
      </c>
      <c r="M88" s="9" t="n">
        <f aca="false">IF(AND(ISNUMBER($E88),ISNUMBER($F88),ISNUMBER($G88)),IF(AND($F88&lt;=$E88,$E88&lt;=$G88),0,1),0)</f>
        <v>0</v>
      </c>
    </row>
    <row r="89" customFormat="false" ht="15" hidden="false" customHeight="false" outlineLevel="0" collapsed="false">
      <c r="A89" s="9" t="s">
        <v>1106</v>
      </c>
      <c r="B89" s="9" t="s">
        <v>1107</v>
      </c>
      <c r="C89" s="9" t="s">
        <v>59</v>
      </c>
      <c r="D89" s="10" t="s">
        <v>548</v>
      </c>
      <c r="E89" s="11" t="n">
        <v>1.3</v>
      </c>
      <c r="F89" s="9"/>
      <c r="G89" s="9"/>
      <c r="H89" s="9" t="s">
        <v>923</v>
      </c>
      <c r="I89" s="9" t="s">
        <v>59</v>
      </c>
      <c r="J89" s="9" t="s">
        <v>888</v>
      </c>
      <c r="K89" s="9" t="s">
        <v>1098</v>
      </c>
      <c r="L89" s="10" t="s">
        <v>1070</v>
      </c>
      <c r="M89" s="9" t="n">
        <f aca="false">IF(AND(ISNUMBER($E89),ISNUMBER($F89),ISNUMBER($G89)),IF(AND($F89&lt;=$E89,$E89&lt;=$G89),0,1),0)</f>
        <v>0</v>
      </c>
    </row>
    <row r="90" customFormat="false" ht="15" hidden="false" customHeight="false" outlineLevel="0" collapsed="false">
      <c r="A90" s="9" t="s">
        <v>1108</v>
      </c>
      <c r="B90" s="9" t="s">
        <v>1109</v>
      </c>
      <c r="C90" s="10" t="s">
        <v>1110</v>
      </c>
      <c r="D90" s="9" t="s">
        <v>228</v>
      </c>
      <c r="E90" s="11" t="n">
        <v>6</v>
      </c>
      <c r="F90" s="11" t="n">
        <v>4</v>
      </c>
      <c r="G90" s="11" t="n">
        <v>8</v>
      </c>
      <c r="H90" s="9" t="s">
        <v>923</v>
      </c>
      <c r="I90" s="9" t="s">
        <v>59</v>
      </c>
      <c r="J90" s="9" t="s">
        <v>888</v>
      </c>
      <c r="K90" s="9" t="s">
        <v>1111</v>
      </c>
      <c r="L90" s="9"/>
      <c r="M90" s="9" t="n">
        <f aca="false">IF(AND(ISNUMBER($E90),ISNUMBER($F90),ISNUMBER($G90)),IF(AND($F90&lt;=$E90,$E90&lt;=$G90),0,1),0)</f>
        <v>0</v>
      </c>
    </row>
    <row r="91" customFormat="false" ht="15" hidden="false" customHeight="false" outlineLevel="0" collapsed="false">
      <c r="A91" s="9" t="s">
        <v>1112</v>
      </c>
      <c r="B91" s="9" t="s">
        <v>1113</v>
      </c>
      <c r="C91" s="9" t="s">
        <v>399</v>
      </c>
      <c r="D91" s="9" t="s">
        <v>228</v>
      </c>
      <c r="E91" s="11" t="n">
        <v>19.5</v>
      </c>
      <c r="F91" s="11" t="n">
        <v>18</v>
      </c>
      <c r="G91" s="11" t="n">
        <v>20</v>
      </c>
      <c r="H91" s="9" t="s">
        <v>923</v>
      </c>
      <c r="I91" s="9" t="s">
        <v>59</v>
      </c>
      <c r="J91" s="9" t="s">
        <v>888</v>
      </c>
      <c r="K91" s="9" t="s">
        <v>1114</v>
      </c>
      <c r="L91" s="9"/>
      <c r="M91" s="9" t="n">
        <f aca="false">IF(AND(ISNUMBER($E91),ISNUMBER($F91),ISNUMBER($G91)),IF(AND($F91&lt;=$E91,$E91&lt;=$G91),0,1),0)</f>
        <v>0</v>
      </c>
    </row>
    <row r="92" customFormat="false" ht="15" hidden="false" customHeight="false" outlineLevel="0" collapsed="false">
      <c r="A92" s="9" t="s">
        <v>1115</v>
      </c>
      <c r="B92" s="9" t="s">
        <v>1113</v>
      </c>
      <c r="C92" s="9" t="s">
        <v>1116</v>
      </c>
      <c r="D92" s="9" t="s">
        <v>228</v>
      </c>
      <c r="E92" s="11" t="n">
        <v>19</v>
      </c>
      <c r="F92" s="11" t="n">
        <v>17</v>
      </c>
      <c r="G92" s="11" t="n">
        <v>20</v>
      </c>
      <c r="H92" s="9" t="s">
        <v>923</v>
      </c>
      <c r="I92" s="9" t="s">
        <v>59</v>
      </c>
      <c r="J92" s="9" t="s">
        <v>888</v>
      </c>
      <c r="K92" s="9" t="s">
        <v>1114</v>
      </c>
      <c r="L92" s="9"/>
      <c r="M92" s="9" t="n">
        <f aca="false">IF(AND(ISNUMBER($E92),ISNUMBER($F92),ISNUMBER($G92)),IF(AND($F92&lt;=$E92,$E92&lt;=$G92),0,1),0)</f>
        <v>0</v>
      </c>
    </row>
    <row r="93" customFormat="false" ht="15" hidden="false" customHeight="false" outlineLevel="0" collapsed="false">
      <c r="A93" s="9" t="s">
        <v>1117</v>
      </c>
      <c r="B93" s="9" t="s">
        <v>1118</v>
      </c>
      <c r="C93" s="9" t="s">
        <v>399</v>
      </c>
      <c r="D93" s="9" t="s">
        <v>228</v>
      </c>
      <c r="E93" s="11" t="n">
        <v>200</v>
      </c>
      <c r="F93" s="11" t="n">
        <v>200</v>
      </c>
      <c r="G93" s="11" t="n">
        <v>200</v>
      </c>
      <c r="H93" s="9" t="s">
        <v>923</v>
      </c>
      <c r="I93" s="9" t="s">
        <v>59</v>
      </c>
      <c r="J93" s="9" t="s">
        <v>888</v>
      </c>
      <c r="K93" s="9" t="s">
        <v>1119</v>
      </c>
      <c r="L93" s="9"/>
      <c r="M93" s="9" t="n">
        <f aca="false">IF(AND(ISNUMBER($E93),ISNUMBER($F93),ISNUMBER($G93)),IF(AND($F93&lt;=$E93,$E93&lt;=$G93),0,1),0)</f>
        <v>0</v>
      </c>
    </row>
    <row r="94" customFormat="false" ht="15" hidden="false" customHeight="false" outlineLevel="0" collapsed="false">
      <c r="A94" s="9" t="s">
        <v>1120</v>
      </c>
      <c r="B94" s="9" t="s">
        <v>1118</v>
      </c>
      <c r="C94" s="9" t="s">
        <v>1116</v>
      </c>
      <c r="D94" s="9" t="s">
        <v>228</v>
      </c>
      <c r="E94" s="11" t="n">
        <v>150</v>
      </c>
      <c r="F94" s="11" t="n">
        <v>120</v>
      </c>
      <c r="G94" s="11" t="n">
        <v>190</v>
      </c>
      <c r="H94" s="9" t="s">
        <v>923</v>
      </c>
      <c r="I94" s="9" t="s">
        <v>59</v>
      </c>
      <c r="J94" s="9" t="s">
        <v>888</v>
      </c>
      <c r="K94" s="9" t="s">
        <v>1119</v>
      </c>
      <c r="L94" s="9"/>
      <c r="M94" s="9" t="n">
        <f aca="false">IF(AND(ISNUMBER($E94),ISNUMBER($F94),ISNUMBER($G94)),IF(AND($F94&lt;=$E94,$E94&lt;=$G94),0,1),0)</f>
        <v>0</v>
      </c>
    </row>
    <row r="95" customFormat="false" ht="15" hidden="false" customHeight="false" outlineLevel="0" collapsed="false">
      <c r="A95" s="9" t="s">
        <v>1121</v>
      </c>
      <c r="B95" s="9" t="s">
        <v>1122</v>
      </c>
      <c r="C95" s="10" t="s">
        <v>1110</v>
      </c>
      <c r="D95" s="9" t="s">
        <v>228</v>
      </c>
      <c r="E95" s="11" t="n">
        <v>30</v>
      </c>
      <c r="F95" s="11" t="n">
        <v>22</v>
      </c>
      <c r="G95" s="11" t="n">
        <v>45</v>
      </c>
      <c r="H95" s="9" t="s">
        <v>923</v>
      </c>
      <c r="I95" s="9" t="s">
        <v>59</v>
      </c>
      <c r="J95" s="9" t="s">
        <v>888</v>
      </c>
      <c r="K95" s="9" t="s">
        <v>1123</v>
      </c>
      <c r="L95" s="9"/>
      <c r="M95" s="9" t="n">
        <f aca="false">IF(AND(ISNUMBER($E95),ISNUMBER($F95),ISNUMBER($G95)),IF(AND($F95&lt;=$E95,$E95&lt;=$G95),0,1),0)</f>
        <v>0</v>
      </c>
    </row>
    <row r="96" customFormat="false" ht="15" hidden="false" customHeight="false" outlineLevel="0" collapsed="false">
      <c r="A96" s="9" t="s">
        <v>1124</v>
      </c>
      <c r="B96" s="10" t="s">
        <v>1125</v>
      </c>
      <c r="C96" s="9" t="s">
        <v>399</v>
      </c>
      <c r="D96" s="10" t="s">
        <v>1126</v>
      </c>
      <c r="E96" s="11" t="n">
        <v>1.7</v>
      </c>
      <c r="F96" s="9"/>
      <c r="G96" s="9"/>
      <c r="H96" s="9" t="s">
        <v>923</v>
      </c>
      <c r="I96" s="9" t="s">
        <v>59</v>
      </c>
      <c r="J96" s="9" t="s">
        <v>888</v>
      </c>
      <c r="K96" s="9" t="s">
        <v>1127</v>
      </c>
      <c r="L96" s="9" t="s">
        <v>1128</v>
      </c>
      <c r="M96" s="9" t="n">
        <f aca="false">IF(AND(ISNUMBER($E96),ISNUMBER($F96),ISNUMBER($G96)),IF(AND($F96&lt;=$E96,$E96&lt;=$G96),0,1),0)</f>
        <v>0</v>
      </c>
    </row>
    <row r="97" customFormat="false" ht="15" hidden="false" customHeight="false" outlineLevel="0" collapsed="false">
      <c r="A97" s="9" t="s">
        <v>1129</v>
      </c>
      <c r="B97" s="10" t="s">
        <v>1125</v>
      </c>
      <c r="C97" s="9" t="s">
        <v>411</v>
      </c>
      <c r="D97" s="10" t="s">
        <v>1126</v>
      </c>
      <c r="E97" s="11" t="n">
        <v>1.7</v>
      </c>
      <c r="F97" s="9"/>
      <c r="G97" s="9"/>
      <c r="H97" s="9" t="s">
        <v>923</v>
      </c>
      <c r="I97" s="9" t="s">
        <v>59</v>
      </c>
      <c r="J97" s="9" t="s">
        <v>888</v>
      </c>
      <c r="K97" s="9" t="s">
        <v>1127</v>
      </c>
      <c r="L97" s="9" t="s">
        <v>1128</v>
      </c>
      <c r="M97" s="9" t="n">
        <f aca="false">IF(AND(ISNUMBER($E97),ISNUMBER($F97),ISNUMBER($G97)),IF(AND($F97&lt;=$E97,$E97&lt;=$G97),0,1),0)</f>
        <v>0</v>
      </c>
    </row>
    <row r="98" customFormat="false" ht="15" hidden="false" customHeight="false" outlineLevel="0" collapsed="false">
      <c r="A98" s="9" t="s">
        <v>1130</v>
      </c>
      <c r="B98" s="10" t="s">
        <v>1131</v>
      </c>
      <c r="C98" s="9" t="s">
        <v>399</v>
      </c>
      <c r="D98" s="10" t="s">
        <v>1126</v>
      </c>
      <c r="E98" s="11" t="n">
        <v>5.3</v>
      </c>
      <c r="F98" s="9"/>
      <c r="G98" s="9"/>
      <c r="H98" s="9" t="s">
        <v>923</v>
      </c>
      <c r="I98" s="9" t="s">
        <v>59</v>
      </c>
      <c r="J98" s="9" t="s">
        <v>888</v>
      </c>
      <c r="K98" s="9" t="s">
        <v>1132</v>
      </c>
      <c r="L98" s="9" t="s">
        <v>1128</v>
      </c>
      <c r="M98" s="9" t="n">
        <f aca="false">IF(AND(ISNUMBER($E98),ISNUMBER($F98),ISNUMBER($G98)),IF(AND($F98&lt;=$E98,$E98&lt;=$G98),0,1),0)</f>
        <v>0</v>
      </c>
    </row>
    <row r="99" customFormat="false" ht="15" hidden="false" customHeight="false" outlineLevel="0" collapsed="false">
      <c r="A99" s="9" t="s">
        <v>1133</v>
      </c>
      <c r="B99" s="10" t="s">
        <v>1131</v>
      </c>
      <c r="C99" s="9" t="s">
        <v>411</v>
      </c>
      <c r="D99" s="10" t="s">
        <v>1126</v>
      </c>
      <c r="E99" s="11" t="n">
        <v>5.7</v>
      </c>
      <c r="F99" s="9"/>
      <c r="G99" s="9"/>
      <c r="H99" s="9" t="s">
        <v>923</v>
      </c>
      <c r="I99" s="9" t="s">
        <v>59</v>
      </c>
      <c r="J99" s="9" t="s">
        <v>888</v>
      </c>
      <c r="K99" s="9" t="s">
        <v>1132</v>
      </c>
      <c r="L99" s="9" t="s">
        <v>1128</v>
      </c>
      <c r="M99" s="9" t="n">
        <f aca="false">IF(AND(ISNUMBER($E99),ISNUMBER($F99),ISNUMBER($G99)),IF(AND($F99&lt;=$E99,$E99&lt;=$G99),0,1),0)</f>
        <v>0</v>
      </c>
    </row>
    <row r="100" customFormat="false" ht="15" hidden="false" customHeight="false" outlineLevel="0" collapsed="false">
      <c r="A100" s="9" t="s">
        <v>1134</v>
      </c>
      <c r="B100" s="10" t="s">
        <v>1135</v>
      </c>
      <c r="C100" s="9" t="s">
        <v>399</v>
      </c>
      <c r="D100" s="10" t="s">
        <v>1126</v>
      </c>
      <c r="E100" s="11" t="n">
        <v>13.4</v>
      </c>
      <c r="F100" s="9"/>
      <c r="G100" s="9"/>
      <c r="H100" s="9" t="s">
        <v>923</v>
      </c>
      <c r="I100" s="9" t="s">
        <v>59</v>
      </c>
      <c r="J100" s="9" t="s">
        <v>888</v>
      </c>
      <c r="K100" s="9" t="s">
        <v>1136</v>
      </c>
      <c r="L100" s="9" t="s">
        <v>1128</v>
      </c>
      <c r="M100" s="9" t="n">
        <f aca="false">IF(AND(ISNUMBER($E100),ISNUMBER($F100),ISNUMBER($G100)),IF(AND($F100&lt;=$E100,$E100&lt;=$G100),0,1),0)</f>
        <v>0</v>
      </c>
    </row>
    <row r="101" customFormat="false" ht="15" hidden="false" customHeight="false" outlineLevel="0" collapsed="false">
      <c r="A101" s="9" t="s">
        <v>1137</v>
      </c>
      <c r="B101" s="10" t="s">
        <v>1135</v>
      </c>
      <c r="C101" s="9" t="s">
        <v>411</v>
      </c>
      <c r="D101" s="10" t="s">
        <v>1126</v>
      </c>
      <c r="E101" s="11" t="n">
        <v>17.9</v>
      </c>
      <c r="F101" s="9"/>
      <c r="G101" s="9"/>
      <c r="H101" s="9" t="s">
        <v>923</v>
      </c>
      <c r="I101" s="9" t="s">
        <v>59</v>
      </c>
      <c r="J101" s="9" t="s">
        <v>888</v>
      </c>
      <c r="K101" s="9" t="s">
        <v>1136</v>
      </c>
      <c r="L101" s="9" t="s">
        <v>1128</v>
      </c>
      <c r="M101" s="9" t="n">
        <f aca="false">IF(AND(ISNUMBER($E101),ISNUMBER($F101),ISNUMBER($G101)),IF(AND($F101&lt;=$E101,$E101&lt;=$G101),0,1),0)</f>
        <v>0</v>
      </c>
    </row>
    <row r="102" customFormat="false" ht="15" hidden="false" customHeight="false" outlineLevel="0" collapsed="false">
      <c r="A102" s="9" t="s">
        <v>1138</v>
      </c>
      <c r="B102" s="10" t="s">
        <v>1139</v>
      </c>
      <c r="C102" s="9" t="s">
        <v>399</v>
      </c>
      <c r="D102" s="10" t="s">
        <v>1126</v>
      </c>
      <c r="E102" s="11" t="n">
        <v>41</v>
      </c>
      <c r="F102" s="9"/>
      <c r="G102" s="9"/>
      <c r="H102" s="9" t="s">
        <v>923</v>
      </c>
      <c r="I102" s="9" t="s">
        <v>59</v>
      </c>
      <c r="J102" s="9" t="s">
        <v>888</v>
      </c>
      <c r="K102" s="9" t="s">
        <v>1140</v>
      </c>
      <c r="L102" s="9" t="s">
        <v>1128</v>
      </c>
      <c r="M102" s="9" t="n">
        <f aca="false">IF(AND(ISNUMBER($E102),ISNUMBER($F102),ISNUMBER($G102)),IF(AND($F102&lt;=$E102,$E102&lt;=$G102),0,1),0)</f>
        <v>0</v>
      </c>
    </row>
    <row r="103" customFormat="false" ht="15" hidden="false" customHeight="false" outlineLevel="0" collapsed="false">
      <c r="A103" s="9" t="s">
        <v>1141</v>
      </c>
      <c r="B103" s="10" t="s">
        <v>1139</v>
      </c>
      <c r="C103" s="9" t="s">
        <v>411</v>
      </c>
      <c r="D103" s="10" t="s">
        <v>1126</v>
      </c>
      <c r="E103" s="11" t="n">
        <v>51.4</v>
      </c>
      <c r="F103" s="9"/>
      <c r="G103" s="9"/>
      <c r="H103" s="9" t="s">
        <v>923</v>
      </c>
      <c r="I103" s="9" t="s">
        <v>59</v>
      </c>
      <c r="J103" s="9" t="s">
        <v>888</v>
      </c>
      <c r="K103" s="9" t="s">
        <v>1140</v>
      </c>
      <c r="L103" s="9" t="s">
        <v>1128</v>
      </c>
      <c r="M103" s="9" t="n">
        <f aca="false">IF(AND(ISNUMBER($E103),ISNUMBER($F103),ISNUMBER($G103)),IF(AND($F103&lt;=$E103,$E103&lt;=$G103),0,1),0)</f>
        <v>0</v>
      </c>
    </row>
    <row r="104" customFormat="false" ht="15" hidden="false" customHeight="false" outlineLevel="0" collapsed="false">
      <c r="A104" s="9" t="s">
        <v>1142</v>
      </c>
      <c r="B104" s="10" t="s">
        <v>1143</v>
      </c>
      <c r="C104" s="9" t="s">
        <v>399</v>
      </c>
      <c r="D104" s="10" t="s">
        <v>1126</v>
      </c>
      <c r="E104" s="11" t="n">
        <v>10.7</v>
      </c>
      <c r="F104" s="9"/>
      <c r="G104" s="9"/>
      <c r="H104" s="9" t="s">
        <v>923</v>
      </c>
      <c r="I104" s="9" t="s">
        <v>59</v>
      </c>
      <c r="J104" s="9" t="s">
        <v>888</v>
      </c>
      <c r="K104" s="9" t="s">
        <v>1144</v>
      </c>
      <c r="L104" s="9" t="s">
        <v>1128</v>
      </c>
      <c r="M104" s="9" t="n">
        <f aca="false">IF(AND(ISNUMBER($E104),ISNUMBER($F104),ISNUMBER($G104)),IF(AND($F104&lt;=$E104,$E104&lt;=$G104),0,1),0)</f>
        <v>0</v>
      </c>
    </row>
    <row r="105" customFormat="false" ht="15" hidden="false" customHeight="false" outlineLevel="0" collapsed="false">
      <c r="A105" s="9" t="s">
        <v>1145</v>
      </c>
      <c r="B105" s="10" t="s">
        <v>1143</v>
      </c>
      <c r="C105" s="9" t="s">
        <v>411</v>
      </c>
      <c r="D105" s="10" t="s">
        <v>1126</v>
      </c>
      <c r="E105" s="11" t="n">
        <v>14.3</v>
      </c>
      <c r="F105" s="9"/>
      <c r="G105" s="9"/>
      <c r="H105" s="9" t="s">
        <v>923</v>
      </c>
      <c r="I105" s="9" t="s">
        <v>59</v>
      </c>
      <c r="J105" s="9" t="s">
        <v>888</v>
      </c>
      <c r="K105" s="9" t="s">
        <v>1144</v>
      </c>
      <c r="L105" s="9" t="s">
        <v>1128</v>
      </c>
      <c r="M105" s="9" t="n">
        <f aca="false">IF(AND(ISNUMBER($E105),ISNUMBER($F105),ISNUMBER($G105)),IF(AND($F105&lt;=$E105,$E105&lt;=$G105),0,1),0)</f>
        <v>0</v>
      </c>
    </row>
    <row r="106" customFormat="false" ht="15" hidden="false" customHeight="false" outlineLevel="0" collapsed="false">
      <c r="A106" s="9" t="s">
        <v>1146</v>
      </c>
      <c r="B106" s="10" t="s">
        <v>1147</v>
      </c>
      <c r="C106" s="9" t="s">
        <v>399</v>
      </c>
      <c r="D106" s="9" t="s">
        <v>991</v>
      </c>
      <c r="E106" s="11" t="n">
        <v>2</v>
      </c>
      <c r="F106" s="9"/>
      <c r="G106" s="9"/>
      <c r="H106" s="9" t="s">
        <v>923</v>
      </c>
      <c r="I106" s="9" t="s">
        <v>59</v>
      </c>
      <c r="J106" s="9" t="s">
        <v>888</v>
      </c>
      <c r="K106" s="9" t="s">
        <v>1148</v>
      </c>
      <c r="L106" s="9" t="s">
        <v>1128</v>
      </c>
      <c r="M106" s="9" t="n">
        <f aca="false">IF(AND(ISNUMBER($E106),ISNUMBER($F106),ISNUMBER($G106)),IF(AND($F106&lt;=$E106,$E106&lt;=$G106),0,1),0)</f>
        <v>0</v>
      </c>
    </row>
    <row r="107" customFormat="false" ht="15" hidden="false" customHeight="false" outlineLevel="0" collapsed="false">
      <c r="A107" s="9" t="s">
        <v>1149</v>
      </c>
      <c r="B107" s="10" t="s">
        <v>1147</v>
      </c>
      <c r="C107" s="9" t="s">
        <v>411</v>
      </c>
      <c r="D107" s="9" t="s">
        <v>991</v>
      </c>
      <c r="E107" s="11" t="n">
        <v>2.94</v>
      </c>
      <c r="F107" s="9"/>
      <c r="G107" s="9"/>
      <c r="H107" s="9" t="s">
        <v>923</v>
      </c>
      <c r="I107" s="9" t="s">
        <v>59</v>
      </c>
      <c r="J107" s="9" t="s">
        <v>888</v>
      </c>
      <c r="K107" s="9" t="s">
        <v>1148</v>
      </c>
      <c r="L107" s="9" t="s">
        <v>1128</v>
      </c>
      <c r="M107" s="9" t="n">
        <f aca="false">IF(AND(ISNUMBER($E107),ISNUMBER($F107),ISNUMBER($G107)),IF(AND($F107&lt;=$E107,$E107&lt;=$G107),0,1),0)</f>
        <v>0</v>
      </c>
    </row>
    <row r="108" customFormat="false" ht="15" hidden="false" customHeight="false" outlineLevel="0" collapsed="false">
      <c r="A108" s="9" t="s">
        <v>1150</v>
      </c>
      <c r="B108" s="10" t="s">
        <v>1151</v>
      </c>
      <c r="C108" s="9" t="s">
        <v>399</v>
      </c>
      <c r="D108" s="9" t="s">
        <v>991</v>
      </c>
      <c r="E108" s="11" t="n">
        <v>3</v>
      </c>
      <c r="F108" s="9"/>
      <c r="G108" s="9"/>
      <c r="H108" s="9" t="s">
        <v>923</v>
      </c>
      <c r="I108" s="9" t="s">
        <v>59</v>
      </c>
      <c r="J108" s="9" t="s">
        <v>888</v>
      </c>
      <c r="K108" s="9" t="s">
        <v>1152</v>
      </c>
      <c r="L108" s="9" t="s">
        <v>1128</v>
      </c>
      <c r="M108" s="9" t="n">
        <f aca="false">IF(AND(ISNUMBER($E108),ISNUMBER($F108),ISNUMBER($G108)),IF(AND($F108&lt;=$E108,$E108&lt;=$G108),0,1),0)</f>
        <v>0</v>
      </c>
    </row>
    <row r="109" customFormat="false" ht="15" hidden="false" customHeight="false" outlineLevel="0" collapsed="false">
      <c r="A109" s="9" t="s">
        <v>1153</v>
      </c>
      <c r="B109" s="10" t="s">
        <v>1151</v>
      </c>
      <c r="C109" s="9" t="s">
        <v>411</v>
      </c>
      <c r="D109" s="9" t="s">
        <v>991</v>
      </c>
      <c r="E109" s="11" t="n">
        <v>4.39</v>
      </c>
      <c r="F109" s="9"/>
      <c r="G109" s="9"/>
      <c r="H109" s="9" t="s">
        <v>923</v>
      </c>
      <c r="I109" s="9" t="s">
        <v>59</v>
      </c>
      <c r="J109" s="9" t="s">
        <v>888</v>
      </c>
      <c r="K109" s="9" t="s">
        <v>1152</v>
      </c>
      <c r="L109" s="9" t="s">
        <v>1128</v>
      </c>
      <c r="M109" s="9" t="n">
        <f aca="false">IF(AND(ISNUMBER($E109),ISNUMBER($F109),ISNUMBER($G109)),IF(AND($F109&lt;=$E109,$E109&lt;=$G109),0,1),0)</f>
        <v>0</v>
      </c>
    </row>
    <row r="110" customFormat="false" ht="15" hidden="false" customHeight="false" outlineLevel="0" collapsed="false">
      <c r="A110" s="9" t="s">
        <v>1154</v>
      </c>
      <c r="B110" s="10" t="s">
        <v>1155</v>
      </c>
      <c r="C110" s="9" t="s">
        <v>399</v>
      </c>
      <c r="D110" s="9" t="s">
        <v>991</v>
      </c>
      <c r="E110" s="11" t="n">
        <v>4</v>
      </c>
      <c r="F110" s="9"/>
      <c r="G110" s="9"/>
      <c r="H110" s="9" t="s">
        <v>923</v>
      </c>
      <c r="I110" s="9" t="s">
        <v>59</v>
      </c>
      <c r="J110" s="9" t="s">
        <v>888</v>
      </c>
      <c r="K110" s="9" t="s">
        <v>1156</v>
      </c>
      <c r="L110" s="9" t="s">
        <v>1128</v>
      </c>
      <c r="M110" s="9" t="n">
        <f aca="false">IF(AND(ISNUMBER($E110),ISNUMBER($F110),ISNUMBER($G110)),IF(AND($F110&lt;=$E110,$E110&lt;=$G110),0,1),0)</f>
        <v>0</v>
      </c>
    </row>
    <row r="111" customFormat="false" ht="15" hidden="false" customHeight="false" outlineLevel="0" collapsed="false">
      <c r="A111" s="9" t="s">
        <v>1157</v>
      </c>
      <c r="B111" s="10" t="s">
        <v>1155</v>
      </c>
      <c r="C111" s="9" t="s">
        <v>411</v>
      </c>
      <c r="D111" s="9" t="s">
        <v>991</v>
      </c>
      <c r="E111" s="11" t="n">
        <v>6.15</v>
      </c>
      <c r="F111" s="9"/>
      <c r="G111" s="9"/>
      <c r="H111" s="9" t="s">
        <v>923</v>
      </c>
      <c r="I111" s="9" t="s">
        <v>59</v>
      </c>
      <c r="J111" s="9" t="s">
        <v>888</v>
      </c>
      <c r="K111" s="9" t="s">
        <v>1156</v>
      </c>
      <c r="L111" s="9" t="s">
        <v>1128</v>
      </c>
      <c r="M111" s="9" t="n">
        <f aca="false">IF(AND(ISNUMBER($E111),ISNUMBER($F111),ISNUMBER($G111)),IF(AND($F111&lt;=$E111,$E111&lt;=$G111),0,1),0)</f>
        <v>0</v>
      </c>
    </row>
    <row r="112" customFormat="false" ht="15" hidden="false" customHeight="false" outlineLevel="0" collapsed="false">
      <c r="A112" s="9" t="s">
        <v>1158</v>
      </c>
      <c r="B112" s="10" t="s">
        <v>1159</v>
      </c>
      <c r="C112" s="9" t="s">
        <v>399</v>
      </c>
      <c r="D112" s="9" t="s">
        <v>991</v>
      </c>
      <c r="E112" s="11" t="n">
        <v>10</v>
      </c>
      <c r="F112" s="9"/>
      <c r="G112" s="9"/>
      <c r="H112" s="9" t="s">
        <v>923</v>
      </c>
      <c r="I112" s="9" t="s">
        <v>59</v>
      </c>
      <c r="J112" s="9" t="s">
        <v>888</v>
      </c>
      <c r="K112" s="9" t="s">
        <v>1160</v>
      </c>
      <c r="L112" s="9" t="s">
        <v>1128</v>
      </c>
      <c r="M112" s="9" t="n">
        <f aca="false">IF(AND(ISNUMBER($E112),ISNUMBER($F112),ISNUMBER($G112)),IF(AND($F112&lt;=$E112,$E112&lt;=$G112),0,1),0)</f>
        <v>0</v>
      </c>
    </row>
    <row r="113" customFormat="false" ht="15" hidden="false" customHeight="false" outlineLevel="0" collapsed="false">
      <c r="A113" s="9" t="s">
        <v>1161</v>
      </c>
      <c r="B113" s="10" t="s">
        <v>1159</v>
      </c>
      <c r="C113" s="9" t="s">
        <v>411</v>
      </c>
      <c r="D113" s="9" t="s">
        <v>991</v>
      </c>
      <c r="E113" s="11" t="n">
        <v>15.6</v>
      </c>
      <c r="F113" s="9"/>
      <c r="G113" s="9"/>
      <c r="H113" s="9" t="s">
        <v>923</v>
      </c>
      <c r="I113" s="9" t="s">
        <v>59</v>
      </c>
      <c r="J113" s="9" t="s">
        <v>888</v>
      </c>
      <c r="K113" s="9" t="s">
        <v>1160</v>
      </c>
      <c r="L113" s="9" t="s">
        <v>1128</v>
      </c>
      <c r="M113" s="9" t="n">
        <f aca="false">IF(AND(ISNUMBER($E113),ISNUMBER($F113),ISNUMBER($G113)),IF(AND($F113&lt;=$E113,$E113&lt;=$G113),0,1),0)</f>
        <v>0</v>
      </c>
    </row>
    <row r="114" customFormat="false" ht="15" hidden="false" customHeight="false" outlineLevel="0" collapsed="false">
      <c r="A114" s="9" t="s">
        <v>1162</v>
      </c>
      <c r="B114" s="10" t="s">
        <v>1163</v>
      </c>
      <c r="C114" s="9" t="s">
        <v>399</v>
      </c>
      <c r="D114" s="9" t="s">
        <v>991</v>
      </c>
      <c r="E114" s="11" t="n">
        <v>4</v>
      </c>
      <c r="F114" s="9"/>
      <c r="G114" s="9"/>
      <c r="H114" s="9" t="s">
        <v>923</v>
      </c>
      <c r="I114" s="9" t="s">
        <v>59</v>
      </c>
      <c r="J114" s="9" t="s">
        <v>888</v>
      </c>
      <c r="K114" s="9" t="s">
        <v>1164</v>
      </c>
      <c r="L114" s="9" t="s">
        <v>1128</v>
      </c>
      <c r="M114" s="9" t="n">
        <f aca="false">IF(AND(ISNUMBER($E114),ISNUMBER($F114),ISNUMBER($G114)),IF(AND($F114&lt;=$E114,$E114&lt;=$G114),0,1),0)</f>
        <v>0</v>
      </c>
    </row>
    <row r="115" customFormat="false" ht="15" hidden="false" customHeight="false" outlineLevel="0" collapsed="false">
      <c r="A115" s="9" t="s">
        <v>1165</v>
      </c>
      <c r="B115" s="10" t="s">
        <v>1163</v>
      </c>
      <c r="C115" s="9" t="s">
        <v>411</v>
      </c>
      <c r="D115" s="9" t="s">
        <v>991</v>
      </c>
      <c r="E115" s="11" t="n">
        <v>5.94</v>
      </c>
      <c r="F115" s="9"/>
      <c r="G115" s="9"/>
      <c r="H115" s="9" t="s">
        <v>923</v>
      </c>
      <c r="I115" s="9" t="s">
        <v>59</v>
      </c>
      <c r="J115" s="9" t="s">
        <v>888</v>
      </c>
      <c r="K115" s="9" t="s">
        <v>1164</v>
      </c>
      <c r="L115" s="9" t="s">
        <v>1128</v>
      </c>
      <c r="M115" s="9" t="n">
        <f aca="false">IF(AND(ISNUMBER($E115),ISNUMBER($F115),ISNUMBER($G115)),IF(AND($F115&lt;=$E115,$E115&lt;=$G115),0,1),0)</f>
        <v>0</v>
      </c>
    </row>
    <row r="116" customFormat="false" ht="15" hidden="false" customHeight="false" outlineLevel="0" collapsed="false">
      <c r="A116" s="9" t="s">
        <v>1166</v>
      </c>
      <c r="B116" s="10" t="s">
        <v>1167</v>
      </c>
      <c r="C116" s="9" t="s">
        <v>59</v>
      </c>
      <c r="D116" s="10" t="s">
        <v>959</v>
      </c>
      <c r="E116" s="11" t="n">
        <v>0.1</v>
      </c>
      <c r="F116" s="11" t="n">
        <v>0.05</v>
      </c>
      <c r="G116" s="11" t="n">
        <v>0.2</v>
      </c>
      <c r="H116" s="9" t="s">
        <v>923</v>
      </c>
      <c r="I116" s="9" t="s">
        <v>59</v>
      </c>
      <c r="J116" s="9" t="s">
        <v>888</v>
      </c>
      <c r="K116" s="9" t="s">
        <v>1168</v>
      </c>
      <c r="L116" s="9"/>
      <c r="M116" s="9" t="n">
        <f aca="false">IF(AND(ISNUMBER($E116),ISNUMBER($F116),ISNUMBER($G116)),IF(AND($F116&lt;=$E116,$E116&lt;=$G116),0,1),0)</f>
        <v>0</v>
      </c>
    </row>
    <row r="117" customFormat="false" ht="15" hidden="false" customHeight="false" outlineLevel="0" collapsed="false">
      <c r="A117" s="9" t="s">
        <v>1169</v>
      </c>
      <c r="B117" s="10" t="s">
        <v>1170</v>
      </c>
      <c r="C117" s="9" t="s">
        <v>59</v>
      </c>
      <c r="D117" s="10" t="s">
        <v>959</v>
      </c>
      <c r="E117" s="11" t="n">
        <v>0.15</v>
      </c>
      <c r="F117" s="11" t="n">
        <v>0.1</v>
      </c>
      <c r="G117" s="11" t="n">
        <v>0.25</v>
      </c>
      <c r="H117" s="9" t="s">
        <v>923</v>
      </c>
      <c r="I117" s="9" t="s">
        <v>960</v>
      </c>
      <c r="J117" s="9" t="s">
        <v>888</v>
      </c>
      <c r="K117" s="9" t="s">
        <v>1171</v>
      </c>
      <c r="L117" s="10" t="s">
        <v>1172</v>
      </c>
      <c r="M117" s="9" t="n">
        <f aca="false">IF(AND(ISNUMBER($E117),ISNUMBER($F117),ISNUMBER($G117)),IF(AND($F117&lt;=$E117,$E117&lt;=$G117),0,1),0)</f>
        <v>0</v>
      </c>
    </row>
    <row r="118" customFormat="false" ht="15" hidden="false" customHeight="false" outlineLevel="0" collapsed="false">
      <c r="A118" s="9" t="s">
        <v>1173</v>
      </c>
      <c r="B118" s="10" t="s">
        <v>1174</v>
      </c>
      <c r="C118" s="9" t="s">
        <v>399</v>
      </c>
      <c r="D118" s="10" t="s">
        <v>108</v>
      </c>
      <c r="E118" s="11" t="n">
        <v>0</v>
      </c>
      <c r="F118" s="11" t="n">
        <v>0</v>
      </c>
      <c r="G118" s="11" t="n">
        <v>0</v>
      </c>
      <c r="H118" s="9" t="s">
        <v>923</v>
      </c>
      <c r="I118" s="9" t="s">
        <v>1175</v>
      </c>
      <c r="J118" s="9" t="s">
        <v>888</v>
      </c>
      <c r="K118" s="9" t="s">
        <v>1176</v>
      </c>
      <c r="L118" s="9" t="s">
        <v>1177</v>
      </c>
      <c r="M118" s="9" t="n">
        <f aca="false">IF(AND(ISNUMBER($E118),ISNUMBER($F118),ISNUMBER($G118)),IF(AND($F118&lt;=$E118,$E118&lt;=$G118),0,1),0)</f>
        <v>0</v>
      </c>
    </row>
    <row r="119" customFormat="false" ht="15" hidden="false" customHeight="false" outlineLevel="0" collapsed="false">
      <c r="A119" s="9" t="s">
        <v>1178</v>
      </c>
      <c r="B119" s="10" t="s">
        <v>1174</v>
      </c>
      <c r="C119" s="9" t="s">
        <v>411</v>
      </c>
      <c r="D119" s="10" t="s">
        <v>108</v>
      </c>
      <c r="E119" s="11" t="n">
        <v>0.25</v>
      </c>
      <c r="F119" s="11" t="n">
        <v>0.15</v>
      </c>
      <c r="G119" s="11" t="n">
        <v>0.35</v>
      </c>
      <c r="H119" s="9" t="s">
        <v>923</v>
      </c>
      <c r="I119" s="9" t="s">
        <v>1175</v>
      </c>
      <c r="J119" s="9" t="s">
        <v>888</v>
      </c>
      <c r="K119" s="9" t="s">
        <v>1176</v>
      </c>
      <c r="L119" s="9"/>
      <c r="M119" s="9" t="n">
        <f aca="false">IF(AND(ISNUMBER($E119),ISNUMBER($F119),ISNUMBER($G119)),IF(AND($F119&lt;=$E119,$E119&lt;=$G119),0,1),0)</f>
        <v>0</v>
      </c>
    </row>
    <row r="120" customFormat="false" ht="15" hidden="false" customHeight="false" outlineLevel="0" collapsed="false">
      <c r="A120" s="9" t="s">
        <v>1179</v>
      </c>
      <c r="B120" s="10" t="s">
        <v>1174</v>
      </c>
      <c r="C120" s="9" t="s">
        <v>1000</v>
      </c>
      <c r="D120" s="10" t="s">
        <v>108</v>
      </c>
      <c r="E120" s="11" t="n">
        <v>0.35</v>
      </c>
      <c r="F120" s="11" t="n">
        <v>0.25</v>
      </c>
      <c r="G120" s="11" t="n">
        <v>0.5</v>
      </c>
      <c r="H120" s="9" t="s">
        <v>923</v>
      </c>
      <c r="I120" s="9" t="s">
        <v>1175</v>
      </c>
      <c r="J120" s="9" t="s">
        <v>888</v>
      </c>
      <c r="K120" s="9" t="s">
        <v>1176</v>
      </c>
      <c r="L120" s="9"/>
      <c r="M120" s="9" t="n">
        <f aca="false">IF(AND(ISNUMBER($E120),ISNUMBER($F120),ISNUMBER($G120)),IF(AND($F120&lt;=$E120,$E120&lt;=$G120),0,1),0)</f>
        <v>0</v>
      </c>
    </row>
    <row r="121" customFormat="false" ht="15" hidden="false" customHeight="false" outlineLevel="0" collapsed="false">
      <c r="A121" s="9" t="s">
        <v>1180</v>
      </c>
      <c r="B121" s="10" t="s">
        <v>1174</v>
      </c>
      <c r="C121" s="9" t="s">
        <v>1002</v>
      </c>
      <c r="D121" s="10" t="s">
        <v>108</v>
      </c>
      <c r="E121" s="11" t="n">
        <v>0.4</v>
      </c>
      <c r="F121" s="11" t="n">
        <v>0.3</v>
      </c>
      <c r="G121" s="11" t="n">
        <v>0.6</v>
      </c>
      <c r="H121" s="9" t="s">
        <v>923</v>
      </c>
      <c r="I121" s="9" t="s">
        <v>1175</v>
      </c>
      <c r="J121" s="9" t="s">
        <v>888</v>
      </c>
      <c r="K121" s="9" t="s">
        <v>1176</v>
      </c>
      <c r="L121" s="9"/>
      <c r="M121" s="9" t="n">
        <f aca="false">IF(AND(ISNUMBER($E121),ISNUMBER($F121),ISNUMBER($G121)),IF(AND($F121&lt;=$E121,$E121&lt;=$G121),0,1),0)</f>
        <v>0</v>
      </c>
    </row>
    <row r="122" customFormat="false" ht="15" hidden="false" customHeight="false" outlineLevel="0" collapsed="false">
      <c r="A122" s="9" t="s">
        <v>1181</v>
      </c>
      <c r="B122" s="10" t="s">
        <v>1174</v>
      </c>
      <c r="C122" s="9" t="s">
        <v>1004</v>
      </c>
      <c r="D122" s="10" t="s">
        <v>108</v>
      </c>
      <c r="E122" s="11" t="n">
        <v>0.45</v>
      </c>
      <c r="F122" s="11" t="n">
        <v>0.3</v>
      </c>
      <c r="G122" s="11" t="n">
        <v>0.65</v>
      </c>
      <c r="H122" s="9" t="s">
        <v>923</v>
      </c>
      <c r="I122" s="9" t="s">
        <v>1175</v>
      </c>
      <c r="J122" s="9" t="s">
        <v>888</v>
      </c>
      <c r="K122" s="9" t="s">
        <v>1176</v>
      </c>
      <c r="L122" s="9"/>
      <c r="M122" s="9" t="n">
        <f aca="false">IF(AND(ISNUMBER($E122),ISNUMBER($F122),ISNUMBER($G122)),IF(AND($F122&lt;=$E122,$E122&lt;=$G122),0,1),0)</f>
        <v>0</v>
      </c>
    </row>
    <row r="123" customFormat="false" ht="15" hidden="false" customHeight="false" outlineLevel="0" collapsed="false">
      <c r="A123" s="9" t="s">
        <v>1182</v>
      </c>
      <c r="B123" s="10" t="s">
        <v>1174</v>
      </c>
      <c r="C123" s="9" t="s">
        <v>1006</v>
      </c>
      <c r="D123" s="10" t="s">
        <v>108</v>
      </c>
      <c r="E123" s="11" t="n">
        <v>0.5</v>
      </c>
      <c r="F123" s="11" t="n">
        <v>0.35</v>
      </c>
      <c r="G123" s="11" t="n">
        <v>0.7</v>
      </c>
      <c r="H123" s="9" t="s">
        <v>923</v>
      </c>
      <c r="I123" s="9" t="s">
        <v>1175</v>
      </c>
      <c r="J123" s="9" t="s">
        <v>888</v>
      </c>
      <c r="K123" s="9" t="s">
        <v>1176</v>
      </c>
      <c r="L123" s="9"/>
      <c r="M123" s="9" t="n">
        <f aca="false">IF(AND(ISNUMBER($E123),ISNUMBER($F123),ISNUMBER($G123)),IF(AND($F123&lt;=$E123,$E123&lt;=$G123),0,1),0)</f>
        <v>0</v>
      </c>
    </row>
    <row r="124" customFormat="false" ht="15" hidden="false" customHeight="false" outlineLevel="0" collapsed="false">
      <c r="A124" s="9" t="s">
        <v>1183</v>
      </c>
      <c r="B124" s="10" t="s">
        <v>1184</v>
      </c>
      <c r="C124" s="9" t="s">
        <v>399</v>
      </c>
      <c r="D124" s="9" t="s">
        <v>1185</v>
      </c>
      <c r="E124" s="11" t="n">
        <v>0</v>
      </c>
      <c r="F124" s="11" t="n">
        <v>0</v>
      </c>
      <c r="G124" s="11" t="n">
        <v>0</v>
      </c>
      <c r="H124" s="9" t="s">
        <v>939</v>
      </c>
      <c r="I124" s="9" t="s">
        <v>1175</v>
      </c>
      <c r="J124" s="9" t="s">
        <v>888</v>
      </c>
      <c r="K124" s="9" t="s">
        <v>1186</v>
      </c>
      <c r="L124" s="10" t="s">
        <v>1187</v>
      </c>
      <c r="M124" s="9" t="n">
        <f aca="false">IF(AND(ISNUMBER($E124),ISNUMBER($F124),ISNUMBER($G124)),IF(AND($F124&lt;=$E124,$E124&lt;=$G124),0,1),0)</f>
        <v>0</v>
      </c>
    </row>
    <row r="125" customFormat="false" ht="15" hidden="false" customHeight="false" outlineLevel="0" collapsed="false">
      <c r="A125" s="9" t="s">
        <v>1188</v>
      </c>
      <c r="B125" s="10" t="s">
        <v>1184</v>
      </c>
      <c r="C125" s="9" t="s">
        <v>411</v>
      </c>
      <c r="D125" s="9" t="s">
        <v>1185</v>
      </c>
      <c r="E125" s="11" t="n">
        <v>3</v>
      </c>
      <c r="F125" s="11" t="n">
        <v>1.5</v>
      </c>
      <c r="G125" s="11" t="n">
        <v>5</v>
      </c>
      <c r="H125" s="9" t="s">
        <v>939</v>
      </c>
      <c r="I125" s="9" t="s">
        <v>1175</v>
      </c>
      <c r="J125" s="9" t="s">
        <v>888</v>
      </c>
      <c r="K125" s="9" t="s">
        <v>1186</v>
      </c>
      <c r="L125" s="9"/>
      <c r="M125" s="9" t="n">
        <f aca="false">IF(AND(ISNUMBER($E125),ISNUMBER($F125),ISNUMBER($G125)),IF(AND($F125&lt;=$E125,$E125&lt;=$G125),0,1),0)</f>
        <v>0</v>
      </c>
    </row>
    <row r="126" customFormat="false" ht="15" hidden="false" customHeight="false" outlineLevel="0" collapsed="false">
      <c r="A126" s="9" t="s">
        <v>1189</v>
      </c>
      <c r="B126" s="10" t="s">
        <v>1184</v>
      </c>
      <c r="C126" s="9" t="s">
        <v>1000</v>
      </c>
      <c r="D126" s="9" t="s">
        <v>1185</v>
      </c>
      <c r="E126" s="11" t="n">
        <v>4</v>
      </c>
      <c r="F126" s="11" t="n">
        <v>2</v>
      </c>
      <c r="G126" s="11" t="n">
        <v>6</v>
      </c>
      <c r="H126" s="9" t="s">
        <v>939</v>
      </c>
      <c r="I126" s="9" t="s">
        <v>1175</v>
      </c>
      <c r="J126" s="9" t="s">
        <v>888</v>
      </c>
      <c r="K126" s="9" t="s">
        <v>1186</v>
      </c>
      <c r="L126" s="9"/>
      <c r="M126" s="9" t="n">
        <f aca="false">IF(AND(ISNUMBER($E126),ISNUMBER($F126),ISNUMBER($G126)),IF(AND($F126&lt;=$E126,$E126&lt;=$G126),0,1),0)</f>
        <v>0</v>
      </c>
    </row>
    <row r="127" customFormat="false" ht="15" hidden="false" customHeight="false" outlineLevel="0" collapsed="false">
      <c r="A127" s="9" t="s">
        <v>1190</v>
      </c>
      <c r="B127" s="10" t="s">
        <v>1184</v>
      </c>
      <c r="C127" s="9" t="s">
        <v>1002</v>
      </c>
      <c r="D127" s="9" t="s">
        <v>1185</v>
      </c>
      <c r="E127" s="11" t="n">
        <v>4.5</v>
      </c>
      <c r="F127" s="11" t="n">
        <v>2.5</v>
      </c>
      <c r="G127" s="11" t="n">
        <v>7.5</v>
      </c>
      <c r="H127" s="9" t="s">
        <v>939</v>
      </c>
      <c r="I127" s="9" t="s">
        <v>1175</v>
      </c>
      <c r="J127" s="9" t="s">
        <v>888</v>
      </c>
      <c r="K127" s="9" t="s">
        <v>1186</v>
      </c>
      <c r="L127" s="9"/>
      <c r="M127" s="9" t="n">
        <f aca="false">IF(AND(ISNUMBER($E127),ISNUMBER($F127),ISNUMBER($G127)),IF(AND($F127&lt;=$E127,$E127&lt;=$G127),0,1),0)</f>
        <v>0</v>
      </c>
    </row>
    <row r="128" customFormat="false" ht="15" hidden="false" customHeight="false" outlineLevel="0" collapsed="false">
      <c r="A128" s="9" t="s">
        <v>1191</v>
      </c>
      <c r="B128" s="10" t="s">
        <v>1184</v>
      </c>
      <c r="C128" s="9" t="s">
        <v>1004</v>
      </c>
      <c r="D128" s="9" t="s">
        <v>1185</v>
      </c>
      <c r="E128" s="11" t="n">
        <v>5</v>
      </c>
      <c r="F128" s="11" t="n">
        <v>3</v>
      </c>
      <c r="G128" s="11" t="n">
        <v>9</v>
      </c>
      <c r="H128" s="9" t="s">
        <v>939</v>
      </c>
      <c r="I128" s="9" t="s">
        <v>1175</v>
      </c>
      <c r="J128" s="9" t="s">
        <v>888</v>
      </c>
      <c r="K128" s="9" t="s">
        <v>1186</v>
      </c>
      <c r="L128" s="9"/>
      <c r="M128" s="9" t="n">
        <f aca="false">IF(AND(ISNUMBER($E128),ISNUMBER($F128),ISNUMBER($G128)),IF(AND($F128&lt;=$E128,$E128&lt;=$G128),0,1),0)</f>
        <v>0</v>
      </c>
    </row>
    <row r="129" customFormat="false" ht="15" hidden="false" customHeight="false" outlineLevel="0" collapsed="false">
      <c r="A129" s="9" t="s">
        <v>1192</v>
      </c>
      <c r="B129" s="10" t="s">
        <v>1184</v>
      </c>
      <c r="C129" s="9" t="s">
        <v>1006</v>
      </c>
      <c r="D129" s="9" t="s">
        <v>1185</v>
      </c>
      <c r="E129" s="11" t="n">
        <v>5.5</v>
      </c>
      <c r="F129" s="11" t="n">
        <v>3.5</v>
      </c>
      <c r="G129" s="11" t="n">
        <v>11</v>
      </c>
      <c r="H129" s="9" t="s">
        <v>939</v>
      </c>
      <c r="I129" s="9" t="s">
        <v>1175</v>
      </c>
      <c r="J129" s="9" t="s">
        <v>888</v>
      </c>
      <c r="K129" s="9" t="s">
        <v>1186</v>
      </c>
      <c r="L129" s="9"/>
      <c r="M129" s="9" t="n">
        <f aca="false">IF(AND(ISNUMBER($E129),ISNUMBER($F129),ISNUMBER($G129)),IF(AND($F129&lt;=$E129,$E129&lt;=$G129),0,1),0)</f>
        <v>0</v>
      </c>
    </row>
    <row r="130" customFormat="false" ht="15" hidden="false" customHeight="false" outlineLevel="0" collapsed="false">
      <c r="A130" s="9" t="s">
        <v>1193</v>
      </c>
      <c r="B130" s="10" t="s">
        <v>1194</v>
      </c>
      <c r="C130" s="9" t="s">
        <v>59</v>
      </c>
      <c r="D130" s="9" t="s">
        <v>56</v>
      </c>
      <c r="E130" s="11" t="n">
        <v>0</v>
      </c>
      <c r="F130" s="9"/>
      <c r="G130" s="9"/>
      <c r="H130" s="9" t="s">
        <v>923</v>
      </c>
      <c r="I130" s="9" t="s">
        <v>59</v>
      </c>
      <c r="J130" s="9" t="s">
        <v>888</v>
      </c>
      <c r="K130" s="9" t="s">
        <v>1195</v>
      </c>
      <c r="L130" s="10" t="s">
        <v>1196</v>
      </c>
      <c r="M130" s="9" t="n">
        <f aca="false">IF(AND(ISNUMBER($E130),ISNUMBER($F130),ISNUMBER($G130)),IF(AND($F130&lt;=$E130,$E130&lt;=$G130),0,1),0)</f>
        <v>0</v>
      </c>
    </row>
    <row r="131" customFormat="false" ht="15" hidden="false" customHeight="false" outlineLevel="0" collapsed="false">
      <c r="A131" s="9" t="s">
        <v>1197</v>
      </c>
      <c r="B131" s="10" t="s">
        <v>1198</v>
      </c>
      <c r="C131" s="9" t="s">
        <v>59</v>
      </c>
      <c r="D131" s="10" t="s">
        <v>1026</v>
      </c>
      <c r="E131" s="11" t="n">
        <v>-0.35</v>
      </c>
      <c r="F131" s="9"/>
      <c r="G131" s="9"/>
      <c r="H131" s="9" t="s">
        <v>887</v>
      </c>
      <c r="I131" s="9" t="s">
        <v>960</v>
      </c>
      <c r="J131" s="9" t="s">
        <v>888</v>
      </c>
      <c r="K131" s="9" t="s">
        <v>1199</v>
      </c>
      <c r="L131" s="10" t="s">
        <v>1200</v>
      </c>
      <c r="M131" s="9" t="n">
        <f aca="false">IF(AND(ISNUMBER($E131),ISNUMBER($F131),ISNUMBER($G131)),IF(AND($F131&lt;=$E131,$E131&lt;=$G131),0,1),0)</f>
        <v>0</v>
      </c>
    </row>
    <row r="132" customFormat="false" ht="15" hidden="false" customHeight="false" outlineLevel="0" collapsed="false">
      <c r="A132" s="9" t="s">
        <v>1201</v>
      </c>
      <c r="B132" s="10" t="s">
        <v>1202</v>
      </c>
      <c r="C132" s="9" t="s">
        <v>59</v>
      </c>
      <c r="D132" s="10" t="s">
        <v>1026</v>
      </c>
      <c r="E132" s="11" t="n">
        <v>-0.15</v>
      </c>
      <c r="F132" s="9"/>
      <c r="G132" s="9"/>
      <c r="H132" s="9" t="s">
        <v>887</v>
      </c>
      <c r="I132" s="9" t="s">
        <v>960</v>
      </c>
      <c r="J132" s="9" t="s">
        <v>888</v>
      </c>
      <c r="K132" s="9" t="s">
        <v>1203</v>
      </c>
      <c r="L132" s="10" t="s">
        <v>1200</v>
      </c>
      <c r="M132" s="9" t="n">
        <f aca="false">IF(AND(ISNUMBER($E132),ISNUMBER($F132),ISNUMBER($G132)),IF(AND($F132&lt;=$E132,$E132&lt;=$G132),0,1),0)</f>
        <v>0</v>
      </c>
    </row>
    <row r="133" customFormat="false" ht="15" hidden="false" customHeight="false" outlineLevel="0" collapsed="false">
      <c r="A133" s="9" t="s">
        <v>1204</v>
      </c>
      <c r="B133" s="10" t="s">
        <v>1205</v>
      </c>
      <c r="C133" s="9" t="s">
        <v>59</v>
      </c>
      <c r="D133" s="10" t="s">
        <v>959</v>
      </c>
      <c r="E133" s="11" t="n">
        <v>0.25</v>
      </c>
      <c r="F133" s="9"/>
      <c r="G133" s="9"/>
      <c r="H133" s="9" t="s">
        <v>887</v>
      </c>
      <c r="I133" s="9" t="s">
        <v>960</v>
      </c>
      <c r="J133" s="9" t="s">
        <v>888</v>
      </c>
      <c r="K133" s="9" t="s">
        <v>1206</v>
      </c>
      <c r="L133" s="10" t="s">
        <v>1200</v>
      </c>
      <c r="M133" s="9" t="n">
        <f aca="false">IF(AND(ISNUMBER($E133),ISNUMBER($F133),ISNUMBER($G133)),IF(AND($F133&lt;=$E133,$E133&lt;=$G133),0,1),0)</f>
        <v>0</v>
      </c>
    </row>
    <row r="134" customFormat="false" ht="15" hidden="false" customHeight="false" outlineLevel="0" collapsed="false">
      <c r="A134" s="9" t="s">
        <v>1207</v>
      </c>
      <c r="B134" s="10" t="s">
        <v>1208</v>
      </c>
      <c r="C134" s="9" t="s">
        <v>59</v>
      </c>
      <c r="D134" s="10" t="s">
        <v>959</v>
      </c>
      <c r="E134" s="11" t="n">
        <v>-0.45</v>
      </c>
      <c r="F134" s="9"/>
      <c r="G134" s="9"/>
      <c r="H134" s="9" t="s">
        <v>887</v>
      </c>
      <c r="I134" s="9" t="s">
        <v>960</v>
      </c>
      <c r="J134" s="9" t="s">
        <v>888</v>
      </c>
      <c r="K134" s="9" t="s">
        <v>1209</v>
      </c>
      <c r="L134" s="10" t="s">
        <v>1200</v>
      </c>
      <c r="M134" s="9" t="n">
        <f aca="false">IF(AND(ISNUMBER($E134),ISNUMBER($F134),ISNUMBER($G134)),IF(AND($F134&lt;=$E134,$E134&lt;=$G134),0,1),0)</f>
        <v>0</v>
      </c>
    </row>
    <row r="135" customFormat="false" ht="15" hidden="false" customHeight="false" outlineLevel="0" collapsed="false">
      <c r="A135" s="9" t="s">
        <v>1210</v>
      </c>
      <c r="B135" s="10" t="s">
        <v>1211</v>
      </c>
      <c r="C135" s="9" t="s">
        <v>59</v>
      </c>
      <c r="D135" s="10" t="s">
        <v>959</v>
      </c>
      <c r="E135" s="11" t="n">
        <v>-0.6</v>
      </c>
      <c r="F135" s="9"/>
      <c r="G135" s="9"/>
      <c r="H135" s="9" t="s">
        <v>887</v>
      </c>
      <c r="I135" s="9" t="s">
        <v>960</v>
      </c>
      <c r="J135" s="9" t="s">
        <v>888</v>
      </c>
      <c r="K135" s="9" t="s">
        <v>1212</v>
      </c>
      <c r="L135" s="10" t="s">
        <v>1200</v>
      </c>
      <c r="M135" s="9" t="n">
        <f aca="false">IF(AND(ISNUMBER($E135),ISNUMBER($F135),ISNUMBER($G135)),IF(AND($F135&lt;=$E135,$E135&lt;=$G135),0,1),0)</f>
        <v>0</v>
      </c>
    </row>
    <row r="136" customFormat="false" ht="15" hidden="false" customHeight="false" outlineLevel="0" collapsed="false">
      <c r="A136" s="9" t="s">
        <v>1213</v>
      </c>
      <c r="B136" s="10" t="s">
        <v>1214</v>
      </c>
      <c r="C136" s="9" t="s">
        <v>59</v>
      </c>
      <c r="D136" s="10" t="s">
        <v>959</v>
      </c>
      <c r="E136" s="11" t="n">
        <v>-0.6</v>
      </c>
      <c r="F136" s="9"/>
      <c r="G136" s="9"/>
      <c r="H136" s="9" t="s">
        <v>887</v>
      </c>
      <c r="I136" s="9" t="s">
        <v>960</v>
      </c>
      <c r="J136" s="9" t="s">
        <v>888</v>
      </c>
      <c r="K136" s="9" t="s">
        <v>1215</v>
      </c>
      <c r="L136" s="10" t="s">
        <v>1200</v>
      </c>
      <c r="M136" s="9" t="n">
        <f aca="false">IF(AND(ISNUMBER($E136),ISNUMBER($F136),ISNUMBER($G136)),IF(AND($F136&lt;=$E136,$E136&lt;=$G136),0,1),0)</f>
        <v>0</v>
      </c>
    </row>
    <row r="137" customFormat="false" ht="15" hidden="false" customHeight="false" outlineLevel="0" collapsed="false">
      <c r="A137" s="9" t="s">
        <v>1216</v>
      </c>
      <c r="B137" s="10" t="s">
        <v>1217</v>
      </c>
      <c r="C137" s="9" t="s">
        <v>59</v>
      </c>
      <c r="D137" s="10" t="s">
        <v>1026</v>
      </c>
      <c r="E137" s="11" t="n">
        <v>-0.7</v>
      </c>
      <c r="F137" s="9"/>
      <c r="G137" s="9"/>
      <c r="H137" s="9" t="s">
        <v>887</v>
      </c>
      <c r="I137" s="9" t="s">
        <v>960</v>
      </c>
      <c r="J137" s="9" t="s">
        <v>888</v>
      </c>
      <c r="K137" s="9" t="s">
        <v>1218</v>
      </c>
      <c r="L137" s="10" t="s">
        <v>1200</v>
      </c>
      <c r="M137" s="9" t="n">
        <f aca="false">IF(AND(ISNUMBER($E137),ISNUMBER($F137),ISNUMBER($G137)),IF(AND($F137&lt;=$E137,$E137&lt;=$G137),0,1),0)</f>
        <v>0</v>
      </c>
    </row>
    <row r="138" customFormat="false" ht="15" hidden="false" customHeight="false" outlineLevel="0" collapsed="false">
      <c r="A138" s="9" t="s">
        <v>1219</v>
      </c>
      <c r="B138" s="10" t="s">
        <v>1220</v>
      </c>
      <c r="C138" s="9" t="s">
        <v>59</v>
      </c>
      <c r="D138" s="10" t="s">
        <v>1026</v>
      </c>
      <c r="E138" s="11" t="n">
        <v>-0.3</v>
      </c>
      <c r="F138" s="9"/>
      <c r="G138" s="9"/>
      <c r="H138" s="9" t="s">
        <v>887</v>
      </c>
      <c r="I138" s="9" t="s">
        <v>960</v>
      </c>
      <c r="J138" s="9" t="s">
        <v>888</v>
      </c>
      <c r="K138" s="9" t="s">
        <v>1221</v>
      </c>
      <c r="L138" s="10" t="s">
        <v>1200</v>
      </c>
      <c r="M138" s="9" t="n">
        <f aca="false">IF(AND(ISNUMBER($E138),ISNUMBER($F138),ISNUMBER($G138)),IF(AND($F138&lt;=$E138,$E138&lt;=$G138),0,1),0)</f>
        <v>0</v>
      </c>
    </row>
    <row r="139" customFormat="false" ht="15" hidden="false" customHeight="false" outlineLevel="0" collapsed="false">
      <c r="A139" s="9" t="s">
        <v>1222</v>
      </c>
      <c r="B139" s="10" t="s">
        <v>1223</v>
      </c>
      <c r="C139" s="9" t="s">
        <v>59</v>
      </c>
      <c r="D139" s="10" t="s">
        <v>959</v>
      </c>
      <c r="E139" s="11" t="n">
        <v>0.15</v>
      </c>
      <c r="F139" s="9"/>
      <c r="G139" s="9"/>
      <c r="H139" s="9" t="s">
        <v>887</v>
      </c>
      <c r="I139" s="9" t="s">
        <v>960</v>
      </c>
      <c r="J139" s="9" t="s">
        <v>888</v>
      </c>
      <c r="K139" s="9" t="s">
        <v>1224</v>
      </c>
      <c r="L139" s="10" t="s">
        <v>1200</v>
      </c>
      <c r="M139" s="9" t="n">
        <f aca="false">IF(AND(ISNUMBER($E139),ISNUMBER($F139),ISNUMBER($G139)),IF(AND($F139&lt;=$E139,$E139&lt;=$G139),0,1),0)</f>
        <v>0</v>
      </c>
    </row>
    <row r="140" customFormat="false" ht="15" hidden="false" customHeight="false" outlineLevel="0" collapsed="false">
      <c r="A140" s="9" t="s">
        <v>1225</v>
      </c>
      <c r="B140" s="10" t="s">
        <v>1226</v>
      </c>
      <c r="C140" s="9" t="s">
        <v>59</v>
      </c>
      <c r="D140" s="10" t="s">
        <v>959</v>
      </c>
      <c r="E140" s="11" t="n">
        <v>-0.3</v>
      </c>
      <c r="F140" s="9"/>
      <c r="G140" s="9"/>
      <c r="H140" s="9" t="s">
        <v>887</v>
      </c>
      <c r="I140" s="9" t="s">
        <v>960</v>
      </c>
      <c r="J140" s="9" t="s">
        <v>888</v>
      </c>
      <c r="K140" s="9" t="s">
        <v>1227</v>
      </c>
      <c r="L140" s="10" t="s">
        <v>1200</v>
      </c>
      <c r="M140" s="9" t="n">
        <f aca="false">IF(AND(ISNUMBER($E140),ISNUMBER($F140),ISNUMBER($G140)),IF(AND($F140&lt;=$E140,$E140&lt;=$G140),0,1),0)</f>
        <v>0</v>
      </c>
    </row>
    <row r="141" customFormat="false" ht="15" hidden="false" customHeight="false" outlineLevel="0" collapsed="false">
      <c r="A141" s="9" t="s">
        <v>1228</v>
      </c>
      <c r="B141" s="10" t="s">
        <v>1229</v>
      </c>
      <c r="C141" s="9" t="s">
        <v>59</v>
      </c>
      <c r="D141" s="10" t="s">
        <v>959</v>
      </c>
      <c r="E141" s="11" t="n">
        <v>-0.4</v>
      </c>
      <c r="F141" s="9"/>
      <c r="G141" s="9"/>
      <c r="H141" s="9" t="s">
        <v>887</v>
      </c>
      <c r="I141" s="9" t="s">
        <v>960</v>
      </c>
      <c r="J141" s="9" t="s">
        <v>888</v>
      </c>
      <c r="K141" s="9" t="s">
        <v>1230</v>
      </c>
      <c r="L141" s="10" t="s">
        <v>1200</v>
      </c>
      <c r="M141" s="9" t="n">
        <f aca="false">IF(AND(ISNUMBER($E141),ISNUMBER($F141),ISNUMBER($G141)),IF(AND($F141&lt;=$E141,$E141&lt;=$G141),0,1),0)</f>
        <v>0</v>
      </c>
    </row>
    <row r="142" customFormat="false" ht="15" hidden="false" customHeight="false" outlineLevel="0" collapsed="false">
      <c r="A142" s="9" t="s">
        <v>1231</v>
      </c>
      <c r="B142" s="10" t="s">
        <v>1232</v>
      </c>
      <c r="C142" s="9" t="s">
        <v>59</v>
      </c>
      <c r="D142" s="10" t="s">
        <v>959</v>
      </c>
      <c r="E142" s="11" t="n">
        <v>-0.4</v>
      </c>
      <c r="F142" s="9"/>
      <c r="G142" s="9"/>
      <c r="H142" s="9" t="s">
        <v>887</v>
      </c>
      <c r="I142" s="9" t="s">
        <v>960</v>
      </c>
      <c r="J142" s="9" t="s">
        <v>888</v>
      </c>
      <c r="K142" s="9" t="s">
        <v>1233</v>
      </c>
      <c r="L142" s="10" t="s">
        <v>1200</v>
      </c>
      <c r="M142" s="9" t="n">
        <f aca="false">IF(AND(ISNUMBER($E142),ISNUMBER($F142),ISNUMBER($G142)),IF(AND($F142&lt;=$E142,$E142&lt;=$G142),0,1),0)</f>
        <v>0</v>
      </c>
    </row>
    <row r="143" customFormat="false" ht="15" hidden="false" customHeight="false" outlineLevel="0" collapsed="false">
      <c r="A143" s="9" t="s">
        <v>1234</v>
      </c>
      <c r="B143" s="10" t="s">
        <v>1235</v>
      </c>
      <c r="C143" s="9" t="s">
        <v>59</v>
      </c>
      <c r="D143" s="10" t="s">
        <v>1026</v>
      </c>
      <c r="E143" s="11" t="n">
        <v>-1.05</v>
      </c>
      <c r="F143" s="9"/>
      <c r="G143" s="9"/>
      <c r="H143" s="9" t="s">
        <v>887</v>
      </c>
      <c r="I143" s="9" t="s">
        <v>960</v>
      </c>
      <c r="J143" s="9" t="s">
        <v>888</v>
      </c>
      <c r="K143" s="9" t="s">
        <v>1236</v>
      </c>
      <c r="L143" s="10" t="s">
        <v>1200</v>
      </c>
      <c r="M143" s="9" t="n">
        <f aca="false">IF(AND(ISNUMBER($E143),ISNUMBER($F143),ISNUMBER($G143)),IF(AND($F143&lt;=$E143,$E143&lt;=$G143),0,1),0)</f>
        <v>0</v>
      </c>
    </row>
    <row r="144" customFormat="false" ht="15" hidden="false" customHeight="false" outlineLevel="0" collapsed="false">
      <c r="A144" s="9" t="s">
        <v>1237</v>
      </c>
      <c r="B144" s="10" t="s">
        <v>1238</v>
      </c>
      <c r="C144" s="9" t="s">
        <v>59</v>
      </c>
      <c r="D144" s="10" t="s">
        <v>1026</v>
      </c>
      <c r="E144" s="11" t="n">
        <v>-0.45</v>
      </c>
      <c r="F144" s="9"/>
      <c r="G144" s="9"/>
      <c r="H144" s="9" t="s">
        <v>887</v>
      </c>
      <c r="I144" s="9" t="s">
        <v>960</v>
      </c>
      <c r="J144" s="9" t="s">
        <v>888</v>
      </c>
      <c r="K144" s="9" t="s">
        <v>1239</v>
      </c>
      <c r="L144" s="10" t="s">
        <v>1200</v>
      </c>
      <c r="M144" s="9" t="n">
        <f aca="false">IF(AND(ISNUMBER($E144),ISNUMBER($F144),ISNUMBER($G144)),IF(AND($F144&lt;=$E144,$E144&lt;=$G144),0,1),0)</f>
        <v>0</v>
      </c>
    </row>
    <row r="145" customFormat="false" ht="15" hidden="false" customHeight="false" outlineLevel="0" collapsed="false">
      <c r="A145" s="9" t="s">
        <v>1240</v>
      </c>
      <c r="B145" s="10" t="s">
        <v>1241</v>
      </c>
      <c r="C145" s="9" t="s">
        <v>59</v>
      </c>
      <c r="D145" s="10" t="s">
        <v>959</v>
      </c>
      <c r="E145" s="11" t="n">
        <v>0.1</v>
      </c>
      <c r="F145" s="9"/>
      <c r="G145" s="9"/>
      <c r="H145" s="9" t="s">
        <v>887</v>
      </c>
      <c r="I145" s="9" t="s">
        <v>960</v>
      </c>
      <c r="J145" s="9" t="s">
        <v>888</v>
      </c>
      <c r="K145" s="9" t="s">
        <v>1242</v>
      </c>
      <c r="L145" s="10" t="s">
        <v>1200</v>
      </c>
      <c r="M145" s="9" t="n">
        <f aca="false">IF(AND(ISNUMBER($E145),ISNUMBER($F145),ISNUMBER($G145)),IF(AND($F145&lt;=$E145,$E145&lt;=$G145),0,1),0)</f>
        <v>0</v>
      </c>
    </row>
    <row r="146" customFormat="false" ht="15" hidden="false" customHeight="false" outlineLevel="0" collapsed="false">
      <c r="A146" s="9" t="s">
        <v>1243</v>
      </c>
      <c r="B146" s="10" t="s">
        <v>1244</v>
      </c>
      <c r="C146" s="9" t="s">
        <v>59</v>
      </c>
      <c r="D146" s="10" t="s">
        <v>959</v>
      </c>
      <c r="E146" s="11" t="n">
        <v>-0.3</v>
      </c>
      <c r="F146" s="9"/>
      <c r="G146" s="9"/>
      <c r="H146" s="9" t="s">
        <v>887</v>
      </c>
      <c r="I146" s="9" t="s">
        <v>960</v>
      </c>
      <c r="J146" s="9" t="s">
        <v>888</v>
      </c>
      <c r="K146" s="9" t="s">
        <v>1245</v>
      </c>
      <c r="L146" s="10" t="s">
        <v>1200</v>
      </c>
      <c r="M146" s="9" t="n">
        <f aca="false">IF(AND(ISNUMBER($E146),ISNUMBER($F146),ISNUMBER($G146)),IF(AND($F146&lt;=$E146,$E146&lt;=$G146),0,1),0)</f>
        <v>0</v>
      </c>
    </row>
    <row r="147" customFormat="false" ht="15" hidden="false" customHeight="false" outlineLevel="0" collapsed="false">
      <c r="A147" s="9" t="s">
        <v>1246</v>
      </c>
      <c r="B147" s="10" t="s">
        <v>1247</v>
      </c>
      <c r="C147" s="9" t="s">
        <v>59</v>
      </c>
      <c r="D147" s="10" t="s">
        <v>959</v>
      </c>
      <c r="E147" s="11" t="n">
        <v>-0.4</v>
      </c>
      <c r="F147" s="9"/>
      <c r="G147" s="9"/>
      <c r="H147" s="9" t="s">
        <v>887</v>
      </c>
      <c r="I147" s="9" t="s">
        <v>960</v>
      </c>
      <c r="J147" s="9" t="s">
        <v>888</v>
      </c>
      <c r="K147" s="9" t="s">
        <v>1248</v>
      </c>
      <c r="L147" s="10" t="s">
        <v>1200</v>
      </c>
      <c r="M147" s="9" t="n">
        <f aca="false">IF(AND(ISNUMBER($E147),ISNUMBER($F147),ISNUMBER($G147)),IF(AND($F147&lt;=$E147,$E147&lt;=$G147),0,1),0)</f>
        <v>0</v>
      </c>
    </row>
    <row r="148" customFormat="false" ht="15" hidden="false" customHeight="false" outlineLevel="0" collapsed="false">
      <c r="A148" s="9" t="s">
        <v>1249</v>
      </c>
      <c r="B148" s="10" t="s">
        <v>1250</v>
      </c>
      <c r="C148" s="9" t="s">
        <v>59</v>
      </c>
      <c r="D148" s="10" t="s">
        <v>959</v>
      </c>
      <c r="E148" s="11" t="n">
        <v>-0.4</v>
      </c>
      <c r="F148" s="9"/>
      <c r="G148" s="9"/>
      <c r="H148" s="9" t="s">
        <v>887</v>
      </c>
      <c r="I148" s="9" t="s">
        <v>960</v>
      </c>
      <c r="J148" s="9" t="s">
        <v>888</v>
      </c>
      <c r="K148" s="9" t="s">
        <v>1251</v>
      </c>
      <c r="L148" s="10" t="s">
        <v>1200</v>
      </c>
      <c r="M148" s="9" t="n">
        <f aca="false">IF(AND(ISNUMBER($E148),ISNUMBER($F148),ISNUMBER($G148)),IF(AND($F148&lt;=$E148,$E148&lt;=$G148),0,1),0)</f>
        <v>0</v>
      </c>
    </row>
    <row r="149" customFormat="false" ht="15" hidden="false" customHeight="false" outlineLevel="0" collapsed="false">
      <c r="A149" s="9" t="s">
        <v>1252</v>
      </c>
      <c r="B149" s="10" t="s">
        <v>1253</v>
      </c>
      <c r="C149" s="9" t="s">
        <v>1254</v>
      </c>
      <c r="D149" s="10" t="s">
        <v>108</v>
      </c>
      <c r="E149" s="11" t="n">
        <v>0.9</v>
      </c>
      <c r="F149" s="9"/>
      <c r="G149" s="9"/>
      <c r="H149" s="9" t="s">
        <v>923</v>
      </c>
      <c r="I149" s="9" t="s">
        <v>59</v>
      </c>
      <c r="J149" s="10" t="s">
        <v>1255</v>
      </c>
      <c r="K149" s="9" t="s">
        <v>1256</v>
      </c>
      <c r="L149" s="9"/>
      <c r="M149" s="9" t="n">
        <f aca="false">IF(AND(ISNUMBER($E149),ISNUMBER($F149),ISNUMBER($G149)),IF(AND($F149&lt;=$E149,$E149&lt;=$G149),0,1),0)</f>
        <v>0</v>
      </c>
    </row>
    <row r="150" customFormat="false" ht="15" hidden="false" customHeight="false" outlineLevel="0" collapsed="false">
      <c r="A150" s="9" t="s">
        <v>1257</v>
      </c>
      <c r="B150" s="10" t="s">
        <v>1253</v>
      </c>
      <c r="C150" s="9" t="s">
        <v>1258</v>
      </c>
      <c r="D150" s="10" t="s">
        <v>108</v>
      </c>
      <c r="E150" s="11" t="n">
        <v>0.1</v>
      </c>
      <c r="F150" s="9"/>
      <c r="G150" s="9"/>
      <c r="H150" s="9" t="s">
        <v>923</v>
      </c>
      <c r="I150" s="9" t="s">
        <v>59</v>
      </c>
      <c r="J150" s="10" t="s">
        <v>1255</v>
      </c>
      <c r="K150" s="9" t="s">
        <v>1256</v>
      </c>
      <c r="L150" s="9"/>
      <c r="M150" s="9" t="n">
        <f aca="false">IF(AND(ISNUMBER($E150),ISNUMBER($F150),ISNUMBER($G150)),IF(AND($F150&lt;=$E150,$E150&lt;=$G150),0,1),0)</f>
        <v>0</v>
      </c>
    </row>
    <row r="151" customFormat="false" ht="15" hidden="false" customHeight="false" outlineLevel="0" collapsed="false">
      <c r="A151" s="9" t="s">
        <v>1259</v>
      </c>
      <c r="B151" s="10" t="s">
        <v>1253</v>
      </c>
      <c r="C151" s="9" t="s">
        <v>1260</v>
      </c>
      <c r="D151" s="10" t="s">
        <v>108</v>
      </c>
      <c r="E151" s="11" t="n">
        <v>0</v>
      </c>
      <c r="F151" s="9"/>
      <c r="G151" s="9"/>
      <c r="H151" s="9" t="s">
        <v>923</v>
      </c>
      <c r="I151" s="9" t="s">
        <v>59</v>
      </c>
      <c r="J151" s="10" t="s">
        <v>1255</v>
      </c>
      <c r="K151" s="9" t="s">
        <v>1256</v>
      </c>
      <c r="L151" s="9"/>
      <c r="M151" s="9" t="n">
        <f aca="false">IF(AND(ISNUMBER($E151),ISNUMBER($F151),ISNUMBER($G151)),IF(AND($F151&lt;=$E151,$E151&lt;=$G151),0,1),0)</f>
        <v>0</v>
      </c>
    </row>
    <row r="152" customFormat="false" ht="15" hidden="false" customHeight="false" outlineLevel="0" collapsed="false">
      <c r="A152" s="9" t="s">
        <v>1261</v>
      </c>
      <c r="B152" s="10" t="s">
        <v>1253</v>
      </c>
      <c r="C152" s="10" t="s">
        <v>1262</v>
      </c>
      <c r="D152" s="10" t="s">
        <v>108</v>
      </c>
      <c r="E152" s="11" t="n">
        <v>0.25</v>
      </c>
      <c r="F152" s="9"/>
      <c r="G152" s="9"/>
      <c r="H152" s="9" t="s">
        <v>923</v>
      </c>
      <c r="I152" s="9" t="s">
        <v>59</v>
      </c>
      <c r="J152" s="10" t="s">
        <v>1255</v>
      </c>
      <c r="K152" s="9" t="s">
        <v>1256</v>
      </c>
      <c r="L152" s="9"/>
      <c r="M152" s="9" t="n">
        <f aca="false">IF(AND(ISNUMBER($E152),ISNUMBER($F152),ISNUMBER($G152)),IF(AND($F152&lt;=$E152,$E152&lt;=$G152),0,1),0)</f>
        <v>0</v>
      </c>
    </row>
    <row r="153" customFormat="false" ht="15" hidden="false" customHeight="false" outlineLevel="0" collapsed="false">
      <c r="A153" s="9" t="s">
        <v>1263</v>
      </c>
      <c r="B153" s="10" t="s">
        <v>1253</v>
      </c>
      <c r="C153" s="10" t="s">
        <v>1264</v>
      </c>
      <c r="D153" s="10" t="s">
        <v>108</v>
      </c>
      <c r="E153" s="11" t="n">
        <v>0.4</v>
      </c>
      <c r="F153" s="9"/>
      <c r="G153" s="9"/>
      <c r="H153" s="9" t="s">
        <v>923</v>
      </c>
      <c r="I153" s="9" t="s">
        <v>59</v>
      </c>
      <c r="J153" s="10" t="s">
        <v>1255</v>
      </c>
      <c r="K153" s="9" t="s">
        <v>1256</v>
      </c>
      <c r="L153" s="9"/>
      <c r="M153" s="9" t="n">
        <f aca="false">IF(AND(ISNUMBER($E153),ISNUMBER($F153),ISNUMBER($G153)),IF(AND($F153&lt;=$E153,$E153&lt;=$G153),0,1),0)</f>
        <v>0</v>
      </c>
    </row>
    <row r="154" customFormat="false" ht="15" hidden="false" customHeight="false" outlineLevel="0" collapsed="false">
      <c r="A154" s="9" t="s">
        <v>1265</v>
      </c>
      <c r="B154" s="10" t="s">
        <v>1266</v>
      </c>
      <c r="C154" s="9" t="s">
        <v>1254</v>
      </c>
      <c r="D154" s="10" t="s">
        <v>108</v>
      </c>
      <c r="E154" s="11" t="n">
        <v>0.85</v>
      </c>
      <c r="F154" s="9"/>
      <c r="G154" s="9"/>
      <c r="H154" s="9" t="s">
        <v>923</v>
      </c>
      <c r="I154" s="9" t="s">
        <v>59</v>
      </c>
      <c r="J154" s="10" t="s">
        <v>1255</v>
      </c>
      <c r="K154" s="9" t="s">
        <v>1267</v>
      </c>
      <c r="L154" s="9"/>
      <c r="M154" s="9" t="n">
        <f aca="false">IF(AND(ISNUMBER($E154),ISNUMBER($F154),ISNUMBER($G154)),IF(AND($F154&lt;=$E154,$E154&lt;=$G154),0,1),0)</f>
        <v>0</v>
      </c>
    </row>
    <row r="155" customFormat="false" ht="15" hidden="false" customHeight="false" outlineLevel="0" collapsed="false">
      <c r="A155" s="9" t="s">
        <v>1268</v>
      </c>
      <c r="B155" s="10" t="s">
        <v>1266</v>
      </c>
      <c r="C155" s="9" t="s">
        <v>1258</v>
      </c>
      <c r="D155" s="10" t="s">
        <v>108</v>
      </c>
      <c r="E155" s="11" t="n">
        <v>0.15</v>
      </c>
      <c r="F155" s="9"/>
      <c r="G155" s="9"/>
      <c r="H155" s="9" t="s">
        <v>923</v>
      </c>
      <c r="I155" s="9" t="s">
        <v>59</v>
      </c>
      <c r="J155" s="10" t="s">
        <v>1255</v>
      </c>
      <c r="K155" s="9" t="s">
        <v>1267</v>
      </c>
      <c r="L155" s="9"/>
      <c r="M155" s="9" t="n">
        <f aca="false">IF(AND(ISNUMBER($E155),ISNUMBER($F155),ISNUMBER($G155)),IF(AND($F155&lt;=$E155,$E155&lt;=$G155),0,1),0)</f>
        <v>0</v>
      </c>
    </row>
    <row r="156" customFormat="false" ht="15" hidden="false" customHeight="false" outlineLevel="0" collapsed="false">
      <c r="A156" s="9" t="s">
        <v>1269</v>
      </c>
      <c r="B156" s="10" t="s">
        <v>1266</v>
      </c>
      <c r="C156" s="9" t="s">
        <v>1260</v>
      </c>
      <c r="D156" s="10" t="s">
        <v>108</v>
      </c>
      <c r="E156" s="11" t="n">
        <v>0</v>
      </c>
      <c r="F156" s="9"/>
      <c r="G156" s="9"/>
      <c r="H156" s="9" t="s">
        <v>923</v>
      </c>
      <c r="I156" s="9" t="s">
        <v>59</v>
      </c>
      <c r="J156" s="10" t="s">
        <v>1255</v>
      </c>
      <c r="K156" s="9" t="s">
        <v>1267</v>
      </c>
      <c r="L156" s="9"/>
      <c r="M156" s="9" t="n">
        <f aca="false">IF(AND(ISNUMBER($E156),ISNUMBER($F156),ISNUMBER($G156)),IF(AND($F156&lt;=$E156,$E156&lt;=$G156),0,1),0)</f>
        <v>0</v>
      </c>
    </row>
    <row r="157" customFormat="false" ht="15" hidden="false" customHeight="false" outlineLevel="0" collapsed="false">
      <c r="A157" s="9" t="s">
        <v>1270</v>
      </c>
      <c r="B157" s="10" t="s">
        <v>1266</v>
      </c>
      <c r="C157" s="10" t="s">
        <v>1262</v>
      </c>
      <c r="D157" s="10" t="s">
        <v>108</v>
      </c>
      <c r="E157" s="11" t="n">
        <v>0.25</v>
      </c>
      <c r="F157" s="9"/>
      <c r="G157" s="9"/>
      <c r="H157" s="9" t="s">
        <v>923</v>
      </c>
      <c r="I157" s="9" t="s">
        <v>59</v>
      </c>
      <c r="J157" s="10" t="s">
        <v>1255</v>
      </c>
      <c r="K157" s="9" t="s">
        <v>1267</v>
      </c>
      <c r="L157" s="9"/>
      <c r="M157" s="9" t="n">
        <f aca="false">IF(AND(ISNUMBER($E157),ISNUMBER($F157),ISNUMBER($G157)),IF(AND($F157&lt;=$E157,$E157&lt;=$G157),0,1),0)</f>
        <v>0</v>
      </c>
    </row>
    <row r="158" customFormat="false" ht="15" hidden="false" customHeight="false" outlineLevel="0" collapsed="false">
      <c r="A158" s="9" t="s">
        <v>1271</v>
      </c>
      <c r="B158" s="10" t="s">
        <v>1266</v>
      </c>
      <c r="C158" s="10" t="s">
        <v>1264</v>
      </c>
      <c r="D158" s="10" t="s">
        <v>108</v>
      </c>
      <c r="E158" s="11" t="n">
        <v>0.4</v>
      </c>
      <c r="F158" s="9"/>
      <c r="G158" s="9"/>
      <c r="H158" s="9" t="s">
        <v>923</v>
      </c>
      <c r="I158" s="9" t="s">
        <v>59</v>
      </c>
      <c r="J158" s="10" t="s">
        <v>1255</v>
      </c>
      <c r="K158" s="9" t="s">
        <v>1267</v>
      </c>
      <c r="L158" s="9"/>
      <c r="M158" s="9" t="n">
        <f aca="false">IF(AND(ISNUMBER($E158),ISNUMBER($F158),ISNUMBER($G158)),IF(AND($F158&lt;=$E158,$E158&lt;=$G158),0,1),0)</f>
        <v>0</v>
      </c>
    </row>
    <row r="159" customFormat="false" ht="15" hidden="false" customHeight="false" outlineLevel="0" collapsed="false">
      <c r="A159" s="9" t="s">
        <v>1272</v>
      </c>
      <c r="B159" s="10" t="s">
        <v>1273</v>
      </c>
      <c r="C159" s="9" t="s">
        <v>1254</v>
      </c>
      <c r="D159" s="10" t="s">
        <v>108</v>
      </c>
      <c r="E159" s="11" t="n">
        <v>0.35</v>
      </c>
      <c r="F159" s="9"/>
      <c r="G159" s="9"/>
      <c r="H159" s="9" t="s">
        <v>923</v>
      </c>
      <c r="I159" s="9" t="s">
        <v>59</v>
      </c>
      <c r="J159" s="10" t="s">
        <v>1255</v>
      </c>
      <c r="K159" s="9" t="s">
        <v>1274</v>
      </c>
      <c r="L159" s="9"/>
      <c r="M159" s="9" t="n">
        <f aca="false">IF(AND(ISNUMBER($E159),ISNUMBER($F159),ISNUMBER($G159)),IF(AND($F159&lt;=$E159,$E159&lt;=$G159),0,1),0)</f>
        <v>0</v>
      </c>
    </row>
    <row r="160" customFormat="false" ht="15" hidden="false" customHeight="false" outlineLevel="0" collapsed="false">
      <c r="A160" s="9" t="s">
        <v>1275</v>
      </c>
      <c r="B160" s="10" t="s">
        <v>1273</v>
      </c>
      <c r="C160" s="9" t="s">
        <v>1258</v>
      </c>
      <c r="D160" s="10" t="s">
        <v>108</v>
      </c>
      <c r="E160" s="11" t="n">
        <v>0.6</v>
      </c>
      <c r="F160" s="9"/>
      <c r="G160" s="9"/>
      <c r="H160" s="9" t="s">
        <v>923</v>
      </c>
      <c r="I160" s="9" t="s">
        <v>59</v>
      </c>
      <c r="J160" s="10" t="s">
        <v>1255</v>
      </c>
      <c r="K160" s="9" t="s">
        <v>1274</v>
      </c>
      <c r="L160" s="9"/>
      <c r="M160" s="9" t="n">
        <f aca="false">IF(AND(ISNUMBER($E160),ISNUMBER($F160),ISNUMBER($G160)),IF(AND($F160&lt;=$E160,$E160&lt;=$G160),0,1),0)</f>
        <v>0</v>
      </c>
    </row>
    <row r="161" customFormat="false" ht="15" hidden="false" customHeight="false" outlineLevel="0" collapsed="false">
      <c r="A161" s="9" t="s">
        <v>1276</v>
      </c>
      <c r="B161" s="10" t="s">
        <v>1273</v>
      </c>
      <c r="C161" s="9" t="s">
        <v>1260</v>
      </c>
      <c r="D161" s="10" t="s">
        <v>108</v>
      </c>
      <c r="E161" s="11" t="n">
        <v>0.05</v>
      </c>
      <c r="F161" s="9"/>
      <c r="G161" s="9"/>
      <c r="H161" s="9" t="s">
        <v>923</v>
      </c>
      <c r="I161" s="9" t="s">
        <v>59</v>
      </c>
      <c r="J161" s="10" t="s">
        <v>1255</v>
      </c>
      <c r="K161" s="9" t="s">
        <v>1274</v>
      </c>
      <c r="L161" s="9"/>
      <c r="M161" s="9" t="n">
        <f aca="false">IF(AND(ISNUMBER($E161),ISNUMBER($F161),ISNUMBER($G161)),IF(AND($F161&lt;=$E161,$E161&lt;=$G161),0,1),0)</f>
        <v>0</v>
      </c>
    </row>
    <row r="162" customFormat="false" ht="15" hidden="false" customHeight="false" outlineLevel="0" collapsed="false">
      <c r="A162" s="9" t="s">
        <v>1277</v>
      </c>
      <c r="B162" s="10" t="s">
        <v>1273</v>
      </c>
      <c r="C162" s="10" t="s">
        <v>1262</v>
      </c>
      <c r="D162" s="10" t="s">
        <v>108</v>
      </c>
      <c r="E162" s="11" t="n">
        <v>0.4</v>
      </c>
      <c r="F162" s="9"/>
      <c r="G162" s="9"/>
      <c r="H162" s="9" t="s">
        <v>923</v>
      </c>
      <c r="I162" s="9" t="s">
        <v>59</v>
      </c>
      <c r="J162" s="10" t="s">
        <v>1255</v>
      </c>
      <c r="K162" s="9" t="s">
        <v>1274</v>
      </c>
      <c r="L162" s="9"/>
      <c r="M162" s="9" t="n">
        <f aca="false">IF(AND(ISNUMBER($E162),ISNUMBER($F162),ISNUMBER($G162)),IF(AND($F162&lt;=$E162,$E162&lt;=$G162),0,1),0)</f>
        <v>0</v>
      </c>
    </row>
    <row r="163" customFormat="false" ht="15" hidden="false" customHeight="false" outlineLevel="0" collapsed="false">
      <c r="A163" s="9" t="s">
        <v>1278</v>
      </c>
      <c r="B163" s="10" t="s">
        <v>1273</v>
      </c>
      <c r="C163" s="10" t="s">
        <v>1264</v>
      </c>
      <c r="D163" s="10" t="s">
        <v>108</v>
      </c>
      <c r="E163" s="11" t="n">
        <v>0.5</v>
      </c>
      <c r="F163" s="9"/>
      <c r="G163" s="9"/>
      <c r="H163" s="9" t="s">
        <v>923</v>
      </c>
      <c r="I163" s="9" t="s">
        <v>59</v>
      </c>
      <c r="J163" s="10" t="s">
        <v>1255</v>
      </c>
      <c r="K163" s="9" t="s">
        <v>1274</v>
      </c>
      <c r="L163" s="9"/>
      <c r="M163" s="9" t="n">
        <f aca="false">IF(AND(ISNUMBER($E163),ISNUMBER($F163),ISNUMBER($G163)),IF(AND($F163&lt;=$E163,$E163&lt;=$G163),0,1),0)</f>
        <v>0</v>
      </c>
    </row>
    <row r="164" customFormat="false" ht="15" hidden="false" customHeight="false" outlineLevel="0" collapsed="false">
      <c r="A164" s="9" t="s">
        <v>1279</v>
      </c>
      <c r="B164" s="10" t="s">
        <v>1280</v>
      </c>
      <c r="C164" s="9" t="s">
        <v>1254</v>
      </c>
      <c r="D164" s="10" t="s">
        <v>108</v>
      </c>
      <c r="E164" s="11" t="n">
        <v>0.1</v>
      </c>
      <c r="F164" s="9"/>
      <c r="G164" s="9"/>
      <c r="H164" s="9" t="s">
        <v>923</v>
      </c>
      <c r="I164" s="9" t="s">
        <v>59</v>
      </c>
      <c r="J164" s="10" t="s">
        <v>1255</v>
      </c>
      <c r="K164" s="9" t="s">
        <v>1281</v>
      </c>
      <c r="L164" s="9"/>
      <c r="M164" s="9" t="n">
        <f aca="false">IF(AND(ISNUMBER($E164),ISNUMBER($F164),ISNUMBER($G164)),IF(AND($F164&lt;=$E164,$E164&lt;=$G164),0,1),0)</f>
        <v>0</v>
      </c>
    </row>
    <row r="165" customFormat="false" ht="15" hidden="false" customHeight="false" outlineLevel="0" collapsed="false">
      <c r="A165" s="9" t="s">
        <v>1282</v>
      </c>
      <c r="B165" s="10" t="s">
        <v>1280</v>
      </c>
      <c r="C165" s="9" t="s">
        <v>1258</v>
      </c>
      <c r="D165" s="10" t="s">
        <v>108</v>
      </c>
      <c r="E165" s="11" t="n">
        <v>0.5</v>
      </c>
      <c r="F165" s="9"/>
      <c r="G165" s="9"/>
      <c r="H165" s="9" t="s">
        <v>923</v>
      </c>
      <c r="I165" s="9" t="s">
        <v>59</v>
      </c>
      <c r="J165" s="10" t="s">
        <v>1255</v>
      </c>
      <c r="K165" s="9" t="s">
        <v>1281</v>
      </c>
      <c r="L165" s="9"/>
      <c r="M165" s="9" t="n">
        <f aca="false">IF(AND(ISNUMBER($E165),ISNUMBER($F165),ISNUMBER($G165)),IF(AND($F165&lt;=$E165,$E165&lt;=$G165),0,1),0)</f>
        <v>0</v>
      </c>
    </row>
    <row r="166" customFormat="false" ht="15" hidden="false" customHeight="false" outlineLevel="0" collapsed="false">
      <c r="A166" s="9" t="s">
        <v>1283</v>
      </c>
      <c r="B166" s="10" t="s">
        <v>1280</v>
      </c>
      <c r="C166" s="9" t="s">
        <v>1260</v>
      </c>
      <c r="D166" s="10" t="s">
        <v>108</v>
      </c>
      <c r="E166" s="11" t="n">
        <v>0.4</v>
      </c>
      <c r="F166" s="9"/>
      <c r="G166" s="9"/>
      <c r="H166" s="9" t="s">
        <v>923</v>
      </c>
      <c r="I166" s="9" t="s">
        <v>59</v>
      </c>
      <c r="J166" s="10" t="s">
        <v>1255</v>
      </c>
      <c r="K166" s="9" t="s">
        <v>1281</v>
      </c>
      <c r="L166" s="9"/>
      <c r="M166" s="9" t="n">
        <f aca="false">IF(AND(ISNUMBER($E166),ISNUMBER($F166),ISNUMBER($G166)),IF(AND($F166&lt;=$E166,$E166&lt;=$G166),0,1),0)</f>
        <v>0</v>
      </c>
    </row>
    <row r="167" customFormat="false" ht="15" hidden="false" customHeight="false" outlineLevel="0" collapsed="false">
      <c r="A167" s="9" t="s">
        <v>1284</v>
      </c>
      <c r="B167" s="10" t="s">
        <v>1280</v>
      </c>
      <c r="C167" s="10" t="s">
        <v>1262</v>
      </c>
      <c r="D167" s="10" t="s">
        <v>108</v>
      </c>
      <c r="E167" s="11" t="n">
        <v>0.5</v>
      </c>
      <c r="F167" s="9"/>
      <c r="G167" s="9"/>
      <c r="H167" s="9" t="s">
        <v>923</v>
      </c>
      <c r="I167" s="9" t="s">
        <v>59</v>
      </c>
      <c r="J167" s="10" t="s">
        <v>1255</v>
      </c>
      <c r="K167" s="9" t="s">
        <v>1281</v>
      </c>
      <c r="L167" s="9"/>
      <c r="M167" s="9" t="n">
        <f aca="false">IF(AND(ISNUMBER($E167),ISNUMBER($F167),ISNUMBER($G167)),IF(AND($F167&lt;=$E167,$E167&lt;=$G167),0,1),0)</f>
        <v>0</v>
      </c>
    </row>
    <row r="168" customFormat="false" ht="15" hidden="false" customHeight="false" outlineLevel="0" collapsed="false">
      <c r="A168" s="9" t="s">
        <v>1285</v>
      </c>
      <c r="B168" s="10" t="s">
        <v>1280</v>
      </c>
      <c r="C168" s="10" t="s">
        <v>1264</v>
      </c>
      <c r="D168" s="10" t="s">
        <v>108</v>
      </c>
      <c r="E168" s="11" t="n">
        <v>0.6</v>
      </c>
      <c r="F168" s="9"/>
      <c r="G168" s="9"/>
      <c r="H168" s="9" t="s">
        <v>923</v>
      </c>
      <c r="I168" s="9" t="s">
        <v>59</v>
      </c>
      <c r="J168" s="10" t="s">
        <v>1255</v>
      </c>
      <c r="K168" s="9" t="s">
        <v>1281</v>
      </c>
      <c r="L168" s="9"/>
      <c r="M168" s="9" t="n">
        <f aca="false">IF(AND(ISNUMBER($E168),ISNUMBER($F168),ISNUMBER($G168)),IF(AND($F168&lt;=$E168,$E168&lt;=$G168),0,1),0)</f>
        <v>0</v>
      </c>
    </row>
    <row r="169" customFormat="false" ht="15" hidden="false" customHeight="false" outlineLevel="0" collapsed="false">
      <c r="A169" s="9" t="s">
        <v>1286</v>
      </c>
      <c r="B169" s="10" t="s">
        <v>1287</v>
      </c>
      <c r="C169" s="9" t="s">
        <v>1254</v>
      </c>
      <c r="D169" s="10" t="s">
        <v>108</v>
      </c>
      <c r="E169" s="11" t="n">
        <v>0.3</v>
      </c>
      <c r="F169" s="9"/>
      <c r="G169" s="9"/>
      <c r="H169" s="9" t="s">
        <v>923</v>
      </c>
      <c r="I169" s="9" t="s">
        <v>59</v>
      </c>
      <c r="J169" s="10" t="s">
        <v>1255</v>
      </c>
      <c r="K169" s="9" t="s">
        <v>1288</v>
      </c>
      <c r="L169" s="9"/>
      <c r="M169" s="9" t="n">
        <f aca="false">IF(AND(ISNUMBER($E169),ISNUMBER($F169),ISNUMBER($G169)),IF(AND($F169&lt;=$E169,$E169&lt;=$G169),0,1),0)</f>
        <v>0</v>
      </c>
    </row>
    <row r="170" customFormat="false" ht="15" hidden="false" customHeight="false" outlineLevel="0" collapsed="false">
      <c r="A170" s="9" t="s">
        <v>1289</v>
      </c>
      <c r="B170" s="10" t="s">
        <v>1287</v>
      </c>
      <c r="C170" s="9" t="s">
        <v>1258</v>
      </c>
      <c r="D170" s="10" t="s">
        <v>108</v>
      </c>
      <c r="E170" s="11" t="n">
        <v>0.65</v>
      </c>
      <c r="F170" s="9"/>
      <c r="G170" s="9"/>
      <c r="H170" s="9" t="s">
        <v>923</v>
      </c>
      <c r="I170" s="9" t="s">
        <v>59</v>
      </c>
      <c r="J170" s="10" t="s">
        <v>1255</v>
      </c>
      <c r="K170" s="9" t="s">
        <v>1288</v>
      </c>
      <c r="L170" s="9"/>
      <c r="M170" s="9" t="n">
        <f aca="false">IF(AND(ISNUMBER($E170),ISNUMBER($F170),ISNUMBER($G170)),IF(AND($F170&lt;=$E170,$E170&lt;=$G170),0,1),0)</f>
        <v>0</v>
      </c>
    </row>
    <row r="171" customFormat="false" ht="15" hidden="false" customHeight="false" outlineLevel="0" collapsed="false">
      <c r="A171" s="9" t="s">
        <v>1290</v>
      </c>
      <c r="B171" s="10" t="s">
        <v>1287</v>
      </c>
      <c r="C171" s="9" t="s">
        <v>1260</v>
      </c>
      <c r="D171" s="10" t="s">
        <v>108</v>
      </c>
      <c r="E171" s="11" t="n">
        <v>0.05</v>
      </c>
      <c r="F171" s="9"/>
      <c r="G171" s="9"/>
      <c r="H171" s="9" t="s">
        <v>923</v>
      </c>
      <c r="I171" s="9" t="s">
        <v>59</v>
      </c>
      <c r="J171" s="10" t="s">
        <v>1255</v>
      </c>
      <c r="K171" s="9" t="s">
        <v>1288</v>
      </c>
      <c r="L171" s="9"/>
      <c r="M171" s="9" t="n">
        <f aca="false">IF(AND(ISNUMBER($E171),ISNUMBER($F171),ISNUMBER($G171)),IF(AND($F171&lt;=$E171,$E171&lt;=$G171),0,1),0)</f>
        <v>0</v>
      </c>
    </row>
    <row r="172" customFormat="false" ht="15" hidden="false" customHeight="false" outlineLevel="0" collapsed="false">
      <c r="A172" s="9" t="s">
        <v>1291</v>
      </c>
      <c r="B172" s="10" t="s">
        <v>1287</v>
      </c>
      <c r="C172" s="10" t="s">
        <v>1262</v>
      </c>
      <c r="D172" s="10" t="s">
        <v>108</v>
      </c>
      <c r="E172" s="11" t="n">
        <v>0.35</v>
      </c>
      <c r="F172" s="9"/>
      <c r="G172" s="9"/>
      <c r="H172" s="9" t="s">
        <v>923</v>
      </c>
      <c r="I172" s="9" t="s">
        <v>59</v>
      </c>
      <c r="J172" s="10" t="s">
        <v>1255</v>
      </c>
      <c r="K172" s="9" t="s">
        <v>1288</v>
      </c>
      <c r="L172" s="9"/>
      <c r="M172" s="9" t="n">
        <f aca="false">IF(AND(ISNUMBER($E172),ISNUMBER($F172),ISNUMBER($G172)),IF(AND($F172&lt;=$E172,$E172&lt;=$G172),0,1),0)</f>
        <v>0</v>
      </c>
    </row>
    <row r="173" customFormat="false" ht="15" hidden="false" customHeight="false" outlineLevel="0" collapsed="false">
      <c r="A173" s="9" t="s">
        <v>1292</v>
      </c>
      <c r="B173" s="10" t="s">
        <v>1287</v>
      </c>
      <c r="C173" s="10" t="s">
        <v>1264</v>
      </c>
      <c r="D173" s="10" t="s">
        <v>108</v>
      </c>
      <c r="E173" s="11" t="n">
        <v>0.55</v>
      </c>
      <c r="F173" s="9"/>
      <c r="G173" s="9"/>
      <c r="H173" s="9" t="s">
        <v>923</v>
      </c>
      <c r="I173" s="9" t="s">
        <v>59</v>
      </c>
      <c r="J173" s="10" t="s">
        <v>1255</v>
      </c>
      <c r="K173" s="9" t="s">
        <v>1288</v>
      </c>
      <c r="L173" s="9"/>
      <c r="M173" s="9" t="n">
        <f aca="false">IF(AND(ISNUMBER($E173),ISNUMBER($F173),ISNUMBER($G173)),IF(AND($F173&lt;=$E173,$E173&lt;=$G173),0,1),0)</f>
        <v>0</v>
      </c>
    </row>
    <row r="174" customFormat="false" ht="15" hidden="false" customHeight="false" outlineLevel="0" collapsed="false">
      <c r="A174" s="9" t="s">
        <v>1293</v>
      </c>
      <c r="B174" s="9" t="s">
        <v>1294</v>
      </c>
      <c r="C174" s="9" t="s">
        <v>59</v>
      </c>
      <c r="D174" s="10" t="s">
        <v>108</v>
      </c>
      <c r="E174" s="11" t="n">
        <v>0.5</v>
      </c>
      <c r="F174" s="11" t="n">
        <v>0.3</v>
      </c>
      <c r="G174" s="11" t="n">
        <v>0.65</v>
      </c>
      <c r="H174" s="9" t="s">
        <v>923</v>
      </c>
      <c r="I174" s="9" t="s">
        <v>1295</v>
      </c>
      <c r="J174" s="9" t="s">
        <v>888</v>
      </c>
      <c r="K174" s="9" t="s">
        <v>1296</v>
      </c>
      <c r="L174" s="9"/>
      <c r="M174" s="9" t="n">
        <f aca="false">IF(AND(ISNUMBER($E174),ISNUMBER($F174),ISNUMBER($G174)),IF(AND($F174&lt;=$E174,$E174&lt;=$G174),0,1),0)</f>
        <v>0</v>
      </c>
    </row>
    <row r="175" customFormat="false" ht="15" hidden="false" customHeight="false" outlineLevel="0" collapsed="false">
      <c r="A175" s="9" t="s">
        <v>1297</v>
      </c>
      <c r="B175" s="10" t="s">
        <v>1298</v>
      </c>
      <c r="C175" s="9" t="s">
        <v>59</v>
      </c>
      <c r="D175" s="10" t="s">
        <v>1299</v>
      </c>
      <c r="E175" s="9" t="s">
        <v>1300</v>
      </c>
      <c r="F175" s="9"/>
      <c r="G175" s="9"/>
      <c r="H175" s="9" t="s">
        <v>887</v>
      </c>
      <c r="I175" s="9" t="s">
        <v>1301</v>
      </c>
      <c r="J175" s="9" t="s">
        <v>888</v>
      </c>
      <c r="K175" s="9" t="s">
        <v>1302</v>
      </c>
      <c r="L175" s="10" t="s">
        <v>1303</v>
      </c>
      <c r="M175" s="9" t="n">
        <f aca="false">IF(AND(ISNUMBER($E175),ISNUMBER($F175),ISNUMBER($G175)),IF(AND($F175&lt;=$E175,$E175&lt;=$G175),0,1),0)</f>
        <v>0</v>
      </c>
    </row>
    <row r="176" customFormat="false" ht="15" hidden="false" customHeight="false" outlineLevel="0" collapsed="false">
      <c r="A176" s="9" t="s">
        <v>1304</v>
      </c>
      <c r="B176" s="10" t="s">
        <v>1305</v>
      </c>
      <c r="C176" s="9" t="s">
        <v>59</v>
      </c>
      <c r="D176" s="10" t="s">
        <v>140</v>
      </c>
      <c r="E176" s="11" t="n">
        <v>2025</v>
      </c>
      <c r="F176" s="11" t="n">
        <v>2025</v>
      </c>
      <c r="G176" s="11" t="n">
        <v>2026</v>
      </c>
      <c r="H176" s="9" t="s">
        <v>939</v>
      </c>
      <c r="I176" s="9" t="s">
        <v>1306</v>
      </c>
      <c r="J176" s="9" t="s">
        <v>888</v>
      </c>
      <c r="K176" s="9" t="s">
        <v>344</v>
      </c>
      <c r="L176" s="9" t="s">
        <v>1307</v>
      </c>
      <c r="M176" s="9" t="n">
        <f aca="false">IF(AND(ISNUMBER($E176),ISNUMBER($F176),ISNUMBER($G176)),IF(AND($F176&lt;=$E176,$E176&lt;=$G176),0,1),0)</f>
        <v>0</v>
      </c>
    </row>
    <row r="177" customFormat="false" ht="15" hidden="false" customHeight="false" outlineLevel="0" collapsed="false">
      <c r="A177" s="9" t="s">
        <v>1308</v>
      </c>
      <c r="B177" s="10" t="s">
        <v>1309</v>
      </c>
      <c r="C177" s="9" t="s">
        <v>59</v>
      </c>
      <c r="D177" s="10" t="s">
        <v>140</v>
      </c>
      <c r="E177" s="11" t="n">
        <v>2030</v>
      </c>
      <c r="F177" s="11" t="n">
        <v>2029</v>
      </c>
      <c r="G177" s="11" t="n">
        <v>2032</v>
      </c>
      <c r="H177" s="9" t="s">
        <v>923</v>
      </c>
      <c r="I177" s="9" t="s">
        <v>1310</v>
      </c>
      <c r="J177" s="9" t="s">
        <v>888</v>
      </c>
      <c r="K177" s="9" t="s">
        <v>344</v>
      </c>
      <c r="L177" s="9" t="s">
        <v>1311</v>
      </c>
      <c r="M177" s="9" t="n">
        <f aca="false">IF(AND(ISNUMBER($E177),ISNUMBER($F177),ISNUMBER($G177)),IF(AND($F177&lt;=$E177,$E177&lt;=$G177),0,1),0)</f>
        <v>0</v>
      </c>
    </row>
    <row r="178" customFormat="false" ht="15" hidden="false" customHeight="false" outlineLevel="0" collapsed="false">
      <c r="A178" s="9" t="s">
        <v>1312</v>
      </c>
      <c r="B178" s="10" t="s">
        <v>1313</v>
      </c>
      <c r="C178" s="9" t="s">
        <v>59</v>
      </c>
      <c r="D178" s="9" t="s">
        <v>56</v>
      </c>
      <c r="E178" s="11" t="n">
        <v>20</v>
      </c>
      <c r="F178" s="11" t="n">
        <v>20</v>
      </c>
      <c r="G178" s="11" t="n">
        <v>25</v>
      </c>
      <c r="H178" s="9" t="s">
        <v>923</v>
      </c>
      <c r="I178" s="9" t="s">
        <v>1310</v>
      </c>
      <c r="J178" s="9" t="s">
        <v>888</v>
      </c>
      <c r="K178" s="9" t="s">
        <v>413</v>
      </c>
      <c r="L178" s="9" t="s">
        <v>1314</v>
      </c>
      <c r="M178" s="9" t="n">
        <f aca="false">IF(AND(ISNUMBER($E178),ISNUMBER($F178),ISNUMBER($G178)),IF(AND($F178&lt;=$E178,$E178&lt;=$G178),0,1),0)</f>
        <v>0</v>
      </c>
    </row>
    <row r="179" customFormat="false" ht="15" hidden="false" customHeight="false" outlineLevel="0" collapsed="false">
      <c r="A179" s="9" t="s">
        <v>1315</v>
      </c>
      <c r="B179" s="10" t="s">
        <v>1316</v>
      </c>
      <c r="C179" s="9" t="s">
        <v>59</v>
      </c>
      <c r="D179" s="10" t="s">
        <v>140</v>
      </c>
      <c r="E179" s="11" t="n">
        <v>2031</v>
      </c>
      <c r="F179" s="11" t="n">
        <v>2029</v>
      </c>
      <c r="G179" s="11" t="n">
        <v>2032</v>
      </c>
      <c r="H179" s="9" t="s">
        <v>923</v>
      </c>
      <c r="I179" s="9" t="s">
        <v>1310</v>
      </c>
      <c r="J179" s="9" t="s">
        <v>888</v>
      </c>
      <c r="K179" s="9" t="s">
        <v>413</v>
      </c>
      <c r="L179" s="9" t="s">
        <v>1317</v>
      </c>
      <c r="M179" s="9" t="n">
        <f aca="false">IF(AND(ISNUMBER($E179),ISNUMBER($F179),ISNUMBER($G179)),IF(AND($F179&lt;=$E179,$E179&lt;=$G179),0,1),0)</f>
        <v>0</v>
      </c>
    </row>
    <row r="180" customFormat="false" ht="15" hidden="false" customHeight="false" outlineLevel="0" collapsed="false">
      <c r="A180" s="9" t="s">
        <v>1318</v>
      </c>
      <c r="B180" s="10" t="s">
        <v>1319</v>
      </c>
      <c r="C180" s="9" t="s">
        <v>399</v>
      </c>
      <c r="D180" s="9" t="s">
        <v>56</v>
      </c>
      <c r="E180" s="11" t="n">
        <v>0</v>
      </c>
      <c r="F180" s="9"/>
      <c r="G180" s="9"/>
      <c r="H180" s="9" t="s">
        <v>923</v>
      </c>
      <c r="I180" s="9" t="s">
        <v>59</v>
      </c>
      <c r="J180" s="9" t="s">
        <v>888</v>
      </c>
      <c r="K180" s="9" t="s">
        <v>1320</v>
      </c>
      <c r="L180" s="9"/>
      <c r="M180" s="9" t="n">
        <f aca="false">IF(AND(ISNUMBER($E180),ISNUMBER($F180),ISNUMBER($G180)),IF(AND($F180&lt;=$E180,$E180&lt;=$G180),0,1),0)</f>
        <v>0</v>
      </c>
    </row>
    <row r="181" customFormat="false" ht="15" hidden="false" customHeight="false" outlineLevel="0" collapsed="false">
      <c r="A181" s="9" t="s">
        <v>1321</v>
      </c>
      <c r="B181" s="10" t="s">
        <v>1319</v>
      </c>
      <c r="C181" s="9" t="s">
        <v>411</v>
      </c>
      <c r="D181" s="9" t="s">
        <v>56</v>
      </c>
      <c r="E181" s="11" t="n">
        <v>20</v>
      </c>
      <c r="F181" s="9"/>
      <c r="G181" s="9"/>
      <c r="H181" s="9" t="s">
        <v>923</v>
      </c>
      <c r="I181" s="9" t="s">
        <v>59</v>
      </c>
      <c r="J181" s="9" t="s">
        <v>888</v>
      </c>
      <c r="K181" s="9" t="s">
        <v>1320</v>
      </c>
      <c r="L181" s="10" t="s">
        <v>1322</v>
      </c>
      <c r="M181" s="9" t="n">
        <f aca="false">IF(AND(ISNUMBER($E181),ISNUMBER($F181),ISNUMBER($G181)),IF(AND($F181&lt;=$E181,$E181&lt;=$G181),0,1),0)</f>
        <v>0</v>
      </c>
    </row>
    <row r="182" customFormat="false" ht="15" hidden="false" customHeight="false" outlineLevel="0" collapsed="false">
      <c r="A182" s="9" t="s">
        <v>1323</v>
      </c>
      <c r="B182" s="10" t="s">
        <v>1319</v>
      </c>
      <c r="C182" s="9" t="s">
        <v>1000</v>
      </c>
      <c r="D182" s="9" t="s">
        <v>56</v>
      </c>
      <c r="E182" s="11" t="n">
        <v>30</v>
      </c>
      <c r="F182" s="9"/>
      <c r="G182" s="9"/>
      <c r="H182" s="9" t="s">
        <v>923</v>
      </c>
      <c r="I182" s="9" t="s">
        <v>59</v>
      </c>
      <c r="J182" s="9" t="s">
        <v>888</v>
      </c>
      <c r="K182" s="9" t="s">
        <v>1320</v>
      </c>
      <c r="L182" s="9"/>
      <c r="M182" s="9" t="n">
        <f aca="false">IF(AND(ISNUMBER($E182),ISNUMBER($F182),ISNUMBER($G182)),IF(AND($F182&lt;=$E182,$E182&lt;=$G182),0,1),0)</f>
        <v>0</v>
      </c>
    </row>
    <row r="183" customFormat="false" ht="15" hidden="false" customHeight="false" outlineLevel="0" collapsed="false">
      <c r="A183" s="9" t="s">
        <v>1324</v>
      </c>
      <c r="B183" s="10" t="s">
        <v>1319</v>
      </c>
      <c r="C183" s="9" t="s">
        <v>1002</v>
      </c>
      <c r="D183" s="9" t="s">
        <v>56</v>
      </c>
      <c r="E183" s="11" t="n">
        <v>45</v>
      </c>
      <c r="F183" s="9"/>
      <c r="G183" s="9"/>
      <c r="H183" s="9" t="s">
        <v>923</v>
      </c>
      <c r="I183" s="9" t="s">
        <v>59</v>
      </c>
      <c r="J183" s="9" t="s">
        <v>888</v>
      </c>
      <c r="K183" s="9" t="s">
        <v>1320</v>
      </c>
      <c r="L183" s="9"/>
      <c r="M183" s="9" t="n">
        <f aca="false">IF(AND(ISNUMBER($E183),ISNUMBER($F183),ISNUMBER($G183)),IF(AND($F183&lt;=$E183,$E183&lt;=$G183),0,1),0)</f>
        <v>0</v>
      </c>
    </row>
    <row r="184" customFormat="false" ht="15" hidden="false" customHeight="false" outlineLevel="0" collapsed="false">
      <c r="A184" s="9" t="s">
        <v>1325</v>
      </c>
      <c r="B184" s="10" t="s">
        <v>1319</v>
      </c>
      <c r="C184" s="9" t="s">
        <v>1004</v>
      </c>
      <c r="D184" s="9" t="s">
        <v>56</v>
      </c>
      <c r="E184" s="11" t="n">
        <v>60</v>
      </c>
      <c r="F184" s="9"/>
      <c r="G184" s="9"/>
      <c r="H184" s="9" t="s">
        <v>923</v>
      </c>
      <c r="I184" s="9" t="s">
        <v>59</v>
      </c>
      <c r="J184" s="9" t="s">
        <v>888</v>
      </c>
      <c r="K184" s="9" t="s">
        <v>1320</v>
      </c>
      <c r="L184" s="9"/>
      <c r="M184" s="9" t="n">
        <f aca="false">IF(AND(ISNUMBER($E184),ISNUMBER($F184),ISNUMBER($G184)),IF(AND($F184&lt;=$E184,$E184&lt;=$G184),0,1),0)</f>
        <v>0</v>
      </c>
    </row>
    <row r="185" customFormat="false" ht="15" hidden="false" customHeight="false" outlineLevel="0" collapsed="false">
      <c r="A185" s="9" t="s">
        <v>1326</v>
      </c>
      <c r="B185" s="10" t="s">
        <v>1319</v>
      </c>
      <c r="C185" s="9" t="s">
        <v>1006</v>
      </c>
      <c r="D185" s="9" t="s">
        <v>56</v>
      </c>
      <c r="E185" s="11" t="n">
        <v>70</v>
      </c>
      <c r="F185" s="9"/>
      <c r="G185" s="9"/>
      <c r="H185" s="9" t="s">
        <v>923</v>
      </c>
      <c r="I185" s="9" t="s">
        <v>59</v>
      </c>
      <c r="J185" s="9" t="s">
        <v>888</v>
      </c>
      <c r="K185" s="9" t="s">
        <v>1320</v>
      </c>
      <c r="L185" s="9"/>
      <c r="M185" s="9" t="n">
        <f aca="false">IF(AND(ISNUMBER($E185),ISNUMBER($F185),ISNUMBER($G185)),IF(AND($F185&lt;=$E185,$E185&lt;=$G185),0,1),0)</f>
        <v>0</v>
      </c>
    </row>
    <row r="186" customFormat="false" ht="15" hidden="false" customHeight="false" outlineLevel="0" collapsed="false">
      <c r="A186" s="9" t="s">
        <v>1327</v>
      </c>
      <c r="B186" s="10" t="s">
        <v>1328</v>
      </c>
      <c r="C186" s="9" t="s">
        <v>59</v>
      </c>
      <c r="D186" s="10" t="s">
        <v>548</v>
      </c>
      <c r="E186" s="11" t="n">
        <v>0.6</v>
      </c>
      <c r="F186" s="9"/>
      <c r="G186" s="9"/>
      <c r="H186" s="9" t="s">
        <v>923</v>
      </c>
      <c r="I186" s="9" t="s">
        <v>59</v>
      </c>
      <c r="J186" s="9" t="s">
        <v>888</v>
      </c>
      <c r="K186" s="9" t="s">
        <v>1320</v>
      </c>
      <c r="L186" s="9"/>
      <c r="M186" s="9" t="n">
        <f aca="false">IF(AND(ISNUMBER($E186),ISNUMBER($F186),ISNUMBER($G186)),IF(AND($F186&lt;=$E186,$E186&lt;=$G186),0,1),0)</f>
        <v>0</v>
      </c>
    </row>
    <row r="187" customFormat="false" ht="15" hidden="false" customHeight="false" outlineLevel="0" collapsed="false">
      <c r="A187" s="9" t="s">
        <v>1329</v>
      </c>
      <c r="B187" s="10" t="s">
        <v>1330</v>
      </c>
      <c r="C187" s="9" t="s">
        <v>59</v>
      </c>
      <c r="D187" s="10" t="s">
        <v>548</v>
      </c>
      <c r="E187" s="11" t="n">
        <v>1.5</v>
      </c>
      <c r="F187" s="9"/>
      <c r="G187" s="9"/>
      <c r="H187" s="9" t="s">
        <v>923</v>
      </c>
      <c r="I187" s="9" t="s">
        <v>59</v>
      </c>
      <c r="J187" s="9" t="s">
        <v>888</v>
      </c>
      <c r="K187" s="9" t="s">
        <v>1320</v>
      </c>
      <c r="L187" s="9"/>
      <c r="M187" s="9" t="n">
        <f aca="false">IF(AND(ISNUMBER($E187),ISNUMBER($F187),ISNUMBER($G187)),IF(AND($F187&lt;=$E187,$E187&lt;=$G187),0,1),0)</f>
        <v>0</v>
      </c>
    </row>
    <row r="188" customFormat="false" ht="15" hidden="false" customHeight="false" outlineLevel="0" collapsed="false">
      <c r="A188" s="9" t="s">
        <v>1331</v>
      </c>
      <c r="B188" s="10" t="s">
        <v>1332</v>
      </c>
      <c r="C188" s="9" t="s">
        <v>59</v>
      </c>
      <c r="D188" s="10" t="s">
        <v>108</v>
      </c>
      <c r="E188" s="11" t="n">
        <v>0</v>
      </c>
      <c r="F188" s="11" t="n">
        <v>0</v>
      </c>
      <c r="G188" s="11" t="n">
        <v>0.3</v>
      </c>
      <c r="H188" s="9" t="s">
        <v>923</v>
      </c>
      <c r="I188" s="9" t="s">
        <v>1333</v>
      </c>
      <c r="J188" s="9" t="s">
        <v>888</v>
      </c>
      <c r="K188" s="9" t="s">
        <v>1334</v>
      </c>
      <c r="L188" s="10" t="s">
        <v>1335</v>
      </c>
      <c r="M188" s="9" t="n">
        <f aca="false">IF(AND(ISNUMBER($E188),ISNUMBER($F188),ISNUMBER($G188)),IF(AND($F188&lt;=$E188,$E188&lt;=$G188),0,1),0)</f>
        <v>0</v>
      </c>
    </row>
    <row r="189" customFormat="false" ht="15" hidden="false" customHeight="false" outlineLevel="0" collapsed="false">
      <c r="A189" s="9" t="s">
        <v>1336</v>
      </c>
      <c r="B189" s="10" t="s">
        <v>1337</v>
      </c>
      <c r="C189" s="9" t="s">
        <v>411</v>
      </c>
      <c r="D189" s="10" t="s">
        <v>108</v>
      </c>
      <c r="E189" s="11" t="n">
        <v>0.33</v>
      </c>
      <c r="F189" s="9"/>
      <c r="G189" s="9"/>
      <c r="H189" s="9" t="s">
        <v>923</v>
      </c>
      <c r="I189" s="9" t="s">
        <v>1338</v>
      </c>
      <c r="J189" s="9" t="s">
        <v>1339</v>
      </c>
      <c r="K189" s="9" t="s">
        <v>1340</v>
      </c>
      <c r="L189" s="9"/>
      <c r="M189" s="9" t="n">
        <f aca="false">IF(AND(ISNUMBER($E189),ISNUMBER($F189),ISNUMBER($G189)),IF(AND($F189&lt;=$E189,$E189&lt;=$G189),0,1),0)</f>
        <v>0</v>
      </c>
    </row>
    <row r="190" customFormat="false" ht="15" hidden="false" customHeight="false" outlineLevel="0" collapsed="false">
      <c r="A190" s="9" t="s">
        <v>1341</v>
      </c>
      <c r="B190" s="10" t="s">
        <v>1337</v>
      </c>
      <c r="C190" s="9" t="s">
        <v>1000</v>
      </c>
      <c r="D190" s="10" t="s">
        <v>108</v>
      </c>
      <c r="E190" s="11" t="n">
        <v>0.265</v>
      </c>
      <c r="F190" s="9"/>
      <c r="G190" s="9"/>
      <c r="H190" s="9" t="s">
        <v>923</v>
      </c>
      <c r="I190" s="9" t="s">
        <v>1338</v>
      </c>
      <c r="J190" s="9" t="s">
        <v>1339</v>
      </c>
      <c r="K190" s="9" t="s">
        <v>1340</v>
      </c>
      <c r="L190" s="9"/>
      <c r="M190" s="9" t="n">
        <f aca="false">IF(AND(ISNUMBER($E190),ISNUMBER($F190),ISNUMBER($G190)),IF(AND($F190&lt;=$E190,$E190&lt;=$G190),0,1),0)</f>
        <v>0</v>
      </c>
    </row>
    <row r="191" customFormat="false" ht="15" hidden="false" customHeight="false" outlineLevel="0" collapsed="false">
      <c r="A191" s="9" t="s">
        <v>1342</v>
      </c>
      <c r="B191" s="10" t="s">
        <v>1337</v>
      </c>
      <c r="C191" s="9" t="s">
        <v>1002</v>
      </c>
      <c r="D191" s="10" t="s">
        <v>108</v>
      </c>
      <c r="E191" s="11" t="n">
        <v>0.22</v>
      </c>
      <c r="F191" s="9"/>
      <c r="G191" s="9"/>
      <c r="H191" s="9" t="s">
        <v>923</v>
      </c>
      <c r="I191" s="9" t="s">
        <v>1338</v>
      </c>
      <c r="J191" s="9" t="s">
        <v>1339</v>
      </c>
      <c r="K191" s="9" t="s">
        <v>1340</v>
      </c>
      <c r="L191" s="9"/>
      <c r="M191" s="9" t="n">
        <f aca="false">IF(AND(ISNUMBER($E191),ISNUMBER($F191),ISNUMBER($G191)),IF(AND($F191&lt;=$E191,$E191&lt;=$G191),0,1),0)</f>
        <v>0</v>
      </c>
    </row>
    <row r="192" customFormat="false" ht="15" hidden="false" customHeight="false" outlineLevel="0" collapsed="false">
      <c r="A192" s="9" t="s">
        <v>1343</v>
      </c>
      <c r="B192" s="10" t="s">
        <v>1337</v>
      </c>
      <c r="C192" s="9" t="s">
        <v>1004</v>
      </c>
      <c r="D192" s="10" t="s">
        <v>108</v>
      </c>
      <c r="E192" s="11" t="n">
        <v>0.18</v>
      </c>
      <c r="F192" s="9"/>
      <c r="G192" s="9"/>
      <c r="H192" s="9" t="s">
        <v>923</v>
      </c>
      <c r="I192" s="9" t="s">
        <v>1338</v>
      </c>
      <c r="J192" s="9" t="s">
        <v>1339</v>
      </c>
      <c r="K192" s="9" t="s">
        <v>1340</v>
      </c>
      <c r="L192" s="9"/>
      <c r="M192" s="9" t="n">
        <f aca="false">IF(AND(ISNUMBER($E192),ISNUMBER($F192),ISNUMBER($G192)),IF(AND($F192&lt;=$E192,$E192&lt;=$G192),0,1),0)</f>
        <v>0</v>
      </c>
    </row>
    <row r="193" customFormat="false" ht="15" hidden="false" customHeight="false" outlineLevel="0" collapsed="false">
      <c r="A193" s="9" t="s">
        <v>1344</v>
      </c>
      <c r="B193" s="10" t="s">
        <v>1337</v>
      </c>
      <c r="C193" s="9" t="s">
        <v>1006</v>
      </c>
      <c r="D193" s="10" t="s">
        <v>108</v>
      </c>
      <c r="E193" s="11" t="n">
        <v>0.14</v>
      </c>
      <c r="F193" s="9"/>
      <c r="G193" s="9"/>
      <c r="H193" s="9" t="s">
        <v>923</v>
      </c>
      <c r="I193" s="9" t="s">
        <v>1338</v>
      </c>
      <c r="J193" s="9" t="s">
        <v>1339</v>
      </c>
      <c r="K193" s="9" t="s">
        <v>1340</v>
      </c>
      <c r="L193" s="9"/>
      <c r="M193" s="9" t="n">
        <f aca="false">IF(AND(ISNUMBER($E193),ISNUMBER($F193),ISNUMBER($G193)),IF(AND($F193&lt;=$E193,$E193&lt;=$G193),0,1),0)</f>
        <v>0</v>
      </c>
    </row>
    <row r="194" customFormat="false" ht="15" hidden="false" customHeight="false" outlineLevel="0" collapsed="false">
      <c r="A194" s="9" t="s">
        <v>1345</v>
      </c>
      <c r="B194" s="10" t="s">
        <v>1346</v>
      </c>
      <c r="C194" s="9" t="s">
        <v>59</v>
      </c>
      <c r="D194" s="10" t="s">
        <v>548</v>
      </c>
      <c r="E194" s="11" t="n">
        <v>0.8</v>
      </c>
      <c r="F194" s="9"/>
      <c r="G194" s="9"/>
      <c r="H194" s="9" t="s">
        <v>923</v>
      </c>
      <c r="I194" s="9" t="s">
        <v>1338</v>
      </c>
      <c r="J194" s="9" t="s">
        <v>1347</v>
      </c>
      <c r="K194" s="9" t="s">
        <v>1340</v>
      </c>
      <c r="L194" s="9"/>
      <c r="M194" s="9" t="n">
        <f aca="false">IF(AND(ISNUMBER($E194),ISNUMBER($F194),ISNUMBER($G194)),IF(AND($F194&lt;=$E194,$E194&lt;=$G194),0,1),0)</f>
        <v>0</v>
      </c>
    </row>
    <row r="195" customFormat="false" ht="15" hidden="false" customHeight="false" outlineLevel="0" collapsed="false">
      <c r="A195" s="9" t="s">
        <v>1348</v>
      </c>
      <c r="B195" s="10" t="s">
        <v>1349</v>
      </c>
      <c r="C195" s="9" t="s">
        <v>59</v>
      </c>
      <c r="D195" s="10" t="s">
        <v>548</v>
      </c>
      <c r="E195" s="11" t="n">
        <v>1.3</v>
      </c>
      <c r="F195" s="9"/>
      <c r="G195" s="9"/>
      <c r="H195" s="9" t="s">
        <v>923</v>
      </c>
      <c r="I195" s="9" t="s">
        <v>1338</v>
      </c>
      <c r="J195" s="9" t="s">
        <v>1347</v>
      </c>
      <c r="K195" s="9" t="s">
        <v>1340</v>
      </c>
      <c r="L195" s="9"/>
      <c r="M195" s="9" t="n">
        <f aca="false">IF(AND(ISNUMBER($E195),ISNUMBER($F195),ISNUMBER($G195)),IF(AND($F195&lt;=$E195,$E195&lt;=$G195),0,1),0)</f>
        <v>0</v>
      </c>
    </row>
    <row r="196" customFormat="false" ht="15" hidden="false" customHeight="false" outlineLevel="0" collapsed="false">
      <c r="A196" s="9" t="s">
        <v>1350</v>
      </c>
      <c r="B196" s="10" t="s">
        <v>1351</v>
      </c>
      <c r="C196" s="9" t="s">
        <v>59</v>
      </c>
      <c r="D196" s="9" t="s">
        <v>56</v>
      </c>
      <c r="E196" s="11" t="n">
        <v>10</v>
      </c>
      <c r="F196" s="11" t="n">
        <v>5</v>
      </c>
      <c r="G196" s="11" t="n">
        <v>20</v>
      </c>
      <c r="H196" s="9" t="s">
        <v>923</v>
      </c>
      <c r="I196" s="9" t="s">
        <v>1352</v>
      </c>
      <c r="J196" s="9" t="s">
        <v>888</v>
      </c>
      <c r="K196" s="9" t="s">
        <v>1353</v>
      </c>
      <c r="L196" s="9"/>
      <c r="M196" s="9" t="n">
        <f aca="false">IF(AND(ISNUMBER($E196),ISNUMBER($F196),ISNUMBER($G196)),IF(AND($F196&lt;=$E196,$E196&lt;=$G196),0,1),0)</f>
        <v>0</v>
      </c>
    </row>
    <row r="197" customFormat="false" ht="15" hidden="false" customHeight="false" outlineLevel="0" collapsed="false">
      <c r="A197" s="9" t="s">
        <v>1354</v>
      </c>
      <c r="B197" s="10" t="s">
        <v>1355</v>
      </c>
      <c r="C197" s="9" t="s">
        <v>59</v>
      </c>
      <c r="D197" s="10" t="s">
        <v>548</v>
      </c>
      <c r="E197" s="11" t="n">
        <v>0.6</v>
      </c>
      <c r="F197" s="11" t="n">
        <v>0.4</v>
      </c>
      <c r="G197" s="11" t="n">
        <v>1</v>
      </c>
      <c r="H197" s="9" t="s">
        <v>923</v>
      </c>
      <c r="I197" s="9" t="s">
        <v>59</v>
      </c>
      <c r="J197" s="9" t="s">
        <v>1356</v>
      </c>
      <c r="K197" s="9" t="s">
        <v>1357</v>
      </c>
      <c r="L197" s="9" t="s">
        <v>1358</v>
      </c>
      <c r="M197" s="9" t="n">
        <f aca="false">IF(AND(ISNUMBER($E197),ISNUMBER($F197),ISNUMBER($G197)),IF(AND($F197&lt;=$E197,$E197&lt;=$G197),0,1),0)</f>
        <v>0</v>
      </c>
    </row>
    <row r="198" customFormat="false" ht="15" hidden="false" customHeight="false" outlineLevel="0" collapsed="false">
      <c r="A198" s="9" t="s">
        <v>1359</v>
      </c>
      <c r="B198" s="10" t="s">
        <v>1360</v>
      </c>
      <c r="C198" s="9" t="s">
        <v>399</v>
      </c>
      <c r="D198" s="10" t="s">
        <v>108</v>
      </c>
      <c r="E198" s="11" t="n">
        <v>0.6</v>
      </c>
      <c r="F198" s="9"/>
      <c r="G198" s="9"/>
      <c r="H198" s="9" t="s">
        <v>923</v>
      </c>
      <c r="I198" s="9" t="s">
        <v>1361</v>
      </c>
      <c r="J198" s="9" t="s">
        <v>1362</v>
      </c>
      <c r="K198" s="9" t="s">
        <v>1363</v>
      </c>
      <c r="L198" s="9"/>
      <c r="M198" s="9" t="n">
        <f aca="false">IF(AND(ISNUMBER($E198),ISNUMBER($F198),ISNUMBER($G198)),IF(AND($F198&lt;=$E198,$E198&lt;=$G198),0,1),0)</f>
        <v>0</v>
      </c>
    </row>
    <row r="199" customFormat="false" ht="15" hidden="false" customHeight="false" outlineLevel="0" collapsed="false">
      <c r="A199" s="9" t="s">
        <v>1364</v>
      </c>
      <c r="B199" s="10" t="s">
        <v>1360</v>
      </c>
      <c r="C199" s="9" t="s">
        <v>411</v>
      </c>
      <c r="D199" s="10" t="s">
        <v>108</v>
      </c>
      <c r="E199" s="11" t="n">
        <v>0.35</v>
      </c>
      <c r="F199" s="9"/>
      <c r="G199" s="9"/>
      <c r="H199" s="9" t="s">
        <v>923</v>
      </c>
      <c r="I199" s="9" t="s">
        <v>1361</v>
      </c>
      <c r="J199" s="9" t="s">
        <v>1362</v>
      </c>
      <c r="K199" s="9" t="s">
        <v>1363</v>
      </c>
      <c r="L199" s="9"/>
      <c r="M199" s="9" t="n">
        <f aca="false">IF(AND(ISNUMBER($E199),ISNUMBER($F199),ISNUMBER($G199)),IF(AND($F199&lt;=$E199,$E199&lt;=$G199),0,1),0)</f>
        <v>0</v>
      </c>
    </row>
    <row r="200" customFormat="false" ht="15" hidden="false" customHeight="false" outlineLevel="0" collapsed="false">
      <c r="A200" s="9" t="s">
        <v>1365</v>
      </c>
      <c r="B200" s="10" t="s">
        <v>1360</v>
      </c>
      <c r="C200" s="9" t="s">
        <v>1000</v>
      </c>
      <c r="D200" s="10" t="s">
        <v>108</v>
      </c>
      <c r="E200" s="11" t="n">
        <v>0.15</v>
      </c>
      <c r="F200" s="9"/>
      <c r="G200" s="9"/>
      <c r="H200" s="9" t="s">
        <v>923</v>
      </c>
      <c r="I200" s="9" t="s">
        <v>1361</v>
      </c>
      <c r="J200" s="9" t="s">
        <v>1362</v>
      </c>
      <c r="K200" s="9" t="s">
        <v>1363</v>
      </c>
      <c r="L200" s="9"/>
      <c r="M200" s="9" t="n">
        <f aca="false">IF(AND(ISNUMBER($E200),ISNUMBER($F200),ISNUMBER($G200)),IF(AND($F200&lt;=$E200,$E200&lt;=$G200),0,1),0)</f>
        <v>0</v>
      </c>
    </row>
    <row r="201" customFormat="false" ht="15" hidden="false" customHeight="false" outlineLevel="0" collapsed="false">
      <c r="A201" s="9" t="s">
        <v>1366</v>
      </c>
      <c r="B201" s="10" t="s">
        <v>1360</v>
      </c>
      <c r="C201" s="9" t="s">
        <v>1002</v>
      </c>
      <c r="D201" s="10" t="s">
        <v>108</v>
      </c>
      <c r="E201" s="11" t="n">
        <v>0.05</v>
      </c>
      <c r="F201" s="9"/>
      <c r="G201" s="9"/>
      <c r="H201" s="9" t="s">
        <v>923</v>
      </c>
      <c r="I201" s="9" t="s">
        <v>1361</v>
      </c>
      <c r="J201" s="9" t="s">
        <v>1362</v>
      </c>
      <c r="K201" s="9" t="s">
        <v>1363</v>
      </c>
      <c r="L201" s="9"/>
      <c r="M201" s="9" t="n">
        <f aca="false">IF(AND(ISNUMBER($E201),ISNUMBER($F201),ISNUMBER($G201)),IF(AND($F201&lt;=$E201,$E201&lt;=$G201),0,1),0)</f>
        <v>0</v>
      </c>
    </row>
    <row r="202" customFormat="false" ht="15" hidden="false" customHeight="false" outlineLevel="0" collapsed="false">
      <c r="A202" s="9" t="s">
        <v>1367</v>
      </c>
      <c r="B202" s="10" t="s">
        <v>1360</v>
      </c>
      <c r="C202" s="9" t="s">
        <v>1004</v>
      </c>
      <c r="D202" s="10" t="s">
        <v>108</v>
      </c>
      <c r="E202" s="11" t="n">
        <v>0</v>
      </c>
      <c r="F202" s="9"/>
      <c r="G202" s="9"/>
      <c r="H202" s="9" t="s">
        <v>923</v>
      </c>
      <c r="I202" s="9" t="s">
        <v>1361</v>
      </c>
      <c r="J202" s="9" t="s">
        <v>1362</v>
      </c>
      <c r="K202" s="9" t="s">
        <v>1363</v>
      </c>
      <c r="L202" s="9"/>
      <c r="M202" s="9" t="n">
        <f aca="false">IF(AND(ISNUMBER($E202),ISNUMBER($F202),ISNUMBER($G202)),IF(AND($F202&lt;=$E202,$E202&lt;=$G202),0,1),0)</f>
        <v>0</v>
      </c>
    </row>
    <row r="203" customFormat="false" ht="15" hidden="false" customHeight="false" outlineLevel="0" collapsed="false">
      <c r="A203" s="9" t="s">
        <v>1368</v>
      </c>
      <c r="B203" s="10" t="s">
        <v>1360</v>
      </c>
      <c r="C203" s="9" t="s">
        <v>1006</v>
      </c>
      <c r="D203" s="10" t="s">
        <v>108</v>
      </c>
      <c r="E203" s="11" t="n">
        <v>0</v>
      </c>
      <c r="F203" s="9"/>
      <c r="G203" s="9"/>
      <c r="H203" s="9" t="s">
        <v>923</v>
      </c>
      <c r="I203" s="9" t="s">
        <v>1361</v>
      </c>
      <c r="J203" s="9" t="s">
        <v>1362</v>
      </c>
      <c r="K203" s="9" t="s">
        <v>1363</v>
      </c>
      <c r="L203" s="9"/>
      <c r="M203" s="9" t="n">
        <f aca="false">IF(AND(ISNUMBER($E203),ISNUMBER($F203),ISNUMBER($G203)),IF(AND($F203&lt;=$E203,$E203&lt;=$G203),0,1),0)</f>
        <v>0</v>
      </c>
    </row>
    <row r="204" customFormat="false" ht="15" hidden="false" customHeight="false" outlineLevel="0" collapsed="false">
      <c r="A204" s="9" t="s">
        <v>1369</v>
      </c>
      <c r="B204" s="10" t="s">
        <v>1370</v>
      </c>
      <c r="C204" s="9" t="s">
        <v>399</v>
      </c>
      <c r="D204" s="10" t="s">
        <v>108</v>
      </c>
      <c r="E204" s="11" t="n">
        <v>0.4</v>
      </c>
      <c r="F204" s="9"/>
      <c r="G204" s="9"/>
      <c r="H204" s="9" t="s">
        <v>923</v>
      </c>
      <c r="I204" s="9" t="s">
        <v>1361</v>
      </c>
      <c r="J204" s="9" t="s">
        <v>1362</v>
      </c>
      <c r="K204" s="9" t="s">
        <v>1371</v>
      </c>
      <c r="L204" s="9" t="s">
        <v>1372</v>
      </c>
      <c r="M204" s="9" t="n">
        <f aca="false">IF(AND(ISNUMBER($E204),ISNUMBER($F204),ISNUMBER($G204)),IF(AND($F204&lt;=$E204,$E204&lt;=$G204),0,1),0)</f>
        <v>0</v>
      </c>
    </row>
    <row r="205" customFormat="false" ht="15" hidden="false" customHeight="false" outlineLevel="0" collapsed="false">
      <c r="A205" s="9" t="s">
        <v>1373</v>
      </c>
      <c r="B205" s="10" t="s">
        <v>1370</v>
      </c>
      <c r="C205" s="9" t="s">
        <v>411</v>
      </c>
      <c r="D205" s="10" t="s">
        <v>108</v>
      </c>
      <c r="E205" s="11" t="n">
        <v>0.55</v>
      </c>
      <c r="F205" s="9"/>
      <c r="G205" s="9"/>
      <c r="H205" s="9" t="s">
        <v>923</v>
      </c>
      <c r="I205" s="9" t="s">
        <v>1361</v>
      </c>
      <c r="J205" s="9" t="s">
        <v>1362</v>
      </c>
      <c r="K205" s="9" t="s">
        <v>1371</v>
      </c>
      <c r="L205" s="9"/>
      <c r="M205" s="9" t="n">
        <f aca="false">IF(AND(ISNUMBER($E205),ISNUMBER($F205),ISNUMBER($G205)),IF(AND($F205&lt;=$E205,$E205&lt;=$G205),0,1),0)</f>
        <v>0</v>
      </c>
    </row>
    <row r="206" customFormat="false" ht="15" hidden="false" customHeight="false" outlineLevel="0" collapsed="false">
      <c r="A206" s="9" t="s">
        <v>1374</v>
      </c>
      <c r="B206" s="10" t="s">
        <v>1370</v>
      </c>
      <c r="C206" s="9" t="s">
        <v>1000</v>
      </c>
      <c r="D206" s="10" t="s">
        <v>108</v>
      </c>
      <c r="E206" s="11" t="n">
        <v>0.45</v>
      </c>
      <c r="F206" s="9"/>
      <c r="G206" s="9"/>
      <c r="H206" s="9" t="s">
        <v>923</v>
      </c>
      <c r="I206" s="9" t="s">
        <v>1361</v>
      </c>
      <c r="J206" s="9" t="s">
        <v>1362</v>
      </c>
      <c r="K206" s="9" t="s">
        <v>1371</v>
      </c>
      <c r="L206" s="9"/>
      <c r="M206" s="9" t="n">
        <f aca="false">IF(AND(ISNUMBER($E206),ISNUMBER($F206),ISNUMBER($G206)),IF(AND($F206&lt;=$E206,$E206&lt;=$G206),0,1),0)</f>
        <v>0</v>
      </c>
    </row>
    <row r="207" customFormat="false" ht="15" hidden="false" customHeight="false" outlineLevel="0" collapsed="false">
      <c r="A207" s="9" t="s">
        <v>1375</v>
      </c>
      <c r="B207" s="10" t="s">
        <v>1370</v>
      </c>
      <c r="C207" s="9" t="s">
        <v>1002</v>
      </c>
      <c r="D207" s="10" t="s">
        <v>108</v>
      </c>
      <c r="E207" s="11" t="n">
        <v>0.3</v>
      </c>
      <c r="F207" s="9"/>
      <c r="G207" s="9"/>
      <c r="H207" s="9" t="s">
        <v>923</v>
      </c>
      <c r="I207" s="9" t="s">
        <v>1361</v>
      </c>
      <c r="J207" s="9" t="s">
        <v>1362</v>
      </c>
      <c r="K207" s="9" t="s">
        <v>1371</v>
      </c>
      <c r="L207" s="9"/>
      <c r="M207" s="9" t="n">
        <f aca="false">IF(AND(ISNUMBER($E207),ISNUMBER($F207),ISNUMBER($G207)),IF(AND($F207&lt;=$E207,$E207&lt;=$G207),0,1),0)</f>
        <v>0</v>
      </c>
    </row>
    <row r="208" customFormat="false" ht="15" hidden="false" customHeight="false" outlineLevel="0" collapsed="false">
      <c r="A208" s="9" t="s">
        <v>1376</v>
      </c>
      <c r="B208" s="10" t="s">
        <v>1370</v>
      </c>
      <c r="C208" s="9" t="s">
        <v>1004</v>
      </c>
      <c r="D208" s="10" t="s">
        <v>108</v>
      </c>
      <c r="E208" s="11" t="n">
        <v>0.2</v>
      </c>
      <c r="F208" s="9"/>
      <c r="G208" s="9"/>
      <c r="H208" s="9" t="s">
        <v>923</v>
      </c>
      <c r="I208" s="9" t="s">
        <v>1361</v>
      </c>
      <c r="J208" s="9" t="s">
        <v>1362</v>
      </c>
      <c r="K208" s="9" t="s">
        <v>1371</v>
      </c>
      <c r="L208" s="9"/>
      <c r="M208" s="9" t="n">
        <f aca="false">IF(AND(ISNUMBER($E208),ISNUMBER($F208),ISNUMBER($G208)),IF(AND($F208&lt;=$E208,$E208&lt;=$G208),0,1),0)</f>
        <v>0</v>
      </c>
    </row>
    <row r="209" customFormat="false" ht="15" hidden="false" customHeight="false" outlineLevel="0" collapsed="false">
      <c r="A209" s="9" t="s">
        <v>1377</v>
      </c>
      <c r="B209" s="10" t="s">
        <v>1370</v>
      </c>
      <c r="C209" s="9" t="s">
        <v>1006</v>
      </c>
      <c r="D209" s="10" t="s">
        <v>108</v>
      </c>
      <c r="E209" s="11" t="n">
        <v>0.1</v>
      </c>
      <c r="F209" s="9"/>
      <c r="G209" s="9"/>
      <c r="H209" s="9" t="s">
        <v>923</v>
      </c>
      <c r="I209" s="9" t="s">
        <v>1361</v>
      </c>
      <c r="J209" s="9" t="s">
        <v>1362</v>
      </c>
      <c r="K209" s="9" t="s">
        <v>1371</v>
      </c>
      <c r="L209" s="9"/>
      <c r="M209" s="9" t="n">
        <f aca="false">IF(AND(ISNUMBER($E209),ISNUMBER($F209),ISNUMBER($G209)),IF(AND($F209&lt;=$E209,$E209&lt;=$G209),0,1),0)</f>
        <v>0</v>
      </c>
    </row>
    <row r="210" customFormat="false" ht="15" hidden="false" customHeight="false" outlineLevel="0" collapsed="false">
      <c r="A210" s="9" t="s">
        <v>1378</v>
      </c>
      <c r="B210" s="10" t="s">
        <v>1379</v>
      </c>
      <c r="C210" s="9" t="s">
        <v>399</v>
      </c>
      <c r="D210" s="10" t="s">
        <v>108</v>
      </c>
      <c r="E210" s="11" t="n">
        <v>0</v>
      </c>
      <c r="F210" s="9"/>
      <c r="G210" s="9"/>
      <c r="H210" s="9" t="s">
        <v>923</v>
      </c>
      <c r="I210" s="9" t="s">
        <v>1361</v>
      </c>
      <c r="J210" s="9" t="s">
        <v>1362</v>
      </c>
      <c r="K210" s="9" t="s">
        <v>1380</v>
      </c>
      <c r="L210" s="9"/>
      <c r="M210" s="9" t="n">
        <f aca="false">IF(AND(ISNUMBER($E210),ISNUMBER($F210),ISNUMBER($G210)),IF(AND($F210&lt;=$E210,$E210&lt;=$G210),0,1),0)</f>
        <v>0</v>
      </c>
    </row>
    <row r="211" customFormat="false" ht="15" hidden="false" customHeight="false" outlineLevel="0" collapsed="false">
      <c r="A211" s="9" t="s">
        <v>1381</v>
      </c>
      <c r="B211" s="10" t="s">
        <v>1379</v>
      </c>
      <c r="C211" s="9" t="s">
        <v>411</v>
      </c>
      <c r="D211" s="10" t="s">
        <v>108</v>
      </c>
      <c r="E211" s="11" t="n">
        <v>0.05</v>
      </c>
      <c r="F211" s="9"/>
      <c r="G211" s="9"/>
      <c r="H211" s="9" t="s">
        <v>923</v>
      </c>
      <c r="I211" s="9" t="s">
        <v>1361</v>
      </c>
      <c r="J211" s="9" t="s">
        <v>1362</v>
      </c>
      <c r="K211" s="9" t="s">
        <v>1380</v>
      </c>
      <c r="L211" s="9"/>
      <c r="M211" s="9" t="n">
        <f aca="false">IF(AND(ISNUMBER($E211),ISNUMBER($F211),ISNUMBER($G211)),IF(AND($F211&lt;=$E211,$E211&lt;=$G211),0,1),0)</f>
        <v>0</v>
      </c>
    </row>
    <row r="212" customFormat="false" ht="15" hidden="false" customHeight="false" outlineLevel="0" collapsed="false">
      <c r="A212" s="9" t="s">
        <v>1382</v>
      </c>
      <c r="B212" s="10" t="s">
        <v>1379</v>
      </c>
      <c r="C212" s="9" t="s">
        <v>1000</v>
      </c>
      <c r="D212" s="10" t="s">
        <v>108</v>
      </c>
      <c r="E212" s="11" t="n">
        <v>0.3</v>
      </c>
      <c r="F212" s="9"/>
      <c r="G212" s="9"/>
      <c r="H212" s="9" t="s">
        <v>923</v>
      </c>
      <c r="I212" s="9" t="s">
        <v>1361</v>
      </c>
      <c r="J212" s="9" t="s">
        <v>1362</v>
      </c>
      <c r="K212" s="9" t="s">
        <v>1380</v>
      </c>
      <c r="L212" s="9"/>
      <c r="M212" s="9" t="n">
        <f aca="false">IF(AND(ISNUMBER($E212),ISNUMBER($F212),ISNUMBER($G212)),IF(AND($F212&lt;=$E212,$E212&lt;=$G212),0,1),0)</f>
        <v>0</v>
      </c>
    </row>
    <row r="213" customFormat="false" ht="15" hidden="false" customHeight="false" outlineLevel="0" collapsed="false">
      <c r="A213" s="9" t="s">
        <v>1383</v>
      </c>
      <c r="B213" s="10" t="s">
        <v>1379</v>
      </c>
      <c r="C213" s="9" t="s">
        <v>1002</v>
      </c>
      <c r="D213" s="10" t="s">
        <v>108</v>
      </c>
      <c r="E213" s="11" t="n">
        <v>0.45</v>
      </c>
      <c r="F213" s="9"/>
      <c r="G213" s="9"/>
      <c r="H213" s="9" t="s">
        <v>923</v>
      </c>
      <c r="I213" s="9" t="s">
        <v>1361</v>
      </c>
      <c r="J213" s="9" t="s">
        <v>1362</v>
      </c>
      <c r="K213" s="9" t="s">
        <v>1380</v>
      </c>
      <c r="L213" s="9"/>
      <c r="M213" s="9" t="n">
        <f aca="false">IF(AND(ISNUMBER($E213),ISNUMBER($F213),ISNUMBER($G213)),IF(AND($F213&lt;=$E213,$E213&lt;=$G213),0,1),0)</f>
        <v>0</v>
      </c>
    </row>
    <row r="214" customFormat="false" ht="15" hidden="false" customHeight="false" outlineLevel="0" collapsed="false">
      <c r="A214" s="9" t="s">
        <v>1384</v>
      </c>
      <c r="B214" s="10" t="s">
        <v>1379</v>
      </c>
      <c r="C214" s="9" t="s">
        <v>1004</v>
      </c>
      <c r="D214" s="10" t="s">
        <v>108</v>
      </c>
      <c r="E214" s="11" t="n">
        <v>0.5</v>
      </c>
      <c r="F214" s="9"/>
      <c r="G214" s="9"/>
      <c r="H214" s="9" t="s">
        <v>923</v>
      </c>
      <c r="I214" s="9" t="s">
        <v>1361</v>
      </c>
      <c r="J214" s="9" t="s">
        <v>1362</v>
      </c>
      <c r="K214" s="9" t="s">
        <v>1380</v>
      </c>
      <c r="L214" s="9"/>
      <c r="M214" s="9" t="n">
        <f aca="false">IF(AND(ISNUMBER($E214),ISNUMBER($F214),ISNUMBER($G214)),IF(AND($F214&lt;=$E214,$E214&lt;=$G214),0,1),0)</f>
        <v>0</v>
      </c>
    </row>
    <row r="215" customFormat="false" ht="15" hidden="false" customHeight="false" outlineLevel="0" collapsed="false">
      <c r="A215" s="9" t="s">
        <v>1385</v>
      </c>
      <c r="B215" s="10" t="s">
        <v>1379</v>
      </c>
      <c r="C215" s="9" t="s">
        <v>1006</v>
      </c>
      <c r="D215" s="10" t="s">
        <v>108</v>
      </c>
      <c r="E215" s="11" t="n">
        <v>0.45</v>
      </c>
      <c r="F215" s="9"/>
      <c r="G215" s="9"/>
      <c r="H215" s="9" t="s">
        <v>923</v>
      </c>
      <c r="I215" s="9" t="s">
        <v>1361</v>
      </c>
      <c r="J215" s="9" t="s">
        <v>1362</v>
      </c>
      <c r="K215" s="9" t="s">
        <v>1380</v>
      </c>
      <c r="L215" s="9"/>
      <c r="M215" s="9" t="n">
        <f aca="false">IF(AND(ISNUMBER($E215),ISNUMBER($F215),ISNUMBER($G215)),IF(AND($F215&lt;=$E215,$E215&lt;=$G215),0,1),0)</f>
        <v>0</v>
      </c>
    </row>
    <row r="216" customFormat="false" ht="15" hidden="false" customHeight="false" outlineLevel="0" collapsed="false">
      <c r="A216" s="9" t="s">
        <v>1386</v>
      </c>
      <c r="B216" s="10" t="s">
        <v>1387</v>
      </c>
      <c r="C216" s="9" t="s">
        <v>399</v>
      </c>
      <c r="D216" s="10" t="s">
        <v>108</v>
      </c>
      <c r="E216" s="11" t="n">
        <v>0</v>
      </c>
      <c r="F216" s="9"/>
      <c r="G216" s="9"/>
      <c r="H216" s="9" t="s">
        <v>923</v>
      </c>
      <c r="I216" s="9" t="s">
        <v>1361</v>
      </c>
      <c r="J216" s="9" t="s">
        <v>1362</v>
      </c>
      <c r="K216" s="9" t="s">
        <v>1388</v>
      </c>
      <c r="L216" s="9"/>
      <c r="M216" s="9" t="n">
        <f aca="false">IF(AND(ISNUMBER($E216),ISNUMBER($F216),ISNUMBER($G216)),IF(AND($F216&lt;=$E216,$E216&lt;=$G216),0,1),0)</f>
        <v>0</v>
      </c>
    </row>
    <row r="217" customFormat="false" ht="15" hidden="false" customHeight="false" outlineLevel="0" collapsed="false">
      <c r="A217" s="9" t="s">
        <v>1389</v>
      </c>
      <c r="B217" s="10" t="s">
        <v>1387</v>
      </c>
      <c r="C217" s="9" t="s">
        <v>411</v>
      </c>
      <c r="D217" s="10" t="s">
        <v>108</v>
      </c>
      <c r="E217" s="11" t="n">
        <v>0</v>
      </c>
      <c r="F217" s="9"/>
      <c r="G217" s="9"/>
      <c r="H217" s="9" t="s">
        <v>923</v>
      </c>
      <c r="I217" s="9" t="s">
        <v>1361</v>
      </c>
      <c r="J217" s="9" t="s">
        <v>1362</v>
      </c>
      <c r="K217" s="9" t="s">
        <v>1388</v>
      </c>
      <c r="L217" s="9"/>
      <c r="M217" s="9" t="n">
        <f aca="false">IF(AND(ISNUMBER($E217),ISNUMBER($F217),ISNUMBER($G217)),IF(AND($F217&lt;=$E217,$E217&lt;=$G217),0,1),0)</f>
        <v>0</v>
      </c>
    </row>
    <row r="218" customFormat="false" ht="15" hidden="false" customHeight="false" outlineLevel="0" collapsed="false">
      <c r="A218" s="9" t="s">
        <v>1390</v>
      </c>
      <c r="B218" s="10" t="s">
        <v>1387</v>
      </c>
      <c r="C218" s="9" t="s">
        <v>1000</v>
      </c>
      <c r="D218" s="10" t="s">
        <v>108</v>
      </c>
      <c r="E218" s="11" t="n">
        <v>0</v>
      </c>
      <c r="F218" s="9"/>
      <c r="G218" s="9"/>
      <c r="H218" s="9" t="s">
        <v>923</v>
      </c>
      <c r="I218" s="9" t="s">
        <v>1361</v>
      </c>
      <c r="J218" s="9" t="s">
        <v>1362</v>
      </c>
      <c r="K218" s="9" t="s">
        <v>1388</v>
      </c>
      <c r="L218" s="9"/>
      <c r="M218" s="9" t="n">
        <f aca="false">IF(AND(ISNUMBER($E218),ISNUMBER($F218),ISNUMBER($G218)),IF(AND($F218&lt;=$E218,$E218&lt;=$G218),0,1),0)</f>
        <v>0</v>
      </c>
    </row>
    <row r="219" customFormat="false" ht="15" hidden="false" customHeight="false" outlineLevel="0" collapsed="false">
      <c r="A219" s="9" t="s">
        <v>1391</v>
      </c>
      <c r="B219" s="10" t="s">
        <v>1387</v>
      </c>
      <c r="C219" s="9" t="s">
        <v>1002</v>
      </c>
      <c r="D219" s="10" t="s">
        <v>108</v>
      </c>
      <c r="E219" s="11" t="n">
        <v>0.05</v>
      </c>
      <c r="F219" s="9"/>
      <c r="G219" s="9"/>
      <c r="H219" s="9" t="s">
        <v>923</v>
      </c>
      <c r="I219" s="9" t="s">
        <v>1361</v>
      </c>
      <c r="J219" s="9" t="s">
        <v>1362</v>
      </c>
      <c r="K219" s="9" t="s">
        <v>1388</v>
      </c>
      <c r="L219" s="9"/>
      <c r="M219" s="9" t="n">
        <f aca="false">IF(AND(ISNUMBER($E219),ISNUMBER($F219),ISNUMBER($G219)),IF(AND($F219&lt;=$E219,$E219&lt;=$G219),0,1),0)</f>
        <v>0</v>
      </c>
    </row>
    <row r="220" customFormat="false" ht="15" hidden="false" customHeight="false" outlineLevel="0" collapsed="false">
      <c r="A220" s="9" t="s">
        <v>1392</v>
      </c>
      <c r="B220" s="10" t="s">
        <v>1387</v>
      </c>
      <c r="C220" s="9" t="s">
        <v>1004</v>
      </c>
      <c r="D220" s="10" t="s">
        <v>108</v>
      </c>
      <c r="E220" s="11" t="n">
        <v>0.1</v>
      </c>
      <c r="F220" s="9"/>
      <c r="G220" s="9"/>
      <c r="H220" s="9" t="s">
        <v>923</v>
      </c>
      <c r="I220" s="9" t="s">
        <v>1361</v>
      </c>
      <c r="J220" s="9" t="s">
        <v>1362</v>
      </c>
      <c r="K220" s="9" t="s">
        <v>1388</v>
      </c>
      <c r="L220" s="9"/>
      <c r="M220" s="9" t="n">
        <f aca="false">IF(AND(ISNUMBER($E220),ISNUMBER($F220),ISNUMBER($G220)),IF(AND($F220&lt;=$E220,$E220&lt;=$G220),0,1),0)</f>
        <v>0</v>
      </c>
    </row>
    <row r="221" customFormat="false" ht="15" hidden="false" customHeight="false" outlineLevel="0" collapsed="false">
      <c r="A221" s="9" t="s">
        <v>1393</v>
      </c>
      <c r="B221" s="10" t="s">
        <v>1387</v>
      </c>
      <c r="C221" s="9" t="s">
        <v>1006</v>
      </c>
      <c r="D221" s="10" t="s">
        <v>108</v>
      </c>
      <c r="E221" s="11" t="n">
        <v>0.2</v>
      </c>
      <c r="F221" s="9"/>
      <c r="G221" s="9"/>
      <c r="H221" s="9" t="s">
        <v>923</v>
      </c>
      <c r="I221" s="9" t="s">
        <v>1361</v>
      </c>
      <c r="J221" s="9" t="s">
        <v>1362</v>
      </c>
      <c r="K221" s="9" t="s">
        <v>1388</v>
      </c>
      <c r="L221" s="9"/>
      <c r="M221" s="9" t="n">
        <f aca="false">IF(AND(ISNUMBER($E221),ISNUMBER($F221),ISNUMBER($G221)),IF(AND($F221&lt;=$E221,$E221&lt;=$G221),0,1),0)</f>
        <v>0</v>
      </c>
    </row>
    <row r="222" customFormat="false" ht="15" hidden="false" customHeight="false" outlineLevel="0" collapsed="false">
      <c r="A222" s="9" t="s">
        <v>1394</v>
      </c>
      <c r="B222" s="10" t="s">
        <v>1395</v>
      </c>
      <c r="C222" s="9" t="s">
        <v>59</v>
      </c>
      <c r="D222" s="9" t="s">
        <v>1396</v>
      </c>
      <c r="E222" s="11" t="n">
        <v>12</v>
      </c>
      <c r="F222" s="11" t="n">
        <v>8</v>
      </c>
      <c r="G222" s="11" t="n">
        <v>20</v>
      </c>
      <c r="H222" s="9" t="s">
        <v>939</v>
      </c>
      <c r="I222" s="9" t="s">
        <v>1397</v>
      </c>
      <c r="J222" s="9" t="s">
        <v>1398</v>
      </c>
      <c r="K222" s="9" t="s">
        <v>1399</v>
      </c>
      <c r="L222" s="10" t="s">
        <v>1400</v>
      </c>
      <c r="M222" s="9" t="n">
        <f aca="false">IF(AND(ISNUMBER($E222),ISNUMBER($F222),ISNUMBER($G222)),IF(AND($F222&lt;=$E222,$E222&lt;=$G222),0,1),0)</f>
        <v>0</v>
      </c>
    </row>
    <row r="223" customFormat="false" ht="15" hidden="false" customHeight="false" outlineLevel="0" collapsed="false">
      <c r="A223" s="9" t="s">
        <v>1401</v>
      </c>
      <c r="B223" s="9" t="s">
        <v>1402</v>
      </c>
      <c r="C223" s="9" t="s">
        <v>59</v>
      </c>
      <c r="D223" s="9" t="s">
        <v>56</v>
      </c>
      <c r="E223" s="11" t="n">
        <v>1.41</v>
      </c>
      <c r="F223" s="11" t="n">
        <v>0</v>
      </c>
      <c r="G223" s="11" t="n">
        <v>2.91</v>
      </c>
      <c r="H223" s="9" t="s">
        <v>923</v>
      </c>
      <c r="I223" s="9" t="s">
        <v>1403</v>
      </c>
      <c r="J223" s="9" t="s">
        <v>1404</v>
      </c>
      <c r="K223" s="9" t="s">
        <v>1405</v>
      </c>
      <c r="L223" s="10" t="s">
        <v>1406</v>
      </c>
      <c r="M223" s="9" t="n">
        <f aca="false">IF(AND(ISNUMBER($E223),ISNUMBER($F223),ISNUMBER($G223)),IF(AND($F223&lt;=$E223,$E223&lt;=$G223),0,1),0)</f>
        <v>0</v>
      </c>
    </row>
    <row r="224" customFormat="false" ht="15" hidden="false" customHeight="false" outlineLevel="0" collapsed="false">
      <c r="A224" s="9" t="s">
        <v>1407</v>
      </c>
      <c r="B224" s="10" t="s">
        <v>1408</v>
      </c>
      <c r="C224" s="9" t="s">
        <v>59</v>
      </c>
      <c r="D224" s="10" t="s">
        <v>108</v>
      </c>
      <c r="E224" s="11" t="n">
        <v>0.1</v>
      </c>
      <c r="F224" s="9"/>
      <c r="G224" s="9"/>
      <c r="H224" s="9" t="s">
        <v>923</v>
      </c>
      <c r="I224" s="9" t="s">
        <v>59</v>
      </c>
      <c r="J224" s="9" t="s">
        <v>888</v>
      </c>
      <c r="K224" s="9" t="s">
        <v>1409</v>
      </c>
      <c r="L224" s="9"/>
      <c r="M224" s="9" t="n">
        <f aca="false">IF(AND(ISNUMBER($E224),ISNUMBER($F224),ISNUMBER($G224)),IF(AND($F224&lt;=$E224,$E224&lt;=$G224),0,1),0)</f>
        <v>0</v>
      </c>
    </row>
    <row r="225" customFormat="false" ht="15" hidden="false" customHeight="false" outlineLevel="0" collapsed="false">
      <c r="A225" s="9" t="s">
        <v>1410</v>
      </c>
      <c r="B225" s="10" t="s">
        <v>1411</v>
      </c>
      <c r="C225" s="9" t="s">
        <v>59</v>
      </c>
      <c r="D225" s="10" t="s">
        <v>108</v>
      </c>
      <c r="E225" s="11" t="n">
        <v>0.3</v>
      </c>
      <c r="F225" s="9"/>
      <c r="G225" s="9"/>
      <c r="H225" s="9" t="s">
        <v>923</v>
      </c>
      <c r="I225" s="9" t="s">
        <v>1412</v>
      </c>
      <c r="J225" s="9" t="s">
        <v>888</v>
      </c>
      <c r="K225" s="9" t="s">
        <v>1413</v>
      </c>
      <c r="L225" s="9" t="s">
        <v>1414</v>
      </c>
      <c r="M225" s="9" t="n">
        <f aca="false">IF(AND(ISNUMBER($E225),ISNUMBER($F225),ISNUMBER($G225)),IF(AND($F225&lt;=$E225,$E225&lt;=$G225),0,1),0)</f>
        <v>0</v>
      </c>
    </row>
    <row r="226" customFormat="false" ht="15" hidden="false" customHeight="false" outlineLevel="0" collapsed="false">
      <c r="A226" s="9" t="s">
        <v>1415</v>
      </c>
      <c r="B226" s="10" t="s">
        <v>1416</v>
      </c>
      <c r="C226" s="9" t="s">
        <v>59</v>
      </c>
      <c r="D226" s="10" t="s">
        <v>548</v>
      </c>
      <c r="E226" s="11" t="n">
        <v>1.05555555555556</v>
      </c>
      <c r="F226" s="11" t="n">
        <v>0.844444444444444</v>
      </c>
      <c r="G226" s="11" t="n">
        <v>1.26666666666667</v>
      </c>
      <c r="H226" s="9" t="s">
        <v>923</v>
      </c>
      <c r="I226" s="9" t="s">
        <v>1417</v>
      </c>
      <c r="J226" s="9" t="s">
        <v>888</v>
      </c>
      <c r="K226" s="9" t="s">
        <v>1418</v>
      </c>
      <c r="L226" s="10" t="s">
        <v>1419</v>
      </c>
      <c r="M226" s="9" t="n">
        <f aca="false">IF(AND(ISNUMBER($E226),ISNUMBER($F226),ISNUMBER($G226)),IF(AND($F226&lt;=$E226,$E226&lt;=$G226),0,1),0)</f>
        <v>0</v>
      </c>
    </row>
    <row r="227" customFormat="false" ht="15" hidden="false" customHeight="false" outlineLevel="0" collapsed="false">
      <c r="A227" s="9" t="s">
        <v>1420</v>
      </c>
      <c r="B227" s="10" t="s">
        <v>1421</v>
      </c>
      <c r="C227" s="9" t="s">
        <v>59</v>
      </c>
      <c r="D227" s="10" t="s">
        <v>548</v>
      </c>
      <c r="E227" s="11" t="n">
        <v>0.857142857142857</v>
      </c>
      <c r="F227" s="11" t="n">
        <v>0.8</v>
      </c>
      <c r="G227" s="11" t="n">
        <v>0.942857142857143</v>
      </c>
      <c r="H227" s="9" t="s">
        <v>923</v>
      </c>
      <c r="I227" s="9" t="s">
        <v>1417</v>
      </c>
      <c r="J227" s="9" t="s">
        <v>888</v>
      </c>
      <c r="K227" s="9" t="s">
        <v>1422</v>
      </c>
      <c r="L227" s="10" t="s">
        <v>1423</v>
      </c>
      <c r="M227" s="9" t="n">
        <f aca="false">IF(AND(ISNUMBER($E227),ISNUMBER($F227),ISNUMBER($G227)),IF(AND($F227&lt;=$E227,$E227&lt;=$G227),0,1),0)</f>
        <v>0</v>
      </c>
    </row>
    <row r="228" customFormat="false" ht="15" hidden="false" customHeight="false" outlineLevel="0" collapsed="false">
      <c r="A228" s="9" t="s">
        <v>1424</v>
      </c>
      <c r="B228" s="9" t="s">
        <v>1425</v>
      </c>
      <c r="C228" s="9" t="s">
        <v>59</v>
      </c>
      <c r="D228" s="10" t="s">
        <v>108</v>
      </c>
      <c r="E228" s="11" t="n">
        <v>0.008</v>
      </c>
      <c r="F228" s="11" t="n">
        <v>0.005</v>
      </c>
      <c r="G228" s="11" t="n">
        <v>0.01</v>
      </c>
      <c r="H228" s="9" t="s">
        <v>923</v>
      </c>
      <c r="I228" s="9" t="s">
        <v>1426</v>
      </c>
      <c r="J228" s="9" t="s">
        <v>888</v>
      </c>
      <c r="K228" s="9" t="s">
        <v>1427</v>
      </c>
      <c r="L228" s="9" t="s">
        <v>1428</v>
      </c>
      <c r="M228" s="9" t="n">
        <f aca="false">IF(AND(ISNUMBER($E228),ISNUMBER($F228),ISNUMBER($G228)),IF(AND($F228&lt;=$E228,$E228&lt;=$G228),0,1),0)</f>
        <v>0</v>
      </c>
    </row>
    <row r="229" customFormat="false" ht="15" hidden="false" customHeight="false" outlineLevel="0" collapsed="false">
      <c r="A229" s="9" t="s">
        <v>1429</v>
      </c>
      <c r="B229" s="9" t="s">
        <v>1430</v>
      </c>
      <c r="C229" s="9" t="s">
        <v>59</v>
      </c>
      <c r="D229" s="9" t="s">
        <v>115</v>
      </c>
      <c r="E229" s="11" t="n">
        <v>5</v>
      </c>
      <c r="F229" s="11" t="n">
        <v>3.8</v>
      </c>
      <c r="G229" s="11" t="n">
        <v>6.1</v>
      </c>
      <c r="H229" s="9" t="s">
        <v>923</v>
      </c>
      <c r="I229" s="9" t="s">
        <v>1431</v>
      </c>
      <c r="J229" s="9" t="s">
        <v>888</v>
      </c>
      <c r="K229" s="9" t="s">
        <v>1432</v>
      </c>
      <c r="L229" s="9" t="s">
        <v>1433</v>
      </c>
      <c r="M229" s="9" t="n">
        <f aca="false">IF(AND(ISNUMBER($E229),ISNUMBER($F229),ISNUMBER($G229)),IF(AND($F229&lt;=$E229,$E229&lt;=$G229),0,1),0)</f>
        <v>0</v>
      </c>
    </row>
    <row r="230" customFormat="false" ht="15" hidden="false" customHeight="false" outlineLevel="0" collapsed="false">
      <c r="A230" s="9" t="s">
        <v>1434</v>
      </c>
      <c r="B230" s="10" t="s">
        <v>1435</v>
      </c>
      <c r="C230" s="9" t="s">
        <v>59</v>
      </c>
      <c r="D230" s="10" t="s">
        <v>1436</v>
      </c>
      <c r="E230" s="11" t="n">
        <v>525600</v>
      </c>
      <c r="F230" s="11" t="n">
        <v>525600</v>
      </c>
      <c r="G230" s="11" t="n">
        <v>525600</v>
      </c>
      <c r="H230" s="9" t="s">
        <v>887</v>
      </c>
      <c r="I230" s="9" t="s">
        <v>1417</v>
      </c>
      <c r="J230" s="9" t="s">
        <v>888</v>
      </c>
      <c r="K230" s="9" t="s">
        <v>1437</v>
      </c>
      <c r="L230" s="10" t="s">
        <v>1438</v>
      </c>
      <c r="M230" s="9" t="n">
        <f aca="false">IF(AND(ISNUMBER($E230),ISNUMBER($F230),ISNUMBER($G230)),IF(AND($F230&lt;=$E230,$E230&lt;=$G230),0,1),0)</f>
        <v>0</v>
      </c>
    </row>
    <row r="231" customFormat="false" ht="15" hidden="false" customHeight="false" outlineLevel="0" collapsed="false">
      <c r="A231" s="9" t="s">
        <v>1439</v>
      </c>
      <c r="B231" s="10" t="s">
        <v>1440</v>
      </c>
      <c r="C231" s="9" t="s">
        <v>59</v>
      </c>
      <c r="D231" s="9" t="s">
        <v>1441</v>
      </c>
      <c r="E231" s="11" t="n">
        <v>1000</v>
      </c>
      <c r="F231" s="11" t="n">
        <v>1000</v>
      </c>
      <c r="G231" s="11" t="n">
        <v>1000</v>
      </c>
      <c r="H231" s="9" t="s">
        <v>887</v>
      </c>
      <c r="I231" s="9" t="s">
        <v>1417</v>
      </c>
      <c r="J231" s="9" t="s">
        <v>888</v>
      </c>
      <c r="K231" s="9" t="s">
        <v>1442</v>
      </c>
      <c r="L231" s="10" t="s">
        <v>1443</v>
      </c>
      <c r="M231" s="9" t="n">
        <f aca="false">IF(AND(ISNUMBER($E231),ISNUMBER($F231),ISNUMBER($G231)),IF(AND($F231&lt;=$E231,$E231&lt;=$G231),0,1),0)</f>
        <v>0</v>
      </c>
    </row>
    <row r="232" customFormat="false" ht="15" hidden="false" customHeight="false" outlineLevel="0" collapsed="false">
      <c r="A232" s="9" t="s">
        <v>1444</v>
      </c>
      <c r="B232" s="9" t="s">
        <v>1445</v>
      </c>
      <c r="C232" s="9" t="s">
        <v>1000</v>
      </c>
      <c r="D232" s="10" t="s">
        <v>108</v>
      </c>
      <c r="E232" s="11" t="n">
        <v>0.008</v>
      </c>
      <c r="F232" s="11" t="n">
        <v>0.005</v>
      </c>
      <c r="G232" s="11" t="n">
        <v>0.02</v>
      </c>
      <c r="H232" s="9" t="s">
        <v>923</v>
      </c>
      <c r="I232" s="9" t="s">
        <v>1446</v>
      </c>
      <c r="J232" s="9" t="s">
        <v>888</v>
      </c>
      <c r="K232" s="9" t="s">
        <v>1427</v>
      </c>
      <c r="L232" s="9" t="s">
        <v>1447</v>
      </c>
      <c r="M232" s="9" t="n">
        <f aca="false">IF(AND(ISNUMBER($E232),ISNUMBER($F232),ISNUMBER($G232)),IF(AND($F232&lt;=$E232,$E232&lt;=$G232),0,1),0)</f>
        <v>0</v>
      </c>
    </row>
    <row r="233" customFormat="false" ht="15" hidden="false" customHeight="false" outlineLevel="0" collapsed="false">
      <c r="A233" s="9" t="s">
        <v>1448</v>
      </c>
      <c r="B233" s="9" t="s">
        <v>1445</v>
      </c>
      <c r="C233" s="9" t="s">
        <v>1002</v>
      </c>
      <c r="D233" s="10" t="s">
        <v>108</v>
      </c>
      <c r="E233" s="11" t="n">
        <v>0.008</v>
      </c>
      <c r="F233" s="11" t="n">
        <v>0.005</v>
      </c>
      <c r="G233" s="11" t="n">
        <v>0.02</v>
      </c>
      <c r="H233" s="9" t="s">
        <v>923</v>
      </c>
      <c r="I233" s="9" t="s">
        <v>1446</v>
      </c>
      <c r="J233" s="9" t="s">
        <v>888</v>
      </c>
      <c r="K233" s="9" t="s">
        <v>1427</v>
      </c>
      <c r="L233" s="9" t="s">
        <v>1447</v>
      </c>
      <c r="M233" s="9" t="n">
        <f aca="false">IF(AND(ISNUMBER($E233),ISNUMBER($F233),ISNUMBER($G233)),IF(AND($F233&lt;=$E233,$E233&lt;=$G233),0,1),0)</f>
        <v>0</v>
      </c>
    </row>
    <row r="234" customFormat="false" ht="15" hidden="false" customHeight="false" outlineLevel="0" collapsed="false">
      <c r="A234" s="9" t="s">
        <v>1449</v>
      </c>
      <c r="B234" s="9" t="s">
        <v>1445</v>
      </c>
      <c r="C234" s="9" t="s">
        <v>1004</v>
      </c>
      <c r="D234" s="10" t="s">
        <v>108</v>
      </c>
      <c r="E234" s="11" t="n">
        <v>0.008</v>
      </c>
      <c r="F234" s="11" t="n">
        <v>0.005</v>
      </c>
      <c r="G234" s="11" t="n">
        <v>0.02</v>
      </c>
      <c r="H234" s="9" t="s">
        <v>923</v>
      </c>
      <c r="I234" s="9" t="s">
        <v>1446</v>
      </c>
      <c r="J234" s="9" t="s">
        <v>888</v>
      </c>
      <c r="K234" s="9" t="s">
        <v>1427</v>
      </c>
      <c r="L234" s="9" t="s">
        <v>1447</v>
      </c>
      <c r="M234" s="9" t="n">
        <f aca="false">IF(AND(ISNUMBER($E234),ISNUMBER($F234),ISNUMBER($G234)),IF(AND($F234&lt;=$E234,$E234&lt;=$G234),0,1),0)</f>
        <v>0</v>
      </c>
    </row>
    <row r="235" customFormat="false" ht="15" hidden="false" customHeight="false" outlineLevel="0" collapsed="false">
      <c r="A235" s="9" t="s">
        <v>1450</v>
      </c>
      <c r="B235" s="9" t="s">
        <v>1445</v>
      </c>
      <c r="C235" s="9" t="s">
        <v>1006</v>
      </c>
      <c r="D235" s="10" t="s">
        <v>108</v>
      </c>
      <c r="E235" s="11" t="n">
        <v>0.008</v>
      </c>
      <c r="F235" s="11" t="n">
        <v>0.005</v>
      </c>
      <c r="G235" s="11" t="n">
        <v>0.02</v>
      </c>
      <c r="H235" s="9" t="s">
        <v>923</v>
      </c>
      <c r="I235" s="9" t="s">
        <v>1446</v>
      </c>
      <c r="J235" s="9" t="s">
        <v>888</v>
      </c>
      <c r="K235" s="9" t="s">
        <v>1427</v>
      </c>
      <c r="L235" s="9" t="s">
        <v>1447</v>
      </c>
      <c r="M235" s="9" t="n">
        <f aca="false">IF(AND(ISNUMBER($E235),ISNUMBER($F235),ISNUMBER($G235)),IF(AND($F235&lt;=$E235,$E235&lt;=$G235),0,1),0)</f>
        <v>0</v>
      </c>
    </row>
    <row r="236" customFormat="false" ht="15" hidden="false" customHeight="false" outlineLevel="0" collapsed="false">
      <c r="A236" s="9" t="s">
        <v>1451</v>
      </c>
      <c r="B236" s="10" t="s">
        <v>1452</v>
      </c>
      <c r="C236" s="9" t="s">
        <v>59</v>
      </c>
      <c r="D236" s="9" t="s">
        <v>363</v>
      </c>
      <c r="E236" s="11" t="n">
        <v>2</v>
      </c>
      <c r="F236" s="11" t="n">
        <v>2</v>
      </c>
      <c r="G236" s="11" t="n">
        <v>5</v>
      </c>
      <c r="H236" s="9" t="s">
        <v>923</v>
      </c>
      <c r="I236" s="9" t="s">
        <v>1453</v>
      </c>
      <c r="J236" s="9" t="s">
        <v>888</v>
      </c>
      <c r="K236" s="9" t="s">
        <v>1454</v>
      </c>
      <c r="L236" s="9" t="s">
        <v>1455</v>
      </c>
      <c r="M236" s="9" t="n">
        <f aca="false">IF(AND(ISNUMBER($E236),ISNUMBER($F236),ISNUMBER($G236)),IF(AND($F236&lt;=$E236,$E236&lt;=$G236),0,1),0)</f>
        <v>0</v>
      </c>
    </row>
    <row r="237" customFormat="false" ht="15" hidden="false" customHeight="false" outlineLevel="0" collapsed="false">
      <c r="A237" s="9" t="s">
        <v>1456</v>
      </c>
      <c r="B237" s="9" t="s">
        <v>1457</v>
      </c>
      <c r="C237" s="9" t="s">
        <v>59</v>
      </c>
      <c r="D237" s="10" t="s">
        <v>108</v>
      </c>
      <c r="E237" s="11" t="n">
        <v>1</v>
      </c>
      <c r="F237" s="11" t="n">
        <v>0</v>
      </c>
      <c r="G237" s="11" t="n">
        <v>1</v>
      </c>
      <c r="H237" s="9" t="s">
        <v>923</v>
      </c>
      <c r="I237" s="9" t="s">
        <v>1458</v>
      </c>
      <c r="J237" s="9" t="s">
        <v>888</v>
      </c>
      <c r="K237" s="9" t="s">
        <v>1459</v>
      </c>
      <c r="L237" s="9" t="s">
        <v>1460</v>
      </c>
      <c r="M237" s="9" t="n">
        <f aca="false">IF(AND(ISNUMBER($E237),ISNUMBER($F237),ISNUMBER($G237)),IF(AND($F237&lt;=$E237,$E237&lt;=$G237),0,1),0)</f>
        <v>0</v>
      </c>
    </row>
    <row r="238" customFormat="false" ht="15" hidden="false" customHeight="false" outlineLevel="0" collapsed="false">
      <c r="A238" s="9" t="s">
        <v>1461</v>
      </c>
      <c r="B238" s="10" t="s">
        <v>1462</v>
      </c>
      <c r="C238" s="9" t="s">
        <v>59</v>
      </c>
      <c r="D238" s="10" t="s">
        <v>1463</v>
      </c>
      <c r="E238" s="11" t="n">
        <v>0</v>
      </c>
      <c r="F238" s="11" t="n">
        <v>-91</v>
      </c>
      <c r="G238" s="11" t="n">
        <v>91</v>
      </c>
      <c r="H238" s="9" t="s">
        <v>923</v>
      </c>
      <c r="I238" s="9" t="s">
        <v>1464</v>
      </c>
      <c r="J238" s="9" t="s">
        <v>1465</v>
      </c>
      <c r="K238" s="9" t="s">
        <v>1466</v>
      </c>
      <c r="L238" s="10" t="s">
        <v>1467</v>
      </c>
      <c r="M238" s="9" t="n">
        <f aca="false">IF(AND(ISNUMBER($E238),ISNUMBER($F238),ISNUMBER($G238)),IF(AND($F238&lt;=$E238,$E238&lt;=$G238),0,1),0)</f>
        <v>0</v>
      </c>
    </row>
    <row r="239" customFormat="false" ht="15" hidden="false" customHeight="false" outlineLevel="0" collapsed="false">
      <c r="A239" s="9" t="s">
        <v>1468</v>
      </c>
      <c r="B239" s="10" t="s">
        <v>1469</v>
      </c>
      <c r="C239" s="9" t="s">
        <v>59</v>
      </c>
      <c r="D239" s="10" t="s">
        <v>1463</v>
      </c>
      <c r="E239" s="11" t="n">
        <v>0</v>
      </c>
      <c r="F239" s="11" t="n">
        <v>-91</v>
      </c>
      <c r="G239" s="11" t="n">
        <v>91</v>
      </c>
      <c r="H239" s="9" t="s">
        <v>923</v>
      </c>
      <c r="I239" s="9" t="s">
        <v>1464</v>
      </c>
      <c r="J239" s="9" t="s">
        <v>1465</v>
      </c>
      <c r="K239" s="9" t="s">
        <v>1466</v>
      </c>
      <c r="L239" s="10" t="s">
        <v>1467</v>
      </c>
      <c r="M239" s="9" t="n">
        <f aca="false">IF(AND(ISNUMBER($E239),ISNUMBER($F239),ISNUMBER($G239)),IF(AND($F239&lt;=$E239,$E239&lt;=$G239),0,1),0)</f>
        <v>0</v>
      </c>
    </row>
    <row r="240" customFormat="false" ht="15" hidden="false" customHeight="false" outlineLevel="0" collapsed="false">
      <c r="A240" s="9" t="s">
        <v>1470</v>
      </c>
      <c r="B240" s="10" t="s">
        <v>1471</v>
      </c>
      <c r="C240" s="9" t="s">
        <v>59</v>
      </c>
      <c r="D240" s="10" t="s">
        <v>1463</v>
      </c>
      <c r="E240" s="11" t="n">
        <v>0</v>
      </c>
      <c r="F240" s="11" t="n">
        <v>-91</v>
      </c>
      <c r="G240" s="11" t="n">
        <v>91</v>
      </c>
      <c r="H240" s="9" t="s">
        <v>923</v>
      </c>
      <c r="I240" s="9" t="s">
        <v>1464</v>
      </c>
      <c r="J240" s="9" t="s">
        <v>1465</v>
      </c>
      <c r="K240" s="9" t="s">
        <v>1466</v>
      </c>
      <c r="L240" s="10" t="s">
        <v>1467</v>
      </c>
      <c r="M240" s="9" t="n">
        <f aca="false">IF(AND(ISNUMBER($E240),ISNUMBER($F240),ISNUMBER($G240)),IF(AND($F240&lt;=$E240,$E240&lt;=$G240),0,1),0)</f>
        <v>0</v>
      </c>
    </row>
    <row r="241" customFormat="false" ht="15" hidden="false" customHeight="false" outlineLevel="0" collapsed="false">
      <c r="A241" s="9" t="s">
        <v>1472</v>
      </c>
      <c r="B241" s="10" t="s">
        <v>1473</v>
      </c>
      <c r="C241" s="9" t="s">
        <v>59</v>
      </c>
      <c r="D241" s="10" t="s">
        <v>1463</v>
      </c>
      <c r="E241" s="11" t="n">
        <v>0</v>
      </c>
      <c r="F241" s="11" t="n">
        <v>-91</v>
      </c>
      <c r="G241" s="11" t="n">
        <v>91</v>
      </c>
      <c r="H241" s="9" t="s">
        <v>923</v>
      </c>
      <c r="I241" s="9" t="s">
        <v>1464</v>
      </c>
      <c r="J241" s="9" t="s">
        <v>1465</v>
      </c>
      <c r="K241" s="9" t="s">
        <v>1466</v>
      </c>
      <c r="L241" s="10" t="s">
        <v>1467</v>
      </c>
      <c r="M241" s="9" t="n">
        <f aca="false">IF(AND(ISNUMBER($E241),ISNUMBER($F241),ISNUMBER($G241)),IF(AND($F241&lt;=$E241,$E241&lt;=$G241),0,1),0)</f>
        <v>0</v>
      </c>
    </row>
    <row r="242" customFormat="false" ht="15" hidden="false" customHeight="false" outlineLevel="0" collapsed="false">
      <c r="A242" s="9" t="s">
        <v>1474</v>
      </c>
      <c r="B242" s="9" t="s">
        <v>1475</v>
      </c>
      <c r="C242" s="9" t="s">
        <v>59</v>
      </c>
      <c r="D242" s="10" t="s">
        <v>653</v>
      </c>
      <c r="E242" s="11" t="n">
        <v>46023</v>
      </c>
      <c r="F242" s="11" t="n">
        <v>46023</v>
      </c>
      <c r="G242" s="11" t="n">
        <v>46023</v>
      </c>
      <c r="H242" s="9" t="s">
        <v>887</v>
      </c>
      <c r="I242" s="9" t="s">
        <v>1417</v>
      </c>
      <c r="J242" s="9" t="s">
        <v>1476</v>
      </c>
      <c r="K242" s="9" t="s">
        <v>1477</v>
      </c>
      <c r="L242" s="10" t="s">
        <v>1478</v>
      </c>
      <c r="M242" s="9" t="n">
        <f aca="false">IF(AND(ISNUMBER($E242),ISNUMBER($F242),ISNUMBER($G242)),IF(AND($F242&lt;=$E242,$E242&lt;=$G242),0,1),0)</f>
        <v>0</v>
      </c>
    </row>
    <row r="243" customFormat="false" ht="15" hidden="false" customHeight="false" outlineLevel="0" collapsed="false">
      <c r="A243" s="9" t="s">
        <v>1479</v>
      </c>
      <c r="B243" s="10" t="s">
        <v>1480</v>
      </c>
      <c r="C243" s="9" t="s">
        <v>59</v>
      </c>
      <c r="D243" s="10" t="s">
        <v>1463</v>
      </c>
      <c r="E243" s="11" t="n">
        <v>365</v>
      </c>
      <c r="F243" s="11" t="n">
        <v>365</v>
      </c>
      <c r="G243" s="11" t="n">
        <v>365</v>
      </c>
      <c r="H243" s="9" t="s">
        <v>887</v>
      </c>
      <c r="I243" s="9" t="s">
        <v>1417</v>
      </c>
      <c r="J243" s="9" t="s">
        <v>1476</v>
      </c>
      <c r="K243" s="9" t="s">
        <v>1477</v>
      </c>
      <c r="L243" s="10" t="s">
        <v>1481</v>
      </c>
      <c r="M243" s="9" t="n">
        <f aca="false">IF(AND(ISNUMBER($E243),ISNUMBER($F243),ISNUMBER($G243)),IF(AND($F243&lt;=$E243,$E243&lt;=$G243),0,1),0)</f>
        <v>0</v>
      </c>
    </row>
    <row r="244" customFormat="false" ht="15" hidden="false" customHeight="false" outlineLevel="0" collapsed="false">
      <c r="A244" s="9" t="s">
        <v>1482</v>
      </c>
      <c r="B244" s="10" t="s">
        <v>1483</v>
      </c>
      <c r="C244" s="9" t="s">
        <v>59</v>
      </c>
      <c r="D244" s="10" t="s">
        <v>1484</v>
      </c>
      <c r="E244" s="11" t="n">
        <v>12</v>
      </c>
      <c r="F244" s="11" t="n">
        <v>12</v>
      </c>
      <c r="G244" s="11" t="n">
        <v>12</v>
      </c>
      <c r="H244" s="9" t="s">
        <v>887</v>
      </c>
      <c r="I244" s="9" t="s">
        <v>1417</v>
      </c>
      <c r="J244" s="9" t="s">
        <v>1476</v>
      </c>
      <c r="K244" s="9" t="s">
        <v>1477</v>
      </c>
      <c r="L244" s="10" t="s">
        <v>1485</v>
      </c>
      <c r="M244" s="9" t="n">
        <f aca="false">IF(AND(ISNUMBER($E244),ISNUMBER($F244),ISNUMBER($G244)),IF(AND($F244&lt;=$E244,$E244&lt;=$G244),0,1),0)</f>
        <v>0</v>
      </c>
    </row>
    <row r="245" customFormat="false" ht="15" hidden="false" customHeight="false" outlineLevel="0" collapsed="false">
      <c r="A245" s="9" t="s">
        <v>1486</v>
      </c>
      <c r="B245" s="10" t="s">
        <v>1487</v>
      </c>
      <c r="C245" s="9" t="s">
        <v>59</v>
      </c>
      <c r="D245" s="9" t="s">
        <v>1488</v>
      </c>
      <c r="E245" s="11" t="n">
        <v>1000</v>
      </c>
      <c r="F245" s="11" t="n">
        <v>1000</v>
      </c>
      <c r="G245" s="11" t="n">
        <v>1000</v>
      </c>
      <c r="H245" s="9" t="s">
        <v>887</v>
      </c>
      <c r="I245" s="9" t="s">
        <v>1417</v>
      </c>
      <c r="J245" s="9" t="s">
        <v>1476</v>
      </c>
      <c r="K245" s="9" t="s">
        <v>1477</v>
      </c>
      <c r="L245" s="10" t="s">
        <v>1489</v>
      </c>
      <c r="M245" s="9" t="n">
        <f aca="false">IF(AND(ISNUMBER($E245),ISNUMBER($F245),ISNUMBER($G245)),IF(AND($F245&lt;=$E245,$E245&lt;=$G245),0,1),0)</f>
        <v>0</v>
      </c>
    </row>
    <row r="246" customFormat="false" ht="15" hidden="false" customHeight="false" outlineLevel="0" collapsed="false">
      <c r="A246" s="9" t="s">
        <v>1490</v>
      </c>
      <c r="B246" s="10" t="s">
        <v>1491</v>
      </c>
      <c r="C246" s="9" t="s">
        <v>59</v>
      </c>
      <c r="D246" s="9" t="s">
        <v>1492</v>
      </c>
      <c r="E246" s="11" t="n">
        <v>1000000</v>
      </c>
      <c r="F246" s="11" t="n">
        <v>1000000</v>
      </c>
      <c r="G246" s="11" t="n">
        <v>1000000</v>
      </c>
      <c r="H246" s="9" t="s">
        <v>887</v>
      </c>
      <c r="I246" s="9" t="s">
        <v>1417</v>
      </c>
      <c r="J246" s="9" t="s">
        <v>1476</v>
      </c>
      <c r="K246" s="9" t="s">
        <v>1477</v>
      </c>
      <c r="L246" s="10" t="s">
        <v>1493</v>
      </c>
      <c r="M246" s="9" t="n">
        <f aca="false">IF(AND(ISNUMBER($E246),ISNUMBER($F246),ISNUMBER($G246)),IF(AND($F246&lt;=$E246,$E246&lt;=$G246),0,1),0)</f>
        <v>0</v>
      </c>
    </row>
    <row r="247" customFormat="false" ht="15" hidden="false" customHeight="false" outlineLevel="0" collapsed="false">
      <c r="A247" s="9" t="s">
        <v>1494</v>
      </c>
      <c r="B247" s="9" t="s">
        <v>1495</v>
      </c>
      <c r="C247" s="9" t="s">
        <v>59</v>
      </c>
      <c r="D247" s="10" t="s">
        <v>1484</v>
      </c>
      <c r="E247" s="11" t="n">
        <v>6</v>
      </c>
      <c r="F247" s="11" t="n">
        <v>6</v>
      </c>
      <c r="G247" s="11" t="n">
        <v>6</v>
      </c>
      <c r="H247" s="9" t="s">
        <v>887</v>
      </c>
      <c r="I247" s="9" t="s">
        <v>1417</v>
      </c>
      <c r="J247" s="9" t="s">
        <v>1476</v>
      </c>
      <c r="K247" s="9" t="s">
        <v>1477</v>
      </c>
      <c r="L247" s="10" t="s">
        <v>1496</v>
      </c>
      <c r="M247" s="9" t="n">
        <f aca="false">IF(AND(ISNUMBER($E247),ISNUMBER($F247),ISNUMBER($G247)),IF(AND($F247&lt;=$E247,$E247&lt;=$G247),0,1),0)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60"/>
    <col collapsed="false" customWidth="true" hidden="false" outlineLevel="0" max="7" min="7" style="0" width="70"/>
  </cols>
  <sheetData>
    <row r="1" customFormat="false" ht="20.1" hidden="false" customHeight="false" outlineLevel="0" collapsed="false">
      <c r="A1" s="1" t="s">
        <v>1497</v>
      </c>
    </row>
    <row r="2" customFormat="false" ht="15" hidden="false" customHeight="false" outlineLevel="0" collapsed="false">
      <c r="A2" s="12" t="s">
        <v>1498</v>
      </c>
    </row>
    <row r="3" customFormat="false" ht="15" hidden="false" customHeight="false" outlineLevel="0" collapsed="false">
      <c r="A3" s="2" t="s">
        <v>1499</v>
      </c>
    </row>
    <row r="4" customFormat="false" ht="44" hidden="false" customHeight="false" outlineLevel="0" collapsed="false">
      <c r="A4" s="8" t="s">
        <v>1500</v>
      </c>
      <c r="B4" s="8" t="s">
        <v>1501</v>
      </c>
      <c r="C4" s="8" t="s">
        <v>1502</v>
      </c>
      <c r="D4" s="7" t="s">
        <v>1503</v>
      </c>
      <c r="E4" s="8" t="s">
        <v>1504</v>
      </c>
      <c r="F4" s="8" t="s">
        <v>34</v>
      </c>
      <c r="G4" s="8" t="s">
        <v>688</v>
      </c>
    </row>
    <row r="5" customFormat="false" ht="15" hidden="false" customHeight="false" outlineLevel="0" collapsed="false">
      <c r="A5" s="9" t="s">
        <v>1505</v>
      </c>
      <c r="B5" s="9" t="s">
        <v>1506</v>
      </c>
      <c r="C5" s="9" t="n">
        <f aca="false">SRC_OAI_092*INP_234</f>
        <v>950.000000000001</v>
      </c>
      <c r="D5" s="9" t="n">
        <v>950</v>
      </c>
      <c r="E5" s="9" t="n">
        <f aca="false">IF(ISNUMBER(C5),C5-D5,"—")</f>
        <v>0</v>
      </c>
      <c r="F5" s="9" t="s">
        <v>246</v>
      </c>
      <c r="G5" s="12" t="s">
        <v>1507</v>
      </c>
    </row>
    <row r="6" customFormat="false" ht="15" hidden="false" customHeight="false" outlineLevel="0" collapsed="false">
      <c r="A6" s="9" t="s">
        <v>1508</v>
      </c>
      <c r="B6" s="9" t="s">
        <v>1509</v>
      </c>
      <c r="C6" s="9" t="n">
        <f aca="false">SRC_OAI_094*INP_235</f>
        <v>30</v>
      </c>
      <c r="D6" s="9" t="n">
        <v>30</v>
      </c>
      <c r="E6" s="9" t="n">
        <f aca="false">IF(ISNUMBER(C6),C6-D6,"—")</f>
        <v>0</v>
      </c>
      <c r="F6" s="9" t="s">
        <v>246</v>
      </c>
      <c r="G6" s="12" t="s">
        <v>1510</v>
      </c>
    </row>
    <row r="7" customFormat="false" ht="15" hidden="false" customHeight="false" outlineLevel="0" collapsed="false">
      <c r="A7" s="9" t="s">
        <v>1511</v>
      </c>
      <c r="B7" s="9" t="s">
        <v>1512</v>
      </c>
      <c r="C7" s="9" t="n">
        <f aca="false">INP_236/(1-INP_236)*(INP_065+INP_073+INP_089)</f>
        <v>0.564516129032258</v>
      </c>
      <c r="D7" s="9" t="n">
        <v>1</v>
      </c>
      <c r="E7" s="9" t="n">
        <f aca="false">IF(ISNUMBER(C7),C7-D7,"—")</f>
        <v>-0.435483870967742</v>
      </c>
      <c r="F7" s="9" t="s">
        <v>246</v>
      </c>
      <c r="G7" s="2" t="s">
        <v>1513</v>
      </c>
    </row>
    <row r="8" customFormat="false" ht="15" hidden="false" customHeight="false" outlineLevel="0" collapsed="false">
      <c r="A8" s="9" t="s">
        <v>1514</v>
      </c>
      <c r="B8" s="9" t="s">
        <v>1515</v>
      </c>
      <c r="C8" s="9" t="n">
        <f aca="false">C7/SRC_OAI_101</f>
        <v>0.282258064516129</v>
      </c>
      <c r="D8" s="9" t="n">
        <v>0.5</v>
      </c>
      <c r="E8" s="9" t="n">
        <f aca="false">IF(ISNUMBER(C8),C8-D8,"—")</f>
        <v>-0.217741935483871</v>
      </c>
      <c r="F8" s="9" t="s">
        <v>246</v>
      </c>
      <c r="G8" s="12" t="s">
        <v>1516</v>
      </c>
    </row>
    <row r="9" customFormat="false" ht="15" hidden="false" customHeight="false" outlineLevel="0" collapsed="false">
      <c r="A9" s="9" t="s">
        <v>1517</v>
      </c>
      <c r="B9" s="9" t="s">
        <v>1518</v>
      </c>
      <c r="C9" s="9" t="n">
        <f aca="false">C7/((INP_065+INP_073+INP_089)+C7)</f>
        <v>0.008</v>
      </c>
      <c r="D9" s="9" t="n">
        <v>0.0140845070422535</v>
      </c>
      <c r="E9" s="9" t="n">
        <f aca="false">IF(ISNUMBER(C9),C9-D9,"—")</f>
        <v>-0.00608450704225352</v>
      </c>
      <c r="F9" s="10" t="s">
        <v>108</v>
      </c>
      <c r="G9" s="12" t="s">
        <v>1519</v>
      </c>
    </row>
    <row r="10" customFormat="false" ht="15" hidden="false" customHeight="false" outlineLevel="0" collapsed="false">
      <c r="A10" s="9" t="s">
        <v>1520</v>
      </c>
      <c r="B10" s="10" t="s">
        <v>1521</v>
      </c>
      <c r="C10" s="13" t="n">
        <f aca="false">C9-MIN(C9,SRC_OAI!$E$100)</f>
        <v>0</v>
      </c>
      <c r="F10" s="9"/>
      <c r="G10" s="12" t="s">
        <v>1522</v>
      </c>
    </row>
    <row r="11" customFormat="false" ht="15" hidden="false" customHeight="false" outlineLevel="0" collapsed="false">
      <c r="A11" s="9" t="s">
        <v>1523</v>
      </c>
      <c r="B11" s="9" t="s">
        <v>1524</v>
      </c>
      <c r="C11" s="13" t="n">
        <f aca="false">(D9-SRC_OAI!$E$100)</f>
        <v>0.00408450704225352</v>
      </c>
      <c r="F11" s="10" t="s">
        <v>108</v>
      </c>
      <c r="G11" s="2" t="s">
        <v>1525</v>
      </c>
    </row>
    <row r="12" customFormat="false" ht="15" hidden="false" customHeight="false" outlineLevel="0" collapsed="false">
      <c r="A12" s="9" t="s">
        <v>1526</v>
      </c>
      <c r="B12" s="9" t="s">
        <v>1527</v>
      </c>
      <c r="C12" s="9" t="n">
        <f aca="false">C8*INP_099</f>
        <v>56.4516129032258</v>
      </c>
      <c r="D12" s="9" t="n">
        <v>100</v>
      </c>
      <c r="E12" s="9" t="n">
        <f aca="false">IF(ISNUMBER(C12),C12-D12,"—")</f>
        <v>-43.5483870967742</v>
      </c>
      <c r="F12" s="9" t="s">
        <v>1528</v>
      </c>
      <c r="G12" s="12" t="s">
        <v>1529</v>
      </c>
    </row>
    <row r="13" customFormat="false" ht="15" hidden="false" customHeight="false" outlineLevel="0" collapsed="false">
      <c r="A13" s="9" t="s">
        <v>1530</v>
      </c>
      <c r="B13" s="9" t="s">
        <v>1531</v>
      </c>
      <c r="C13" s="9" t="n">
        <f aca="false">C7*INP_100</f>
        <v>84.6774193548387</v>
      </c>
      <c r="D13" s="9" t="n">
        <v>150</v>
      </c>
      <c r="E13" s="9" t="n">
        <f aca="false">IF(ISNUMBER(C13),C13-D13,"—")</f>
        <v>-65.3225806451613</v>
      </c>
      <c r="F13" s="9" t="s">
        <v>1528</v>
      </c>
      <c r="G13" s="12" t="s">
        <v>1532</v>
      </c>
    </row>
    <row r="14" customFormat="false" ht="15" hidden="false" customHeight="false" outlineLevel="0" collapsed="false">
      <c r="A14" s="9" t="s">
        <v>1533</v>
      </c>
      <c r="B14" s="9" t="s">
        <v>1534</v>
      </c>
      <c r="C14" s="9" t="n">
        <f aca="false">INP_240/(1-INP_240)*(INP_066+INP_074+INP_090)</f>
        <v>0.806451612903226</v>
      </c>
      <c r="D14" s="9" t="n">
        <v>1.5</v>
      </c>
      <c r="E14" s="9" t="n">
        <f aca="false">IF(ISNUMBER(C14),C14-D14,"—")</f>
        <v>-0.693548387096774</v>
      </c>
      <c r="F14" s="9" t="s">
        <v>246</v>
      </c>
      <c r="G14" s="12" t="s">
        <v>1535</v>
      </c>
    </row>
    <row r="15" customFormat="false" ht="15" hidden="false" customHeight="false" outlineLevel="0" collapsed="false">
      <c r="A15" s="9" t="s">
        <v>1536</v>
      </c>
      <c r="B15" s="9" t="s">
        <v>1537</v>
      </c>
      <c r="C15" s="9" t="n">
        <f aca="false">INP_241/(1-INP_241)*(INP_067+INP_075+INP_091)</f>
        <v>1.04838709677419</v>
      </c>
      <c r="D15" s="9" t="n">
        <v>2</v>
      </c>
      <c r="E15" s="9" t="n">
        <f aca="false">IF(ISNUMBER(C15),C15-D15,"—")</f>
        <v>-0.951612903225807</v>
      </c>
      <c r="F15" s="9" t="s">
        <v>246</v>
      </c>
      <c r="G15" s="12" t="s">
        <v>1535</v>
      </c>
    </row>
    <row r="16" customFormat="false" ht="15" hidden="false" customHeight="false" outlineLevel="0" collapsed="false">
      <c r="A16" s="9" t="s">
        <v>1426</v>
      </c>
      <c r="B16" s="9" t="s">
        <v>1538</v>
      </c>
      <c r="C16" s="9" t="n">
        <f aca="false">INP_242/(1-INP_242)*(INP_068+INP_076+INP_092)</f>
        <v>1.24193548387097</v>
      </c>
      <c r="D16" s="9" t="n">
        <v>2.5</v>
      </c>
      <c r="E16" s="9" t="n">
        <f aca="false">IF(ISNUMBER(C16),C16-D16,"—")</f>
        <v>-1.25806451612903</v>
      </c>
      <c r="F16" s="9" t="s">
        <v>246</v>
      </c>
      <c r="G16" s="12" t="s">
        <v>1535</v>
      </c>
    </row>
    <row r="17" customFormat="false" ht="15" hidden="false" customHeight="false" outlineLevel="0" collapsed="false">
      <c r="A17" s="9" t="s">
        <v>1310</v>
      </c>
      <c r="B17" s="9" t="s">
        <v>1539</v>
      </c>
      <c r="C17" s="9" t="n">
        <f aca="false">INP_243/(1-INP_243)*(INP_069+INP_077+INP_093)</f>
        <v>1.41129032258065</v>
      </c>
      <c r="D17" s="9" t="n">
        <v>3</v>
      </c>
      <c r="E17" s="9" t="n">
        <f aca="false">IF(ISNUMBER(C17),C17-D17,"—")</f>
        <v>-1.58870967741936</v>
      </c>
      <c r="F17" s="9" t="s">
        <v>246</v>
      </c>
      <c r="G17" s="12" t="s">
        <v>1535</v>
      </c>
    </row>
    <row r="18" customFormat="false" ht="15" hidden="false" customHeight="false" outlineLevel="0" collapsed="false">
      <c r="A18" s="9" t="s">
        <v>1540</v>
      </c>
      <c r="B18" s="9" t="s">
        <v>1541</v>
      </c>
      <c r="C18" s="9" t="n">
        <f aca="false">C14/((INP_066+INP_074+INP_090)+C14)</f>
        <v>0.008</v>
      </c>
      <c r="D18" s="9" t="n">
        <v>0.0147783251231527</v>
      </c>
      <c r="E18" s="9" t="n">
        <f aca="false">IF(ISNUMBER(C18),C18-D18,"—")</f>
        <v>-0.00677832512315271</v>
      </c>
      <c r="F18" s="10" t="s">
        <v>108</v>
      </c>
      <c r="G18" s="12" t="s">
        <v>1542</v>
      </c>
    </row>
    <row r="19" customFormat="false" ht="15" hidden="false" customHeight="false" outlineLevel="0" collapsed="false">
      <c r="A19" s="9" t="s">
        <v>1446</v>
      </c>
      <c r="B19" s="9" t="s">
        <v>1543</v>
      </c>
      <c r="C19" s="9" t="n">
        <f aca="false">C15/((INP_067+INP_075+INP_091)+C15)</f>
        <v>0.008</v>
      </c>
      <c r="D19" s="9" t="n">
        <v>0.0151515151515152</v>
      </c>
      <c r="E19" s="9" t="n">
        <f aca="false">IF(ISNUMBER(C19),C19-D19,"—")</f>
        <v>-0.00715151515151515</v>
      </c>
      <c r="F19" s="10" t="s">
        <v>108</v>
      </c>
      <c r="G19" s="12" t="s">
        <v>1542</v>
      </c>
    </row>
    <row r="20" customFormat="false" ht="15" hidden="false" customHeight="false" outlineLevel="0" collapsed="false">
      <c r="A20" s="9" t="s">
        <v>1306</v>
      </c>
      <c r="B20" s="9" t="s">
        <v>1544</v>
      </c>
      <c r="C20" s="9" t="n">
        <f aca="false">C16/((INP_068+INP_076+INP_092)+C16)</f>
        <v>0.008</v>
      </c>
      <c r="D20" s="9" t="n">
        <v>0.0159744408945687</v>
      </c>
      <c r="E20" s="9" t="n">
        <f aca="false">IF(ISNUMBER(C20),C20-D20,"—")</f>
        <v>-0.00797444089456869</v>
      </c>
      <c r="F20" s="10" t="s">
        <v>108</v>
      </c>
      <c r="G20" s="12" t="s">
        <v>1542</v>
      </c>
    </row>
    <row r="21" customFormat="false" ht="15" hidden="false" customHeight="false" outlineLevel="0" collapsed="false">
      <c r="A21" s="9" t="s">
        <v>1545</v>
      </c>
      <c r="B21" s="9" t="s">
        <v>1546</v>
      </c>
      <c r="C21" s="9" t="n">
        <f aca="false">C17/((INP_069+INP_077+INP_093)+C17)</f>
        <v>0.008</v>
      </c>
      <c r="D21" s="9" t="n">
        <v>0.0168539325842697</v>
      </c>
      <c r="E21" s="9" t="n">
        <f aca="false">IF(ISNUMBER(C21),C21-D21,"—")</f>
        <v>-0.00885393258426966</v>
      </c>
      <c r="F21" s="10" t="s">
        <v>108</v>
      </c>
      <c r="G21" s="12" t="s">
        <v>1542</v>
      </c>
    </row>
    <row r="22" customFormat="false" ht="15" hidden="false" customHeight="false" outlineLevel="0" collapsed="false">
      <c r="A22" s="9" t="s">
        <v>1547</v>
      </c>
      <c r="B22" s="9" t="s">
        <v>1548</v>
      </c>
      <c r="C22" s="9" t="n">
        <f aca="false">C14*INP_100</f>
        <v>120.967741935484</v>
      </c>
      <c r="D22" s="9" t="n">
        <v>225</v>
      </c>
      <c r="E22" s="9" t="n">
        <f aca="false">IF(ISNUMBER(C22),C22-D22,"—")</f>
        <v>-104.032258064516</v>
      </c>
      <c r="F22" s="9" t="s">
        <v>1528</v>
      </c>
      <c r="G22" s="12" t="s">
        <v>1532</v>
      </c>
    </row>
    <row r="23" customFormat="false" ht="15" hidden="false" customHeight="false" outlineLevel="0" collapsed="false">
      <c r="A23" s="9" t="s">
        <v>1549</v>
      </c>
      <c r="B23" s="9" t="s">
        <v>1550</v>
      </c>
      <c r="C23" s="9" t="n">
        <f aca="false">C15*INP_100</f>
        <v>157.258064516129</v>
      </c>
      <c r="D23" s="9" t="n">
        <v>300</v>
      </c>
      <c r="E23" s="9" t="n">
        <f aca="false">IF(ISNUMBER(C23),C23-D23,"—")</f>
        <v>-142.741935483871</v>
      </c>
      <c r="F23" s="9" t="s">
        <v>1528</v>
      </c>
      <c r="G23" s="12" t="s">
        <v>1532</v>
      </c>
    </row>
    <row r="24" customFormat="false" ht="15" hidden="false" customHeight="false" outlineLevel="0" collapsed="false">
      <c r="A24" s="9" t="s">
        <v>1551</v>
      </c>
      <c r="B24" s="9" t="s">
        <v>1552</v>
      </c>
      <c r="C24" s="9" t="n">
        <f aca="false">C16*INP_100</f>
        <v>186.290322580645</v>
      </c>
      <c r="D24" s="9" t="n">
        <v>375</v>
      </c>
      <c r="E24" s="9" t="n">
        <f aca="false">IF(ISNUMBER(C24),C24-D24,"—")</f>
        <v>-188.709677419355</v>
      </c>
      <c r="F24" s="9" t="s">
        <v>1528</v>
      </c>
      <c r="G24" s="12" t="s">
        <v>1532</v>
      </c>
    </row>
    <row r="25" customFormat="false" ht="15" hidden="false" customHeight="false" outlineLevel="0" collapsed="false">
      <c r="A25" s="9" t="s">
        <v>1553</v>
      </c>
      <c r="B25" s="9" t="s">
        <v>1554</v>
      </c>
      <c r="C25" s="9" t="n">
        <f aca="false">C17*INP_100</f>
        <v>211.693548387097</v>
      </c>
      <c r="D25" s="9" t="n">
        <v>450</v>
      </c>
      <c r="E25" s="9" t="n">
        <f aca="false">IF(ISNUMBER(C25),C25-D25,"—")</f>
        <v>-238.306451612903</v>
      </c>
      <c r="F25" s="9" t="s">
        <v>1528</v>
      </c>
      <c r="G25" s="12" t="s">
        <v>1532</v>
      </c>
    </row>
    <row r="26" customFormat="false" ht="15" hidden="false" customHeight="false" outlineLevel="0" collapsed="false">
      <c r="A26" s="9" t="s">
        <v>1555</v>
      </c>
      <c r="B26" s="9" t="s">
        <v>1556</v>
      </c>
      <c r="C26" s="9" t="n">
        <f aca="false">INP_237*INP_238/INP_239</f>
        <v>2628</v>
      </c>
      <c r="D26" s="9" t="n">
        <v>2628</v>
      </c>
      <c r="E26" s="9" t="n">
        <f aca="false">IF(ISNUMBER(C26),C26-D26,"—")</f>
        <v>0</v>
      </c>
      <c r="F26" s="9" t="s">
        <v>1557</v>
      </c>
      <c r="G26" s="12" t="s">
        <v>1558</v>
      </c>
    </row>
    <row r="27" customFormat="false" ht="15" hidden="false" customHeight="false" outlineLevel="0" collapsed="false">
      <c r="A27" s="9" t="s">
        <v>1559</v>
      </c>
      <c r="B27" s="9" t="s">
        <v>1560</v>
      </c>
      <c r="C27" s="13" t="n">
        <f aca="false">Inputs!$F$229*INP_238/INP_239</f>
        <v>1997.28</v>
      </c>
      <c r="D27" s="9" t="n">
        <v>2000</v>
      </c>
      <c r="E27" s="9" t="n">
        <f aca="false">IF(ISNUMBER(C27),C27-D27,"—")</f>
        <v>-2.72000000000003</v>
      </c>
      <c r="F27" s="9" t="s">
        <v>1557</v>
      </c>
      <c r="G27" s="12" t="s">
        <v>1561</v>
      </c>
    </row>
    <row r="28" customFormat="false" ht="15" hidden="false" customHeight="false" outlineLevel="0" collapsed="false">
      <c r="A28" s="9" t="s">
        <v>1562</v>
      </c>
      <c r="B28" s="9" t="s">
        <v>1563</v>
      </c>
      <c r="C28" s="13" t="n">
        <f aca="false">Inputs!$G$229*INP_238/INP_239</f>
        <v>3206.16</v>
      </c>
      <c r="D28" s="9" t="n">
        <v>3200</v>
      </c>
      <c r="E28" s="9" t="n">
        <f aca="false">IF(ISNUMBER(C28),C28-D28,"—")</f>
        <v>6.15999999999985</v>
      </c>
      <c r="F28" s="9" t="s">
        <v>1557</v>
      </c>
      <c r="G28" s="12" t="s">
        <v>1564</v>
      </c>
    </row>
    <row r="29" customFormat="false" ht="15" hidden="false" customHeight="false" outlineLevel="0" collapsed="false">
      <c r="A29" s="9" t="s">
        <v>1565</v>
      </c>
      <c r="B29" s="9" t="s">
        <v>1566</v>
      </c>
      <c r="C29" s="9" t="n">
        <f aca="false">IF(SRC_OAI_060&gt;=SRC_OAI_059,SRC_OAI_058/(SRC_OAI_060-SRC_OAI_059+1),"期間無效")</f>
        <v>60</v>
      </c>
      <c r="D29" s="9" t="n">
        <v>60</v>
      </c>
      <c r="E29" s="9" t="n">
        <f aca="false">IF(ISNUMBER(C29),C29-D29,"—")</f>
        <v>0</v>
      </c>
      <c r="F29" s="9" t="s">
        <v>56</v>
      </c>
      <c r="G29" s="12" t="s">
        <v>1567</v>
      </c>
    </row>
    <row r="30" customFormat="false" ht="15" hidden="false" customHeight="false" outlineLevel="0" collapsed="false">
      <c r="A30" s="9" t="s">
        <v>1568</v>
      </c>
      <c r="B30" s="9" t="s">
        <v>1569</v>
      </c>
      <c r="C30" s="9" t="n">
        <f aca="false">SRC_OAI_103+SRC_OAI_104</f>
        <v>5</v>
      </c>
      <c r="D30" s="9" t="n">
        <v>5</v>
      </c>
      <c r="E30" s="9" t="n">
        <f aca="false">IF(ISNUMBER(C30),C30-D30,"—")</f>
        <v>0</v>
      </c>
      <c r="F30" s="9" t="s">
        <v>363</v>
      </c>
      <c r="G30" s="12" t="s">
        <v>1570</v>
      </c>
    </row>
    <row r="31" customFormat="false" ht="15" hidden="false" customHeight="false" outlineLevel="0" collapsed="false">
      <c r="A31" s="9" t="s">
        <v>1571</v>
      </c>
      <c r="B31" s="9" t="s">
        <v>1572</v>
      </c>
      <c r="C31" s="9" t="n">
        <f aca="false">SRC_OAI_109+SRC_OAI_110+SRC_OAI_111+SRC_OAI_112</f>
        <v>87</v>
      </c>
      <c r="D31" s="9" t="n">
        <v>87</v>
      </c>
      <c r="E31" s="9" t="n">
        <f aca="false">IF(ISNUMBER(C31),C31-D31,"—")</f>
        <v>0</v>
      </c>
      <c r="F31" s="9" t="s">
        <v>56</v>
      </c>
      <c r="G31" s="12" t="s">
        <v>1573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1574</v>
      </c>
    </row>
    <row r="2" customFormat="false" ht="15" hidden="false" customHeight="false" outlineLevel="0" collapsed="false">
      <c r="A2" s="2" t="s">
        <v>1575</v>
      </c>
    </row>
    <row r="3" customFormat="false" ht="15" hidden="false" customHeight="false" outlineLevel="0" collapsed="false">
      <c r="A3" s="12" t="s">
        <v>1576</v>
      </c>
    </row>
    <row r="5" customFormat="false" ht="15" hidden="false" customHeight="false" outlineLevel="0" collapsed="false">
      <c r="A5" s="8" t="s">
        <v>1500</v>
      </c>
      <c r="B5" s="8" t="s">
        <v>1501</v>
      </c>
      <c r="C5" s="8" t="s">
        <v>34</v>
      </c>
      <c r="D5" s="7" t="s">
        <v>399</v>
      </c>
      <c r="E5" s="7" t="s">
        <v>411</v>
      </c>
      <c r="F5" s="7" t="s">
        <v>1000</v>
      </c>
      <c r="G5" s="7" t="s">
        <v>1002</v>
      </c>
      <c r="H5" s="7" t="s">
        <v>1004</v>
      </c>
      <c r="I5" s="7" t="s">
        <v>1006</v>
      </c>
      <c r="J5" s="8"/>
      <c r="K5" s="7" t="s">
        <v>1577</v>
      </c>
      <c r="L5" s="7" t="s">
        <v>1578</v>
      </c>
      <c r="M5" s="7" t="s">
        <v>1579</v>
      </c>
      <c r="N5" s="7" t="s">
        <v>1580</v>
      </c>
      <c r="O5" s="7" t="s">
        <v>1581</v>
      </c>
      <c r="P5" s="7" t="s">
        <v>1582</v>
      </c>
      <c r="Q5" s="8" t="s">
        <v>688</v>
      </c>
    </row>
    <row r="6" customFormat="false" ht="15" hidden="false" customHeight="false" outlineLevel="0" collapsed="false">
      <c r="B6" s="3" t="s">
        <v>1583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1584</v>
      </c>
    </row>
    <row r="8" customFormat="false" ht="15" hidden="false" customHeight="false" outlineLevel="0" collapsed="false">
      <c r="A8" s="9" t="s">
        <v>1585</v>
      </c>
      <c r="B8" s="10" t="s">
        <v>1586</v>
      </c>
      <c r="C8" s="10" t="s">
        <v>108</v>
      </c>
      <c r="E8" s="9" t="n">
        <f aca="false">INP_013*(1-SRC_OAI_037/INP_073)</f>
        <v>0.241304347826087</v>
      </c>
      <c r="F8" s="9" t="n">
        <f aca="false">INP_013*(1-SRC_OAI_037/INP_073)</f>
        <v>0.241304347826087</v>
      </c>
      <c r="G8" s="9" t="n">
        <f aca="false">INP_013*(1-SRC_OAI_037/INP_073)</f>
        <v>0.241304347826087</v>
      </c>
      <c r="H8" s="9" t="n">
        <f aca="false">INP_013*(1-SRC_OAI_037/INP_073)</f>
        <v>0.241304347826087</v>
      </c>
      <c r="I8" s="9" t="n">
        <f aca="false">INP_013*(1-SRC_OAI_037/INP_073)</f>
        <v>0.241304347826087</v>
      </c>
      <c r="L8" s="2" t="n">
        <v>0.241304347826087</v>
      </c>
      <c r="M8" s="2" t="n">
        <v>0.241304347826087</v>
      </c>
      <c r="N8" s="2" t="n">
        <v>0.241304347826087</v>
      </c>
      <c r="O8" s="2" t="n">
        <v>0.241304347826087</v>
      </c>
      <c r="P8" s="2" t="n">
        <v>0.241304347826087</v>
      </c>
      <c r="Q8" s="2" t="s">
        <v>1587</v>
      </c>
    </row>
    <row r="9" customFormat="false" ht="15" hidden="false" customHeight="false" outlineLevel="0" collapsed="false">
      <c r="A9" s="9" t="s">
        <v>1588</v>
      </c>
      <c r="B9" s="9" t="s">
        <v>1589</v>
      </c>
      <c r="C9" s="10" t="s">
        <v>548</v>
      </c>
      <c r="E9" s="9" t="n">
        <f aca="false">INP_013*(SRC_OAI_036-INP_073*(1-SRC_OAI_037/INP_073)-INP_065)/INP_065</f>
        <v>1.95</v>
      </c>
      <c r="F9" s="9" t="n">
        <f aca="false">INP_013*(SRC_OAI_036-INP_073*(1-SRC_OAI_037/INP_073)-INP_065)/INP_065</f>
        <v>1.95</v>
      </c>
      <c r="G9" s="9" t="n">
        <f aca="false">INP_013*(SRC_OAI_036-INP_073*(1-SRC_OAI_037/INP_073)-INP_065)/INP_065</f>
        <v>1.95</v>
      </c>
      <c r="H9" s="9" t="n">
        <f aca="false">INP_013*(SRC_OAI_036-INP_073*(1-SRC_OAI_037/INP_073)-INP_065)/INP_065</f>
        <v>1.95</v>
      </c>
      <c r="I9" s="9" t="n">
        <f aca="false">INP_013*(SRC_OAI_036-INP_073*(1-SRC_OAI_037/INP_073)-INP_065)/INP_065</f>
        <v>1.95</v>
      </c>
      <c r="L9" s="2" t="n">
        <v>1.95</v>
      </c>
      <c r="M9" s="2" t="n">
        <v>1.95</v>
      </c>
      <c r="N9" s="2" t="n">
        <v>1.95</v>
      </c>
      <c r="O9" s="2" t="n">
        <v>1.95</v>
      </c>
      <c r="P9" s="2" t="n">
        <v>1.95</v>
      </c>
      <c r="Q9" s="2" t="s">
        <v>1590</v>
      </c>
    </row>
    <row r="10" customFormat="false" ht="15" hidden="false" customHeight="false" outlineLevel="0" collapsed="false">
      <c r="A10" s="9" t="s">
        <v>1591</v>
      </c>
      <c r="B10" s="9" t="s">
        <v>1592</v>
      </c>
      <c r="C10" s="9" t="s">
        <v>246</v>
      </c>
      <c r="D10" s="9" t="n">
        <f aca="false">INP_056</f>
        <v>600</v>
      </c>
      <c r="E10" s="9" t="n">
        <f aca="false">V9_Free2026</f>
        <v>950.000000000001</v>
      </c>
      <c r="F10" s="9" t="n">
        <f aca="false">INP_058</f>
        <v>1250</v>
      </c>
      <c r="G10" s="9" t="n">
        <f aca="false">INP_059</f>
        <v>1500</v>
      </c>
      <c r="H10" s="9" t="n">
        <f aca="false">INP_060</f>
        <v>1700</v>
      </c>
      <c r="I10" s="9" t="n">
        <f aca="false">INP_061</f>
        <v>1850</v>
      </c>
      <c r="K10" s="2" t="n">
        <v>600</v>
      </c>
      <c r="L10" s="2" t="n">
        <v>950</v>
      </c>
      <c r="M10" s="2" t="n">
        <v>1250</v>
      </c>
      <c r="N10" s="2" t="n">
        <v>1500</v>
      </c>
      <c r="O10" s="2" t="n">
        <v>1700</v>
      </c>
      <c r="P10" s="2" t="n">
        <v>1850</v>
      </c>
      <c r="Q10" s="12" t="s">
        <v>1593</v>
      </c>
    </row>
    <row r="11" customFormat="false" ht="15" hidden="false" customHeight="false" outlineLevel="0" collapsed="false">
      <c r="A11" s="9" t="s">
        <v>1594</v>
      </c>
      <c r="B11" s="9" t="s">
        <v>1595</v>
      </c>
      <c r="C11" s="9" t="s">
        <v>246</v>
      </c>
      <c r="D11" s="9" t="n">
        <f aca="false">INP_064</f>
        <v>2</v>
      </c>
      <c r="E11" s="9" t="n">
        <f aca="false">INP_065*(1+E9)+INP_073*E8</f>
        <v>40.6</v>
      </c>
      <c r="F11" s="9" t="n">
        <f aca="false">INP_066*(1+F9)+INP_074*F8</f>
        <v>77.4478260869565</v>
      </c>
      <c r="G11" s="9" t="n">
        <f aca="false">INP_067*(1+G9)+INP_075*G8</f>
        <v>117.004347826087</v>
      </c>
      <c r="H11" s="9" t="n">
        <f aca="false">INP_068*(1+H9)+INP_076*H8</f>
        <v>147.469565217391</v>
      </c>
      <c r="I11" s="9" t="n">
        <f aca="false">INP_069*(1+I9)+INP_077*I8</f>
        <v>177.69347826087</v>
      </c>
      <c r="K11" s="2" t="n">
        <v>2</v>
      </c>
      <c r="L11" s="2" t="n">
        <v>40.6</v>
      </c>
      <c r="M11" s="2" t="n">
        <v>77.4478260869565</v>
      </c>
      <c r="N11" s="2" t="n">
        <v>117.004347826087</v>
      </c>
      <c r="O11" s="2" t="n">
        <v>147.469565217391</v>
      </c>
      <c r="P11" s="2" t="n">
        <v>177.69347826087</v>
      </c>
      <c r="Q11" s="12" t="s">
        <v>1596</v>
      </c>
    </row>
    <row r="12" customFormat="false" ht="15" hidden="false" customHeight="false" outlineLevel="0" collapsed="false">
      <c r="A12" s="9" t="s">
        <v>1597</v>
      </c>
      <c r="B12" s="9" t="s">
        <v>1598</v>
      </c>
      <c r="C12" s="9" t="s">
        <v>246</v>
      </c>
      <c r="D12" s="9" t="n">
        <f aca="false">V9_Plus2025</f>
        <v>30</v>
      </c>
      <c r="E12" s="9" t="n">
        <f aca="false">INP_073*(1-E8)</f>
        <v>34.9</v>
      </c>
      <c r="F12" s="9" t="n">
        <f aca="false">INP_074*(1-F8)</f>
        <v>39.4521739130435</v>
      </c>
      <c r="G12" s="9" t="n">
        <f aca="false">INP_075*(1-G8)</f>
        <v>43.245652173913</v>
      </c>
      <c r="H12" s="9" t="n">
        <f aca="false">INP_076*(1-H8)</f>
        <v>46.2804347826087</v>
      </c>
      <c r="I12" s="9" t="n">
        <f aca="false">INP_077*(1-I8)</f>
        <v>48.5565217391304</v>
      </c>
      <c r="K12" s="2" t="n">
        <v>30</v>
      </c>
      <c r="L12" s="2" t="n">
        <v>34.9</v>
      </c>
      <c r="M12" s="2" t="n">
        <v>39.4521739130435</v>
      </c>
      <c r="N12" s="2" t="n">
        <v>43.245652173913</v>
      </c>
      <c r="O12" s="2" t="n">
        <v>46.2804347826087</v>
      </c>
      <c r="P12" s="2" t="n">
        <v>48.5565217391304</v>
      </c>
      <c r="Q12" s="12" t="s">
        <v>1599</v>
      </c>
    </row>
    <row r="13" customFormat="false" ht="15" hidden="false" customHeight="false" outlineLevel="0" collapsed="false">
      <c r="A13" s="9" t="s">
        <v>1600</v>
      </c>
      <c r="B13" s="9" t="s">
        <v>1601</v>
      </c>
      <c r="C13" s="9" t="s">
        <v>246</v>
      </c>
      <c r="D13" s="9" t="n">
        <f aca="false">V9_Pro2025</f>
        <v>0.282258064516129</v>
      </c>
      <c r="E13" s="9" t="n">
        <f aca="false">V9_Pro2026</f>
        <v>0.564516129032258</v>
      </c>
      <c r="F13" s="9" t="n">
        <f aca="false">V9_Pro2027</f>
        <v>0.806451612903226</v>
      </c>
      <c r="G13" s="9" t="n">
        <f aca="false">V9_Pro2028</f>
        <v>1.04838709677419</v>
      </c>
      <c r="H13" s="9" t="n">
        <f aca="false">V9_Pro2029</f>
        <v>1.24193548387097</v>
      </c>
      <c r="I13" s="9" t="n">
        <f aca="false">V9_Pro2030</f>
        <v>1.41129032258065</v>
      </c>
      <c r="K13" s="2" t="n">
        <v>0.5</v>
      </c>
      <c r="L13" s="2" t="n">
        <v>1</v>
      </c>
      <c r="M13" s="2" t="n">
        <v>1.5</v>
      </c>
      <c r="N13" s="2" t="n">
        <v>2</v>
      </c>
      <c r="O13" s="2" t="n">
        <v>2.5</v>
      </c>
      <c r="P13" s="2" t="n">
        <v>3</v>
      </c>
      <c r="Q13" s="12" t="s">
        <v>1602</v>
      </c>
    </row>
    <row r="14" customFormat="false" ht="15" hidden="false" customHeight="false" outlineLevel="0" collapsed="false">
      <c r="A14" s="9" t="s">
        <v>1603</v>
      </c>
      <c r="B14" s="10" t="s">
        <v>1604</v>
      </c>
      <c r="C14" s="9" t="s">
        <v>246</v>
      </c>
      <c r="D14" s="9" t="n">
        <f aca="false">INP_088</f>
        <v>3</v>
      </c>
      <c r="E14" s="9" t="n">
        <f aca="false">INP_089</f>
        <v>14</v>
      </c>
      <c r="F14" s="9" t="n">
        <f aca="false">INP_090</f>
        <v>26</v>
      </c>
      <c r="G14" s="9" t="n">
        <f aca="false">INP_091</f>
        <v>38</v>
      </c>
      <c r="H14" s="9" t="n">
        <f aca="false">INP_092</f>
        <v>48</v>
      </c>
      <c r="I14" s="9" t="n">
        <f aca="false">INP_093</f>
        <v>56</v>
      </c>
      <c r="K14" s="2" t="n">
        <v>3</v>
      </c>
      <c r="L14" s="2" t="n">
        <v>14</v>
      </c>
      <c r="M14" s="2" t="n">
        <v>26</v>
      </c>
      <c r="N14" s="2" t="n">
        <v>38</v>
      </c>
      <c r="O14" s="2" t="n">
        <v>48</v>
      </c>
      <c r="P14" s="2" t="n">
        <v>56</v>
      </c>
      <c r="Q14" s="12" t="s">
        <v>10</v>
      </c>
    </row>
    <row r="15" customFormat="false" ht="15" hidden="false" customHeight="false" outlineLevel="0" collapsed="false">
      <c r="A15" s="9" t="s">
        <v>1605</v>
      </c>
      <c r="B15" s="10" t="s">
        <v>1606</v>
      </c>
      <c r="C15" s="9" t="s">
        <v>246</v>
      </c>
      <c r="D15" s="9" t="n">
        <f aca="false">D11+D12+D13+D14</f>
        <v>35.2822580645161</v>
      </c>
      <c r="E15" s="9" t="n">
        <f aca="false">E11+E12+E13+E14</f>
        <v>90.0645161290323</v>
      </c>
      <c r="F15" s="9" t="n">
        <f aca="false">F11+F12+F13+F14</f>
        <v>143.706451612903</v>
      </c>
      <c r="G15" s="9" t="n">
        <f aca="false">G11+G12+G13+G14</f>
        <v>199.298387096774</v>
      </c>
      <c r="H15" s="9" t="n">
        <f aca="false">H11+H12+H13+H14</f>
        <v>242.991935483871</v>
      </c>
      <c r="I15" s="9" t="n">
        <f aca="false">I11+I12+I13+I14</f>
        <v>283.661290322581</v>
      </c>
      <c r="Q15" s="2"/>
    </row>
    <row r="16" customFormat="false" ht="15" hidden="false" customHeight="false" outlineLevel="0" collapsed="false">
      <c r="A16" s="9" t="s">
        <v>1607</v>
      </c>
      <c r="B16" s="10" t="s">
        <v>1608</v>
      </c>
      <c r="C16" s="9" t="s">
        <v>246</v>
      </c>
      <c r="D16" s="9" t="n">
        <f aca="false">D11+D12+D13</f>
        <v>32.2822580645161</v>
      </c>
      <c r="E16" s="9" t="n">
        <f aca="false">E11+E12+E13</f>
        <v>76.0645161290323</v>
      </c>
      <c r="F16" s="9" t="n">
        <f aca="false">F11+F12+F13</f>
        <v>117.706451612903</v>
      </c>
      <c r="G16" s="9" t="n">
        <f aca="false">G11+G12+G13</f>
        <v>161.298387096774</v>
      </c>
      <c r="H16" s="9" t="n">
        <f aca="false">H11+H12+H13</f>
        <v>194.991935483871</v>
      </c>
      <c r="I16" s="9" t="n">
        <f aca="false">I11+I12+I13</f>
        <v>227.661290322581</v>
      </c>
      <c r="K16" s="2" t="n">
        <v>32.5</v>
      </c>
      <c r="L16" s="2" t="n">
        <v>76.5</v>
      </c>
      <c r="M16" s="2" t="n">
        <v>118.4</v>
      </c>
      <c r="N16" s="2" t="n">
        <v>162.25</v>
      </c>
      <c r="O16" s="2" t="n">
        <v>196.25</v>
      </c>
      <c r="P16" s="2" t="n">
        <v>229.25</v>
      </c>
      <c r="Q16" s="2"/>
    </row>
    <row r="17" customFormat="false" ht="15" hidden="false" customHeight="false" outlineLevel="0" collapsed="false">
      <c r="A17" s="14" t="s">
        <v>1609</v>
      </c>
    </row>
    <row r="18" customFormat="false" ht="15" hidden="false" customHeight="false" outlineLevel="0" collapsed="false">
      <c r="A18" s="9" t="s">
        <v>1610</v>
      </c>
      <c r="B18" s="9" t="s">
        <v>1611</v>
      </c>
      <c r="C18" s="10" t="s">
        <v>1126</v>
      </c>
      <c r="D18" s="9" t="n">
        <f aca="false">INP_102</f>
        <v>1.7</v>
      </c>
      <c r="E18" s="9" t="n">
        <f aca="false">INP_103</f>
        <v>1.7</v>
      </c>
      <c r="F18" s="9" t="n">
        <f aca="false">E18*(1+INP_122)</f>
        <v>1.87</v>
      </c>
      <c r="G18" s="9" t="n">
        <f aca="false">F18*(1+INP_122)</f>
        <v>2.057</v>
      </c>
      <c r="H18" s="9" t="n">
        <f aca="false">G18*(1+INP_122)</f>
        <v>2.2627</v>
      </c>
      <c r="I18" s="9" t="n">
        <f aca="false">H18*(1+INP_122)</f>
        <v>2.48897</v>
      </c>
      <c r="K18" s="2" t="n">
        <v>1.7</v>
      </c>
      <c r="L18" s="2" t="n">
        <v>1.7</v>
      </c>
      <c r="M18" s="2" t="n">
        <v>1.87</v>
      </c>
      <c r="N18" s="2" t="n">
        <v>2.057</v>
      </c>
      <c r="O18" s="2" t="n">
        <v>2.2627</v>
      </c>
      <c r="P18" s="2" t="n">
        <v>2.48897</v>
      </c>
      <c r="Q18" s="12" t="s">
        <v>1612</v>
      </c>
    </row>
    <row r="19" customFormat="false" ht="15" hidden="false" customHeight="false" outlineLevel="0" collapsed="false">
      <c r="A19" s="9" t="s">
        <v>960</v>
      </c>
      <c r="B19" s="9" t="s">
        <v>1613</v>
      </c>
      <c r="C19" s="10" t="s">
        <v>1126</v>
      </c>
      <c r="D19" s="9" t="n">
        <f aca="false">INP_104</f>
        <v>5.3</v>
      </c>
      <c r="E19" s="9" t="n">
        <f aca="false">INP_105</f>
        <v>5.7</v>
      </c>
      <c r="F19" s="9" t="n">
        <f aca="false">E19*(1+INP_122)</f>
        <v>6.27</v>
      </c>
      <c r="G19" s="9" t="n">
        <f aca="false">F19*(1+INP_122)</f>
        <v>6.897</v>
      </c>
      <c r="H19" s="9" t="n">
        <f aca="false">G19*(1+INP_122)</f>
        <v>7.5867</v>
      </c>
      <c r="I19" s="9" t="n">
        <f aca="false">H19*(1+INP_122)</f>
        <v>8.34537</v>
      </c>
      <c r="K19" s="2" t="n">
        <v>5.3</v>
      </c>
      <c r="L19" s="2" t="n">
        <v>5.7</v>
      </c>
      <c r="M19" s="2" t="n">
        <v>6.27</v>
      </c>
      <c r="N19" s="2" t="n">
        <v>6.897</v>
      </c>
      <c r="O19" s="2" t="n">
        <v>7.5867</v>
      </c>
      <c r="P19" s="2" t="n">
        <v>8.34537</v>
      </c>
      <c r="Q19" s="12" t="s">
        <v>1612</v>
      </c>
    </row>
    <row r="20" customFormat="false" ht="15" hidden="false" customHeight="false" outlineLevel="0" collapsed="false">
      <c r="A20" s="9" t="s">
        <v>1614</v>
      </c>
      <c r="B20" s="9" t="s">
        <v>1615</v>
      </c>
      <c r="C20" s="10" t="s">
        <v>1126</v>
      </c>
      <c r="D20" s="9" t="n">
        <f aca="false">INP_106</f>
        <v>13.4</v>
      </c>
      <c r="E20" s="9" t="n">
        <f aca="false">INP_107</f>
        <v>17.9</v>
      </c>
      <c r="F20" s="9" t="n">
        <f aca="false">E20*(1+INP_122)</f>
        <v>19.69</v>
      </c>
      <c r="G20" s="9" t="n">
        <f aca="false">F20*(1+INP_122)</f>
        <v>21.659</v>
      </c>
      <c r="H20" s="9" t="n">
        <f aca="false">G20*(1+INP_122)</f>
        <v>23.8249</v>
      </c>
      <c r="I20" s="9" t="n">
        <f aca="false">H20*(1+INP_122)</f>
        <v>26.20739</v>
      </c>
      <c r="K20" s="2" t="n">
        <v>13.4</v>
      </c>
      <c r="L20" s="2" t="n">
        <v>17.9</v>
      </c>
      <c r="M20" s="2" t="n">
        <v>19.69</v>
      </c>
      <c r="N20" s="2" t="n">
        <v>21.659</v>
      </c>
      <c r="O20" s="2" t="n">
        <v>23.8249</v>
      </c>
      <c r="P20" s="2" t="n">
        <v>26.20739</v>
      </c>
      <c r="Q20" s="12" t="s">
        <v>1612</v>
      </c>
    </row>
    <row r="21" customFormat="false" ht="15" hidden="false" customHeight="false" outlineLevel="0" collapsed="false">
      <c r="A21" s="9" t="s">
        <v>1616</v>
      </c>
      <c r="B21" s="9" t="s">
        <v>1617</v>
      </c>
      <c r="C21" s="10" t="s">
        <v>1126</v>
      </c>
      <c r="D21" s="9" t="n">
        <f aca="false">INP_108</f>
        <v>41</v>
      </c>
      <c r="E21" s="9" t="n">
        <f aca="false">INP_109</f>
        <v>51.4</v>
      </c>
      <c r="F21" s="9" t="n">
        <f aca="false">E21*(1+INP_122)</f>
        <v>56.54</v>
      </c>
      <c r="G21" s="9" t="n">
        <f aca="false">F21*(1+INP_122)</f>
        <v>62.194</v>
      </c>
      <c r="H21" s="9" t="n">
        <f aca="false">G21*(1+INP_122)</f>
        <v>68.4134</v>
      </c>
      <c r="I21" s="9" t="n">
        <f aca="false">H21*(1+INP_122)</f>
        <v>75.25474</v>
      </c>
      <c r="K21" s="2" t="n">
        <v>41</v>
      </c>
      <c r="L21" s="2" t="n">
        <v>51.4</v>
      </c>
      <c r="M21" s="2" t="n">
        <v>56.54</v>
      </c>
      <c r="N21" s="2" t="n">
        <v>62.194</v>
      </c>
      <c r="O21" s="2" t="n">
        <v>68.4134</v>
      </c>
      <c r="P21" s="2" t="n">
        <v>75.25474</v>
      </c>
      <c r="Q21" s="12" t="s">
        <v>1612</v>
      </c>
    </row>
    <row r="22" customFormat="false" ht="15" hidden="false" customHeight="false" outlineLevel="0" collapsed="false">
      <c r="A22" s="9" t="s">
        <v>1618</v>
      </c>
      <c r="B22" s="10" t="s">
        <v>1619</v>
      </c>
      <c r="C22" s="10" t="s">
        <v>1126</v>
      </c>
      <c r="D22" s="9" t="n">
        <f aca="false">INP_110</f>
        <v>10.7</v>
      </c>
      <c r="E22" s="9" t="n">
        <f aca="false">INP_111</f>
        <v>14.3</v>
      </c>
      <c r="F22" s="9" t="n">
        <f aca="false">E22*(1+INP_122)</f>
        <v>15.73</v>
      </c>
      <c r="G22" s="9" t="n">
        <f aca="false">F22*(1+INP_122)</f>
        <v>17.303</v>
      </c>
      <c r="H22" s="9" t="n">
        <f aca="false">G22*(1+INP_122)</f>
        <v>19.0333</v>
      </c>
      <c r="I22" s="9" t="n">
        <f aca="false">H22*(1+INP_122)</f>
        <v>20.93663</v>
      </c>
      <c r="K22" s="2" t="n">
        <v>10.7</v>
      </c>
      <c r="L22" s="2" t="n">
        <v>14.3</v>
      </c>
      <c r="M22" s="2" t="n">
        <v>15.73</v>
      </c>
      <c r="N22" s="2" t="n">
        <v>17.303</v>
      </c>
      <c r="O22" s="2" t="n">
        <v>19.0333</v>
      </c>
      <c r="P22" s="2" t="n">
        <v>20.93663</v>
      </c>
      <c r="Q22" s="12" t="s">
        <v>1612</v>
      </c>
    </row>
    <row r="23" customFormat="false" ht="15" hidden="false" customHeight="false" outlineLevel="0" collapsed="false">
      <c r="A23" s="9" t="s">
        <v>1620</v>
      </c>
      <c r="B23" s="9" t="s">
        <v>1621</v>
      </c>
      <c r="C23" s="9" t="s">
        <v>1622</v>
      </c>
      <c r="D23" s="9" t="n">
        <f aca="false">INP_112</f>
        <v>2</v>
      </c>
      <c r="E23" s="9" t="n">
        <f aca="false">INP_113</f>
        <v>2.94</v>
      </c>
      <c r="F23" s="9" t="n">
        <f aca="false">E23*(1+INP_123)</f>
        <v>3.381</v>
      </c>
      <c r="G23" s="9" t="n">
        <f aca="false">F23*(1+INP_123)</f>
        <v>3.88815</v>
      </c>
      <c r="H23" s="9" t="n">
        <f aca="false">G23*(1+INP_123)</f>
        <v>4.4713725</v>
      </c>
      <c r="I23" s="9" t="n">
        <f aca="false">H23*(1+INP_123)</f>
        <v>5.142078375</v>
      </c>
      <c r="K23" s="2" t="n">
        <v>2</v>
      </c>
      <c r="L23" s="2" t="n">
        <v>2.94</v>
      </c>
      <c r="M23" s="2" t="n">
        <v>3.381</v>
      </c>
      <c r="N23" s="2" t="n">
        <v>3.88815</v>
      </c>
      <c r="O23" s="2" t="n">
        <v>4.4713725</v>
      </c>
      <c r="P23" s="2" t="n">
        <v>5.142078375</v>
      </c>
      <c r="Q23" s="12" t="s">
        <v>1623</v>
      </c>
    </row>
    <row r="24" customFormat="false" ht="15" hidden="false" customHeight="false" outlineLevel="0" collapsed="false">
      <c r="A24" s="9" t="s">
        <v>1624</v>
      </c>
      <c r="B24" s="9" t="s">
        <v>1625</v>
      </c>
      <c r="C24" s="9" t="s">
        <v>1622</v>
      </c>
      <c r="D24" s="9" t="n">
        <f aca="false">INP_114</f>
        <v>3</v>
      </c>
      <c r="E24" s="9" t="n">
        <f aca="false">INP_115</f>
        <v>4.39</v>
      </c>
      <c r="F24" s="9" t="n">
        <f aca="false">E24*(1+INP_123)</f>
        <v>5.0485</v>
      </c>
      <c r="G24" s="9" t="n">
        <f aca="false">F24*(1+INP_123)</f>
        <v>5.805775</v>
      </c>
      <c r="H24" s="9" t="n">
        <f aca="false">G24*(1+INP_123)</f>
        <v>6.67664125</v>
      </c>
      <c r="I24" s="9" t="n">
        <f aca="false">H24*(1+INP_123)</f>
        <v>7.6781374375</v>
      </c>
      <c r="K24" s="2" t="n">
        <v>3</v>
      </c>
      <c r="L24" s="2" t="n">
        <v>4.39</v>
      </c>
      <c r="M24" s="2" t="n">
        <v>5.0485</v>
      </c>
      <c r="N24" s="2" t="n">
        <v>5.805775</v>
      </c>
      <c r="O24" s="2" t="n">
        <v>6.67664125</v>
      </c>
      <c r="P24" s="2" t="n">
        <v>7.6781374375</v>
      </c>
      <c r="Q24" s="12" t="s">
        <v>1623</v>
      </c>
    </row>
    <row r="25" customFormat="false" ht="15" hidden="false" customHeight="false" outlineLevel="0" collapsed="false">
      <c r="A25" s="9" t="s">
        <v>1626</v>
      </c>
      <c r="B25" s="9" t="s">
        <v>1627</v>
      </c>
      <c r="C25" s="9" t="s">
        <v>1622</v>
      </c>
      <c r="D25" s="9" t="n">
        <f aca="false">INP_116</f>
        <v>4</v>
      </c>
      <c r="E25" s="9" t="n">
        <f aca="false">INP_117</f>
        <v>6.15</v>
      </c>
      <c r="F25" s="9" t="n">
        <f aca="false">E25*(1+INP_123)</f>
        <v>7.0725</v>
      </c>
      <c r="G25" s="9" t="n">
        <f aca="false">F25*(1+INP_123)</f>
        <v>8.133375</v>
      </c>
      <c r="H25" s="9" t="n">
        <f aca="false">G25*(1+INP_123)</f>
        <v>9.35338125</v>
      </c>
      <c r="I25" s="9" t="n">
        <f aca="false">H25*(1+INP_123)</f>
        <v>10.7563884375</v>
      </c>
      <c r="K25" s="2" t="n">
        <v>4</v>
      </c>
      <c r="L25" s="2" t="n">
        <v>6.15</v>
      </c>
      <c r="M25" s="2" t="n">
        <v>7.0725</v>
      </c>
      <c r="N25" s="2" t="n">
        <v>8.133375</v>
      </c>
      <c r="O25" s="2" t="n">
        <v>9.35338125</v>
      </c>
      <c r="P25" s="2" t="n">
        <v>10.7563884375</v>
      </c>
      <c r="Q25" s="12" t="s">
        <v>1623</v>
      </c>
    </row>
    <row r="26" customFormat="false" ht="15" hidden="false" customHeight="false" outlineLevel="0" collapsed="false">
      <c r="A26" s="9" t="s">
        <v>1628</v>
      </c>
      <c r="B26" s="9" t="s">
        <v>1629</v>
      </c>
      <c r="C26" s="9" t="s">
        <v>1622</v>
      </c>
      <c r="D26" s="9" t="n">
        <f aca="false">INP_118</f>
        <v>10</v>
      </c>
      <c r="E26" s="9" t="n">
        <f aca="false">INP_119</f>
        <v>15.6</v>
      </c>
      <c r="F26" s="9" t="n">
        <f aca="false">E26*(1+INP_123)</f>
        <v>17.94</v>
      </c>
      <c r="G26" s="9" t="n">
        <f aca="false">F26*(1+INP_123)</f>
        <v>20.631</v>
      </c>
      <c r="H26" s="9" t="n">
        <f aca="false">G26*(1+INP_123)</f>
        <v>23.72565</v>
      </c>
      <c r="I26" s="9" t="n">
        <f aca="false">H26*(1+INP_123)</f>
        <v>27.2844975</v>
      </c>
      <c r="K26" s="2" t="n">
        <v>10</v>
      </c>
      <c r="L26" s="2" t="n">
        <v>15.6</v>
      </c>
      <c r="M26" s="2" t="n">
        <v>17.94</v>
      </c>
      <c r="N26" s="2" t="n">
        <v>20.631</v>
      </c>
      <c r="O26" s="2" t="n">
        <v>23.72565</v>
      </c>
      <c r="P26" s="2" t="n">
        <v>27.2844975</v>
      </c>
      <c r="Q26" s="12" t="s">
        <v>1623</v>
      </c>
    </row>
    <row r="27" customFormat="false" ht="15" hidden="false" customHeight="false" outlineLevel="0" collapsed="false">
      <c r="A27" s="9" t="s">
        <v>1630</v>
      </c>
      <c r="B27" s="10" t="s">
        <v>1631</v>
      </c>
      <c r="C27" s="9" t="s">
        <v>1622</v>
      </c>
      <c r="D27" s="9" t="n">
        <f aca="false">INP_120</f>
        <v>4</v>
      </c>
      <c r="E27" s="9" t="n">
        <f aca="false">INP_121</f>
        <v>5.94</v>
      </c>
      <c r="F27" s="9" t="n">
        <f aca="false">E27*(1+INP_123)</f>
        <v>6.831</v>
      </c>
      <c r="G27" s="9" t="n">
        <f aca="false">F27*(1+INP_123)</f>
        <v>7.85565</v>
      </c>
      <c r="H27" s="9" t="n">
        <f aca="false">G27*(1+INP_123)</f>
        <v>9.0339975</v>
      </c>
      <c r="I27" s="9" t="n">
        <f aca="false">H27*(1+INP_123)</f>
        <v>10.389097125</v>
      </c>
      <c r="K27" s="2" t="n">
        <v>4</v>
      </c>
      <c r="L27" s="2" t="n">
        <v>5.94</v>
      </c>
      <c r="M27" s="2" t="n">
        <v>6.831</v>
      </c>
      <c r="N27" s="2" t="n">
        <v>7.85565</v>
      </c>
      <c r="O27" s="2" t="n">
        <v>9.0339975</v>
      </c>
      <c r="P27" s="2" t="n">
        <v>10.389097125</v>
      </c>
      <c r="Q27" s="12" t="s">
        <v>1623</v>
      </c>
    </row>
    <row r="28" customFormat="false" ht="15" hidden="false" customHeight="false" outlineLevel="0" collapsed="false">
      <c r="A28" s="9" t="s">
        <v>1632</v>
      </c>
      <c r="B28" s="9" t="s">
        <v>1633</v>
      </c>
      <c r="C28" s="9" t="s">
        <v>1557</v>
      </c>
      <c r="D28" s="9" t="n">
        <f aca="false">D10*D18*D23*INP_251/INP_239</f>
        <v>744.6</v>
      </c>
      <c r="E28" s="9" t="n">
        <f aca="false">E10*E18*E23*INP_251/INP_239</f>
        <v>1733.0565</v>
      </c>
      <c r="F28" s="9" t="n">
        <f aca="false">F10*F18*F23*INP_251/INP_239</f>
        <v>2884.6269375</v>
      </c>
      <c r="G28" s="9" t="n">
        <f aca="false">G10*G18*G23*INP_251/INP_239</f>
        <v>4378.863691125</v>
      </c>
      <c r="H28" s="9" t="n">
        <f aca="false">H10*H18*H23*INP_251/INP_239</f>
        <v>6277.83091184288</v>
      </c>
      <c r="I28" s="9" t="n">
        <f aca="false">I10*I18*I23*INP_251/INP_239</f>
        <v>8642.17281849429</v>
      </c>
      <c r="K28" s="2" t="n">
        <v>744.6</v>
      </c>
      <c r="L28" s="2" t="n">
        <v>1733.0565</v>
      </c>
      <c r="M28" s="2" t="n">
        <v>2884.6269375</v>
      </c>
      <c r="N28" s="2" t="n">
        <v>4378.863691125</v>
      </c>
      <c r="O28" s="2" t="n">
        <v>6277.83091184288</v>
      </c>
      <c r="P28" s="2" t="n">
        <v>8642.17281849429</v>
      </c>
      <c r="Q28" s="2" t="s">
        <v>1634</v>
      </c>
    </row>
    <row r="29" customFormat="false" ht="15" hidden="false" customHeight="false" outlineLevel="0" collapsed="false">
      <c r="A29" s="9" t="s">
        <v>1635</v>
      </c>
      <c r="B29" s="9" t="s">
        <v>1636</v>
      </c>
      <c r="C29" s="9" t="s">
        <v>1557</v>
      </c>
      <c r="D29" s="9" t="n">
        <f aca="false">D11*D19*D24*INP_251/INP_239</f>
        <v>11.607</v>
      </c>
      <c r="E29" s="9" t="n">
        <f aca="false">E11*E19*E24*INP_251/INP_239</f>
        <v>370.815837</v>
      </c>
      <c r="F29" s="9" t="n">
        <f aca="false">F11*F19*F24*INP_251/INP_239</f>
        <v>894.8124082425</v>
      </c>
      <c r="G29" s="9" t="n">
        <f aca="false">G11*G19*G24*INP_251/INP_239</f>
        <v>1710.07552621909</v>
      </c>
      <c r="H29" s="9" t="n">
        <f aca="false">H11*H19*H24*INP_251/INP_239</f>
        <v>2726.50448695137</v>
      </c>
      <c r="I29" s="9" t="n">
        <f aca="false">I11*I19*I24*INP_251/INP_239</f>
        <v>4155.90710061812</v>
      </c>
      <c r="K29" s="2" t="n">
        <v>11.607</v>
      </c>
      <c r="L29" s="2" t="n">
        <v>370.815837</v>
      </c>
      <c r="M29" s="2" t="n">
        <v>894.8124082425</v>
      </c>
      <c r="N29" s="2" t="n">
        <v>1710.07552621909</v>
      </c>
      <c r="O29" s="2" t="n">
        <v>2726.50448695137</v>
      </c>
      <c r="P29" s="2" t="n">
        <v>4155.90710061812</v>
      </c>
      <c r="Q29" s="2" t="s">
        <v>1634</v>
      </c>
    </row>
    <row r="30" customFormat="false" ht="15" hidden="false" customHeight="false" outlineLevel="0" collapsed="false">
      <c r="A30" s="9" t="s">
        <v>1637</v>
      </c>
      <c r="B30" s="9" t="s">
        <v>1638</v>
      </c>
      <c r="C30" s="9" t="s">
        <v>1557</v>
      </c>
      <c r="D30" s="9" t="n">
        <f aca="false">D12*D20*D25*INP_251/INP_239</f>
        <v>586.92</v>
      </c>
      <c r="E30" s="9" t="n">
        <f aca="false">E12*E20*E25*INP_251/INP_239</f>
        <v>1402.3177725</v>
      </c>
      <c r="F30" s="9" t="n">
        <f aca="false">F12*F20*F25*INP_251/INP_239</f>
        <v>2005.314414675</v>
      </c>
      <c r="G30" s="9" t="n">
        <f aca="false">G12*G20*G25*INP_251/INP_239</f>
        <v>2780.63838211809</v>
      </c>
      <c r="H30" s="9" t="n">
        <f aca="false">H12*H20*H25*INP_251/INP_239</f>
        <v>3764.35018870426</v>
      </c>
      <c r="I30" s="9" t="n">
        <f aca="false">I12*I20*I25*INP_251/INP_239</f>
        <v>4996.09493897536</v>
      </c>
      <c r="K30" s="2" t="n">
        <v>586.92</v>
      </c>
      <c r="L30" s="2" t="n">
        <v>1402.3177725</v>
      </c>
      <c r="M30" s="2" t="n">
        <v>2005.314414675</v>
      </c>
      <c r="N30" s="2" t="n">
        <v>2780.63838211809</v>
      </c>
      <c r="O30" s="2" t="n">
        <v>3764.35018870426</v>
      </c>
      <c r="P30" s="2" t="n">
        <v>4996.09493897536</v>
      </c>
      <c r="Q30" s="2" t="s">
        <v>1634</v>
      </c>
    </row>
    <row r="31" customFormat="false" ht="15" hidden="false" customHeight="false" outlineLevel="0" collapsed="false">
      <c r="A31" s="9" t="s">
        <v>1639</v>
      </c>
      <c r="B31" s="9" t="s">
        <v>1640</v>
      </c>
      <c r="C31" s="9" t="s">
        <v>1557</v>
      </c>
      <c r="D31" s="9" t="n">
        <f aca="false">D13*D21*D26*INP_251/INP_239</f>
        <v>42.2399193548387</v>
      </c>
      <c r="E31" s="9" t="n">
        <f aca="false">E13*E21*E26*INP_251/INP_239</f>
        <v>165.217838709677</v>
      </c>
      <c r="F31" s="9" t="n">
        <f aca="false">F13*F21*F26*INP_251/INP_239</f>
        <v>298.572237096774</v>
      </c>
      <c r="G31" s="9" t="n">
        <f aca="false">G13*G21*G26*INP_251/INP_239</f>
        <v>491.002043905645</v>
      </c>
      <c r="H31" s="9" t="n">
        <f aca="false">H13*H21*H26*INP_251/INP_239</f>
        <v>735.785447486606</v>
      </c>
      <c r="I31" s="9" t="n">
        <f aca="false">I13*I21*I26*INP_251/INP_239</f>
        <v>1057.691580762</v>
      </c>
      <c r="K31" s="2" t="n">
        <v>74.825</v>
      </c>
      <c r="L31" s="2" t="n">
        <v>292.6716</v>
      </c>
      <c r="M31" s="2" t="n">
        <v>555.344361</v>
      </c>
      <c r="N31" s="2" t="n">
        <v>936.68082222</v>
      </c>
      <c r="O31" s="2" t="n">
        <v>1481.12655013538</v>
      </c>
      <c r="P31" s="2" t="n">
        <v>2248.3501031055</v>
      </c>
      <c r="Q31" s="2" t="s">
        <v>1634</v>
      </c>
    </row>
    <row r="32" customFormat="false" ht="15" hidden="false" customHeight="false" outlineLevel="0" collapsed="false">
      <c r="A32" s="9" t="s">
        <v>1641</v>
      </c>
      <c r="B32" s="10" t="s">
        <v>1642</v>
      </c>
      <c r="C32" s="9" t="s">
        <v>1557</v>
      </c>
      <c r="D32" s="9" t="n">
        <f aca="false">D14*D22*D27*INP_251/INP_239</f>
        <v>46.866</v>
      </c>
      <c r="E32" s="9" t="n">
        <f aca="false">E14*E22*E27*INP_251/INP_239</f>
        <v>434.05362</v>
      </c>
      <c r="F32" s="9" t="n">
        <f aca="false">F14*F22*F27*INP_251/INP_239</f>
        <v>1019.7159687</v>
      </c>
      <c r="G32" s="9" t="n">
        <f aca="false">G14*G22*G27*INP_251/INP_239</f>
        <v>1885.2979467465</v>
      </c>
      <c r="H32" s="9" t="n">
        <f aca="false">H14*H22*H27*INP_251/INP_239</f>
        <v>3012.50766648546</v>
      </c>
      <c r="I32" s="9" t="n">
        <f aca="false">I14*I22*I27*INP_251/INP_239</f>
        <v>4445.95923112146</v>
      </c>
      <c r="K32" s="2" t="n">
        <v>46.866</v>
      </c>
      <c r="L32" s="2" t="n">
        <v>434.05362</v>
      </c>
      <c r="M32" s="2" t="n">
        <v>1019.7159687</v>
      </c>
      <c r="N32" s="2" t="n">
        <v>1885.2979467465</v>
      </c>
      <c r="O32" s="2" t="n">
        <v>3012.50766648546</v>
      </c>
      <c r="P32" s="2" t="n">
        <v>4445.95923112146</v>
      </c>
      <c r="Q32" s="2" t="s">
        <v>1634</v>
      </c>
    </row>
    <row r="33" customFormat="false" ht="15" hidden="false" customHeight="false" outlineLevel="0" collapsed="false">
      <c r="A33" s="9" t="s">
        <v>1643</v>
      </c>
      <c r="B33" s="10" t="s">
        <v>1644</v>
      </c>
      <c r="C33" s="9" t="s">
        <v>1557</v>
      </c>
      <c r="D33" s="9" t="n">
        <f aca="false">D28+D29+D30+D31+D32</f>
        <v>1432.23291935484</v>
      </c>
      <c r="E33" s="9" t="n">
        <f aca="false">E28+E29+E30+E31+E32</f>
        <v>4105.46156820968</v>
      </c>
      <c r="F33" s="9" t="n">
        <f aca="false">F28+F29+F30+F31+F32</f>
        <v>7103.04196621427</v>
      </c>
      <c r="G33" s="9" t="n">
        <f aca="false">G28+G29+G30+G31+G32</f>
        <v>11245.8775901143</v>
      </c>
      <c r="H33" s="9" t="n">
        <f aca="false">H28+H29+H30+H31+H32</f>
        <v>16516.9787014706</v>
      </c>
      <c r="I33" s="9" t="n">
        <f aca="false">I28+I29+I30+I31+I32</f>
        <v>23297.8256699712</v>
      </c>
      <c r="K33" s="2" t="n">
        <v>1464.818</v>
      </c>
      <c r="L33" s="2" t="n">
        <v>4232.9153295</v>
      </c>
      <c r="M33" s="2" t="n">
        <v>7359.8140901175</v>
      </c>
      <c r="N33" s="2" t="n">
        <v>11691.5563684287</v>
      </c>
      <c r="O33" s="2" t="n">
        <v>17262.3198041193</v>
      </c>
      <c r="P33" s="2" t="n">
        <v>24488.4841923147</v>
      </c>
      <c r="Q33" s="12" t="s">
        <v>1645</v>
      </c>
    </row>
    <row r="34" customFormat="false" ht="15" hidden="false" customHeight="false" outlineLevel="0" collapsed="false">
      <c r="A34" s="14" t="s">
        <v>1646</v>
      </c>
    </row>
    <row r="35" customFormat="false" ht="15" hidden="false" customHeight="false" outlineLevel="0" collapsed="false">
      <c r="A35" s="9" t="s">
        <v>1647</v>
      </c>
      <c r="B35" s="10" t="s">
        <v>1648</v>
      </c>
      <c r="C35" s="10" t="s">
        <v>548</v>
      </c>
      <c r="E35" s="9" t="n">
        <f aca="false">Revenue!E21/Revenue!D21</f>
        <v>1.41849070307055</v>
      </c>
      <c r="F35" s="9" t="n">
        <f aca="false">Revenue!F21/Revenue!E21</f>
        <v>0.642598651733446</v>
      </c>
      <c r="G35" s="9" t="n">
        <f aca="false">Revenue!G21/Revenue!F21</f>
        <v>0.646403857420139</v>
      </c>
      <c r="H35" s="9" t="n">
        <f aca="false">Revenue!H21/Revenue!G21</f>
        <v>0.650251402155518</v>
      </c>
      <c r="I35" s="9" t="n">
        <f aca="false">Revenue!I21/Revenue!H21</f>
        <v>0.65409597179223</v>
      </c>
      <c r="L35" s="2" t="n">
        <v>1</v>
      </c>
      <c r="M35" s="2" t="n">
        <v>0.642202298226596</v>
      </c>
      <c r="N35" s="2" t="n">
        <v>0.646000471876533</v>
      </c>
      <c r="O35" s="2" t="n">
        <v>0.649845676149487</v>
      </c>
      <c r="P35" s="2" t="n">
        <v>0.653692706722902</v>
      </c>
      <c r="Q35" s="2" t="s">
        <v>1649</v>
      </c>
    </row>
    <row r="36" customFormat="false" ht="15" hidden="false" customHeight="false" outlineLevel="0" collapsed="false">
      <c r="A36" s="9" t="s">
        <v>1650</v>
      </c>
      <c r="B36" s="9" t="s">
        <v>1651</v>
      </c>
      <c r="C36" s="9" t="s">
        <v>1622</v>
      </c>
      <c r="D36" s="9" t="n">
        <f aca="false">INP_031</f>
        <v>10</v>
      </c>
      <c r="E36" s="9" t="n">
        <f aca="false">D36*(1+INP_041)*E35^(INP_049*(E$6&gt;=INP_004))</f>
        <v>12</v>
      </c>
      <c r="F36" s="9" t="n">
        <f aca="false">E36*(1+INP_042)*F35^(INP_049*(F$6&gt;=INP_004))</f>
        <v>15.7578565787945</v>
      </c>
      <c r="G36" s="9" t="n">
        <f aca="false">F36*(1+INP_043)*G35^(INP_049*(G$6&gt;=INP_004))</f>
        <v>20.1170355896638</v>
      </c>
      <c r="H36" s="9" t="n">
        <f aca="false">G36*(1+INP_044)*H35^(INP_049*(H$6&gt;=INP_004))</f>
        <v>25.1786406834027</v>
      </c>
      <c r="I36" s="9" t="n">
        <f aca="false">H36*(1+INP_045)*I35^(INP_049*(I$6&gt;=INP_004))</f>
        <v>30.8861369872656</v>
      </c>
      <c r="K36" s="2" t="n">
        <v>10</v>
      </c>
      <c r="L36" s="2" t="n">
        <v>12</v>
      </c>
      <c r="M36" s="2" t="n">
        <v>15.7607735722679</v>
      </c>
      <c r="N36" s="2" t="n">
        <v>20.1245279371246</v>
      </c>
      <c r="O36" s="2" t="n">
        <v>25.1927349160684</v>
      </c>
      <c r="P36" s="2" t="n">
        <v>30.9091441932479</v>
      </c>
      <c r="Q36" s="2" t="s">
        <v>1652</v>
      </c>
    </row>
    <row r="37" customFormat="false" ht="15" hidden="false" customHeight="false" outlineLevel="0" collapsed="false">
      <c r="A37" s="9" t="s">
        <v>1653</v>
      </c>
      <c r="B37" s="9" t="s">
        <v>1654</v>
      </c>
      <c r="C37" s="10" t="s">
        <v>1655</v>
      </c>
      <c r="D37" s="9" t="n">
        <f aca="false">D38/D36</f>
        <v>210.582719058687</v>
      </c>
      <c r="E37" s="9" t="n">
        <f aca="false">D37*(1+INP_033)*E35^(INP_048*(E$6&gt;=INP_004))</f>
        <v>492.763562597328</v>
      </c>
      <c r="F37" s="9" t="n">
        <f aca="false">E37*(1+INP_034)*F35^(INP_048*(F$6&gt;=INP_004))</f>
        <v>973.752804900931</v>
      </c>
      <c r="G37" s="9" t="n">
        <f aca="false">F37*(1+INP_035)*G35^(INP_048*(G$6&gt;=INP_004))</f>
        <v>1784.14329659956</v>
      </c>
      <c r="H37" s="9" t="n">
        <f aca="false">G37*(1+INP_036)*H35^(INP_048*(H$6&gt;=INP_004))</f>
        <v>3014.27476295805</v>
      </c>
      <c r="I37" s="9" t="n">
        <f aca="false">H37*(1+INP_037)*I35^(INP_048*(I$6&gt;=INP_004))</f>
        <v>4868.72282825021</v>
      </c>
      <c r="K37" s="2" t="n">
        <v>184.056429081931</v>
      </c>
      <c r="L37" s="2" t="n">
        <v>430.692044051719</v>
      </c>
      <c r="M37" s="2" t="n">
        <v>851.460592762892</v>
      </c>
      <c r="N37" s="2" t="n">
        <v>1560.75716241308</v>
      </c>
      <c r="O37" s="2" t="n">
        <v>2638.02062123507</v>
      </c>
      <c r="P37" s="2" t="n">
        <v>4262.82873320222</v>
      </c>
      <c r="Q37" s="12" t="s">
        <v>1656</v>
      </c>
    </row>
    <row r="38" customFormat="false" ht="15" hidden="false" customHeight="false" outlineLevel="0" collapsed="false">
      <c r="A38" s="9" t="s">
        <v>1657</v>
      </c>
      <c r="B38" s="9" t="s">
        <v>1658</v>
      </c>
      <c r="C38" s="9" t="s">
        <v>1557</v>
      </c>
      <c r="D38" s="9" t="n">
        <f aca="false">Revenue!D33/Revenue!D21*INP_253</f>
        <v>2105.82719058687</v>
      </c>
      <c r="E38" s="9" t="n">
        <f aca="false">E37*E36</f>
        <v>5913.16275116794</v>
      </c>
      <c r="F38" s="9" t="n">
        <f aca="false">F37*F36</f>
        <v>15344.2570428277</v>
      </c>
      <c r="G38" s="9" t="n">
        <f aca="false">G37*G36</f>
        <v>35891.6741947535</v>
      </c>
      <c r="H38" s="9" t="n">
        <f aca="false">H37*H36</f>
        <v>75895.3411775696</v>
      </c>
      <c r="I38" s="9" t="n">
        <f aca="false">I37*I36</f>
        <v>150376.040226363</v>
      </c>
      <c r="K38" s="2" t="n">
        <v>1840.56429081931</v>
      </c>
      <c r="L38" s="2" t="n">
        <v>5168.30452862062</v>
      </c>
      <c r="M38" s="2" t="n">
        <v>13419.6776082449</v>
      </c>
      <c r="N38" s="2" t="n">
        <v>31409.5011180493</v>
      </c>
      <c r="O38" s="2" t="n">
        <v>66458.9542138972</v>
      </c>
      <c r="P38" s="2" t="n">
        <v>131760.387985667</v>
      </c>
      <c r="Q38" s="12" t="s">
        <v>1659</v>
      </c>
    </row>
    <row r="39" customFormat="false" ht="15" hidden="false" customHeight="false" outlineLevel="0" collapsed="false">
      <c r="A39" s="9" t="s">
        <v>1660</v>
      </c>
      <c r="B39" s="9" t="s">
        <v>1661</v>
      </c>
      <c r="C39" s="9" t="s">
        <v>1557</v>
      </c>
      <c r="D39" s="9" t="n">
        <f aca="false">D38*Revenue!D18</f>
        <v>842.33087623475</v>
      </c>
      <c r="E39" s="9" t="n">
        <f aca="false">E38*Revenue!E18</f>
        <v>886.974412675191</v>
      </c>
      <c r="F39" s="9" t="n">
        <f aca="false">F38*Revenue!F18</f>
        <v>2301.63855642416</v>
      </c>
      <c r="G39" s="9" t="n">
        <f aca="false">G38*Revenue!G18</f>
        <v>5383.75112921303</v>
      </c>
      <c r="H39" s="9" t="n">
        <f aca="false">H38*Revenue!H18</f>
        <v>11384.3011766354</v>
      </c>
      <c r="I39" s="9" t="n">
        <f aca="false">I38*Revenue!I18</f>
        <v>22556.4060339544</v>
      </c>
      <c r="K39" s="2" t="n">
        <v>736.225716327724</v>
      </c>
      <c r="L39" s="2" t="n">
        <v>775.245679293093</v>
      </c>
      <c r="M39" s="2" t="n">
        <v>2012.95164123674</v>
      </c>
      <c r="N39" s="2" t="n">
        <v>4711.42516770739</v>
      </c>
      <c r="O39" s="2" t="n">
        <v>9968.84313208457</v>
      </c>
      <c r="P39" s="2" t="n">
        <v>19764.0581978501</v>
      </c>
      <c r="Q39" s="2" t="s">
        <v>1662</v>
      </c>
    </row>
    <row r="40" customFormat="false" ht="15" hidden="false" customHeight="false" outlineLevel="0" collapsed="false">
      <c r="A40" s="9" t="s">
        <v>1663</v>
      </c>
      <c r="B40" s="9" t="s">
        <v>1664</v>
      </c>
      <c r="C40" s="9" t="s">
        <v>1557</v>
      </c>
      <c r="D40" s="9" t="n">
        <f aca="false">D38*Revenue!D19</f>
        <v>842.33087623475</v>
      </c>
      <c r="E40" s="9" t="n">
        <f aca="false">E38*Revenue!E19</f>
        <v>2660.92323802557</v>
      </c>
      <c r="F40" s="9" t="n">
        <f aca="false">F38*Revenue!F19</f>
        <v>6904.91566927248</v>
      </c>
      <c r="G40" s="9" t="n">
        <f aca="false">G38*Revenue!G19</f>
        <v>16151.2533876391</v>
      </c>
      <c r="H40" s="9" t="n">
        <f aca="false">H38*Revenue!H19</f>
        <v>34152.9035299063</v>
      </c>
      <c r="I40" s="9" t="n">
        <f aca="false">I38*Revenue!I19</f>
        <v>67669.2181018633</v>
      </c>
      <c r="K40" s="2" t="n">
        <v>736.225716327724</v>
      </c>
      <c r="L40" s="2" t="n">
        <v>2325.73703787928</v>
      </c>
      <c r="M40" s="2" t="n">
        <v>6038.85492371022</v>
      </c>
      <c r="N40" s="2" t="n">
        <v>14134.2755031222</v>
      </c>
      <c r="O40" s="2" t="n">
        <v>29906.5293962537</v>
      </c>
      <c r="P40" s="2" t="n">
        <v>59292.1745935504</v>
      </c>
      <c r="Q40" s="2" t="s">
        <v>1662</v>
      </c>
    </row>
    <row r="41" customFormat="false" ht="15" hidden="false" customHeight="false" outlineLevel="0" collapsed="false">
      <c r="A41" s="9" t="s">
        <v>1665</v>
      </c>
      <c r="B41" s="9" t="s">
        <v>1666</v>
      </c>
      <c r="C41" s="9" t="s">
        <v>1557</v>
      </c>
      <c r="D41" s="9" t="n">
        <f aca="false">D38*Revenue!D20</f>
        <v>421.165438117375</v>
      </c>
      <c r="E41" s="9" t="n">
        <f aca="false">E38*Revenue!E20</f>
        <v>2365.26510046718</v>
      </c>
      <c r="F41" s="9" t="n">
        <f aca="false">F38*Revenue!F20</f>
        <v>6137.70281713109</v>
      </c>
      <c r="G41" s="9" t="n">
        <f aca="false">G38*Revenue!G20</f>
        <v>14356.6696779014</v>
      </c>
      <c r="H41" s="9" t="n">
        <f aca="false">H38*Revenue!H20</f>
        <v>30358.1364710278</v>
      </c>
      <c r="I41" s="9" t="n">
        <f aca="false">I38*Revenue!I20</f>
        <v>60150.4160905452</v>
      </c>
      <c r="K41" s="2" t="n">
        <v>368.112858163862</v>
      </c>
      <c r="L41" s="2" t="n">
        <v>2067.32181144825</v>
      </c>
      <c r="M41" s="2" t="n">
        <v>5367.87104329797</v>
      </c>
      <c r="N41" s="2" t="n">
        <v>12563.8004472197</v>
      </c>
      <c r="O41" s="2" t="n">
        <v>26583.5816855589</v>
      </c>
      <c r="P41" s="2" t="n">
        <v>52704.155194267</v>
      </c>
      <c r="Q41" s="2" t="s">
        <v>1662</v>
      </c>
    </row>
    <row r="42" customFormat="false" ht="15" hidden="false" customHeight="false" outlineLevel="0" collapsed="false">
      <c r="A42" s="14" t="s">
        <v>1667</v>
      </c>
    </row>
    <row r="43" customFormat="false" ht="15" hidden="false" customHeight="false" outlineLevel="0" collapsed="false">
      <c r="A43" s="9" t="s">
        <v>1668</v>
      </c>
      <c r="B43" s="10" t="s">
        <v>1669</v>
      </c>
      <c r="C43" s="9" t="s">
        <v>1557</v>
      </c>
      <c r="D43" s="9" t="n">
        <f aca="false">D28*INP_157</f>
        <v>0</v>
      </c>
      <c r="E43" s="9" t="n">
        <f aca="false">E28*INP_157</f>
        <v>0</v>
      </c>
      <c r="F43" s="9" t="n">
        <f aca="false">F28*INP_157</f>
        <v>0</v>
      </c>
      <c r="G43" s="9" t="n">
        <f aca="false">G28*INP_157</f>
        <v>0</v>
      </c>
      <c r="H43" s="9" t="n">
        <f aca="false">H28*INP_157</f>
        <v>0</v>
      </c>
      <c r="I43" s="9" t="n">
        <f aca="false">I28*INP_157</f>
        <v>0</v>
      </c>
      <c r="Q43" s="12" t="s">
        <v>1670</v>
      </c>
    </row>
    <row r="44" customFormat="false" ht="15" hidden="false" customHeight="false" outlineLevel="0" collapsed="false">
      <c r="A44" s="9" t="s">
        <v>1671</v>
      </c>
      <c r="B44" s="10" t="s">
        <v>1672</v>
      </c>
      <c r="C44" s="9" t="s">
        <v>1557</v>
      </c>
      <c r="D44" s="9" t="n">
        <f aca="false">D28*INP_156</f>
        <v>74.46</v>
      </c>
      <c r="E44" s="9" t="n">
        <f aca="false">E28*INP_156</f>
        <v>173.30565</v>
      </c>
      <c r="F44" s="9" t="n">
        <f aca="false">F28*INP_156</f>
        <v>288.46269375</v>
      </c>
      <c r="G44" s="9" t="n">
        <f aca="false">G28*INP_156</f>
        <v>437.8863691125</v>
      </c>
      <c r="H44" s="9" t="n">
        <f aca="false">H28*INP_156</f>
        <v>627.783091184288</v>
      </c>
      <c r="I44" s="9" t="n">
        <f aca="false">I28*INP_156</f>
        <v>864.217281849429</v>
      </c>
      <c r="Q44" s="12" t="s">
        <v>1673</v>
      </c>
    </row>
    <row r="45" customFormat="false" ht="15" hidden="false" customHeight="false" outlineLevel="0" collapsed="false">
      <c r="A45" s="9" t="s">
        <v>1674</v>
      </c>
      <c r="B45" s="10" t="s">
        <v>1675</v>
      </c>
      <c r="C45" s="9" t="s">
        <v>1557</v>
      </c>
      <c r="D45" s="9" t="n">
        <f aca="false">D28*INP_155</f>
        <v>670.14</v>
      </c>
      <c r="E45" s="9" t="n">
        <f aca="false">E28*INP_155</f>
        <v>1559.75085</v>
      </c>
      <c r="F45" s="9" t="n">
        <f aca="false">F28*INP_155</f>
        <v>2596.16424375</v>
      </c>
      <c r="G45" s="9" t="n">
        <f aca="false">G28*INP_155</f>
        <v>3940.9773220125</v>
      </c>
      <c r="H45" s="9" t="n">
        <f aca="false">H28*INP_155</f>
        <v>5650.04782065859</v>
      </c>
      <c r="I45" s="9" t="n">
        <f aca="false">I28*INP_155</f>
        <v>7777.95553664486</v>
      </c>
      <c r="Q45" s="12" t="s">
        <v>1676</v>
      </c>
    </row>
    <row r="46" customFormat="false" ht="15" hidden="false" customHeight="false" outlineLevel="0" collapsed="false">
      <c r="A46" s="9" t="s">
        <v>1677</v>
      </c>
      <c r="B46" s="10" t="s">
        <v>1678</v>
      </c>
      <c r="C46" s="9" t="s">
        <v>1557</v>
      </c>
      <c r="D46" s="9" t="n">
        <f aca="false">D29*INP_162+D30*INP_167+D31*INP_172+D32*INP_177+D39</f>
        <v>890.916143976685</v>
      </c>
      <c r="E46" s="9" t="n">
        <f aca="false">E29*INP_162+E30*INP_167+E31*INP_172+E32*INP_177+E39</f>
        <v>1044.88011778406</v>
      </c>
      <c r="F46" s="9" t="n">
        <f aca="false">F29*INP_162+F30*INP_167+F31*INP_172+F32*INP_177+F39</f>
        <v>2572.31897043162</v>
      </c>
      <c r="G46" s="9" t="n">
        <f aca="false">G29*INP_162+G30*INP_167+G31*INP_172+G32*INP_177+G39</f>
        <v>5813.44876321851</v>
      </c>
      <c r="H46" s="9" t="n">
        <f aca="false">H29*INP_162+H30*INP_167+H31*INP_172+H32*INP_177+H39</f>
        <v>12017.4582483896</v>
      </c>
      <c r="I46" s="9" t="n">
        <f aca="false">I29*INP_162+I30*INP_167+I31*INP_172+I32*INP_177+I39</f>
        <v>23451.5853747641</v>
      </c>
      <c r="Q46" s="12" t="s">
        <v>1679</v>
      </c>
    </row>
    <row r="47" customFormat="false" ht="15" hidden="false" customHeight="false" outlineLevel="0" collapsed="false">
      <c r="A47" s="9" t="s">
        <v>1680</v>
      </c>
      <c r="B47" s="10" t="s">
        <v>1681</v>
      </c>
      <c r="C47" s="9" t="s">
        <v>1557</v>
      </c>
      <c r="D47" s="9" t="n">
        <f aca="false">D29*INP_161+D30*INP_166+D31*INP_171+D32*INP_176+D40</f>
        <v>1247.80678591217</v>
      </c>
      <c r="E47" s="9" t="n">
        <f aca="false">E29*INP_161+E30*INP_166+E31*INP_171+E32*INP_176+E40</f>
        <v>3922.68004943041</v>
      </c>
      <c r="F47" s="9" t="n">
        <f aca="false">F29*INP_161+F30*INP_166+F31*INP_171+F32*INP_176+F40</f>
        <v>9054.42767751724</v>
      </c>
      <c r="G47" s="9" t="n">
        <f aca="false">G29*INP_161+G30*INP_166+G31*INP_171+G32*INP_176+G40</f>
        <v>19547.0924331808</v>
      </c>
      <c r="H47" s="9" t="n">
        <f aca="false">H29*INP_161+H30*INP_166+H31*INP_171+H32*INP_176+H40</f>
        <v>39146.5120231304</v>
      </c>
      <c r="I47" s="9" t="n">
        <f aca="false">I29*INP_161+I30*INP_166+I31*INP_171+I32*INP_176+I40</f>
        <v>74708.9804209512</v>
      </c>
      <c r="Q47" s="12" t="s">
        <v>1679</v>
      </c>
    </row>
    <row r="48" customFormat="false" ht="15" hidden="false" customHeight="false" outlineLevel="0" collapsed="false">
      <c r="A48" s="9" t="s">
        <v>1682</v>
      </c>
      <c r="B48" s="10" t="s">
        <v>1683</v>
      </c>
      <c r="C48" s="9" t="s">
        <v>1557</v>
      </c>
      <c r="D48" s="9" t="n">
        <f aca="false">D29*INP_160+D30*INP_165+D31*INP_170+D32*INP_175+D41</f>
        <v>654.737180052859</v>
      </c>
      <c r="E48" s="9" t="n">
        <f aca="false">E29*INP_160+E30*INP_165+E31*INP_170+E32*INP_175+E41</f>
        <v>3318.00765216314</v>
      </c>
      <c r="F48" s="9" t="n">
        <f aca="false">F29*INP_160+F30*INP_165+F31*INP_170+F32*INP_175+F41</f>
        <v>7935.92542359314</v>
      </c>
      <c r="G48" s="9" t="n">
        <f aca="false">G29*INP_160+G30*INP_165+G31*INP_170+G32*INP_175+G41</f>
        <v>17398.1468973435</v>
      </c>
      <c r="H48" s="9" t="n">
        <f aca="false">H29*INP_160+H30*INP_165+H31*INP_170+H32*INP_175+H41</f>
        <v>34970.5186956773</v>
      </c>
      <c r="I48" s="9" t="n">
        <f aca="false">I29*INP_160+I30*INP_165+I31*INP_170+I32*INP_175+I41</f>
        <v>66871.1272821246</v>
      </c>
      <c r="Q48" s="12" t="s">
        <v>1679</v>
      </c>
    </row>
    <row r="49" customFormat="false" ht="15" hidden="false" customHeight="false" outlineLevel="0" collapsed="false">
      <c r="A49" s="9" t="s">
        <v>1684</v>
      </c>
      <c r="B49" s="10" t="s">
        <v>1685</v>
      </c>
      <c r="C49" s="9" t="s">
        <v>1557</v>
      </c>
      <c r="D49" s="9" t="n">
        <f aca="false">D43+D44+D45</f>
        <v>744.6</v>
      </c>
      <c r="E49" s="9" t="n">
        <f aca="false">E43+E44+E45</f>
        <v>1733.0565</v>
      </c>
      <c r="F49" s="9" t="n">
        <f aca="false">F43+F44+F45</f>
        <v>2884.6269375</v>
      </c>
      <c r="G49" s="9" t="n">
        <f aca="false">G43+G44+G45</f>
        <v>4378.863691125</v>
      </c>
      <c r="H49" s="9" t="n">
        <f aca="false">H43+H44+H45</f>
        <v>6277.83091184288</v>
      </c>
      <c r="I49" s="9" t="n">
        <f aca="false">I43+I44+I45</f>
        <v>8642.17281849429</v>
      </c>
      <c r="Q49" s="2"/>
    </row>
    <row r="50" customFormat="false" ht="15" hidden="false" customHeight="false" outlineLevel="0" collapsed="false">
      <c r="A50" s="9" t="s">
        <v>1686</v>
      </c>
      <c r="B50" s="10" t="s">
        <v>1687</v>
      </c>
      <c r="C50" s="9" t="s">
        <v>1557</v>
      </c>
      <c r="D50" s="9" t="n">
        <f aca="false">D46+D47+D48</f>
        <v>2793.46010994171</v>
      </c>
      <c r="E50" s="9" t="n">
        <f aca="false">E46+E47+E48</f>
        <v>8285.56781937762</v>
      </c>
      <c r="F50" s="9" t="n">
        <f aca="false">F46+F47+F48</f>
        <v>19562.672071542</v>
      </c>
      <c r="G50" s="9" t="n">
        <f aca="false">G46+G47+G48</f>
        <v>42758.6880937428</v>
      </c>
      <c r="H50" s="9" t="n">
        <f aca="false">H46+H47+H48</f>
        <v>86134.4889671973</v>
      </c>
      <c r="I50" s="9" t="n">
        <f aca="false">I46+I47+I48</f>
        <v>165031.69307784</v>
      </c>
      <c r="Q50" s="2"/>
    </row>
    <row r="51" customFormat="false" ht="15" hidden="false" customHeight="false" outlineLevel="0" collapsed="false">
      <c r="A51" s="9" t="s">
        <v>1688</v>
      </c>
      <c r="B51" s="9" t="s">
        <v>1689</v>
      </c>
      <c r="C51" s="9" t="s">
        <v>1557</v>
      </c>
      <c r="D51" s="9" t="n">
        <f aca="false">D49+D50</f>
        <v>3538.06010994171</v>
      </c>
      <c r="E51" s="9" t="n">
        <f aca="false">E49+E50</f>
        <v>10018.6243193776</v>
      </c>
      <c r="F51" s="9" t="n">
        <f aca="false">F49+F50</f>
        <v>22447.299009042</v>
      </c>
      <c r="G51" s="9" t="n">
        <f aca="false">G49+G50</f>
        <v>47137.5517848678</v>
      </c>
      <c r="H51" s="9" t="n">
        <f aca="false">H49+H50</f>
        <v>92412.3198790402</v>
      </c>
      <c r="I51" s="9" t="n">
        <f aca="false">I49+I50</f>
        <v>173673.865896334</v>
      </c>
      <c r="Q51" s="2"/>
    </row>
    <row r="52" customFormat="false" ht="15" hidden="false" customHeight="false" outlineLevel="0" collapsed="false">
      <c r="A52" s="9" t="s">
        <v>1690</v>
      </c>
      <c r="B52" s="10" t="s">
        <v>1691</v>
      </c>
      <c r="C52" s="9" t="s">
        <v>1557</v>
      </c>
      <c r="D52" s="9" t="n">
        <f aca="false">D33+D38</f>
        <v>3538.06010994171</v>
      </c>
      <c r="E52" s="9" t="n">
        <f aca="false">E33+E38</f>
        <v>10018.6243193776</v>
      </c>
      <c r="F52" s="9" t="n">
        <f aca="false">F33+F38</f>
        <v>22447.299009042</v>
      </c>
      <c r="G52" s="9" t="n">
        <f aca="false">G33+G38</f>
        <v>47137.5517848678</v>
      </c>
      <c r="H52" s="9" t="n">
        <f aca="false">H33+H38</f>
        <v>92412.3198790402</v>
      </c>
      <c r="I52" s="9" t="n">
        <f aca="false">I33+I38</f>
        <v>173673.865896334</v>
      </c>
      <c r="Q52" s="2" t="s">
        <v>1692</v>
      </c>
    </row>
    <row r="53" customFormat="false" ht="15" hidden="false" customHeight="false" outlineLevel="0" collapsed="false">
      <c r="A53" s="14" t="s">
        <v>1693</v>
      </c>
    </row>
    <row r="54" customFormat="false" ht="15" hidden="false" customHeight="false" outlineLevel="0" collapsed="false">
      <c r="A54" s="9" t="s">
        <v>1694</v>
      </c>
      <c r="B54" s="9" t="s">
        <v>1695</v>
      </c>
      <c r="C54" s="9" t="s">
        <v>709</v>
      </c>
      <c r="D54" s="9" t="n">
        <f aca="false">TK_IF_AllocDemand</f>
        <v>4190200000</v>
      </c>
      <c r="Q54" s="12" t="s">
        <v>1696</v>
      </c>
    </row>
    <row r="55" customFormat="false" ht="15" hidden="false" customHeight="false" outlineLevel="0" collapsed="false">
      <c r="A55" s="9" t="s">
        <v>1697</v>
      </c>
      <c r="B55" s="10" t="s">
        <v>1698</v>
      </c>
      <c r="C55" s="9" t="s">
        <v>709</v>
      </c>
      <c r="D55" s="9" t="n">
        <f aca="false">D51*INP_254</f>
        <v>3538060109.94171</v>
      </c>
      <c r="Q55" s="12" t="s">
        <v>1699</v>
      </c>
    </row>
    <row r="56" customFormat="false" ht="15" hidden="false" customHeight="false" outlineLevel="0" collapsed="false">
      <c r="A56" s="9" t="s">
        <v>1700</v>
      </c>
      <c r="B56" s="10" t="s">
        <v>1701</v>
      </c>
      <c r="C56" s="9" t="s">
        <v>709</v>
      </c>
      <c r="D56" s="9" t="n">
        <f aca="false">D55-D54</f>
        <v>-652139890.058288</v>
      </c>
      <c r="Q56" s="2"/>
    </row>
    <row r="57" customFormat="false" ht="15" hidden="false" customHeight="false" outlineLevel="0" collapsed="false">
      <c r="A57" s="9" t="s">
        <v>1702</v>
      </c>
      <c r="B57" s="10" t="s">
        <v>1703</v>
      </c>
      <c r="C57" s="10" t="s">
        <v>548</v>
      </c>
      <c r="D57" s="9" t="n">
        <f aca="false">D55/D54</f>
        <v>0.844365450322589</v>
      </c>
      <c r="Q57" s="2"/>
    </row>
    <row r="58" customFormat="false" ht="15" hidden="false" customHeight="false" outlineLevel="0" collapsed="false">
      <c r="A58" s="9" t="s">
        <v>1704</v>
      </c>
      <c r="B58" s="9" t="s">
        <v>1705</v>
      </c>
      <c r="C58" s="9" t="s">
        <v>1557</v>
      </c>
      <c r="D58" s="9" t="n">
        <f aca="false">V9_ApiTok</f>
        <v>2628</v>
      </c>
      <c r="K58" s="2" t="n">
        <v>2628</v>
      </c>
      <c r="Q58" s="12" t="s">
        <v>1706</v>
      </c>
    </row>
    <row r="59" customFormat="false" ht="15" hidden="false" customHeight="false" outlineLevel="0" collapsed="false">
      <c r="A59" s="9" t="s">
        <v>1707</v>
      </c>
      <c r="B59" s="9" t="s">
        <v>1708</v>
      </c>
      <c r="C59" s="10" t="s">
        <v>108</v>
      </c>
      <c r="D59" s="9" t="n">
        <f aca="false">D38/D58</f>
        <v>0.801304106007182</v>
      </c>
      <c r="K59" s="2" t="n">
        <v>0.700366929535506</v>
      </c>
      <c r="Q59" s="12" t="s">
        <v>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10"/>
    <col collapsed="false" customWidth="true" hidden="false" outlineLevel="0" max="9" min="4" style="0" width="11"/>
    <col collapsed="false" customWidth="true" hidden="false" outlineLevel="0" max="16" min="11" style="0" width="11"/>
    <col collapsed="false" customWidth="true" hidden="false" outlineLevel="0" max="17" min="17" style="0" width="70"/>
  </cols>
  <sheetData>
    <row r="1" customFormat="false" ht="20.1" hidden="false" customHeight="false" outlineLevel="0" collapsed="false">
      <c r="A1" s="1" t="s">
        <v>1710</v>
      </c>
    </row>
    <row r="2" customFormat="false" ht="15" hidden="false" customHeight="false" outlineLevel="0" collapsed="false">
      <c r="A2" s="2" t="s">
        <v>1711</v>
      </c>
    </row>
    <row r="3" customFormat="false" ht="15" hidden="false" customHeight="false" outlineLevel="0" collapsed="false">
      <c r="A3" s="2" t="s">
        <v>1712</v>
      </c>
    </row>
    <row r="5" customFormat="false" ht="15" hidden="false" customHeight="false" outlineLevel="0" collapsed="false">
      <c r="A5" s="8" t="s">
        <v>1500</v>
      </c>
      <c r="B5" s="8" t="s">
        <v>1501</v>
      </c>
      <c r="C5" s="8" t="s">
        <v>34</v>
      </c>
      <c r="D5" s="7" t="s">
        <v>399</v>
      </c>
      <c r="E5" s="7" t="s">
        <v>411</v>
      </c>
      <c r="F5" s="7" t="s">
        <v>1000</v>
      </c>
      <c r="G5" s="7" t="s">
        <v>1002</v>
      </c>
      <c r="H5" s="7" t="s">
        <v>1004</v>
      </c>
      <c r="I5" s="7" t="s">
        <v>1006</v>
      </c>
      <c r="J5" s="8"/>
      <c r="K5" s="7" t="s">
        <v>1577</v>
      </c>
      <c r="L5" s="7" t="s">
        <v>1578</v>
      </c>
      <c r="M5" s="7" t="s">
        <v>1579</v>
      </c>
      <c r="N5" s="7" t="s">
        <v>1580</v>
      </c>
      <c r="O5" s="7" t="s">
        <v>1581</v>
      </c>
      <c r="P5" s="7" t="s">
        <v>1582</v>
      </c>
      <c r="Q5" s="8" t="s">
        <v>688</v>
      </c>
    </row>
    <row r="6" customFormat="false" ht="15" hidden="false" customHeight="false" outlineLevel="0" collapsed="false">
      <c r="B6" s="3" t="s">
        <v>1583</v>
      </c>
      <c r="D6" s="9" t="n">
        <f aca="false">INP_005</f>
        <v>2025</v>
      </c>
      <c r="E6" s="9" t="n">
        <f aca="false">INP_006</f>
        <v>2026</v>
      </c>
      <c r="F6" s="9" t="n">
        <f aca="false">INP_007</f>
        <v>2027</v>
      </c>
      <c r="G6" s="9" t="n">
        <f aca="false">INP_008</f>
        <v>2028</v>
      </c>
      <c r="H6" s="9" t="n">
        <f aca="false">INP_009</f>
        <v>2029</v>
      </c>
      <c r="I6" s="9" t="n">
        <f aca="false">INP_010</f>
        <v>2030</v>
      </c>
    </row>
    <row r="7" customFormat="false" ht="15" hidden="false" customHeight="false" outlineLevel="0" collapsed="false">
      <c r="A7" s="14" t="s">
        <v>1713</v>
      </c>
    </row>
    <row r="8" customFormat="false" ht="15" hidden="false" customHeight="false" outlineLevel="0" collapsed="false">
      <c r="A8" s="9" t="s">
        <v>1714</v>
      </c>
      <c r="B8" s="10" t="s">
        <v>1715</v>
      </c>
      <c r="C8" s="9" t="s">
        <v>727</v>
      </c>
      <c r="D8" s="9" t="n">
        <f aca="false">INP_015</f>
        <v>2.5</v>
      </c>
      <c r="E8" s="9" t="n">
        <f aca="false">D65</f>
        <v>6.61095890410959</v>
      </c>
      <c r="F8" s="9" t="n">
        <f aca="false">E8*(1+INP_021)</f>
        <v>4.62767123287671</v>
      </c>
      <c r="G8" s="9" t="n">
        <f aca="false">F8*(1+INP_021)</f>
        <v>3.2393698630137</v>
      </c>
      <c r="H8" s="9" t="n">
        <f aca="false">G8*(1+INP_021)</f>
        <v>2.26755890410959</v>
      </c>
      <c r="I8" s="9" t="n">
        <f aca="false">H8*(1+INP_021)</f>
        <v>1.58729123287671</v>
      </c>
      <c r="K8" s="2" t="n">
        <v>2.5</v>
      </c>
      <c r="L8" s="2" t="n">
        <v>6.6</v>
      </c>
      <c r="M8" s="2" t="n">
        <v>4.62</v>
      </c>
      <c r="N8" s="2" t="n">
        <v>3.234</v>
      </c>
      <c r="O8" s="2" t="n">
        <v>2.2638</v>
      </c>
      <c r="P8" s="2" t="n">
        <v>1.58466</v>
      </c>
      <c r="Q8" s="12" t="s">
        <v>1716</v>
      </c>
    </row>
    <row r="9" customFormat="false" ht="15" hidden="false" customHeight="false" outlineLevel="0" collapsed="false">
      <c r="A9" s="9" t="s">
        <v>1717</v>
      </c>
      <c r="B9" s="10" t="s">
        <v>1718</v>
      </c>
      <c r="C9" s="9" t="s">
        <v>727</v>
      </c>
      <c r="D9" s="9" t="n">
        <f aca="false">INP_018</f>
        <v>14</v>
      </c>
      <c r="E9" s="9" t="n">
        <f aca="false">D66</f>
        <v>36.2465753424658</v>
      </c>
      <c r="F9" s="9" t="n">
        <f aca="false">E9*(1+INP_021)</f>
        <v>25.372602739726</v>
      </c>
      <c r="G9" s="9" t="n">
        <f aca="false">F9*(1+INP_021)</f>
        <v>17.7608219178082</v>
      </c>
      <c r="H9" s="9" t="n">
        <f aca="false">G9*(1+INP_021)</f>
        <v>12.4325753424658</v>
      </c>
      <c r="I9" s="9" t="n">
        <f aca="false">H9*(1+INP_021)</f>
        <v>8.70280273972603</v>
      </c>
      <c r="K9" s="2" t="n">
        <v>14</v>
      </c>
      <c r="L9" s="2" t="n">
        <v>35.8</v>
      </c>
      <c r="M9" s="2" t="n">
        <v>25.06</v>
      </c>
      <c r="N9" s="2" t="n">
        <v>17.542</v>
      </c>
      <c r="O9" s="2" t="n">
        <v>12.2794</v>
      </c>
      <c r="P9" s="2" t="n">
        <v>8.59558</v>
      </c>
      <c r="Q9" s="12" t="s">
        <v>1716</v>
      </c>
    </row>
    <row r="10" customFormat="false" ht="15" hidden="false" customHeight="false" outlineLevel="0" collapsed="false">
      <c r="A10" s="9" t="s">
        <v>1719</v>
      </c>
      <c r="B10" s="10" t="s">
        <v>1720</v>
      </c>
      <c r="C10" s="9" t="s">
        <v>727</v>
      </c>
      <c r="D10" s="9" t="n">
        <f aca="false">INP_016</f>
        <v>1.5</v>
      </c>
      <c r="E10" s="9" t="n">
        <f aca="false">D67</f>
        <v>2.28767123287671</v>
      </c>
      <c r="F10" s="9" t="n">
        <f aca="false">E10*(1+INP_022)</f>
        <v>1.37260273972603</v>
      </c>
      <c r="G10" s="9" t="n">
        <f aca="false">F10*(1+INP_022)</f>
        <v>0.823561643835616</v>
      </c>
      <c r="H10" s="9" t="n">
        <f aca="false">G10*(1+INP_022)</f>
        <v>0.49413698630137</v>
      </c>
      <c r="I10" s="9" t="n">
        <f aca="false">H10*(1+INP_022)</f>
        <v>0.296482191780822</v>
      </c>
      <c r="K10" s="2" t="n">
        <v>1.5</v>
      </c>
      <c r="L10" s="2" t="n">
        <v>2.29</v>
      </c>
      <c r="M10" s="2" t="n">
        <v>1.374</v>
      </c>
      <c r="N10" s="2" t="n">
        <v>0.8244</v>
      </c>
      <c r="O10" s="2" t="n">
        <v>0.49464</v>
      </c>
      <c r="P10" s="2" t="n">
        <v>0.296784</v>
      </c>
      <c r="Q10" s="12" t="s">
        <v>1716</v>
      </c>
    </row>
    <row r="11" customFormat="false" ht="15" hidden="false" customHeight="false" outlineLevel="0" collapsed="false">
      <c r="A11" s="9" t="s">
        <v>1721</v>
      </c>
      <c r="B11" s="10" t="s">
        <v>1722</v>
      </c>
      <c r="C11" s="9" t="s">
        <v>727</v>
      </c>
      <c r="D11" s="9" t="n">
        <f aca="false">INP_019</f>
        <v>8</v>
      </c>
      <c r="E11" s="9" t="n">
        <f aca="false">D68</f>
        <v>13.172602739726</v>
      </c>
      <c r="F11" s="9" t="n">
        <f aca="false">E11*(1+INP_022)</f>
        <v>7.90356164383562</v>
      </c>
      <c r="G11" s="9" t="n">
        <f aca="false">F11*(1+INP_022)</f>
        <v>4.74213698630137</v>
      </c>
      <c r="H11" s="9" t="n">
        <f aca="false">G11*(1+INP_022)</f>
        <v>2.84528219178082</v>
      </c>
      <c r="I11" s="9" t="n">
        <f aca="false">H11*(1+INP_022)</f>
        <v>1.70716931506849</v>
      </c>
      <c r="K11" s="2" t="n">
        <v>8</v>
      </c>
      <c r="L11" s="2" t="n">
        <v>13.25</v>
      </c>
      <c r="M11" s="2" t="n">
        <v>7.95</v>
      </c>
      <c r="N11" s="2" t="n">
        <v>4.77</v>
      </c>
      <c r="O11" s="2" t="n">
        <v>2.862</v>
      </c>
      <c r="P11" s="2" t="n">
        <v>1.7172</v>
      </c>
      <c r="Q11" s="12" t="s">
        <v>1716</v>
      </c>
    </row>
    <row r="12" customFormat="false" ht="15" hidden="false" customHeight="false" outlineLevel="0" collapsed="false">
      <c r="A12" s="9" t="s">
        <v>1723</v>
      </c>
      <c r="B12" s="10" t="s">
        <v>1724</v>
      </c>
      <c r="C12" s="9" t="s">
        <v>727</v>
      </c>
      <c r="D12" s="9" t="n">
        <f aca="false">INP_017</f>
        <v>0.2</v>
      </c>
      <c r="E12" s="9" t="n">
        <f aca="false">D69</f>
        <v>0.632602739726027</v>
      </c>
      <c r="F12" s="9" t="n">
        <f aca="false">E12*(1+INP_023)</f>
        <v>0.379561643835616</v>
      </c>
      <c r="G12" s="9" t="n">
        <f aca="false">F12*(1+INP_023)</f>
        <v>0.22773698630137</v>
      </c>
      <c r="H12" s="9" t="n">
        <f aca="false">G12*(1+INP_023)</f>
        <v>0.136642191780822</v>
      </c>
      <c r="I12" s="9" t="n">
        <f aca="false">H12*(1+INP_023)</f>
        <v>0.0819853150684932</v>
      </c>
      <c r="K12" s="2" t="n">
        <v>0.2</v>
      </c>
      <c r="L12" s="2" t="n">
        <v>0.64</v>
      </c>
      <c r="M12" s="2" t="n">
        <v>0.384</v>
      </c>
      <c r="N12" s="2" t="n">
        <v>0.2304</v>
      </c>
      <c r="O12" s="2" t="n">
        <v>0.13824</v>
      </c>
      <c r="P12" s="2" t="n">
        <v>0.082944</v>
      </c>
      <c r="Q12" s="12" t="s">
        <v>1716</v>
      </c>
    </row>
    <row r="13" customFormat="false" ht="15" hidden="false" customHeight="false" outlineLevel="0" collapsed="false">
      <c r="A13" s="9" t="s">
        <v>1725</v>
      </c>
      <c r="B13" s="10" t="s">
        <v>1726</v>
      </c>
      <c r="C13" s="9" t="s">
        <v>727</v>
      </c>
      <c r="D13" s="9" t="n">
        <f aca="false">INP_020</f>
        <v>1</v>
      </c>
      <c r="E13" s="9" t="n">
        <f aca="false">D70</f>
        <v>3.76794520547945</v>
      </c>
      <c r="F13" s="9" t="n">
        <f aca="false">E13*(1+INP_023)</f>
        <v>2.26076712328767</v>
      </c>
      <c r="G13" s="9" t="n">
        <f aca="false">F13*(1+INP_023)</f>
        <v>1.3564602739726</v>
      </c>
      <c r="H13" s="9" t="n">
        <f aca="false">G13*(1+INP_023)</f>
        <v>0.813876164383562</v>
      </c>
      <c r="I13" s="9" t="n">
        <f aca="false">H13*(1+INP_023)</f>
        <v>0.488325698630137</v>
      </c>
      <c r="K13" s="2" t="n">
        <v>1</v>
      </c>
      <c r="L13" s="2" t="n">
        <v>3.83</v>
      </c>
      <c r="M13" s="2" t="n">
        <v>2.298</v>
      </c>
      <c r="N13" s="2" t="n">
        <v>1.3788</v>
      </c>
      <c r="O13" s="2" t="n">
        <v>0.82728</v>
      </c>
      <c r="P13" s="2" t="n">
        <v>0.496368</v>
      </c>
      <c r="Q13" s="12" t="s">
        <v>1716</v>
      </c>
    </row>
    <row r="14" customFormat="false" ht="15" hidden="false" customHeight="false" outlineLevel="0" collapsed="false">
      <c r="A14" s="14" t="s">
        <v>1727</v>
      </c>
    </row>
    <row r="15" customFormat="false" ht="15" hidden="false" customHeight="false" outlineLevel="0" collapsed="false">
      <c r="A15" s="9" t="s">
        <v>1728</v>
      </c>
      <c r="B15" s="10" t="s">
        <v>1729</v>
      </c>
      <c r="C15" s="9" t="s">
        <v>727</v>
      </c>
      <c r="D15" s="9" t="n">
        <f aca="false">(1-INP_028)*(INP_029*SRC_OAI_030+(1-INP_029))*D8+INP_028*D9</f>
        <v>3.81</v>
      </c>
      <c r="E15" s="9" t="n">
        <f aca="false">(1-INP_028)*(INP_029*SRC_OAI_030+(1-INP_029))*E8+INP_028*E9</f>
        <v>9.92014246575343</v>
      </c>
      <c r="F15" s="9" t="n">
        <f aca="false">(1-INP_028)*(INP_029*SRC_OAI_030+(1-INP_029))*F8+INP_028*F9</f>
        <v>6.9440997260274</v>
      </c>
      <c r="G15" s="9" t="n">
        <f aca="false">(1-INP_028)*(INP_029*SRC_OAI_030+(1-INP_029))*G8+INP_028*G9</f>
        <v>4.86086980821918</v>
      </c>
      <c r="H15" s="9" t="n">
        <f aca="false">(1-INP_028)*(INP_029*SRC_OAI_030+(1-INP_029))*H8+INP_028*H9</f>
        <v>3.40260886575342</v>
      </c>
      <c r="I15" s="9" t="n">
        <f aca="false">(1-INP_028)*(INP_029*SRC_OAI_030+(1-INP_029))*I8+INP_028*I9</f>
        <v>2.3818262060274</v>
      </c>
      <c r="K15" s="2" t="n">
        <v>3.81</v>
      </c>
      <c r="L15" s="2" t="n">
        <v>9.8264</v>
      </c>
      <c r="M15" s="2" t="n">
        <v>6.87848</v>
      </c>
      <c r="N15" s="2" t="n">
        <v>4.814936</v>
      </c>
      <c r="O15" s="2" t="n">
        <v>3.3704552</v>
      </c>
      <c r="P15" s="2" t="n">
        <v>2.35931864</v>
      </c>
      <c r="Q15" s="2" t="s">
        <v>1730</v>
      </c>
    </row>
    <row r="16" customFormat="false" ht="15" hidden="false" customHeight="false" outlineLevel="0" collapsed="false">
      <c r="A16" s="9" t="s">
        <v>1731</v>
      </c>
      <c r="B16" s="10" t="s">
        <v>1732</v>
      </c>
      <c r="C16" s="9" t="s">
        <v>727</v>
      </c>
      <c r="D16" s="9" t="n">
        <f aca="false">(1-INP_028)*(INP_029*SRC_OAI_030+(1-INP_029))*D10+INP_028*D11</f>
        <v>2.206</v>
      </c>
      <c r="E16" s="9" t="n">
        <f aca="false">(1-INP_028)*(INP_029*SRC_OAI_030+(1-INP_029))*E10+INP_028*E11</f>
        <v>3.5587397260274</v>
      </c>
      <c r="F16" s="9" t="n">
        <f aca="false">(1-INP_028)*(INP_029*SRC_OAI_030+(1-INP_029))*F10+INP_028*F11</f>
        <v>2.13524383561644</v>
      </c>
      <c r="G16" s="9" t="n">
        <f aca="false">(1-INP_028)*(INP_029*SRC_OAI_030+(1-INP_029))*G10+INP_028*G11</f>
        <v>1.28114630136986</v>
      </c>
      <c r="H16" s="9" t="n">
        <f aca="false">(1-INP_028)*(INP_029*SRC_OAI_030+(1-INP_029))*H10+INP_028*H11</f>
        <v>0.768687780821918</v>
      </c>
      <c r="I16" s="9" t="n">
        <f aca="false">(1-INP_028)*(INP_029*SRC_OAI_030+(1-INP_029))*I10+INP_028*I11</f>
        <v>0.461212668493151</v>
      </c>
      <c r="K16" s="2" t="n">
        <v>2.206</v>
      </c>
      <c r="L16" s="2" t="n">
        <v>3.57516</v>
      </c>
      <c r="M16" s="2" t="n">
        <v>2.145096</v>
      </c>
      <c r="N16" s="2" t="n">
        <v>1.2870576</v>
      </c>
      <c r="O16" s="2" t="n">
        <v>0.77223456</v>
      </c>
      <c r="P16" s="2" t="n">
        <v>0.463340736</v>
      </c>
      <c r="Q16" s="2" t="s">
        <v>1730</v>
      </c>
    </row>
    <row r="17" customFormat="false" ht="15" hidden="false" customHeight="false" outlineLevel="0" collapsed="false">
      <c r="A17" s="9" t="s">
        <v>1733</v>
      </c>
      <c r="B17" s="10" t="s">
        <v>1734</v>
      </c>
      <c r="C17" s="9" t="s">
        <v>727</v>
      </c>
      <c r="D17" s="9" t="n">
        <f aca="false">(1-INP_028)*(INP_029*SRC_OAI_030+(1-INP_029))*D12+INP_028*D13</f>
        <v>0.2808</v>
      </c>
      <c r="E17" s="9" t="n">
        <f aca="false">(1-INP_028)*(INP_029*SRC_OAI_030+(1-INP_029))*E12+INP_028*E13</f>
        <v>1.00916054794521</v>
      </c>
      <c r="F17" s="9" t="n">
        <f aca="false">(1-INP_028)*(INP_029*SRC_OAI_030+(1-INP_029))*F12+INP_028*F13</f>
        <v>0.605496328767123</v>
      </c>
      <c r="G17" s="9" t="n">
        <f aca="false">(1-INP_028)*(INP_029*SRC_OAI_030+(1-INP_029))*G12+INP_028*G13</f>
        <v>0.363297797260274</v>
      </c>
      <c r="H17" s="9" t="n">
        <f aca="false">(1-INP_028)*(INP_029*SRC_OAI_030+(1-INP_029))*H12+INP_028*H13</f>
        <v>0.217978678356164</v>
      </c>
      <c r="I17" s="9" t="n">
        <f aca="false">(1-INP_028)*(INP_029*SRC_OAI_030+(1-INP_029))*I12+INP_028*I13</f>
        <v>0.130787207013699</v>
      </c>
      <c r="K17" s="2" t="n">
        <v>0.2808</v>
      </c>
      <c r="L17" s="2" t="n">
        <v>1.02456</v>
      </c>
      <c r="M17" s="2" t="n">
        <v>0.614736</v>
      </c>
      <c r="N17" s="2" t="n">
        <v>0.3688416</v>
      </c>
      <c r="O17" s="2" t="n">
        <v>0.22130496</v>
      </c>
      <c r="P17" s="2" t="n">
        <v>0.132782976</v>
      </c>
      <c r="Q17" s="2" t="s">
        <v>1730</v>
      </c>
    </row>
    <row r="18" customFormat="false" ht="15" hidden="false" customHeight="false" outlineLevel="0" collapsed="false">
      <c r="A18" s="9" t="s">
        <v>1735</v>
      </c>
      <c r="B18" s="9" t="s">
        <v>1736</v>
      </c>
      <c r="C18" s="10" t="s">
        <v>108</v>
      </c>
      <c r="D18" s="9" t="n">
        <f aca="false">INP_024</f>
        <v>0.4</v>
      </c>
      <c r="E18" s="9" t="n">
        <f aca="false">INP_025</f>
        <v>0.15</v>
      </c>
      <c r="F18" s="9" t="n">
        <f aca="false">INP_025</f>
        <v>0.15</v>
      </c>
      <c r="G18" s="9" t="n">
        <f aca="false">INP_025</f>
        <v>0.15</v>
      </c>
      <c r="H18" s="9" t="n">
        <f aca="false">INP_025</f>
        <v>0.15</v>
      </c>
      <c r="I18" s="9" t="n">
        <f aca="false">INP_025</f>
        <v>0.15</v>
      </c>
      <c r="K18" s="2" t="n">
        <v>0.4</v>
      </c>
      <c r="L18" s="2" t="n">
        <v>0.15</v>
      </c>
      <c r="M18" s="2" t="n">
        <v>0.15</v>
      </c>
      <c r="N18" s="2" t="n">
        <v>0.15</v>
      </c>
      <c r="O18" s="2" t="n">
        <v>0.15</v>
      </c>
      <c r="P18" s="2" t="n">
        <v>0.15</v>
      </c>
      <c r="Q18" s="12" t="s">
        <v>1737</v>
      </c>
    </row>
    <row r="19" customFormat="false" ht="15" hidden="false" customHeight="false" outlineLevel="0" collapsed="false">
      <c r="A19" s="9" t="s">
        <v>1738</v>
      </c>
      <c r="B19" s="9" t="s">
        <v>1739</v>
      </c>
      <c r="C19" s="10" t="s">
        <v>108</v>
      </c>
      <c r="D19" s="9" t="n">
        <f aca="false">INP_026</f>
        <v>0.4</v>
      </c>
      <c r="E19" s="9" t="n">
        <f aca="false">INP_027</f>
        <v>0.45</v>
      </c>
      <c r="F19" s="9" t="n">
        <f aca="false">INP_027</f>
        <v>0.45</v>
      </c>
      <c r="G19" s="9" t="n">
        <f aca="false">INP_027</f>
        <v>0.45</v>
      </c>
      <c r="H19" s="9" t="n">
        <f aca="false">INP_027</f>
        <v>0.45</v>
      </c>
      <c r="I19" s="9" t="n">
        <f aca="false">INP_027</f>
        <v>0.45</v>
      </c>
      <c r="K19" s="2" t="n">
        <v>0.4</v>
      </c>
      <c r="L19" s="2" t="n">
        <v>0.45</v>
      </c>
      <c r="M19" s="2" t="n">
        <v>0.45</v>
      </c>
      <c r="N19" s="2" t="n">
        <v>0.45</v>
      </c>
      <c r="O19" s="2" t="n">
        <v>0.45</v>
      </c>
      <c r="P19" s="2" t="n">
        <v>0.45</v>
      </c>
      <c r="Q19" s="2" t="s">
        <v>376</v>
      </c>
    </row>
    <row r="20" customFormat="false" ht="15" hidden="false" customHeight="false" outlineLevel="0" collapsed="false">
      <c r="A20" s="9" t="s">
        <v>1740</v>
      </c>
      <c r="B20" s="9" t="s">
        <v>1741</v>
      </c>
      <c r="C20" s="10" t="s">
        <v>108</v>
      </c>
      <c r="D20" s="9" t="n">
        <f aca="false">(1-D18-D19)</f>
        <v>0.2</v>
      </c>
      <c r="E20" s="9" t="n">
        <f aca="false">(1-E18-E19)</f>
        <v>0.4</v>
      </c>
      <c r="F20" s="9" t="n">
        <f aca="false">(1-F18-F19)</f>
        <v>0.4</v>
      </c>
      <c r="G20" s="9" t="n">
        <f aca="false">(1-G18-G19)</f>
        <v>0.4</v>
      </c>
      <c r="H20" s="9" t="n">
        <f aca="false">(1-H18-H19)</f>
        <v>0.4</v>
      </c>
      <c r="I20" s="9" t="n">
        <f aca="false">(1-I18-I19)</f>
        <v>0.4</v>
      </c>
      <c r="K20" s="2" t="n">
        <v>0.2</v>
      </c>
      <c r="L20" s="2" t="n">
        <v>0.4</v>
      </c>
      <c r="M20" s="2" t="n">
        <v>0.4</v>
      </c>
      <c r="N20" s="2" t="n">
        <v>0.4</v>
      </c>
      <c r="O20" s="2" t="n">
        <v>0.4</v>
      </c>
      <c r="P20" s="2" t="n">
        <v>0.4</v>
      </c>
      <c r="Q20" s="2" t="s">
        <v>1742</v>
      </c>
    </row>
    <row r="21" customFormat="false" ht="15" hidden="false" customHeight="false" outlineLevel="0" collapsed="false">
      <c r="A21" s="9" t="s">
        <v>1743</v>
      </c>
      <c r="B21" s="10" t="s">
        <v>1744</v>
      </c>
      <c r="C21" s="9" t="s">
        <v>727</v>
      </c>
      <c r="D21" s="9" t="n">
        <f aca="false">(D18*D15+D19*D16+D20*D17)*(1-INP_030)</f>
        <v>1.970048</v>
      </c>
      <c r="E21" s="9" t="n">
        <f aca="false">(E18*E15+E19*E16+E20*E17)*(1-INP_030)</f>
        <v>2.79449477260274</v>
      </c>
      <c r="F21" s="9" t="n">
        <f aca="false">(F18*F15+F19*F16+F20*F17)*(1-INP_030)</f>
        <v>1.79573857315068</v>
      </c>
      <c r="G21" s="9" t="n">
        <f aca="false">(G18*G15+G19*G16+G20*G17)*(1-INP_030)</f>
        <v>1.16077234060274</v>
      </c>
      <c r="H21" s="9" t="n">
        <f aca="false">(H18*H15+H19*H16+H20*H17)*(1-INP_030)</f>
        <v>0.754793842060274</v>
      </c>
      <c r="I21" s="9" t="n">
        <f aca="false">(I18*I15+I19*I16+I20*I17)*(1-INP_030)</f>
        <v>0.493707611625206</v>
      </c>
      <c r="K21" s="2" t="n">
        <v>1.970048</v>
      </c>
      <c r="L21" s="2" t="n">
        <v>2.7940848</v>
      </c>
      <c r="M21" s="2" t="n">
        <v>1.79436768</v>
      </c>
      <c r="N21" s="2" t="n">
        <v>1.159162368</v>
      </c>
      <c r="O21" s="2" t="n">
        <v>0.7532766528</v>
      </c>
      <c r="P21" s="2" t="n">
        <v>0.49241145408</v>
      </c>
      <c r="Q21" s="12" t="s">
        <v>1745</v>
      </c>
    </row>
    <row r="22" customFormat="false" ht="15" hidden="false" customHeight="false" outlineLevel="0" collapsed="false">
      <c r="A22" s="14" t="s">
        <v>1746</v>
      </c>
    </row>
    <row r="23" customFormat="false" ht="15" hidden="false" customHeight="false" outlineLevel="0" collapsed="false">
      <c r="A23" s="9" t="s">
        <v>1747</v>
      </c>
      <c r="B23" s="9" t="s">
        <v>1748</v>
      </c>
      <c r="C23" s="9" t="s">
        <v>56</v>
      </c>
      <c r="D23" s="13" t="n">
        <f aca="false">Demand!D11*INP_096*INP_252/INP_253</f>
        <v>0.144</v>
      </c>
      <c r="E23" s="13" t="n">
        <f aca="false">Demand!E11*INP_096*INP_252/INP_253</f>
        <v>2.9232</v>
      </c>
      <c r="F23" s="13" t="n">
        <f aca="false">Demand!F11*INP_096*INP_252/INP_253</f>
        <v>5.57624347826087</v>
      </c>
      <c r="G23" s="13" t="n">
        <f aca="false">Demand!G11*INP_096*INP_252/INP_253</f>
        <v>8.42431304347826</v>
      </c>
      <c r="H23" s="13" t="n">
        <f aca="false">Demand!H11*INP_096*INP_252/INP_253</f>
        <v>10.6178086956522</v>
      </c>
      <c r="I23" s="13" t="n">
        <f aca="false">Demand!I11*INP_096*INP_252/INP_253</f>
        <v>12.7939304347826</v>
      </c>
      <c r="K23" s="2" t="n">
        <v>0.144</v>
      </c>
      <c r="L23" s="2" t="n">
        <v>2.9232</v>
      </c>
      <c r="M23" s="2" t="n">
        <v>5.57624347826087</v>
      </c>
      <c r="N23" s="2" t="n">
        <v>8.42431304347826</v>
      </c>
      <c r="O23" s="2" t="n">
        <v>10.6178086956522</v>
      </c>
      <c r="P23" s="2" t="n">
        <v>12.7939304347826</v>
      </c>
      <c r="Q23" s="12" t="s">
        <v>1749</v>
      </c>
    </row>
    <row r="24" customFormat="false" ht="15" hidden="false" customHeight="false" outlineLevel="0" collapsed="false">
      <c r="A24" s="9" t="s">
        <v>1750</v>
      </c>
      <c r="B24" s="9" t="s">
        <v>1751</v>
      </c>
      <c r="C24" s="9" t="s">
        <v>56</v>
      </c>
      <c r="D24" s="13" t="n">
        <f aca="false">Demand!D12*INP_097*INP_252/INP_253</f>
        <v>7.02</v>
      </c>
      <c r="E24" s="13" t="n">
        <f aca="false">Demand!E12*INP_098*INP_252/INP_253</f>
        <v>7.9572</v>
      </c>
      <c r="F24" s="13" t="n">
        <f aca="false">Demand!F12*INP_098*INP_252/INP_253</f>
        <v>8.99509565217391</v>
      </c>
      <c r="G24" s="13" t="n">
        <f aca="false">Demand!G12*INP_098*INP_252/INP_253</f>
        <v>9.86000869565217</v>
      </c>
      <c r="H24" s="13" t="n">
        <f aca="false">Demand!H12*INP_098*INP_252/INP_253</f>
        <v>10.5519391304348</v>
      </c>
      <c r="I24" s="13" t="n">
        <f aca="false">Demand!I12*INP_098*INP_252/INP_253</f>
        <v>11.0708869565217</v>
      </c>
      <c r="K24" s="2" t="n">
        <v>7.02</v>
      </c>
      <c r="L24" s="2" t="n">
        <v>7.9572</v>
      </c>
      <c r="M24" s="2" t="n">
        <v>8.99509565217391</v>
      </c>
      <c r="N24" s="2" t="n">
        <v>9.86000869565217</v>
      </c>
      <c r="O24" s="2" t="n">
        <v>10.5519391304348</v>
      </c>
      <c r="P24" s="2" t="n">
        <v>11.0708869565217</v>
      </c>
      <c r="Q24" s="12" t="s">
        <v>1749</v>
      </c>
    </row>
    <row r="25" customFormat="false" ht="15" hidden="false" customHeight="false" outlineLevel="0" collapsed="false">
      <c r="A25" s="9" t="s">
        <v>1752</v>
      </c>
      <c r="B25" s="9" t="s">
        <v>1753</v>
      </c>
      <c r="C25" s="9" t="s">
        <v>56</v>
      </c>
      <c r="D25" s="13" t="n">
        <f aca="false">Demand!D13*INP_099*INP_252/INP_253</f>
        <v>0.67741935483871</v>
      </c>
      <c r="E25" s="13" t="n">
        <f aca="false">Demand!E13*INP_100*INP_252/INP_253</f>
        <v>1.01612903225806</v>
      </c>
      <c r="F25" s="13" t="n">
        <f aca="false">Demand!F13*INP_100*INP_252/INP_253</f>
        <v>1.45161290322581</v>
      </c>
      <c r="G25" s="13" t="n">
        <f aca="false">Demand!G13*INP_100*INP_252/INP_253</f>
        <v>1.88709677419355</v>
      </c>
      <c r="H25" s="13" t="n">
        <f aca="false">Demand!H13*INP_100*INP_252/INP_253</f>
        <v>2.23548387096774</v>
      </c>
      <c r="I25" s="13" t="n">
        <f aca="false">Demand!I13*INP_100*INP_252/INP_253</f>
        <v>2.54032258064516</v>
      </c>
      <c r="K25" s="2" t="n">
        <v>1.2</v>
      </c>
      <c r="L25" s="2" t="n">
        <v>1.8</v>
      </c>
      <c r="M25" s="2" t="n">
        <v>2.7</v>
      </c>
      <c r="N25" s="2" t="n">
        <v>3.6</v>
      </c>
      <c r="O25" s="2" t="n">
        <v>4.5</v>
      </c>
      <c r="P25" s="2" t="n">
        <v>5.4</v>
      </c>
      <c r="Q25" s="12" t="s">
        <v>1749</v>
      </c>
    </row>
    <row r="26" customFormat="false" ht="15" hidden="false" customHeight="false" outlineLevel="0" collapsed="false">
      <c r="A26" s="9" t="s">
        <v>1754</v>
      </c>
      <c r="B26" s="10" t="s">
        <v>1755</v>
      </c>
      <c r="C26" s="9" t="s">
        <v>56</v>
      </c>
      <c r="D26" s="13" t="n">
        <f aca="false">Demand!D14*INP_101*INP_252/INP_253</f>
        <v>1.08</v>
      </c>
      <c r="E26" s="13" t="n">
        <f aca="false">Demand!E14*INP_101*INP_252/INP_253</f>
        <v>5.04</v>
      </c>
      <c r="F26" s="13" t="n">
        <f aca="false">Demand!F14*INP_101*INP_252/INP_253</f>
        <v>9.36</v>
      </c>
      <c r="G26" s="13" t="n">
        <f aca="false">Demand!G14*INP_101*INP_252/INP_253</f>
        <v>13.68</v>
      </c>
      <c r="H26" s="13" t="n">
        <f aca="false">Demand!H14*INP_101*INP_252/INP_253</f>
        <v>17.28</v>
      </c>
      <c r="I26" s="13" t="n">
        <f aca="false">Demand!I14*INP_101*INP_252/INP_253</f>
        <v>20.16</v>
      </c>
      <c r="K26" s="2" t="n">
        <v>1.08</v>
      </c>
      <c r="L26" s="2" t="n">
        <v>5.04</v>
      </c>
      <c r="M26" s="2" t="n">
        <v>9.36</v>
      </c>
      <c r="N26" s="2" t="n">
        <v>13.68</v>
      </c>
      <c r="O26" s="2" t="n">
        <v>17.28</v>
      </c>
      <c r="P26" s="2" t="n">
        <v>20.16</v>
      </c>
      <c r="Q26" s="12" t="s">
        <v>1749</v>
      </c>
    </row>
    <row r="27" customFormat="false" ht="15" hidden="false" customHeight="false" outlineLevel="0" collapsed="false">
      <c r="A27" s="9" t="s">
        <v>1756</v>
      </c>
      <c r="B27" s="10" t="s">
        <v>1757</v>
      </c>
      <c r="C27" s="9" t="s">
        <v>56</v>
      </c>
      <c r="D27" s="9" t="n">
        <f aca="false">D23+D24+D25+D26</f>
        <v>8.92141935483871</v>
      </c>
      <c r="E27" s="9" t="n">
        <f aca="false">E23+E24+E25+E26</f>
        <v>16.9365290322581</v>
      </c>
      <c r="F27" s="9" t="n">
        <f aca="false">F23+F24+F25+F26</f>
        <v>25.3829520336606</v>
      </c>
      <c r="G27" s="9" t="n">
        <f aca="false">G23+G24+G25+G26</f>
        <v>33.851418513324</v>
      </c>
      <c r="H27" s="9" t="n">
        <f aca="false">H23+H24+H25+H26</f>
        <v>40.6852316970547</v>
      </c>
      <c r="I27" s="9" t="n">
        <f aca="false">I23+I24+I25+I26</f>
        <v>46.5651399719495</v>
      </c>
      <c r="K27" s="2" t="n">
        <v>9.444</v>
      </c>
      <c r="L27" s="2" t="n">
        <v>17.7204</v>
      </c>
      <c r="M27" s="2" t="n">
        <v>26.6313391304348</v>
      </c>
      <c r="N27" s="2" t="n">
        <v>35.5643217391304</v>
      </c>
      <c r="O27" s="2" t="n">
        <v>42.949747826087</v>
      </c>
      <c r="P27" s="2" t="n">
        <v>49.4248173913043</v>
      </c>
      <c r="Q27" s="2"/>
    </row>
    <row r="28" customFormat="false" ht="15" hidden="false" customHeight="false" outlineLevel="0" collapsed="false">
      <c r="A28" s="14" t="s">
        <v>1758</v>
      </c>
    </row>
    <row r="29" customFormat="false" ht="15" hidden="false" customHeight="false" outlineLevel="0" collapsed="false">
      <c r="A29" s="9" t="s">
        <v>1759</v>
      </c>
      <c r="B29" s="10" t="s">
        <v>1760</v>
      </c>
      <c r="C29" s="9" t="s">
        <v>246</v>
      </c>
      <c r="D29" s="13" t="n">
        <f aca="false">(Demand!D10+Demand!D11)*INP_124</f>
        <v>0</v>
      </c>
      <c r="E29" s="13" t="n">
        <f aca="false">(Demand!E10+Demand!E11)*INP_125</f>
        <v>247.65</v>
      </c>
      <c r="F29" s="13" t="n">
        <f aca="false">(Demand!F10+Demand!F11)*INP_126</f>
        <v>464.606739130435</v>
      </c>
      <c r="G29" s="13" t="n">
        <f aca="false">(Demand!G10+Demand!G11)*INP_127</f>
        <v>646.801739130435</v>
      </c>
      <c r="H29" s="13" t="n">
        <f aca="false">(Demand!H10+Demand!H11)*INP_128</f>
        <v>831.361304347826</v>
      </c>
      <c r="I29" s="13" t="n">
        <f aca="false">(Demand!I10+Demand!I11)*INP_129</f>
        <v>1013.84673913043</v>
      </c>
      <c r="K29" s="2" t="n">
        <v>0</v>
      </c>
      <c r="L29" s="2" t="n">
        <v>247.65</v>
      </c>
      <c r="M29" s="2" t="n">
        <v>464.606739130435</v>
      </c>
      <c r="N29" s="2" t="n">
        <v>646.801739130435</v>
      </c>
      <c r="O29" s="2" t="n">
        <v>831.361304347826</v>
      </c>
      <c r="P29" s="2" t="n">
        <v>1013.84673913043</v>
      </c>
      <c r="Q29" s="2" t="s">
        <v>1761</v>
      </c>
    </row>
    <row r="30" customFormat="false" ht="15" hidden="false" customHeight="false" outlineLevel="0" collapsed="false">
      <c r="A30" s="9" t="s">
        <v>1762</v>
      </c>
      <c r="B30" s="10" t="s">
        <v>1763</v>
      </c>
      <c r="C30" s="9" t="s">
        <v>56</v>
      </c>
      <c r="D30" s="9" t="n">
        <f aca="false">D29*INP_130/INP_253</f>
        <v>0</v>
      </c>
      <c r="E30" s="9" t="n">
        <f aca="false">E29*INP_131/INP_253</f>
        <v>0.74295</v>
      </c>
      <c r="F30" s="9" t="n">
        <f aca="false">F29*INP_132/INP_253</f>
        <v>1.85842695652174</v>
      </c>
      <c r="G30" s="9" t="n">
        <f aca="false">G29*INP_133/INP_253</f>
        <v>2.91060782608696</v>
      </c>
      <c r="H30" s="9" t="n">
        <f aca="false">H29*INP_134/INP_253</f>
        <v>4.15680652173913</v>
      </c>
      <c r="I30" s="9" t="n">
        <f aca="false">I29*INP_135/INP_253</f>
        <v>5.57615706521739</v>
      </c>
      <c r="K30" s="2" t="n">
        <v>0</v>
      </c>
      <c r="L30" s="2" t="n">
        <v>0.74295</v>
      </c>
      <c r="M30" s="2" t="n">
        <v>1.85842695652174</v>
      </c>
      <c r="N30" s="2" t="n">
        <v>2.91060782608696</v>
      </c>
      <c r="O30" s="2" t="n">
        <v>4.15680652173913</v>
      </c>
      <c r="P30" s="2" t="n">
        <v>5.57615706521739</v>
      </c>
      <c r="Q30" s="2" t="s">
        <v>1764</v>
      </c>
    </row>
    <row r="31" customFormat="false" ht="15" hidden="false" customHeight="false" outlineLevel="0" collapsed="false">
      <c r="A31" s="9" t="s">
        <v>1765</v>
      </c>
      <c r="B31" s="10" t="s">
        <v>1194</v>
      </c>
      <c r="C31" s="9" t="s">
        <v>56</v>
      </c>
      <c r="D31" s="9" t="n">
        <f aca="false">INP_136</f>
        <v>0</v>
      </c>
      <c r="E31" s="9" t="n">
        <f aca="false">INP_136</f>
        <v>0</v>
      </c>
      <c r="F31" s="9" t="n">
        <f aca="false">INP_136</f>
        <v>0</v>
      </c>
      <c r="G31" s="9" t="n">
        <f aca="false">INP_136</f>
        <v>0</v>
      </c>
      <c r="H31" s="9" t="n">
        <f aca="false">INP_136</f>
        <v>0</v>
      </c>
      <c r="I31" s="9" t="n">
        <f aca="false">INP_136</f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12" t="s">
        <v>1766</v>
      </c>
    </row>
    <row r="32" customFormat="false" ht="15" hidden="false" customHeight="false" outlineLevel="0" collapsed="false">
      <c r="A32" s="14" t="s">
        <v>1767</v>
      </c>
    </row>
    <row r="33" customFormat="false" ht="15" hidden="false" customHeight="false" outlineLevel="0" collapsed="false">
      <c r="A33" s="9" t="s">
        <v>1768</v>
      </c>
      <c r="B33" s="9" t="s">
        <v>1769</v>
      </c>
      <c r="C33" s="9" t="s">
        <v>56</v>
      </c>
      <c r="D33" s="9" t="n">
        <f aca="false">SRC_OAI_002-D27-D30-D31</f>
        <v>4.14858064516129</v>
      </c>
      <c r="Q33" s="12" t="s">
        <v>1770</v>
      </c>
    </row>
    <row r="34" customFormat="false" ht="15" hidden="false" customHeight="false" outlineLevel="0" collapsed="false">
      <c r="A34" s="9" t="s">
        <v>1771</v>
      </c>
      <c r="B34" s="9" t="s">
        <v>1772</v>
      </c>
      <c r="C34" s="9" t="s">
        <v>56</v>
      </c>
      <c r="D34" s="13" t="n">
        <f aca="false">Demand!D38*D21/INP_253</f>
        <v>4.14858064516129</v>
      </c>
      <c r="E34" s="13" t="n">
        <f aca="false">Demand!E38*E21/INP_253</f>
        <v>16.5243023976881</v>
      </c>
      <c r="F34" s="13" t="n">
        <f aca="false">Demand!F38*F21/INP_253</f>
        <v>27.5542742481448</v>
      </c>
      <c r="G34" s="13" t="n">
        <f aca="false">Demand!G38*G21/INP_253</f>
        <v>41.662062663195</v>
      </c>
      <c r="H34" s="13" t="n">
        <f aca="false">Demand!H38*H21/INP_253</f>
        <v>57.2853361618931</v>
      </c>
      <c r="I34" s="13" t="n">
        <f aca="false">Demand!I38*I21/INP_253</f>
        <v>74.2417956658134</v>
      </c>
      <c r="K34" s="2" t="n">
        <v>3.626</v>
      </c>
      <c r="L34" s="2" t="n">
        <v>14.44068112519</v>
      </c>
      <c r="M34" s="2" t="n">
        <v>24.0798357762544</v>
      </c>
      <c r="N34" s="2" t="n">
        <v>36.4087116936967</v>
      </c>
      <c r="O34" s="2" t="n">
        <v>50.0619785788329</v>
      </c>
      <c r="P34" s="2" t="n">
        <v>64.8803242381675</v>
      </c>
      <c r="Q34" s="2" t="s">
        <v>1773</v>
      </c>
    </row>
    <row r="35" customFormat="false" ht="15" hidden="false" customHeight="false" outlineLevel="0" collapsed="false">
      <c r="A35" s="9" t="s">
        <v>1774</v>
      </c>
      <c r="B35" s="9" t="s">
        <v>1775</v>
      </c>
      <c r="C35" s="9" t="s">
        <v>56</v>
      </c>
      <c r="D35" s="13" t="n">
        <f aca="false">Demand!D38*D18*D15*(1-INP_030)/INP_253</f>
        <v>2.56742451076352</v>
      </c>
      <c r="E35" s="13" t="n">
        <f aca="false">Demand!E38*E18*E15*(1-INP_030)/INP_253</f>
        <v>7.03913002977269</v>
      </c>
      <c r="F35" s="13" t="n">
        <f aca="false">Demand!F38*F18*F15*(1-INP_030)/INP_253</f>
        <v>12.7862461352633</v>
      </c>
      <c r="G35" s="13" t="n">
        <f aca="false">Demand!G38*G18*G15*(1-INP_030)/INP_253</f>
        <v>20.935770655166</v>
      </c>
      <c r="H35" s="13" t="n">
        <f aca="false">Demand!H38*H18*H15*(1-INP_030)/INP_253</f>
        <v>30.9890592912215</v>
      </c>
      <c r="I35" s="13" t="n">
        <f aca="false">Demand!I38*I18*I15*(1-INP_030)/INP_253</f>
        <v>42.9803512043737</v>
      </c>
      <c r="K35" s="2" t="n">
        <v>2.2440159833669</v>
      </c>
      <c r="L35" s="2" t="n">
        <v>6.09429931440452</v>
      </c>
      <c r="M35" s="2" t="n">
        <v>11.0768380841713</v>
      </c>
      <c r="N35" s="2" t="n">
        <v>18.1481685210403</v>
      </c>
      <c r="O35" s="2" t="n">
        <v>26.879631338015</v>
      </c>
      <c r="P35" s="2" t="n">
        <v>37.3037687265861</v>
      </c>
      <c r="Q35" s="2"/>
    </row>
    <row r="36" customFormat="false" ht="15" hidden="false" customHeight="false" outlineLevel="0" collapsed="false">
      <c r="A36" s="9" t="s">
        <v>1776</v>
      </c>
      <c r="B36" s="9" t="s">
        <v>1777</v>
      </c>
      <c r="C36" s="9" t="s">
        <v>56</v>
      </c>
      <c r="D36" s="13" t="n">
        <f aca="false">Demand!D38*D19*D16*(1-INP_030)/INP_253</f>
        <v>1.48654553037909</v>
      </c>
      <c r="E36" s="13" t="n">
        <f aca="false">Demand!E38*E19*E16*(1-INP_030)/INP_253</f>
        <v>7.57562658805685</v>
      </c>
      <c r="F36" s="13" t="n">
        <f aca="false">Demand!F38*F19*F16*(1-INP_030)/INP_253</f>
        <v>11.7949428946123</v>
      </c>
      <c r="G36" s="13" t="n">
        <f aca="false">Demand!G38*G19*G16*(1-INP_030)/INP_253</f>
        <v>16.553694832049</v>
      </c>
      <c r="H36" s="13" t="n">
        <f aca="false">Demand!H38*H19*H16*(1-INP_030)/INP_253</f>
        <v>21.002335698423</v>
      </c>
      <c r="I36" s="13" t="n">
        <f aca="false">Demand!I38*I19*I16*(1-INP_030)/INP_253</f>
        <v>24.9679205244843</v>
      </c>
      <c r="K36" s="2" t="n">
        <v>1.29929114417517</v>
      </c>
      <c r="L36" s="2" t="n">
        <v>6.65190562267559</v>
      </c>
      <c r="M36" s="2" t="n">
        <v>10.3631388331449</v>
      </c>
      <c r="N36" s="2" t="n">
        <v>14.5533013654298</v>
      </c>
      <c r="O36" s="2" t="n">
        <v>18.4758844555544</v>
      </c>
      <c r="P36" s="2" t="n">
        <v>21.9779838521729</v>
      </c>
      <c r="Q36" s="2"/>
    </row>
    <row r="37" customFormat="false" ht="15" hidden="false" customHeight="false" outlineLevel="0" collapsed="false">
      <c r="A37" s="9" t="s">
        <v>1778</v>
      </c>
      <c r="B37" s="9" t="s">
        <v>1779</v>
      </c>
      <c r="C37" s="9" t="s">
        <v>56</v>
      </c>
      <c r="D37" s="13" t="n">
        <f aca="false">Demand!D38*D20*D17*(1-INP_030)/INP_253</f>
        <v>0.0946106040186871</v>
      </c>
      <c r="E37" s="13" t="n">
        <f aca="false">Demand!E38*E20*E17*(1-INP_030)/INP_253</f>
        <v>1.9095457798585</v>
      </c>
      <c r="F37" s="13" t="n">
        <f aca="false">Demand!F38*F20*F17*(1-INP_030)/INP_253</f>
        <v>2.97308521826921</v>
      </c>
      <c r="G37" s="13" t="n">
        <f aca="false">Demand!G38*G20*G17*(1-INP_030)/INP_253</f>
        <v>4.17259717597996</v>
      </c>
      <c r="H37" s="13" t="n">
        <f aca="false">Demand!H38*H20*H17*(1-INP_030)/INP_253</f>
        <v>5.29394117224858</v>
      </c>
      <c r="I37" s="13" t="n">
        <f aca="false">Demand!I38*I20*I17*(1-INP_030)/INP_253</f>
        <v>6.29352393695539</v>
      </c>
      <c r="K37" s="2" t="n">
        <v>0.08269287245793</v>
      </c>
      <c r="L37" s="2" t="n">
        <v>1.69447618810993</v>
      </c>
      <c r="M37" s="2" t="n">
        <v>2.63985885893826</v>
      </c>
      <c r="N37" s="2" t="n">
        <v>3.70724180722659</v>
      </c>
      <c r="O37" s="2" t="n">
        <v>4.70646278526347</v>
      </c>
      <c r="P37" s="2" t="n">
        <v>5.5985716594085</v>
      </c>
      <c r="Q37" s="2"/>
    </row>
    <row r="38" customFormat="false" ht="15" hidden="false" customHeight="false" outlineLevel="0" collapsed="false">
      <c r="A38" s="9" t="s">
        <v>1780</v>
      </c>
      <c r="B38" s="10" t="s">
        <v>1781</v>
      </c>
      <c r="C38" s="9" t="s">
        <v>56</v>
      </c>
      <c r="D38" s="9" t="n">
        <f aca="false">D27+D34+D30+D31</f>
        <v>13.07</v>
      </c>
      <c r="E38" s="9" t="n">
        <f aca="false">E27+E34+E30+E31</f>
        <v>34.2037814299461</v>
      </c>
      <c r="F38" s="9" t="n">
        <f aca="false">F27+F34+F30+F31</f>
        <v>54.7956532383272</v>
      </c>
      <c r="G38" s="9" t="n">
        <f aca="false">G27+G34+G30+G31</f>
        <v>78.4240890026059</v>
      </c>
      <c r="H38" s="9" t="n">
        <f aca="false">H27+H34+H30+H31</f>
        <v>102.127374380687</v>
      </c>
      <c r="I38" s="9" t="n">
        <f aca="false">I27+I34+I30+I31</f>
        <v>126.38309270298</v>
      </c>
      <c r="K38" s="2" t="n">
        <v>13.07</v>
      </c>
      <c r="L38" s="2" t="n">
        <v>32.9040311251901</v>
      </c>
      <c r="M38" s="2" t="n">
        <v>52.5696018632109</v>
      </c>
      <c r="N38" s="2" t="n">
        <v>74.8836412589141</v>
      </c>
      <c r="O38" s="2" t="n">
        <v>97.168532926659</v>
      </c>
      <c r="P38" s="2" t="n">
        <v>119.881298694689</v>
      </c>
      <c r="Q38" s="2" t="s">
        <v>1782</v>
      </c>
    </row>
    <row r="39" customFormat="false" ht="15" hidden="false" customHeight="false" outlineLevel="0" collapsed="false">
      <c r="A39" s="9" t="s">
        <v>1783</v>
      </c>
      <c r="B39" s="9" t="s">
        <v>1784</v>
      </c>
      <c r="C39" s="9" t="s">
        <v>56</v>
      </c>
      <c r="D39" s="9" t="n">
        <f aca="false">SRC_OAI_009*D38*(D$6&lt;INP_011)+(D$6&gt;=INP_011)*(D$6&lt;=SRC_OAI_011)*MIN(SRC_OAI_009*D38,SRC_OAI_010)</f>
        <v>2.614</v>
      </c>
      <c r="E39" s="9" t="n">
        <f aca="false">SRC_OAI_009*E38*(E$6&lt;INP_011)+(E$6&gt;=INP_011)*(E$6&lt;=SRC_OAI_011)*MIN(SRC_OAI_009*E38,SRC_OAI_010-D40)</f>
        <v>6.84075628598922</v>
      </c>
      <c r="F39" s="9" t="n">
        <f aca="false">SRC_OAI_009*F38*(F$6&lt;INP_011)+(F$6&gt;=INP_011)*(F$6&lt;=SRC_OAI_011)*MIN(SRC_OAI_009*F38,SRC_OAI_010-E40)</f>
        <v>10.9591306476654</v>
      </c>
      <c r="G39" s="9" t="n">
        <f aca="false">SRC_OAI_009*G38*(G$6&lt;INP_011)+(G$6&gt;=INP_011)*(G$6&lt;=SRC_OAI_011)*MIN(SRC_OAI_009*G38,SRC_OAI_010-F40)</f>
        <v>15.6848178005212</v>
      </c>
      <c r="H39" s="9" t="n">
        <f aca="false">SRC_OAI_009*H38*(H$6&lt;INP_011)+(H$6&gt;=INP_011)*(H$6&lt;=SRC_OAI_011)*MIN(SRC_OAI_009*H38,SRC_OAI_010-G40)</f>
        <v>4.51529526582416</v>
      </c>
      <c r="I39" s="9" t="n">
        <f aca="false">SRC_OAI_009*I38*(I$6&lt;INP_011)+(I$6&gt;=INP_011)*(I$6&lt;=SRC_OAI_011)*MIN(SRC_OAI_009*I38,SRC_OAI_010-H40)</f>
        <v>0</v>
      </c>
      <c r="K39" s="2" t="n">
        <v>2.614</v>
      </c>
      <c r="L39" s="2" t="n">
        <v>6.58080622503801</v>
      </c>
      <c r="M39" s="2" t="n">
        <v>10.5139203726422</v>
      </c>
      <c r="N39" s="2" t="n">
        <v>14.9767282517828</v>
      </c>
      <c r="O39" s="2" t="n">
        <v>5.928545150537</v>
      </c>
      <c r="P39" s="2" t="n">
        <v>0</v>
      </c>
      <c r="Q39" s="2" t="s">
        <v>1785</v>
      </c>
    </row>
    <row r="40" customFormat="false" ht="15" hidden="false" customHeight="false" outlineLevel="0" collapsed="false">
      <c r="A40" s="9" t="s">
        <v>1786</v>
      </c>
      <c r="B40" s="9" t="s">
        <v>1787</v>
      </c>
      <c r="C40" s="9" t="s">
        <v>56</v>
      </c>
      <c r="D40" s="9" t="n">
        <f aca="false">D39*(D$6&gt;=INP_011)</f>
        <v>0</v>
      </c>
      <c r="E40" s="9" t="n">
        <f aca="false">D40+E39*(E$6&gt;=INP_011)</f>
        <v>6.84075628598922</v>
      </c>
      <c r="F40" s="9" t="n">
        <f aca="false">E40+F39*(F$6&gt;=INP_011)</f>
        <v>17.7998869336547</v>
      </c>
      <c r="G40" s="9" t="n">
        <f aca="false">F40+G39*(G$6&gt;=INP_011)</f>
        <v>33.4847047341758</v>
      </c>
      <c r="H40" s="9" t="n">
        <f aca="false">G40+H39*(H$6&gt;=INP_011)</f>
        <v>38</v>
      </c>
      <c r="I40" s="9" t="n">
        <f aca="false">H40+I39*(I$6&gt;=INP_011)</f>
        <v>38</v>
      </c>
      <c r="K40" s="2" t="n">
        <v>0</v>
      </c>
      <c r="L40" s="2" t="n">
        <v>6.58080622503801</v>
      </c>
      <c r="M40" s="2" t="n">
        <v>17.0947265976802</v>
      </c>
      <c r="N40" s="2" t="n">
        <v>32.071454849463</v>
      </c>
      <c r="O40" s="2" t="n">
        <v>38</v>
      </c>
      <c r="P40" s="2" t="n">
        <v>38</v>
      </c>
      <c r="Q40" s="2" t="s">
        <v>1788</v>
      </c>
    </row>
    <row r="41" customFormat="false" ht="15" hidden="false" customHeight="false" outlineLevel="0" collapsed="false">
      <c r="A41" s="9" t="s">
        <v>1789</v>
      </c>
      <c r="B41" s="10" t="s">
        <v>1790</v>
      </c>
      <c r="C41" s="9" t="s">
        <v>56</v>
      </c>
      <c r="D41" s="9" t="n">
        <f aca="false">D38-D39</f>
        <v>10.456</v>
      </c>
      <c r="E41" s="9" t="n">
        <f aca="false">E38-E39</f>
        <v>27.3630251439569</v>
      </c>
      <c r="F41" s="9" t="n">
        <f aca="false">F38-F39</f>
        <v>43.8365225906617</v>
      </c>
      <c r="G41" s="9" t="n">
        <f aca="false">G38-G39</f>
        <v>62.7392712020847</v>
      </c>
      <c r="H41" s="9" t="n">
        <f aca="false">H38-H39</f>
        <v>97.6120791148627</v>
      </c>
      <c r="I41" s="9" t="n">
        <f aca="false">I38-I39</f>
        <v>126.38309270298</v>
      </c>
      <c r="K41" s="2" t="n">
        <v>10.456</v>
      </c>
      <c r="L41" s="2" t="n">
        <v>26.323224900152</v>
      </c>
      <c r="M41" s="2" t="n">
        <v>42.0556814905687</v>
      </c>
      <c r="N41" s="2" t="n">
        <v>59.9069130071312</v>
      </c>
      <c r="O41" s="2" t="n">
        <v>91.239987776122</v>
      </c>
      <c r="P41" s="2" t="n">
        <v>119.881298694689</v>
      </c>
      <c r="Q41" s="2" t="s">
        <v>1791</v>
      </c>
    </row>
    <row r="42" customFormat="false" ht="15" hidden="false" customHeight="false" outlineLevel="0" collapsed="false">
      <c r="A42" s="9" t="s">
        <v>1792</v>
      </c>
      <c r="B42" s="10" t="s">
        <v>1793</v>
      </c>
      <c r="C42" s="9" t="s">
        <v>56</v>
      </c>
      <c r="D42" s="9" t="n">
        <f aca="false">D23+D24+D25+D30</f>
        <v>7.84141935483871</v>
      </c>
      <c r="E42" s="9" t="n">
        <f aca="false">E23+E24+E25+E30</f>
        <v>12.6394790322581</v>
      </c>
      <c r="F42" s="9" t="n">
        <f aca="false">F23+F24+F25+F30</f>
        <v>17.8813789901823</v>
      </c>
      <c r="G42" s="9" t="n">
        <f aca="false">G23+G24+G25+G30</f>
        <v>23.0820263394109</v>
      </c>
      <c r="H42" s="9" t="n">
        <f aca="false">H23+H24+H25+H30</f>
        <v>27.5620382187938</v>
      </c>
      <c r="I42" s="9" t="n">
        <f aca="false">I23+I24+I25+I30</f>
        <v>31.9812970371669</v>
      </c>
      <c r="K42" s="2" t="n">
        <v>8.364</v>
      </c>
      <c r="L42" s="2" t="n">
        <v>13.42335</v>
      </c>
      <c r="M42" s="2" t="n">
        <v>19.1297660869565</v>
      </c>
      <c r="N42" s="2" t="n">
        <v>24.7949295652174</v>
      </c>
      <c r="O42" s="2" t="n">
        <v>29.8265543478261</v>
      </c>
      <c r="P42" s="2" t="n">
        <v>34.8409744565217</v>
      </c>
      <c r="Q42" s="2"/>
    </row>
    <row r="43" customFormat="false" ht="15" hidden="false" customHeight="false" outlineLevel="0" collapsed="false">
      <c r="A43" s="9" t="s">
        <v>1794</v>
      </c>
      <c r="B43" s="10" t="s">
        <v>1795</v>
      </c>
      <c r="C43" s="9" t="s">
        <v>56</v>
      </c>
      <c r="D43" s="9" t="n">
        <f aca="false">D26+D34</f>
        <v>5.22858064516129</v>
      </c>
      <c r="E43" s="9" t="n">
        <f aca="false">E26+E34</f>
        <v>21.5643023976881</v>
      </c>
      <c r="F43" s="9" t="n">
        <f aca="false">F26+F34</f>
        <v>36.9142742481448</v>
      </c>
      <c r="G43" s="9" t="n">
        <f aca="false">G26+G34</f>
        <v>55.342062663195</v>
      </c>
      <c r="H43" s="9" t="n">
        <f aca="false">H26+H34</f>
        <v>74.5653361618931</v>
      </c>
      <c r="I43" s="9" t="n">
        <f aca="false">I26+I34</f>
        <v>94.4017956658134</v>
      </c>
      <c r="K43" s="2" t="n">
        <v>4.706</v>
      </c>
      <c r="L43" s="2" t="n">
        <v>19.48068112519</v>
      </c>
      <c r="M43" s="2" t="n">
        <v>33.4398357762544</v>
      </c>
      <c r="N43" s="2" t="n">
        <v>50.0887116936967</v>
      </c>
      <c r="O43" s="2" t="n">
        <v>67.3419785788329</v>
      </c>
      <c r="P43" s="2" t="n">
        <v>85.0403242381675</v>
      </c>
      <c r="Q43" s="2"/>
    </row>
    <row r="44" customFormat="false" ht="15" hidden="false" customHeight="false" outlineLevel="0" collapsed="false">
      <c r="A44" s="9" t="s">
        <v>1796</v>
      </c>
      <c r="B44" s="10" t="s">
        <v>1797</v>
      </c>
      <c r="C44" s="10" t="s">
        <v>108</v>
      </c>
      <c r="D44" s="9" t="n">
        <f aca="false">D43/(D42+D43)</f>
        <v>0.400044425796579</v>
      </c>
      <c r="E44" s="9" t="n">
        <f aca="false">E43/(E42+E43)</f>
        <v>0.630465448443313</v>
      </c>
      <c r="F44" s="9" t="n">
        <f aca="false">F43/(F42+F43)</f>
        <v>0.673671579159584</v>
      </c>
      <c r="G44" s="9" t="n">
        <f aca="false">G43/(G42+G43)</f>
        <v>0.705676831787693</v>
      </c>
      <c r="H44" s="9" t="n">
        <f aca="false">H43/(H42+H43)</f>
        <v>0.730120955464356</v>
      </c>
      <c r="I44" s="9" t="n">
        <f aca="false">I43/(I42+I43)</f>
        <v>0.746949561423316</v>
      </c>
      <c r="K44" s="2" t="n">
        <v>0.360061208875287</v>
      </c>
      <c r="L44" s="2" t="n">
        <v>0.592045426017009</v>
      </c>
      <c r="M44" s="2" t="n">
        <v>0.636105935579781</v>
      </c>
      <c r="N44" s="2" t="n">
        <v>0.668887234269396</v>
      </c>
      <c r="O44" s="2" t="n">
        <v>0.693043072181211</v>
      </c>
      <c r="P44" s="2" t="n">
        <v>0.709371062577042</v>
      </c>
      <c r="Q44" s="2" t="s">
        <v>1798</v>
      </c>
    </row>
    <row r="45" customFormat="false" ht="15" hidden="false" customHeight="false" outlineLevel="0" collapsed="false">
      <c r="A45" s="9" t="s">
        <v>1799</v>
      </c>
      <c r="B45" s="10" t="s">
        <v>1800</v>
      </c>
      <c r="C45" s="9" t="s">
        <v>56</v>
      </c>
      <c r="D45" s="9" t="n">
        <f aca="false">D42+D43+D31-D38</f>
        <v>0</v>
      </c>
      <c r="E45" s="9" t="n">
        <f aca="false">E42+E43+E31-E38</f>
        <v>0</v>
      </c>
      <c r="F45" s="9" t="n">
        <f aca="false">F42+F43+F31-F38</f>
        <v>0</v>
      </c>
      <c r="G45" s="9" t="n">
        <f aca="false">G42+G43+G31-G38</f>
        <v>0</v>
      </c>
      <c r="H45" s="9" t="n">
        <f aca="false">H42+H43+H31-H38</f>
        <v>0</v>
      </c>
      <c r="I45" s="9" t="n">
        <f aca="false">I42+I43+I31-I38</f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/>
    </row>
    <row r="46" customFormat="false" ht="15" hidden="false" customHeight="false" outlineLevel="0" collapsed="false">
      <c r="A46" s="9" t="s">
        <v>1801</v>
      </c>
      <c r="B46" s="10" t="s">
        <v>1802</v>
      </c>
      <c r="C46" s="10" t="s">
        <v>108</v>
      </c>
      <c r="E46" s="9" t="n">
        <f aca="false">(E38-D38)/D38</f>
        <v>1.61696873985816</v>
      </c>
      <c r="F46" s="9" t="n">
        <f aca="false">(F38-E38)/E38</f>
        <v>0.602034948988197</v>
      </c>
      <c r="G46" s="9" t="n">
        <f aca="false">(G38-F38)/F38</f>
        <v>0.431210038896876</v>
      </c>
      <c r="H46" s="9" t="n">
        <f aca="false">(H38-G38)/G38</f>
        <v>0.302244956613948</v>
      </c>
      <c r="I46" s="9" t="n">
        <f aca="false">(I38-H38)/H38</f>
        <v>0.237504571809303</v>
      </c>
      <c r="L46" s="2" t="n">
        <v>1.51752342197323</v>
      </c>
      <c r="M46" s="2" t="n">
        <v>0.597664482603947</v>
      </c>
      <c r="N46" s="2" t="n">
        <v>0.424466585342714</v>
      </c>
      <c r="O46" s="2" t="n">
        <v>0.29759359044379</v>
      </c>
      <c r="P46" s="2" t="n">
        <v>0.233746101581809</v>
      </c>
      <c r="Q46" s="2"/>
    </row>
    <row r="47" customFormat="false" ht="15" hidden="false" customHeight="false" outlineLevel="0" collapsed="false">
      <c r="A47" s="9" t="s">
        <v>1803</v>
      </c>
      <c r="B47" s="10" t="s">
        <v>1804</v>
      </c>
      <c r="C47" s="10" t="s">
        <v>108</v>
      </c>
      <c r="D47" s="9" t="n">
        <f aca="false">D30/D38</f>
        <v>0</v>
      </c>
      <c r="E47" s="9" t="n">
        <f aca="false">E30/E38</f>
        <v>0.0217212825289993</v>
      </c>
      <c r="F47" s="9" t="n">
        <f aca="false">F30/F38</f>
        <v>0.0339155908670115</v>
      </c>
      <c r="G47" s="9" t="n">
        <f aca="false">G30/G38</f>
        <v>0.0371136963540659</v>
      </c>
      <c r="H47" s="9" t="n">
        <f aca="false">H30/H38</f>
        <v>0.0407021775204398</v>
      </c>
      <c r="I47" s="9" t="n">
        <f aca="false">I30/I38</f>
        <v>0.0441210683008226</v>
      </c>
      <c r="K47" s="2" t="n">
        <v>0</v>
      </c>
      <c r="L47" s="2" t="n">
        <v>0.0225793003043699</v>
      </c>
      <c r="M47" s="2" t="n">
        <v>0.0353517411327838</v>
      </c>
      <c r="N47" s="2" t="n">
        <v>0.0388684067328321</v>
      </c>
      <c r="O47" s="2" t="n">
        <v>0.0427793483809888</v>
      </c>
      <c r="P47" s="2" t="n">
        <v>0.046513986134056</v>
      </c>
      <c r="Q47" s="2"/>
    </row>
    <row r="48" customFormat="false" ht="15" hidden="false" customHeight="false" outlineLevel="0" collapsed="false">
      <c r="A48" s="14" t="s">
        <v>1805</v>
      </c>
    </row>
    <row r="49" customFormat="false" ht="15" hidden="false" customHeight="false" outlineLevel="0" collapsed="false">
      <c r="A49" s="9" t="s">
        <v>1806</v>
      </c>
      <c r="B49" s="9" t="s">
        <v>1807</v>
      </c>
      <c r="C49" s="9" t="s">
        <v>56</v>
      </c>
      <c r="D49" s="9" t="n">
        <f aca="false">D38-SRC_OAI_002</f>
        <v>0</v>
      </c>
      <c r="Q49" s="12" t="s">
        <v>1808</v>
      </c>
    </row>
    <row r="50" customFormat="false" ht="15" hidden="false" customHeight="false" outlineLevel="0" collapsed="false">
      <c r="A50" s="9" t="s">
        <v>1809</v>
      </c>
      <c r="B50" s="9" t="s">
        <v>1810</v>
      </c>
      <c r="C50" s="9" t="s">
        <v>56</v>
      </c>
      <c r="D50" s="9" t="n">
        <f aca="false">D27+D30+D31+V9_ApiTok*D21/INP_253</f>
        <v>14.0987054988387</v>
      </c>
      <c r="Q50" s="2" t="s">
        <v>1811</v>
      </c>
    </row>
    <row r="51" customFormat="false" ht="15" hidden="false" customHeight="false" outlineLevel="0" collapsed="false">
      <c r="A51" s="9" t="s">
        <v>1812</v>
      </c>
      <c r="B51" s="9" t="s">
        <v>1813</v>
      </c>
      <c r="C51" s="9" t="s">
        <v>56</v>
      </c>
      <c r="D51" s="9" t="n">
        <f aca="false">D50-SRC_OAI_002</f>
        <v>1.02870549883871</v>
      </c>
      <c r="Q51" s="2"/>
    </row>
    <row r="52" customFormat="false" ht="15" hidden="false" customHeight="false" outlineLevel="0" collapsed="false">
      <c r="A52" s="9" t="s">
        <v>1814</v>
      </c>
      <c r="B52" s="9" t="s">
        <v>1815</v>
      </c>
      <c r="C52" s="10" t="s">
        <v>108</v>
      </c>
      <c r="D52" s="9" t="n">
        <f aca="false">D51/SRC_OAI_002</f>
        <v>0.07870738323173</v>
      </c>
      <c r="Q52" s="2"/>
    </row>
    <row r="53" customFormat="false" ht="15" hidden="false" customHeight="false" outlineLevel="0" collapsed="false">
      <c r="A53" s="9" t="s">
        <v>1816</v>
      </c>
      <c r="B53" s="9" t="s">
        <v>1817</v>
      </c>
      <c r="C53" s="9" t="s">
        <v>56</v>
      </c>
      <c r="E53" s="9" t="n">
        <f aca="false">SRC_OAI_004+SRC_OAI_005+SRC_OAI_006*INP_255/INP_252</f>
        <v>32.4</v>
      </c>
      <c r="L53" s="2" t="n">
        <v>32.9</v>
      </c>
      <c r="Q53" s="12" t="s">
        <v>1818</v>
      </c>
    </row>
    <row r="54" customFormat="false" ht="15" hidden="false" customHeight="false" outlineLevel="0" collapsed="false">
      <c r="A54" s="9" t="s">
        <v>1819</v>
      </c>
      <c r="B54" s="9" t="s">
        <v>1820</v>
      </c>
      <c r="C54" s="9" t="s">
        <v>56</v>
      </c>
      <c r="E54" s="9" t="n">
        <f aca="false">E38-E53</f>
        <v>1.80378142994611</v>
      </c>
      <c r="Q54" s="2"/>
    </row>
    <row r="55" customFormat="false" ht="15" hidden="false" customHeight="false" outlineLevel="0" collapsed="false">
      <c r="A55" s="9" t="s">
        <v>1821</v>
      </c>
      <c r="B55" s="9" t="s">
        <v>1822</v>
      </c>
      <c r="C55" s="9" t="s">
        <v>56</v>
      </c>
      <c r="E55" s="9" t="n">
        <f aca="false">E38-SRC_OAI_004-SRC_OAI_005</f>
        <v>21.8037814299461</v>
      </c>
      <c r="L55" s="2" t="n">
        <v>20.5040311251901</v>
      </c>
      <c r="Q55" s="2"/>
    </row>
    <row r="56" customFormat="false" ht="15" hidden="false" customHeight="false" outlineLevel="0" collapsed="false">
      <c r="A56" s="9" t="s">
        <v>1823</v>
      </c>
      <c r="B56" s="10" t="s">
        <v>1824</v>
      </c>
      <c r="C56" s="9" t="s">
        <v>56</v>
      </c>
      <c r="E56" s="9" t="n">
        <f aca="false">SRC_OAI_043</f>
        <v>36</v>
      </c>
      <c r="I56" s="9" t="n">
        <f aca="false">SRC_OAI_044</f>
        <v>350</v>
      </c>
      <c r="Q56" s="12" t="s">
        <v>1825</v>
      </c>
    </row>
    <row r="57" customFormat="false" ht="15" hidden="false" customHeight="false" outlineLevel="0" collapsed="false">
      <c r="A57" s="9" t="s">
        <v>1826</v>
      </c>
      <c r="B57" s="10" t="s">
        <v>1827</v>
      </c>
      <c r="C57" s="9" t="s">
        <v>56</v>
      </c>
      <c r="E57" s="9" t="n">
        <f aca="false">E38-E56</f>
        <v>-1.79621857005389</v>
      </c>
      <c r="I57" s="9" t="n">
        <f aca="false">I38-I56</f>
        <v>-223.61690729702</v>
      </c>
      <c r="Q57" s="2"/>
    </row>
    <row r="59" customFormat="false" ht="15" hidden="false" customHeight="false" outlineLevel="0" collapsed="false">
      <c r="A59" s="14" t="s">
        <v>1828</v>
      </c>
    </row>
    <row r="60" customFormat="false" ht="41" hidden="false" customHeight="false" outlineLevel="0" collapsed="false">
      <c r="A60" s="8" t="s">
        <v>1500</v>
      </c>
      <c r="B60" s="8" t="s">
        <v>1501</v>
      </c>
      <c r="C60" s="8" t="s">
        <v>34</v>
      </c>
      <c r="D60" s="8" t="s">
        <v>684</v>
      </c>
      <c r="E60" s="8" t="s">
        <v>1829</v>
      </c>
      <c r="F60" s="8" t="s">
        <v>1830</v>
      </c>
      <c r="G60" s="7" t="s">
        <v>1831</v>
      </c>
      <c r="H60" s="7" t="s">
        <v>1832</v>
      </c>
      <c r="I60" s="8"/>
      <c r="J60" s="7" t="s">
        <v>1833</v>
      </c>
      <c r="K60" s="7" t="s">
        <v>1834</v>
      </c>
      <c r="L60" s="7" t="s">
        <v>1835</v>
      </c>
    </row>
    <row r="61" customFormat="false" ht="15" hidden="false" customHeight="false" outlineLevel="0" collapsed="false">
      <c r="A61" s="9" t="s">
        <v>1836</v>
      </c>
      <c r="B61" s="10" t="s">
        <v>1837</v>
      </c>
      <c r="C61" s="10" t="s">
        <v>108</v>
      </c>
      <c r="D61" s="9" t="n">
        <f aca="false">(INP_250+INP_251-MAX(INP_250,MIN(INP_250+INP_251,SRC_OAI_125+INP_246)))/INP_251</f>
        <v>0.424657534246575</v>
      </c>
      <c r="E61" s="13" t="n">
        <f aca="false">(INP_250+INP_251-MAX(INP_250,MIN(INP_250+INP_251,SRC_OAI_125+Inputs!$F$238)))/INP_251</f>
        <v>0.673972602739726</v>
      </c>
      <c r="F61" s="13" t="n">
        <f aca="false">(INP_250+INP_251-MAX(INP_250,MIN(INP_250+INP_251,SRC_OAI_125+Inputs!$G$238)))/INP_251</f>
        <v>0.175342465753425</v>
      </c>
      <c r="Q61" s="2" t="s">
        <v>1838</v>
      </c>
    </row>
    <row r="62" customFormat="false" ht="15" hidden="false" customHeight="false" outlineLevel="0" collapsed="false">
      <c r="A62" s="9" t="s">
        <v>1839</v>
      </c>
      <c r="B62" s="10" t="s">
        <v>1840</v>
      </c>
      <c r="C62" s="10" t="s">
        <v>108</v>
      </c>
      <c r="D62" s="9" t="n">
        <f aca="false">(INP_250+INP_251-MAX(INP_250,MIN(INP_250+INP_251,SRC_OAI_126+INP_247)))/INP_251</f>
        <v>0.361643835616438</v>
      </c>
      <c r="E62" s="13" t="n">
        <f aca="false">(INP_250+INP_251-MAX(INP_250,MIN(INP_250+INP_251,SRC_OAI_126+Inputs!$F$239)))/INP_251</f>
        <v>0.610958904109589</v>
      </c>
      <c r="F62" s="13" t="n">
        <f aca="false">(INP_250+INP_251-MAX(INP_250,MIN(INP_250+INP_251,SRC_OAI_126+Inputs!$G$239)))/INP_251</f>
        <v>0.112328767123288</v>
      </c>
      <c r="Q62" s="2" t="s">
        <v>1838</v>
      </c>
    </row>
    <row r="63" customFormat="false" ht="15" hidden="false" customHeight="false" outlineLevel="0" collapsed="false">
      <c r="A63" s="9" t="s">
        <v>1841</v>
      </c>
      <c r="B63" s="10" t="s">
        <v>1842</v>
      </c>
      <c r="C63" s="10" t="s">
        <v>108</v>
      </c>
      <c r="D63" s="9" t="n">
        <f aca="false">(INP_250+INP_251-MAX(INP_250,MIN(INP_250+INP_251,SRC_OAI_127+INP_248)))/INP_251</f>
        <v>0.328767123287671</v>
      </c>
      <c r="E63" s="13" t="n">
        <f aca="false">(INP_250+INP_251-MAX(INP_250,MIN(INP_250+INP_251,SRC_OAI_127+Inputs!$F$240)))/INP_251</f>
        <v>0.578082191780822</v>
      </c>
      <c r="F63" s="13" t="n">
        <f aca="false">(INP_250+INP_251-MAX(INP_250,MIN(INP_250+INP_251,SRC_OAI_127+Inputs!$G$240)))/INP_251</f>
        <v>0.0794520547945206</v>
      </c>
      <c r="Q63" s="2" t="s">
        <v>1838</v>
      </c>
    </row>
    <row r="64" customFormat="false" ht="15" hidden="false" customHeight="false" outlineLevel="0" collapsed="false">
      <c r="A64" s="9" t="s">
        <v>1843</v>
      </c>
      <c r="B64" s="10" t="s">
        <v>1844</v>
      </c>
      <c r="C64" s="10" t="s">
        <v>108</v>
      </c>
      <c r="D64" s="9" t="n">
        <f aca="false">(INP_250+INP_251-MAX(INP_250,MIN(INP_250+INP_251,SRC_OAI_128+INP_249)))/INP_251</f>
        <v>0.276712328767123</v>
      </c>
      <c r="E64" s="13" t="n">
        <f aca="false">(INP_250+INP_251-MAX(INP_250,MIN(INP_250+INP_251,SRC_OAI_128+Inputs!$F$241)))/INP_251</f>
        <v>0.526027397260274</v>
      </c>
      <c r="F64" s="13" t="n">
        <f aca="false">(INP_250+INP_251-MAX(INP_250,MIN(INP_250+INP_251,SRC_OAI_128+Inputs!$G$241)))/INP_251</f>
        <v>0.0273972602739726</v>
      </c>
      <c r="Q64" s="2" t="s">
        <v>1838</v>
      </c>
    </row>
    <row r="65" customFormat="false" ht="15" hidden="false" customHeight="false" outlineLevel="0" collapsed="false">
      <c r="A65" s="9" t="s">
        <v>1845</v>
      </c>
      <c r="B65" s="9" t="s">
        <v>1846</v>
      </c>
      <c r="C65" s="9" t="s">
        <v>727</v>
      </c>
      <c r="D65" s="9" t="n">
        <f aca="false">SRC_OAI_113+(SRC_OAI_123-SRC_OAI_113)*D62+(SRC_OAI_013-SRC_OAI_123)*D63</f>
        <v>6.61095890410959</v>
      </c>
      <c r="E65" s="9" t="n">
        <f aca="false">SRC_OAI_113+(SRC_OAI_123-SRC_OAI_113)*E62+(SRC_OAI_013-SRC_OAI_123)*E63</f>
        <v>7.85753424657534</v>
      </c>
      <c r="F65" s="9" t="n">
        <f aca="false">SRC_OAI_113+(SRC_OAI_123-SRC_OAI_113)*F62+(SRC_OAI_013-SRC_OAI_123)*F63</f>
        <v>5.36438356164384</v>
      </c>
      <c r="G65" s="9" t="n">
        <f aca="false">MIN(D65:F65)</f>
        <v>5.36438356164384</v>
      </c>
      <c r="H65" s="9" t="n">
        <f aca="false">MAX(D65:F65)</f>
        <v>7.85753424657534</v>
      </c>
      <c r="J65" s="2" t="n">
        <v>6.6</v>
      </c>
      <c r="K65" s="2" t="n">
        <v>5</v>
      </c>
      <c r="L65" s="2" t="n">
        <v>7.5</v>
      </c>
      <c r="Q65" s="2" t="s">
        <v>1847</v>
      </c>
    </row>
    <row r="66" customFormat="false" ht="15" hidden="false" customHeight="false" outlineLevel="0" collapsed="false">
      <c r="A66" s="9" t="s">
        <v>1848</v>
      </c>
      <c r="B66" s="9" t="s">
        <v>1849</v>
      </c>
      <c r="C66" s="9" t="s">
        <v>727</v>
      </c>
      <c r="D66" s="9" t="n">
        <f aca="false">SRC_OAI_114+(SRC_OAI_124-SRC_OAI_114)*D62+(SRC_OAI_015-SRC_OAI_124)*D63</f>
        <v>36.2465753424658</v>
      </c>
      <c r="E66" s="9" t="n">
        <f aca="false">SRC_OAI_114+(SRC_OAI_124-SRC_OAI_114)*E62+(SRC_OAI_015-SRC_OAI_124)*E63</f>
        <v>41.2328767123288</v>
      </c>
      <c r="F66" s="9" t="n">
        <f aca="false">SRC_OAI_114+(SRC_OAI_124-SRC_OAI_114)*F62+(SRC_OAI_015-SRC_OAI_124)*F63</f>
        <v>31.2602739726027</v>
      </c>
      <c r="G66" s="9" t="n">
        <f aca="false">MIN(D66:F66)</f>
        <v>31.2602739726027</v>
      </c>
      <c r="H66" s="9" t="n">
        <f aca="false">MAX(D66:F66)</f>
        <v>41.2328767123288</v>
      </c>
      <c r="J66" s="2" t="n">
        <v>35.8</v>
      </c>
      <c r="K66" s="2" t="n">
        <v>28</v>
      </c>
      <c r="L66" s="2" t="n">
        <v>40</v>
      </c>
      <c r="Q66" s="2" t="s">
        <v>1847</v>
      </c>
    </row>
    <row r="67" customFormat="false" ht="15" hidden="false" customHeight="false" outlineLevel="0" collapsed="false">
      <c r="A67" s="9" t="s">
        <v>1850</v>
      </c>
      <c r="B67" s="9" t="s">
        <v>1851</v>
      </c>
      <c r="C67" s="9" t="s">
        <v>727</v>
      </c>
      <c r="D67" s="9" t="n">
        <f aca="false">SRC_OAI_115+(SRC_OAI_119-SRC_OAI_115)*D61+(SRC_OAI_016-SRC_OAI_119)*D64</f>
        <v>2.28767123287671</v>
      </c>
      <c r="E67" s="9" t="n">
        <f aca="false">SRC_OAI_115+(SRC_OAI_119-SRC_OAI_115)*E61+(SRC_OAI_016-SRC_OAI_119)*E64</f>
        <v>2.16301369863014</v>
      </c>
      <c r="F67" s="9" t="n">
        <f aca="false">SRC_OAI_115+(SRC_OAI_119-SRC_OAI_115)*F61+(SRC_OAI_016-SRC_OAI_119)*F64</f>
        <v>2.41232876712329</v>
      </c>
      <c r="G67" s="9" t="n">
        <f aca="false">MIN(D67:F67)</f>
        <v>2.16301369863014</v>
      </c>
      <c r="H67" s="9" t="n">
        <f aca="false">MAX(D67:F67)</f>
        <v>2.41232876712329</v>
      </c>
      <c r="J67" s="2" t="n">
        <v>2.29</v>
      </c>
      <c r="K67" s="2" t="n">
        <v>2</v>
      </c>
      <c r="L67" s="2" t="n">
        <v>2.5</v>
      </c>
      <c r="Q67" s="2" t="s">
        <v>1852</v>
      </c>
    </row>
    <row r="68" customFormat="false" ht="15" hidden="false" customHeight="false" outlineLevel="0" collapsed="false">
      <c r="A68" s="9" t="s">
        <v>1853</v>
      </c>
      <c r="B68" s="9" t="s">
        <v>1854</v>
      </c>
      <c r="C68" s="9" t="s">
        <v>727</v>
      </c>
      <c r="D68" s="9" t="n">
        <f aca="false">SRC_OAI_116+(SRC_OAI_120-SRC_OAI_116)*D61+(SRC_OAI_018-SRC_OAI_120)*D64</f>
        <v>13.172602739726</v>
      </c>
      <c r="E68" s="9" t="n">
        <f aca="false">SRC_OAI_116+(SRC_OAI_120-SRC_OAI_116)*E61+(SRC_OAI_018-SRC_OAI_120)*E64</f>
        <v>11.9260273972603</v>
      </c>
      <c r="F68" s="9" t="n">
        <f aca="false">SRC_OAI_116+(SRC_OAI_120-SRC_OAI_116)*F61+(SRC_OAI_018-SRC_OAI_120)*F64</f>
        <v>14.4191780821918</v>
      </c>
      <c r="G68" s="9" t="n">
        <f aca="false">MIN(D68:F68)</f>
        <v>11.9260273972603</v>
      </c>
      <c r="H68" s="9" t="n">
        <f aca="false">MAX(D68:F68)</f>
        <v>14.4191780821918</v>
      </c>
      <c r="J68" s="2" t="n">
        <v>13.25</v>
      </c>
      <c r="K68" s="2" t="n">
        <v>11</v>
      </c>
      <c r="L68" s="2" t="n">
        <v>15</v>
      </c>
      <c r="Q68" s="2" t="s">
        <v>1852</v>
      </c>
    </row>
    <row r="69" customFormat="false" ht="15" hidden="false" customHeight="false" outlineLevel="0" collapsed="false">
      <c r="A69" s="9" t="s">
        <v>1855</v>
      </c>
      <c r="B69" s="9" t="s">
        <v>1856</v>
      </c>
      <c r="C69" s="9" t="s">
        <v>727</v>
      </c>
      <c r="D69" s="9" t="n">
        <f aca="false">SRC_OAI_117+(SRC_OAI_121-SRC_OAI_117)*D61+(SRC_OAI_019-SRC_OAI_121)*D64</f>
        <v>0.632602739726027</v>
      </c>
      <c r="E69" s="9" t="n">
        <f aca="false">SRC_OAI_117+(SRC_OAI_121-SRC_OAI_117)*E61+(SRC_OAI_019-SRC_OAI_121)*E64</f>
        <v>0.408219178082192</v>
      </c>
      <c r="F69" s="9" t="n">
        <f aca="false">SRC_OAI_117+(SRC_OAI_121-SRC_OAI_117)*F61+(SRC_OAI_019-SRC_OAI_121)*F64</f>
        <v>0.856986301369863</v>
      </c>
      <c r="G69" s="9" t="n">
        <f aca="false">MIN(D69:F69)</f>
        <v>0.408219178082192</v>
      </c>
      <c r="H69" s="9" t="n">
        <f aca="false">MAX(D69:F69)</f>
        <v>0.856986301369863</v>
      </c>
      <c r="J69" s="2" t="n">
        <v>0.64</v>
      </c>
      <c r="K69" s="2" t="n">
        <v>0.4</v>
      </c>
      <c r="L69" s="2" t="n">
        <v>0.8</v>
      </c>
      <c r="Q69" s="2" t="s">
        <v>1857</v>
      </c>
    </row>
    <row r="70" customFormat="false" ht="15" hidden="false" customHeight="false" outlineLevel="0" collapsed="false">
      <c r="A70" s="9" t="s">
        <v>1858</v>
      </c>
      <c r="B70" s="9" t="s">
        <v>1859</v>
      </c>
      <c r="C70" s="9" t="s">
        <v>727</v>
      </c>
      <c r="D70" s="9" t="n">
        <f aca="false">SRC_OAI_118+(SRC_OAI_122-SRC_OAI_118)*D61+(SRC_OAI_021-SRC_OAI_122)*D64</f>
        <v>3.76794520547945</v>
      </c>
      <c r="E70" s="9" t="n">
        <f aca="false">SRC_OAI_118+(SRC_OAI_122-SRC_OAI_118)*E61+(SRC_OAI_021-SRC_OAI_122)*E64</f>
        <v>2.39671232876712</v>
      </c>
      <c r="F70" s="9" t="n">
        <f aca="false">SRC_OAI_118+(SRC_OAI_122-SRC_OAI_118)*F61+(SRC_OAI_021-SRC_OAI_122)*F64</f>
        <v>5.13917808219178</v>
      </c>
      <c r="G70" s="9" t="n">
        <f aca="false">MIN(D70:F70)</f>
        <v>2.39671232876712</v>
      </c>
      <c r="H70" s="9" t="n">
        <f aca="false">MAX(D70:F70)</f>
        <v>5.13917808219178</v>
      </c>
      <c r="J70" s="2" t="n">
        <v>3.83</v>
      </c>
      <c r="K70" s="2" t="n">
        <v>2.5</v>
      </c>
      <c r="L70" s="2" t="n">
        <v>5</v>
      </c>
      <c r="Q70" s="2" t="s">
        <v>1857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52"/>
    <col collapsed="false" customWidth="true" hidden="false" outlineLevel="0" max="6" min="6" style="0" width="60"/>
  </cols>
  <sheetData>
    <row r="1" customFormat="false" ht="20.1" hidden="false" customHeight="false" outlineLevel="0" collapsed="false">
      <c r="A1" s="1" t="s">
        <v>1860</v>
      </c>
    </row>
    <row r="2" customFormat="false" ht="15" hidden="false" customHeight="false" outlineLevel="0" collapsed="false">
      <c r="A2" s="12" t="s">
        <v>1861</v>
      </c>
    </row>
    <row r="4" customFormat="false" ht="29.85" hidden="false" customHeight="false" outlineLevel="0" collapsed="false">
      <c r="A4" s="8" t="s">
        <v>1500</v>
      </c>
      <c r="B4" s="8" t="s">
        <v>1862</v>
      </c>
      <c r="C4" s="8" t="s">
        <v>1502</v>
      </c>
      <c r="D4" s="8" t="s">
        <v>1863</v>
      </c>
      <c r="E4" s="8" t="s">
        <v>1864</v>
      </c>
      <c r="F4" s="8" t="s">
        <v>688</v>
      </c>
    </row>
    <row r="5" customFormat="false" ht="15" hidden="false" customHeight="false" outlineLevel="0" collapsed="false">
      <c r="A5" s="9" t="s">
        <v>1865</v>
      </c>
      <c r="B5" s="9" t="s">
        <v>1866</v>
      </c>
      <c r="C5" s="9" t="n">
        <f aca="false">SUMPRODUCT(--(LEN(SRC_OAI!$A$5:$A$400)&gt;0))</f>
        <v>122</v>
      </c>
      <c r="D5" s="9" t="n">
        <v>122</v>
      </c>
      <c r="E5" s="9" t="str">
        <f aca="false">IF(C5=D5,"OK","ERR")</f>
        <v>OK</v>
      </c>
      <c r="F5" s="2" t="s">
        <v>1867</v>
      </c>
    </row>
    <row r="6" customFormat="false" ht="15" hidden="false" customHeight="false" outlineLevel="0" collapsed="false">
      <c r="A6" s="9" t="s">
        <v>1868</v>
      </c>
      <c r="B6" s="9" t="s">
        <v>1869</v>
      </c>
      <c r="C6" s="9" t="n">
        <f aca="false">SUM(SRC_OAI!$V$5:$V$400)</f>
        <v>0</v>
      </c>
      <c r="D6" s="9" t="n">
        <v>0</v>
      </c>
      <c r="E6" s="9" t="str">
        <f aca="false">IF(C6=D6,"OK","ERR")</f>
        <v>OK</v>
      </c>
      <c r="F6" s="2" t="s">
        <v>1870</v>
      </c>
    </row>
    <row r="7" customFormat="false" ht="15" hidden="false" customHeight="false" outlineLevel="0" collapsed="false">
      <c r="A7" s="9" t="s">
        <v>1871</v>
      </c>
      <c r="B7" s="9" t="s">
        <v>1872</v>
      </c>
      <c r="C7" s="9" t="n">
        <f aca="false">SUM(SRC_OAI!$W$5:$W$400)</f>
        <v>0</v>
      </c>
      <c r="D7" s="9" t="n">
        <v>0</v>
      </c>
      <c r="E7" s="9" t="str">
        <f aca="false">IF(C7=D7,"OK","ERR")</f>
        <v>OK</v>
      </c>
      <c r="F7" s="2"/>
    </row>
    <row r="8" customFormat="false" ht="15" hidden="false" customHeight="false" outlineLevel="0" collapsed="false">
      <c r="A8" s="9" t="s">
        <v>1873</v>
      </c>
      <c r="B8" s="9" t="s">
        <v>1874</v>
      </c>
      <c r="C8" s="9" t="n">
        <f aca="false">SUM(SRC_OAI!$X$5:$X$400)</f>
        <v>0</v>
      </c>
      <c r="D8" s="9" t="n">
        <v>0</v>
      </c>
      <c r="E8" s="9" t="str">
        <f aca="false">IF(C8=D8,"OK","ERR")</f>
        <v>OK</v>
      </c>
      <c r="F8" s="2" t="s">
        <v>1875</v>
      </c>
    </row>
    <row r="9" customFormat="false" ht="15" hidden="false" customHeight="false" outlineLevel="0" collapsed="false">
      <c r="A9" s="9" t="s">
        <v>1876</v>
      </c>
      <c r="B9" s="9" t="s">
        <v>1877</v>
      </c>
      <c r="C9" s="9" t="n">
        <f aca="false">SUMPRODUCT(--(LEN(Inputs!$A$5:$A$600)&gt;0))</f>
        <v>243</v>
      </c>
      <c r="D9" s="9" t="n">
        <v>243</v>
      </c>
      <c r="E9" s="9" t="str">
        <f aca="false">IF(C9=D9,"OK","ERR")</f>
        <v>OK</v>
      </c>
      <c r="F9" s="2"/>
    </row>
    <row r="10" customFormat="false" ht="15" hidden="false" customHeight="false" outlineLevel="0" collapsed="false">
      <c r="A10" s="9" t="s">
        <v>1878</v>
      </c>
      <c r="B10" s="9" t="s">
        <v>1879</v>
      </c>
      <c r="C10" s="9" t="n">
        <f aca="false">SUM(Inputs!$M$5:$M$600)</f>
        <v>0</v>
      </c>
      <c r="D10" s="9" t="n">
        <v>0</v>
      </c>
      <c r="E10" s="9" t="str">
        <f aca="false">IF(C10=D10,"OK","ERR")</f>
        <v>OK</v>
      </c>
      <c r="F10" s="2" t="s">
        <v>1880</v>
      </c>
    </row>
    <row r="11" customFormat="false" ht="15" hidden="false" customHeight="false" outlineLevel="0" collapsed="false">
      <c r="A11" s="9" t="s">
        <v>1881</v>
      </c>
      <c r="B11" s="9" t="s">
        <v>1882</v>
      </c>
      <c r="C11" s="9" t="n">
        <f aca="false">COUNTIF(TK_Link!$F$10:$F$200,"OK")</f>
        <v>62</v>
      </c>
      <c r="E11" s="9" t="s">
        <v>1883</v>
      </c>
      <c r="F11" s="2" t="s">
        <v>1884</v>
      </c>
    </row>
    <row r="12" customFormat="false" ht="15" hidden="false" customHeight="false" outlineLevel="0" collapsed="false">
      <c r="A12" s="9" t="s">
        <v>1885</v>
      </c>
      <c r="B12" s="9" t="s">
        <v>1886</v>
      </c>
      <c r="C12" s="9" t="n">
        <f aca="false">COUNTIF(TK_Link!$F$10:$F$200,"待 Tokenomics 提供")</f>
        <v>0</v>
      </c>
      <c r="D12" s="9" t="n">
        <v>0</v>
      </c>
      <c r="E12" s="9" t="str">
        <f aca="false">IF(C12=D12,"OK","ERR")</f>
        <v>OK</v>
      </c>
      <c r="F12" s="2" t="s">
        <v>1887</v>
      </c>
    </row>
    <row r="13" customFormat="false" ht="15" hidden="false" customHeight="false" outlineLevel="0" collapsed="false">
      <c r="A13" s="9" t="s">
        <v>1888</v>
      </c>
      <c r="B13" s="9" t="s">
        <v>1889</v>
      </c>
      <c r="C13" s="9" t="n">
        <f aca="false">SUMPRODUCT(--ISERROR(TK_Link!$J$10:$X$200))</f>
        <v>0</v>
      </c>
      <c r="D13" s="9" t="n">
        <v>0</v>
      </c>
      <c r="E13" s="9" t="str">
        <f aca="false">IF(C13=D13,"OK","ERR")</f>
        <v>OK</v>
      </c>
      <c r="F13" s="2"/>
    </row>
    <row r="14" customFormat="false" ht="15" hidden="false" customHeight="false" outlineLevel="0" collapsed="false">
      <c r="A14" s="9" t="s">
        <v>1890</v>
      </c>
      <c r="B14" s="9" t="s">
        <v>1891</v>
      </c>
      <c r="C14" s="9" t="n">
        <f aca="false">IF(AND(TK_IF_Util&gt;0,TK_IF_Util&lt;=1),0,1)</f>
        <v>0</v>
      </c>
      <c r="D14" s="9" t="n">
        <v>0</v>
      </c>
      <c r="E14" s="9" t="str">
        <f aca="false">IF(C14=D14,"OK","ERR")</f>
        <v>OK</v>
      </c>
      <c r="F14" s="12" t="s">
        <v>1892</v>
      </c>
    </row>
    <row r="15" customFormat="false" ht="15" hidden="false" customHeight="false" outlineLevel="0" collapsed="false">
      <c r="A15" s="9" t="s">
        <v>1893</v>
      </c>
      <c r="B15" s="9" t="s">
        <v>1894</v>
      </c>
      <c r="C15" s="9" t="n">
        <f aca="false">SRC_OAI_049+SRC_OAI_048-SRC_OAI_047</f>
        <v>0</v>
      </c>
      <c r="D15" s="9" t="n">
        <v>0</v>
      </c>
      <c r="E15" s="9" t="str">
        <f aca="false">IF(ISNUMBER(C15),IF(ABS(C15-D15)&lt;0.000000001,"OK","ERR"),"ERR")</f>
        <v>OK</v>
      </c>
      <c r="F15" s="12" t="s">
        <v>1895</v>
      </c>
    </row>
    <row r="16" customFormat="false" ht="15" hidden="false" customHeight="false" outlineLevel="0" collapsed="false">
      <c r="A16" s="9" t="s">
        <v>1896</v>
      </c>
      <c r="B16" s="9" t="s">
        <v>1897</v>
      </c>
      <c r="C16" s="9" t="n">
        <f aca="false">SRC_OAI_109+SRC_OAI_110+SRC_OAI_111+SRC_OAI_112+SRC_OAI_082-SRC_OAI_080</f>
        <v>0</v>
      </c>
      <c r="D16" s="9" t="n">
        <v>0</v>
      </c>
      <c r="E16" s="9" t="str">
        <f aca="false">IF(ISNUMBER(C16),IF(ABS(C16-D16)&lt;0.000000001,"OK","ERR"),"ERR")</f>
        <v>OK</v>
      </c>
      <c r="F16" s="12" t="s">
        <v>1898</v>
      </c>
    </row>
    <row r="17" customFormat="false" ht="15" hidden="false" customHeight="false" outlineLevel="0" collapsed="false">
      <c r="A17" s="9" t="s">
        <v>1899</v>
      </c>
      <c r="B17" s="10" t="s">
        <v>1900</v>
      </c>
      <c r="C17" s="9" t="n">
        <f aca="false">(SRC_OAI_059&gt;SRC_OAI_060)+(SRC_OAI_063&gt;SRC_OAI_064)+(SRC_OAI_066&gt;SRC_OAI_067)+(SRC_OAI_071&gt;SRC_OAI_072)</f>
        <v>0</v>
      </c>
      <c r="D17" s="9" t="n">
        <v>0</v>
      </c>
      <c r="E17" s="9" t="str">
        <f aca="false">IF(C17=D17,"OK","ERR")</f>
        <v>OK</v>
      </c>
      <c r="F17" s="12" t="s">
        <v>1901</v>
      </c>
    </row>
    <row r="18" customFormat="false" ht="15" hidden="false" customHeight="false" outlineLevel="0" collapsed="false">
      <c r="A18" s="9" t="s">
        <v>1902</v>
      </c>
      <c r="B18" s="10" t="s">
        <v>1903</v>
      </c>
      <c r="C18" s="9" t="n">
        <f aca="false">IF(SRC_OAI_060-SRC_OAI_059+1&gt;0,SRC_OAI_058/(SRC_OAI_060-SRC_OAI_059+1)/SRC_OAI_061,"期間無效")</f>
        <v>13.3333333333333</v>
      </c>
      <c r="E18" s="9" t="s">
        <v>1883</v>
      </c>
      <c r="F18" s="12" t="s">
        <v>1904</v>
      </c>
    </row>
    <row r="19" customFormat="false" ht="15" hidden="false" customHeight="false" outlineLevel="0" collapsed="false">
      <c r="A19" s="9" t="s">
        <v>1905</v>
      </c>
      <c r="B19" s="10" t="s">
        <v>1906</v>
      </c>
      <c r="C19" s="9" t="n">
        <f aca="false">IF(SRC_OAI_067-SRC_OAI_066+1&gt;0,SRC_OAI_065/(SRC_OAI_067-SRC_OAI_066+1)/SRC_OAI_068,"期間無效")</f>
        <v>6.25</v>
      </c>
      <c r="E19" s="9" t="s">
        <v>1883</v>
      </c>
      <c r="F19" s="2" t="s">
        <v>1907</v>
      </c>
    </row>
    <row r="20" customFormat="false" ht="15" hidden="false" customHeight="false" outlineLevel="0" collapsed="false">
      <c r="A20" s="9" t="s">
        <v>1908</v>
      </c>
      <c r="B20" s="10" t="s">
        <v>1909</v>
      </c>
      <c r="C20" s="9" t="n">
        <f aca="false">SRC_OAI_047-SRC_OAI_003</f>
        <v>0.9</v>
      </c>
      <c r="E20" s="9" t="s">
        <v>1883</v>
      </c>
      <c r="F20" s="2" t="s">
        <v>1910</v>
      </c>
    </row>
    <row r="21" customFormat="false" ht="15" hidden="false" customHeight="false" outlineLevel="0" collapsed="false">
      <c r="A21" s="9" t="s">
        <v>1911</v>
      </c>
      <c r="B21" s="10" t="s">
        <v>1912</v>
      </c>
      <c r="C21" s="9" t="n">
        <f aca="false">SRC_OAI_087-C22</f>
        <v>7.18</v>
      </c>
      <c r="E21" s="9" t="s">
        <v>1883</v>
      </c>
      <c r="F21" s="2" t="s">
        <v>1913</v>
      </c>
    </row>
    <row r="22" customFormat="false" ht="15" hidden="false" customHeight="false" outlineLevel="0" collapsed="false">
      <c r="A22" s="9" t="s">
        <v>1914</v>
      </c>
      <c r="B22" s="9" t="s">
        <v>1915</v>
      </c>
      <c r="C22" s="9" t="n">
        <f aca="false">SRC_OAI_098+Inputs!$E$223</f>
        <v>12</v>
      </c>
      <c r="D22" s="9" t="n">
        <v>12</v>
      </c>
      <c r="E22" s="9" t="str">
        <f aca="false">IF(ISNUMBER(C22),IF(ABS(C22-D22)&lt;0.000000001,"OK","ERR"),"ERR")</f>
        <v>OK</v>
      </c>
      <c r="F22" s="12" t="s">
        <v>1916</v>
      </c>
    </row>
    <row r="23" customFormat="false" ht="15" hidden="false" customHeight="false" outlineLevel="0" collapsed="false">
      <c r="A23" s="9" t="s">
        <v>1917</v>
      </c>
      <c r="B23" s="9" t="s">
        <v>1918</v>
      </c>
      <c r="C23" s="9" t="n">
        <f aca="false">SRC_OAI_098+Inputs!$F$223</f>
        <v>10.59</v>
      </c>
      <c r="D23" s="9" t="n">
        <v>10.59</v>
      </c>
      <c r="E23" s="9" t="str">
        <f aca="false">IF(ISNUMBER(C23),IF(ABS(C23-D23)&lt;0.000000001,"OK","ERR"),"ERR")</f>
        <v>OK</v>
      </c>
      <c r="F23" s="12" t="s">
        <v>1919</v>
      </c>
    </row>
    <row r="24" customFormat="false" ht="15" hidden="false" customHeight="false" outlineLevel="0" collapsed="false">
      <c r="A24" s="9" t="s">
        <v>1920</v>
      </c>
      <c r="B24" s="9" t="s">
        <v>1921</v>
      </c>
      <c r="C24" s="9" t="n">
        <f aca="false">SRC_OAI_098+Inputs!$G$223</f>
        <v>13.5</v>
      </c>
      <c r="D24" s="9" t="n">
        <v>13.5</v>
      </c>
      <c r="E24" s="9" t="str">
        <f aca="false">IF(ISNUMBER(C24),IF(ABS(C24-D24)&lt;0.000000001,"OK","ERR"),"ERR")</f>
        <v>OK</v>
      </c>
      <c r="F24" s="12" t="s">
        <v>1922</v>
      </c>
    </row>
    <row r="25" customFormat="false" ht="15" hidden="false" customHeight="false" outlineLevel="0" collapsed="false">
      <c r="A25" s="9" t="s">
        <v>1923</v>
      </c>
      <c r="B25" s="9" t="s">
        <v>1924</v>
      </c>
      <c r="C25" s="9" t="n">
        <f aca="false">COUNTIF(Inputs!$B$5:$B$600,"*合約價*")</f>
        <v>1</v>
      </c>
      <c r="D25" s="9" t="n">
        <v>1</v>
      </c>
      <c r="E25" s="9" t="str">
        <f aca="false">IF(C25=D25,"OK","ERR")</f>
        <v>OK</v>
      </c>
      <c r="F25" s="2" t="s">
        <v>1925</v>
      </c>
    </row>
    <row r="26" customFormat="false" ht="15" hidden="false" customHeight="false" outlineLevel="0" collapsed="false">
      <c r="A26" s="9" t="s">
        <v>1926</v>
      </c>
      <c r="B26" s="9" t="s">
        <v>1927</v>
      </c>
      <c r="C26" s="9" t="n">
        <f aca="false">V9_ProViolation</f>
        <v>0</v>
      </c>
      <c r="D26" s="9" t="n">
        <v>0</v>
      </c>
      <c r="E26" s="9" t="str">
        <f aca="false">IF(C26=D26,"OK","ERR")</f>
        <v>OK</v>
      </c>
      <c r="F26" s="12" t="s">
        <v>1928</v>
      </c>
    </row>
    <row r="27" customFormat="false" ht="15" hidden="false" customHeight="false" outlineLevel="0" collapsed="false">
      <c r="A27" s="9" t="s">
        <v>1929</v>
      </c>
      <c r="B27" s="9" t="s">
        <v>1930</v>
      </c>
      <c r="C27" s="9" t="n">
        <f aca="false">((1-Inputs!$E$28-Inputs!$E$30)&lt;0)+((1-Inputs!$E$28-Inputs!$E$30)&gt;1)+((1-Inputs!$G$28-Inputs!$G$30)&lt;0)+((1-Inputs!$G$28-Inputs!$G$30)&gt;1)+((1-Inputs!$F$28-Inputs!$F$30)&lt;0)+((1-Inputs!$F$28-Inputs!$F$30)&gt;1)+((1-Inputs!$E$29-Inputs!$E$31)&lt;0)+((1-Inputs!$E$29-Inputs!$E$31)&gt;1)+((1-Inputs!$G$29-Inputs!$G$31)&lt;0)+((1-Inputs!$G$29-Inputs!$G$31)&gt;1)+((1-Inputs!$F$29-Inputs!$F$31)&lt;0)+((1-Inputs!$F$29-Inputs!$F$31)&gt;1)</f>
        <v>0</v>
      </c>
      <c r="D27" s="9" t="n">
        <v>0</v>
      </c>
      <c r="E27" s="9" t="str">
        <f aca="false">IF(C27=D27,"OK","ERR")</f>
        <v>OK</v>
      </c>
      <c r="F27" s="2" t="s">
        <v>1931</v>
      </c>
    </row>
    <row r="28" customFormat="false" ht="15" hidden="false" customHeight="false" outlineLevel="0" collapsed="false">
      <c r="A28" s="9" t="s">
        <v>1932</v>
      </c>
      <c r="B28" s="9" t="s">
        <v>1933</v>
      </c>
      <c r="C28" s="9" t="n">
        <f aca="false">Inputs!$G$236-V9_AwsWsj</f>
        <v>0</v>
      </c>
      <c r="D28" s="9" t="n">
        <v>0</v>
      </c>
      <c r="E28" s="9" t="str">
        <f aca="false">IF(ISNUMBER(C28),IF(ABS(C28-D28)&lt;0.000000001,"OK","ERR"),"ERR")</f>
        <v>OK</v>
      </c>
      <c r="F28" s="2" t="s">
        <v>1934</v>
      </c>
    </row>
    <row r="29" customFormat="false" ht="15" hidden="false" customHeight="false" outlineLevel="0" collapsed="false">
      <c r="A29" s="9" t="s">
        <v>1935</v>
      </c>
      <c r="B29" s="9" t="s">
        <v>1936</v>
      </c>
      <c r="C29" s="9" t="n">
        <f aca="false">V9_Uncond2026</f>
        <v>87</v>
      </c>
      <c r="D29" s="9" t="n">
        <v>87</v>
      </c>
      <c r="E29" s="9" t="str">
        <f aca="false">IF(ISNUMBER(C29),IF(ABS(C29-D29)&lt;0.000000001,"OK","ERR"),"ERR")</f>
        <v>OK</v>
      </c>
      <c r="F29" s="12" t="s">
        <v>1937</v>
      </c>
    </row>
    <row r="30" customFormat="false" ht="15" hidden="false" customHeight="false" outlineLevel="0" collapsed="false">
      <c r="A30" s="9" t="s">
        <v>1938</v>
      </c>
      <c r="B30" s="9" t="s">
        <v>1939</v>
      </c>
      <c r="C30" s="9" t="n">
        <f aca="false">V9_OracleAnnual</f>
        <v>60</v>
      </c>
      <c r="D30" s="9" t="n">
        <v>60</v>
      </c>
      <c r="E30" s="9" t="str">
        <f aca="false">IF(ISNUMBER(C30),IF(ABS(C30-D30)&lt;0.000000001,"OK","ERR"),"ERR")</f>
        <v>OK</v>
      </c>
      <c r="F30" s="2" t="s">
        <v>1940</v>
      </c>
    </row>
    <row r="31" customFormat="false" ht="15" hidden="false" customHeight="false" outlineLevel="0" collapsed="false">
      <c r="A31" s="9" t="s">
        <v>1941</v>
      </c>
      <c r="B31" s="9" t="s">
        <v>1942</v>
      </c>
      <c r="C31" s="9" t="n">
        <f aca="false">REV_Gap2025</f>
        <v>0</v>
      </c>
      <c r="D31" s="9" t="n">
        <v>0</v>
      </c>
      <c r="E31" s="9" t="str">
        <f aca="false">IF(ISNUMBER(C31),IF(ABS(C31-D31)&lt;0.000000001,"OK","ERR"),"ERR")</f>
        <v>OK</v>
      </c>
      <c r="F31" s="12" t="s">
        <v>1943</v>
      </c>
    </row>
    <row r="32" customFormat="false" ht="15" hidden="false" customHeight="false" outlineLevel="0" collapsed="false">
      <c r="A32" s="9" t="s">
        <v>1944</v>
      </c>
      <c r="B32" s="9" t="s">
        <v>1945</v>
      </c>
      <c r="C32" s="9" t="n">
        <f aca="false">IF(AND(DEM_ApiBilledRatio2025&gt;0,DEM_ApiBilledRatio2025&lt;=1),0,1)</f>
        <v>0</v>
      </c>
      <c r="D32" s="9" t="n">
        <v>0</v>
      </c>
      <c r="E32" s="9" t="str">
        <f aca="false">IF(C32=D32,"OK","ERR")</f>
        <v>OK</v>
      </c>
      <c r="F32" s="2" t="s">
        <v>1946</v>
      </c>
    </row>
    <row r="33" customFormat="false" ht="15" hidden="false" customHeight="false" outlineLevel="0" collapsed="false">
      <c r="A33" s="9" t="s">
        <v>1947</v>
      </c>
      <c r="B33" s="9" t="s">
        <v>1948</v>
      </c>
      <c r="C33" s="9" t="n">
        <f aca="false">(ABS(Inputs!$E$149+Inputs!$E$150+Inputs!$E$151-1)&gt;0.000000001)+(ABS(Inputs!$E$154+Inputs!$E$155+Inputs!$E$156-1)&gt;0.000000001)+(ABS(Inputs!$E$159+Inputs!$E$160+Inputs!$E$161-1)&gt;0.000000001)+(ABS(Inputs!$E$164+Inputs!$E$165+Inputs!$E$166-1)&gt;0.000000001)+(ABS(Inputs!$E$169+Inputs!$E$170+Inputs!$E$171-1)&gt;0.000000001)</f>
        <v>0</v>
      </c>
      <c r="D33" s="9" t="n">
        <v>0</v>
      </c>
      <c r="E33" s="9" t="str">
        <f aca="false">IF(C33=D33,"OK","ERR")</f>
        <v>OK</v>
      </c>
      <c r="F33" s="12" t="s">
        <v>1949</v>
      </c>
    </row>
    <row r="34" customFormat="false" ht="15" hidden="false" customHeight="false" outlineLevel="0" collapsed="false">
      <c r="A34" s="9" t="s">
        <v>1950</v>
      </c>
      <c r="B34" s="9" t="s">
        <v>1951</v>
      </c>
      <c r="C34" s="9" t="n">
        <f aca="false">SUMPRODUCT(--(ABS(Demand!$D$51:$I$51-Demand!$D$52:$I$52)&gt;0.000000001*Demand!$D$52:$I$52))</f>
        <v>0</v>
      </c>
      <c r="D34" s="9" t="n">
        <v>0</v>
      </c>
      <c r="E34" s="9" t="str">
        <f aca="false">IF(C34=D34,"OK","ERR")</f>
        <v>OK</v>
      </c>
      <c r="F34" s="2" t="s">
        <v>1952</v>
      </c>
    </row>
    <row r="35" customFormat="false" ht="15" hidden="false" customHeight="false" outlineLevel="0" collapsed="false">
      <c r="A35" s="9" t="s">
        <v>1953</v>
      </c>
      <c r="B35" s="9" t="s">
        <v>1954</v>
      </c>
      <c r="C35" s="9" t="n">
        <f aca="false">SUMPRODUCT(ABS(Revenue!$D$45:$I$45))</f>
        <v>0</v>
      </c>
      <c r="D35" s="9" t="n">
        <v>0</v>
      </c>
      <c r="E35" s="9" t="str">
        <f aca="false">IF(ISNUMBER(C35),IF(ABS(C35-D35)&lt;0.000000001,"OK","ERR"),"ERR")</f>
        <v>OK</v>
      </c>
      <c r="F35" s="12" t="s">
        <v>1955</v>
      </c>
    </row>
    <row r="36" customFormat="false" ht="15" hidden="false" customHeight="false" outlineLevel="0" collapsed="false">
      <c r="A36" s="9" t="s">
        <v>1956</v>
      </c>
      <c r="B36" s="9" t="s">
        <v>1957</v>
      </c>
      <c r="C36" s="9" t="n">
        <f aca="false">MAX(0,MAX(REV_MSCum)-SRC_OAI_010)</f>
        <v>0</v>
      </c>
      <c r="D36" s="9" t="n">
        <v>0</v>
      </c>
      <c r="E36" s="9" t="str">
        <f aca="false">IF(ISNUMBER(C36),IF(ABS(C36-D36)&lt;0.000000001,"OK","ERR"),"ERR")</f>
        <v>OK</v>
      </c>
      <c r="F36" s="2" t="s">
        <v>1958</v>
      </c>
    </row>
    <row r="37" customFormat="false" ht="15" hidden="false" customHeight="false" outlineLevel="0" collapsed="false">
      <c r="A37" s="9" t="s">
        <v>1959</v>
      </c>
      <c r="B37" s="9" t="s">
        <v>1960</v>
      </c>
      <c r="C37" s="9" t="n">
        <f aca="false">(Revenue!D62&lt;Revenue!D63)+(Revenue!D61&lt;Revenue!D64)+(Revenue!E62&lt;Revenue!E63)+(Revenue!E61&lt;Revenue!E64)+(Revenue!F62&lt;Revenue!F63)+(Revenue!F61&lt;Revenue!F64)</f>
        <v>0</v>
      </c>
      <c r="D37" s="9" t="n">
        <v>0</v>
      </c>
      <c r="E37" s="9" t="str">
        <f aca="false">IF(C37=D37,"OK","ERR")</f>
        <v>OK</v>
      </c>
      <c r="F37" s="12" t="s">
        <v>1961</v>
      </c>
    </row>
    <row r="38" customFormat="false" ht="15" hidden="false" customHeight="false" outlineLevel="0" collapsed="false">
      <c r="A38" s="9" t="s">
        <v>1962</v>
      </c>
      <c r="B38" s="9" t="s">
        <v>1963</v>
      </c>
      <c r="C38" s="9" t="n">
        <f aca="false">(Revenue!G65&gt;Revenue!D65)+(Revenue!D65&gt;Revenue!H65)+(Revenue!G66&gt;Revenue!D66)+(Revenue!D66&gt;Revenue!H66)+(Revenue!G67&gt;Revenue!D67)+(Revenue!D67&gt;Revenue!H67)+(Revenue!G68&gt;Revenue!D68)+(Revenue!D68&gt;Revenue!H68)+(Revenue!G69&gt;Revenue!D69)+(Revenue!D69&gt;Revenue!H69)+(Revenue!G70&gt;Revenue!D70)+(Revenue!D70&gt;Revenue!H70)</f>
        <v>0</v>
      </c>
      <c r="D38" s="9" t="n">
        <v>0</v>
      </c>
      <c r="E38" s="9" t="str">
        <f aca="false">IF(C38=D38,"OK","ERR")</f>
        <v>OK</v>
      </c>
      <c r="F38" s="12" t="s">
        <v>1964</v>
      </c>
    </row>
    <row r="39" customFormat="false" ht="15" hidden="false" customHeight="false" outlineLevel="0" collapsed="false">
      <c r="A39" s="9" t="s">
        <v>1965</v>
      </c>
      <c r="B39" s="9" t="s">
        <v>1966</v>
      </c>
      <c r="C39" s="9" t="n">
        <f aca="false">(INP_143&lt;&gt;INP_048)+(INP_144&lt;&gt;INP_049)+(INP_145&lt;&gt;INP_123)+(INP_146&lt;&gt;INP_021)+(INP_147&lt;&gt;INP_022)+(INP_148&lt;&gt;INP_023)</f>
        <v>0</v>
      </c>
      <c r="D39" s="9" t="n">
        <v>0</v>
      </c>
      <c r="E39" s="9" t="str">
        <f aca="false">IF(C39=D39,"OK","ERR")</f>
        <v>OK</v>
      </c>
      <c r="F39" s="2" t="s">
        <v>1967</v>
      </c>
    </row>
    <row r="40" customFormat="false" ht="15" hidden="false" customHeight="false" outlineLevel="0" collapsed="false">
      <c r="A40" s="9" t="s">
        <v>1968</v>
      </c>
      <c r="B40" s="9" t="s">
        <v>1969</v>
      </c>
      <c r="C40" s="9" t="n">
        <f aca="false">DEM_TkRatio2025</f>
        <v>0.844365450322589</v>
      </c>
      <c r="E40" s="9" t="s">
        <v>1883</v>
      </c>
      <c r="F40" s="2" t="s">
        <v>1970</v>
      </c>
    </row>
    <row r="41" customFormat="false" ht="15" hidden="false" customHeight="false" outlineLevel="0" collapsed="false">
      <c r="A41" s="9" t="s">
        <v>1971</v>
      </c>
      <c r="B41" s="9" t="s">
        <v>1972</v>
      </c>
      <c r="C41" s="9" t="n">
        <f aca="false">REV_GapUncal2025</f>
        <v>1.02870549883871</v>
      </c>
      <c r="E41" s="9" t="s">
        <v>1883</v>
      </c>
      <c r="F41" s="2" t="s">
        <v>1973</v>
      </c>
    </row>
    <row r="42" customFormat="false" ht="15" hidden="false" customHeight="false" outlineLevel="0" collapsed="false">
      <c r="A42" s="9" t="s">
        <v>1974</v>
      </c>
      <c r="B42" s="9" t="s">
        <v>1975</v>
      </c>
      <c r="C42" s="9" t="n">
        <f aca="false">Revenue!$I$41</f>
        <v>126.38309270298</v>
      </c>
      <c r="E42" s="9" t="s">
        <v>1883</v>
      </c>
      <c r="F42" s="2" t="s">
        <v>1976</v>
      </c>
    </row>
    <row r="44" customFormat="false" ht="15" hidden="false" customHeight="false" outlineLevel="0" collapsed="false">
      <c r="A44" s="5" t="s">
        <v>1977</v>
      </c>
      <c r="C44" s="9" t="n">
        <f aca="false">COUNTIF($E$5:$E$42,"ERR")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0"/>
    <col collapsed="false" customWidth="true" hidden="false" outlineLevel="0" max="4" min="4" style="0" width="40"/>
  </cols>
  <sheetData>
    <row r="1" customFormat="false" ht="20.1" hidden="false" customHeight="false" outlineLevel="0" collapsed="false">
      <c r="A1" s="1" t="s">
        <v>1978</v>
      </c>
    </row>
    <row r="2" customFormat="false" ht="15" hidden="false" customHeight="false" outlineLevel="0" collapsed="false">
      <c r="A2" s="2" t="s">
        <v>1979</v>
      </c>
    </row>
    <row r="4" customFormat="false" ht="29.85" hidden="false" customHeight="false" outlineLevel="0" collapsed="false">
      <c r="A4" s="7" t="s">
        <v>47</v>
      </c>
      <c r="B4" s="7" t="s">
        <v>1980</v>
      </c>
      <c r="C4" s="8" t="s">
        <v>1981</v>
      </c>
      <c r="D4" s="8" t="s">
        <v>1982</v>
      </c>
      <c r="E4" s="8" t="s">
        <v>1983</v>
      </c>
    </row>
    <row r="5" customFormat="false" ht="15" hidden="false" customHeight="false" outlineLevel="0" collapsed="false">
      <c r="A5" s="9" t="s">
        <v>1984</v>
      </c>
      <c r="B5" s="9" t="s">
        <v>1985</v>
      </c>
      <c r="C5" s="10" t="s">
        <v>1986</v>
      </c>
      <c r="D5" s="9" t="s">
        <v>59</v>
      </c>
      <c r="E5" s="10" t="s">
        <v>1987</v>
      </c>
    </row>
    <row r="6" customFormat="false" ht="15" hidden="false" customHeight="false" outlineLevel="0" collapsed="false">
      <c r="A6" s="9" t="s">
        <v>1988</v>
      </c>
      <c r="B6" s="9" t="s">
        <v>1989</v>
      </c>
      <c r="C6" s="10" t="s">
        <v>1986</v>
      </c>
      <c r="D6" s="9" t="s">
        <v>59</v>
      </c>
      <c r="E6" s="10" t="s">
        <v>1990</v>
      </c>
    </row>
    <row r="7" customFormat="false" ht="15" hidden="false" customHeight="false" outlineLevel="0" collapsed="false">
      <c r="A7" s="9" t="s">
        <v>1991</v>
      </c>
      <c r="B7" s="9" t="s">
        <v>1992</v>
      </c>
      <c r="C7" s="10" t="s">
        <v>1986</v>
      </c>
      <c r="D7" s="9" t="s">
        <v>59</v>
      </c>
      <c r="E7" s="10" t="s">
        <v>1993</v>
      </c>
    </row>
    <row r="8" customFormat="false" ht="15" hidden="false" customHeight="false" outlineLevel="0" collapsed="false">
      <c r="A8" s="9" t="s">
        <v>904</v>
      </c>
      <c r="B8" s="9" t="s">
        <v>399</v>
      </c>
      <c r="C8" s="9" t="s">
        <v>10</v>
      </c>
      <c r="D8" s="9" t="s">
        <v>900</v>
      </c>
      <c r="E8" s="9"/>
    </row>
    <row r="9" customFormat="false" ht="15" hidden="false" customHeight="false" outlineLevel="0" collapsed="false">
      <c r="A9" s="9" t="s">
        <v>908</v>
      </c>
      <c r="B9" s="9" t="s">
        <v>411</v>
      </c>
      <c r="C9" s="9" t="s">
        <v>10</v>
      </c>
      <c r="D9" s="9" t="s">
        <v>906</v>
      </c>
      <c r="E9" s="9"/>
    </row>
    <row r="10" customFormat="false" ht="15" hidden="false" customHeight="false" outlineLevel="0" collapsed="false">
      <c r="A10" s="9" t="s">
        <v>911</v>
      </c>
      <c r="B10" s="9" t="s">
        <v>1000</v>
      </c>
      <c r="C10" s="9" t="s">
        <v>10</v>
      </c>
      <c r="D10" s="9" t="s">
        <v>909</v>
      </c>
      <c r="E10" s="9"/>
    </row>
    <row r="11" customFormat="false" ht="15" hidden="false" customHeight="false" outlineLevel="0" collapsed="false">
      <c r="A11" s="9" t="s">
        <v>914</v>
      </c>
      <c r="B11" s="9" t="s">
        <v>1002</v>
      </c>
      <c r="C11" s="9" t="s">
        <v>10</v>
      </c>
      <c r="D11" s="9" t="s">
        <v>912</v>
      </c>
      <c r="E11" s="9"/>
    </row>
    <row r="12" customFormat="false" ht="15" hidden="false" customHeight="false" outlineLevel="0" collapsed="false">
      <c r="A12" s="9" t="s">
        <v>917</v>
      </c>
      <c r="B12" s="9" t="s">
        <v>1004</v>
      </c>
      <c r="C12" s="9" t="s">
        <v>10</v>
      </c>
      <c r="D12" s="9" t="s">
        <v>915</v>
      </c>
      <c r="E12" s="9"/>
    </row>
    <row r="13" customFormat="false" ht="15" hidden="false" customHeight="false" outlineLevel="0" collapsed="false">
      <c r="A13" s="9" t="s">
        <v>920</v>
      </c>
      <c r="B13" s="9" t="s">
        <v>1006</v>
      </c>
      <c r="C13" s="9" t="s">
        <v>10</v>
      </c>
      <c r="D13" s="9" t="s">
        <v>918</v>
      </c>
      <c r="E13" s="9"/>
    </row>
    <row r="14" customFormat="false" ht="15" hidden="false" customHeight="false" outlineLevel="0" collapsed="false">
      <c r="A14" s="9" t="s">
        <v>889</v>
      </c>
      <c r="B14" s="9" t="s">
        <v>399</v>
      </c>
      <c r="C14" s="9" t="s">
        <v>10</v>
      </c>
      <c r="D14" s="9" t="s">
        <v>885</v>
      </c>
      <c r="E14" s="9"/>
    </row>
    <row r="15" customFormat="false" ht="15" hidden="false" customHeight="false" outlineLevel="0" collapsed="false">
      <c r="A15" s="9" t="s">
        <v>892</v>
      </c>
      <c r="B15" s="9" t="s">
        <v>399</v>
      </c>
      <c r="C15" s="9" t="s">
        <v>10</v>
      </c>
      <c r="D15" s="9" t="s">
        <v>890</v>
      </c>
      <c r="E15" s="9"/>
    </row>
    <row r="16" customFormat="false" ht="15" hidden="false" customHeight="false" outlineLevel="0" collapsed="false">
      <c r="A16" s="9" t="s">
        <v>896</v>
      </c>
      <c r="B16" s="9" t="s">
        <v>411</v>
      </c>
      <c r="C16" s="9" t="s">
        <v>10</v>
      </c>
      <c r="D16" s="9" t="s">
        <v>894</v>
      </c>
      <c r="E16" s="9"/>
    </row>
    <row r="17" customFormat="false" ht="15" hidden="false" customHeight="false" outlineLevel="0" collapsed="false">
      <c r="A17" s="9" t="s">
        <v>899</v>
      </c>
      <c r="B17" s="9" t="s">
        <v>1000</v>
      </c>
      <c r="C17" s="9" t="s">
        <v>10</v>
      </c>
      <c r="D17" s="9" t="s">
        <v>897</v>
      </c>
      <c r="E17" s="9"/>
    </row>
    <row r="18" customFormat="false" ht="15" hidden="false" customHeight="false" outlineLevel="0" collapsed="false">
      <c r="A18" s="9" t="s">
        <v>1994</v>
      </c>
      <c r="B18" s="9" t="s">
        <v>1995</v>
      </c>
      <c r="C18" s="10" t="s">
        <v>1986</v>
      </c>
      <c r="D18" s="9" t="s">
        <v>59</v>
      </c>
      <c r="E18" s="10" t="s">
        <v>1996</v>
      </c>
    </row>
    <row r="19" customFormat="false" ht="15" hidden="false" customHeight="false" outlineLevel="0" collapsed="false">
      <c r="A19" s="9" t="s">
        <v>1997</v>
      </c>
      <c r="B19" s="9" t="s">
        <v>1998</v>
      </c>
      <c r="C19" s="10" t="s">
        <v>1986</v>
      </c>
      <c r="D19" s="9" t="s">
        <v>59</v>
      </c>
      <c r="E19" s="10" t="s">
        <v>1996</v>
      </c>
    </row>
    <row r="20" customFormat="false" ht="15" hidden="false" customHeight="false" outlineLevel="0" collapsed="false">
      <c r="A20" s="9" t="s">
        <v>1999</v>
      </c>
      <c r="B20" s="9" t="s">
        <v>2000</v>
      </c>
      <c r="C20" s="10" t="s">
        <v>1986</v>
      </c>
      <c r="D20" s="9" t="s">
        <v>59</v>
      </c>
      <c r="E20" s="10" t="s">
        <v>1996</v>
      </c>
    </row>
    <row r="21" customFormat="false" ht="15" hidden="false" customHeight="false" outlineLevel="0" collapsed="false">
      <c r="A21" s="9" t="s">
        <v>2001</v>
      </c>
      <c r="B21" s="9" t="s">
        <v>2002</v>
      </c>
      <c r="C21" s="10" t="s">
        <v>1986</v>
      </c>
      <c r="D21" s="9" t="s">
        <v>59</v>
      </c>
      <c r="E21" s="10" t="s">
        <v>1996</v>
      </c>
    </row>
    <row r="22" customFormat="false" ht="15" hidden="false" customHeight="false" outlineLevel="0" collapsed="false">
      <c r="A22" s="9" t="s">
        <v>2003</v>
      </c>
      <c r="B22" s="9" t="s">
        <v>2004</v>
      </c>
      <c r="C22" s="10" t="s">
        <v>1986</v>
      </c>
      <c r="D22" s="9" t="s">
        <v>59</v>
      </c>
      <c r="E22" s="10" t="s">
        <v>1996</v>
      </c>
    </row>
    <row r="23" customFormat="false" ht="15" hidden="false" customHeight="false" outlineLevel="0" collapsed="false">
      <c r="A23" s="9" t="s">
        <v>2005</v>
      </c>
      <c r="B23" s="9" t="s">
        <v>2006</v>
      </c>
      <c r="C23" s="10" t="s">
        <v>1986</v>
      </c>
      <c r="D23" s="9" t="s">
        <v>59</v>
      </c>
      <c r="E23" s="10" t="s">
        <v>2007</v>
      </c>
    </row>
    <row r="24" customFormat="false" ht="15" hidden="false" customHeight="false" outlineLevel="0" collapsed="false">
      <c r="A24" s="9" t="s">
        <v>2008</v>
      </c>
      <c r="B24" s="9" t="s">
        <v>2009</v>
      </c>
      <c r="C24" s="10" t="s">
        <v>1986</v>
      </c>
      <c r="D24" s="9" t="s">
        <v>59</v>
      </c>
      <c r="E24" s="9" t="s">
        <v>2010</v>
      </c>
    </row>
    <row r="25" customFormat="false" ht="15" hidden="false" customHeight="false" outlineLevel="0" collapsed="false">
      <c r="A25" s="9" t="s">
        <v>2011</v>
      </c>
      <c r="B25" s="9" t="s">
        <v>2012</v>
      </c>
      <c r="C25" s="9" t="s">
        <v>6</v>
      </c>
      <c r="D25" s="9" t="s">
        <v>54</v>
      </c>
      <c r="E25" s="9"/>
    </row>
    <row r="26" customFormat="false" ht="15" hidden="false" customHeight="false" outlineLevel="0" collapsed="false">
      <c r="A26" s="9" t="s">
        <v>2013</v>
      </c>
      <c r="B26" s="9" t="s">
        <v>2014</v>
      </c>
      <c r="C26" s="9" t="s">
        <v>6</v>
      </c>
      <c r="D26" s="9" t="s">
        <v>54</v>
      </c>
      <c r="E26" s="10" t="s">
        <v>2015</v>
      </c>
    </row>
    <row r="27" customFormat="false" ht="15" hidden="false" customHeight="false" outlineLevel="0" collapsed="false">
      <c r="A27" s="9" t="s">
        <v>2016</v>
      </c>
      <c r="B27" s="9" t="s">
        <v>2017</v>
      </c>
      <c r="C27" s="9" t="s">
        <v>6</v>
      </c>
      <c r="D27" s="9" t="s">
        <v>54</v>
      </c>
      <c r="E27" s="10" t="s">
        <v>2015</v>
      </c>
    </row>
    <row r="28" customFormat="false" ht="15" hidden="false" customHeight="false" outlineLevel="0" collapsed="false">
      <c r="A28" s="9" t="s">
        <v>2018</v>
      </c>
      <c r="B28" s="9" t="s">
        <v>2019</v>
      </c>
      <c r="C28" s="9" t="s">
        <v>6</v>
      </c>
      <c r="D28" s="9" t="s">
        <v>70</v>
      </c>
      <c r="E28" s="9"/>
    </row>
    <row r="29" customFormat="false" ht="15" hidden="false" customHeight="false" outlineLevel="0" collapsed="false">
      <c r="A29" s="9" t="s">
        <v>2020</v>
      </c>
      <c r="B29" s="9" t="s">
        <v>2014</v>
      </c>
      <c r="C29" s="9" t="s">
        <v>6</v>
      </c>
      <c r="D29" s="9" t="s">
        <v>70</v>
      </c>
      <c r="E29" s="10" t="s">
        <v>2015</v>
      </c>
    </row>
    <row r="30" customFormat="false" ht="15" hidden="false" customHeight="false" outlineLevel="0" collapsed="false">
      <c r="A30" s="9" t="s">
        <v>2021</v>
      </c>
      <c r="B30" s="9" t="s">
        <v>2022</v>
      </c>
      <c r="C30" s="9" t="s">
        <v>6</v>
      </c>
      <c r="D30" s="9" t="s">
        <v>70</v>
      </c>
      <c r="E30" s="10" t="s">
        <v>2015</v>
      </c>
    </row>
    <row r="31" customFormat="false" ht="15" hidden="false" customHeight="false" outlineLevel="0" collapsed="false">
      <c r="A31" s="9" t="s">
        <v>2023</v>
      </c>
      <c r="B31" s="9" t="s">
        <v>2024</v>
      </c>
      <c r="C31" s="9" t="s">
        <v>6</v>
      </c>
      <c r="D31" s="9" t="s">
        <v>78</v>
      </c>
      <c r="E31" s="9"/>
    </row>
    <row r="32" customFormat="false" ht="15" hidden="false" customHeight="false" outlineLevel="0" collapsed="false">
      <c r="A32" s="9" t="s">
        <v>2025</v>
      </c>
      <c r="B32" s="9" t="s">
        <v>2014</v>
      </c>
      <c r="C32" s="9" t="s">
        <v>6</v>
      </c>
      <c r="D32" s="9" t="s">
        <v>78</v>
      </c>
      <c r="E32" s="10" t="s">
        <v>2015</v>
      </c>
    </row>
    <row r="33" customFormat="false" ht="15" hidden="false" customHeight="false" outlineLevel="0" collapsed="false">
      <c r="A33" s="9" t="s">
        <v>2026</v>
      </c>
      <c r="B33" s="9" t="s">
        <v>2027</v>
      </c>
      <c r="C33" s="9" t="s">
        <v>6</v>
      </c>
      <c r="D33" s="9" t="s">
        <v>78</v>
      </c>
      <c r="E33" s="10" t="s">
        <v>2015</v>
      </c>
    </row>
    <row r="34" customFormat="false" ht="15" hidden="false" customHeight="false" outlineLevel="0" collapsed="false">
      <c r="A34" s="9" t="s">
        <v>2028</v>
      </c>
      <c r="B34" s="9" t="s">
        <v>2029</v>
      </c>
      <c r="C34" s="9" t="s">
        <v>6</v>
      </c>
      <c r="D34" s="9" t="s">
        <v>84</v>
      </c>
      <c r="E34" s="9"/>
    </row>
    <row r="35" customFormat="false" ht="15" hidden="false" customHeight="false" outlineLevel="0" collapsed="false">
      <c r="A35" s="9" t="s">
        <v>2030</v>
      </c>
      <c r="B35" s="9" t="s">
        <v>2014</v>
      </c>
      <c r="C35" s="9" t="s">
        <v>6</v>
      </c>
      <c r="D35" s="9" t="s">
        <v>84</v>
      </c>
      <c r="E35" s="10" t="s">
        <v>2015</v>
      </c>
    </row>
    <row r="36" customFormat="false" ht="15" hidden="false" customHeight="false" outlineLevel="0" collapsed="false">
      <c r="A36" s="9" t="s">
        <v>2031</v>
      </c>
      <c r="B36" s="9" t="s">
        <v>2032</v>
      </c>
      <c r="C36" s="9" t="s">
        <v>6</v>
      </c>
      <c r="D36" s="9" t="s">
        <v>84</v>
      </c>
      <c r="E36" s="10" t="s">
        <v>2015</v>
      </c>
    </row>
    <row r="37" customFormat="false" ht="15" hidden="false" customHeight="false" outlineLevel="0" collapsed="false">
      <c r="A37" s="9" t="s">
        <v>2033</v>
      </c>
      <c r="B37" s="9" t="s">
        <v>2034</v>
      </c>
      <c r="C37" s="9" t="s">
        <v>6</v>
      </c>
      <c r="D37" s="9" t="s">
        <v>92</v>
      </c>
      <c r="E37" s="9"/>
    </row>
    <row r="38" customFormat="false" ht="15" hidden="false" customHeight="false" outlineLevel="0" collapsed="false">
      <c r="A38" s="9" t="s">
        <v>2035</v>
      </c>
      <c r="B38" s="9" t="s">
        <v>2014</v>
      </c>
      <c r="C38" s="9" t="s">
        <v>6</v>
      </c>
      <c r="D38" s="9" t="s">
        <v>92</v>
      </c>
      <c r="E38" s="10" t="s">
        <v>2015</v>
      </c>
    </row>
    <row r="39" customFormat="false" ht="15" hidden="false" customHeight="false" outlineLevel="0" collapsed="false">
      <c r="A39" s="9" t="s">
        <v>2036</v>
      </c>
      <c r="B39" s="9" t="s">
        <v>2037</v>
      </c>
      <c r="C39" s="9" t="s">
        <v>6</v>
      </c>
      <c r="D39" s="9" t="s">
        <v>92</v>
      </c>
      <c r="E39" s="10" t="s">
        <v>2015</v>
      </c>
    </row>
    <row r="40" customFormat="false" ht="15" hidden="false" customHeight="false" outlineLevel="0" collapsed="false">
      <c r="A40" s="9" t="s">
        <v>2038</v>
      </c>
      <c r="B40" s="9" t="s">
        <v>2039</v>
      </c>
      <c r="C40" s="9" t="s">
        <v>6</v>
      </c>
      <c r="D40" s="9" t="s">
        <v>99</v>
      </c>
      <c r="E40" s="9"/>
    </row>
    <row r="41" customFormat="false" ht="15" hidden="false" customHeight="false" outlineLevel="0" collapsed="false">
      <c r="A41" s="9" t="s">
        <v>2040</v>
      </c>
      <c r="B41" s="9" t="s">
        <v>2014</v>
      </c>
      <c r="C41" s="9" t="s">
        <v>6</v>
      </c>
      <c r="D41" s="9" t="s">
        <v>99</v>
      </c>
      <c r="E41" s="10" t="s">
        <v>2015</v>
      </c>
    </row>
    <row r="42" customFormat="false" ht="15" hidden="false" customHeight="false" outlineLevel="0" collapsed="false">
      <c r="A42" s="9" t="s">
        <v>2041</v>
      </c>
      <c r="B42" s="9" t="s">
        <v>2042</v>
      </c>
      <c r="C42" s="9" t="s">
        <v>6</v>
      </c>
      <c r="D42" s="9" t="s">
        <v>99</v>
      </c>
      <c r="E42" s="10" t="s">
        <v>2015</v>
      </c>
    </row>
    <row r="43" customFormat="false" ht="15" hidden="false" customHeight="false" outlineLevel="0" collapsed="false">
      <c r="A43" s="9" t="s">
        <v>2043</v>
      </c>
      <c r="B43" s="9" t="s">
        <v>2044</v>
      </c>
      <c r="C43" s="9" t="s">
        <v>6</v>
      </c>
      <c r="D43" s="9" t="s">
        <v>106</v>
      </c>
      <c r="E43" s="9"/>
    </row>
    <row r="44" customFormat="false" ht="15" hidden="false" customHeight="false" outlineLevel="0" collapsed="false">
      <c r="A44" s="9" t="s">
        <v>2045</v>
      </c>
      <c r="B44" s="9" t="s">
        <v>2014</v>
      </c>
      <c r="C44" s="9" t="s">
        <v>6</v>
      </c>
      <c r="D44" s="9" t="s">
        <v>106</v>
      </c>
      <c r="E44" s="10" t="s">
        <v>2015</v>
      </c>
    </row>
    <row r="45" customFormat="false" ht="15" hidden="false" customHeight="false" outlineLevel="0" collapsed="false">
      <c r="A45" s="9" t="s">
        <v>2046</v>
      </c>
      <c r="B45" s="9" t="s">
        <v>2047</v>
      </c>
      <c r="C45" s="9" t="s">
        <v>6</v>
      </c>
      <c r="D45" s="9" t="s">
        <v>106</v>
      </c>
      <c r="E45" s="10" t="s">
        <v>2015</v>
      </c>
    </row>
    <row r="46" customFormat="false" ht="15" hidden="false" customHeight="false" outlineLevel="0" collapsed="false">
      <c r="A46" s="9" t="s">
        <v>2048</v>
      </c>
      <c r="B46" s="9" t="s">
        <v>2049</v>
      </c>
      <c r="C46" s="9" t="s">
        <v>6</v>
      </c>
      <c r="D46" s="9" t="s">
        <v>113</v>
      </c>
      <c r="E46" s="9"/>
    </row>
    <row r="47" customFormat="false" ht="15" hidden="false" customHeight="false" outlineLevel="0" collapsed="false">
      <c r="A47" s="9" t="s">
        <v>2050</v>
      </c>
      <c r="B47" s="9" t="s">
        <v>2051</v>
      </c>
      <c r="C47" s="9" t="s">
        <v>6</v>
      </c>
      <c r="D47" s="9" t="s">
        <v>113</v>
      </c>
      <c r="E47" s="10" t="s">
        <v>2015</v>
      </c>
    </row>
    <row r="48" customFormat="false" ht="15" hidden="false" customHeight="false" outlineLevel="0" collapsed="false">
      <c r="A48" s="9" t="s">
        <v>2052</v>
      </c>
      <c r="B48" s="9" t="s">
        <v>2014</v>
      </c>
      <c r="C48" s="9" t="s">
        <v>6</v>
      </c>
      <c r="D48" s="9" t="s">
        <v>113</v>
      </c>
      <c r="E48" s="10" t="s">
        <v>2015</v>
      </c>
    </row>
    <row r="49" customFormat="false" ht="15" hidden="false" customHeight="false" outlineLevel="0" collapsed="false">
      <c r="A49" s="9" t="s">
        <v>2053</v>
      </c>
      <c r="B49" s="9" t="s">
        <v>2054</v>
      </c>
      <c r="C49" s="9" t="s">
        <v>6</v>
      </c>
      <c r="D49" s="9" t="s">
        <v>113</v>
      </c>
      <c r="E49" s="10" t="s">
        <v>2015</v>
      </c>
    </row>
    <row r="50" customFormat="false" ht="15" hidden="false" customHeight="false" outlineLevel="0" collapsed="false">
      <c r="A50" s="9" t="s">
        <v>2055</v>
      </c>
      <c r="B50" s="9" t="s">
        <v>2056</v>
      </c>
      <c r="C50" s="10" t="s">
        <v>2057</v>
      </c>
      <c r="D50" s="9" t="s">
        <v>2058</v>
      </c>
      <c r="E50" s="9" t="s">
        <v>2059</v>
      </c>
    </row>
    <row r="51" customFormat="false" ht="15" hidden="false" customHeight="false" outlineLevel="0" collapsed="false">
      <c r="A51" s="9" t="s">
        <v>2060</v>
      </c>
      <c r="B51" s="9" t="s">
        <v>2061</v>
      </c>
      <c r="C51" s="10" t="s">
        <v>2057</v>
      </c>
      <c r="D51" s="9" t="s">
        <v>2058</v>
      </c>
      <c r="E51" s="9" t="s">
        <v>2059</v>
      </c>
    </row>
    <row r="52" customFormat="false" ht="15" hidden="false" customHeight="false" outlineLevel="0" collapsed="false">
      <c r="A52" s="9" t="s">
        <v>2062</v>
      </c>
      <c r="B52" s="9" t="s">
        <v>2063</v>
      </c>
      <c r="C52" s="10" t="s">
        <v>2057</v>
      </c>
      <c r="D52" s="9" t="s">
        <v>2058</v>
      </c>
      <c r="E52" s="9" t="s">
        <v>2059</v>
      </c>
    </row>
    <row r="53" customFormat="false" ht="15" hidden="false" customHeight="false" outlineLevel="0" collapsed="false">
      <c r="A53" s="9" t="s">
        <v>2064</v>
      </c>
      <c r="B53" s="9" t="s">
        <v>2065</v>
      </c>
      <c r="C53" s="10" t="s">
        <v>2057</v>
      </c>
      <c r="D53" s="9" t="s">
        <v>2058</v>
      </c>
      <c r="E53" s="9" t="s">
        <v>2059</v>
      </c>
    </row>
    <row r="54" customFormat="false" ht="15" hidden="false" customHeight="false" outlineLevel="0" collapsed="false">
      <c r="A54" s="9" t="s">
        <v>2066</v>
      </c>
      <c r="B54" s="9" t="s">
        <v>2067</v>
      </c>
      <c r="C54" s="10" t="s">
        <v>2057</v>
      </c>
      <c r="D54" s="9" t="s">
        <v>2058</v>
      </c>
      <c r="E54" s="9" t="s">
        <v>2059</v>
      </c>
    </row>
    <row r="55" customFormat="false" ht="15" hidden="false" customHeight="false" outlineLevel="0" collapsed="false">
      <c r="A55" s="9" t="s">
        <v>2068</v>
      </c>
      <c r="B55" s="9" t="s">
        <v>2069</v>
      </c>
      <c r="C55" s="10" t="s">
        <v>2057</v>
      </c>
      <c r="D55" s="9" t="s">
        <v>2058</v>
      </c>
      <c r="E55" s="9" t="s">
        <v>2059</v>
      </c>
    </row>
    <row r="56" customFormat="false" ht="15" hidden="false" customHeight="false" outlineLevel="0" collapsed="false">
      <c r="A56" s="9" t="s">
        <v>2070</v>
      </c>
      <c r="B56" s="9" t="s">
        <v>2071</v>
      </c>
      <c r="C56" s="10" t="s">
        <v>2057</v>
      </c>
      <c r="D56" s="9" t="s">
        <v>2058</v>
      </c>
      <c r="E56" s="9" t="s">
        <v>2059</v>
      </c>
    </row>
    <row r="57" customFormat="false" ht="15" hidden="false" customHeight="false" outlineLevel="0" collapsed="false">
      <c r="A57" s="9" t="s">
        <v>2072</v>
      </c>
      <c r="B57" s="9" t="s">
        <v>2073</v>
      </c>
      <c r="C57" s="9" t="s">
        <v>6</v>
      </c>
      <c r="D57" s="9" t="s">
        <v>123</v>
      </c>
      <c r="E57" s="9"/>
    </row>
    <row r="58" customFormat="false" ht="15" hidden="false" customHeight="false" outlineLevel="0" collapsed="false">
      <c r="A58" s="9" t="s">
        <v>2074</v>
      </c>
      <c r="B58" s="9" t="s">
        <v>2014</v>
      </c>
      <c r="C58" s="9" t="s">
        <v>6</v>
      </c>
      <c r="D58" s="9" t="s">
        <v>123</v>
      </c>
      <c r="E58" s="10" t="s">
        <v>2015</v>
      </c>
    </row>
    <row r="59" customFormat="false" ht="15" hidden="false" customHeight="false" outlineLevel="0" collapsed="false">
      <c r="A59" s="9" t="s">
        <v>2075</v>
      </c>
      <c r="B59" s="9" t="s">
        <v>2076</v>
      </c>
      <c r="C59" s="9" t="s">
        <v>6</v>
      </c>
      <c r="D59" s="9" t="s">
        <v>123</v>
      </c>
      <c r="E59" s="10" t="s">
        <v>2015</v>
      </c>
    </row>
    <row r="60" customFormat="false" ht="15" hidden="false" customHeight="false" outlineLevel="0" collapsed="false">
      <c r="A60" s="9" t="s">
        <v>2077</v>
      </c>
      <c r="B60" s="9" t="s">
        <v>2078</v>
      </c>
      <c r="C60" s="9" t="s">
        <v>6</v>
      </c>
      <c r="D60" s="9" t="s">
        <v>132</v>
      </c>
      <c r="E60" s="9"/>
    </row>
    <row r="61" customFormat="false" ht="15" hidden="false" customHeight="false" outlineLevel="0" collapsed="false">
      <c r="A61" s="9" t="s">
        <v>2079</v>
      </c>
      <c r="B61" s="9" t="s">
        <v>2014</v>
      </c>
      <c r="C61" s="9" t="s">
        <v>6</v>
      </c>
      <c r="D61" s="9" t="s">
        <v>132</v>
      </c>
      <c r="E61" s="10" t="s">
        <v>2015</v>
      </c>
    </row>
    <row r="62" customFormat="false" ht="15" hidden="false" customHeight="false" outlineLevel="0" collapsed="false">
      <c r="A62" s="9" t="s">
        <v>2080</v>
      </c>
      <c r="B62" s="9" t="s">
        <v>2081</v>
      </c>
      <c r="C62" s="9" t="s">
        <v>6</v>
      </c>
      <c r="D62" s="9" t="s">
        <v>132</v>
      </c>
      <c r="E62" s="10" t="s">
        <v>2015</v>
      </c>
    </row>
    <row r="63" customFormat="false" ht="15" hidden="false" customHeight="false" outlineLevel="0" collapsed="false">
      <c r="A63" s="9" t="s">
        <v>2082</v>
      </c>
      <c r="B63" s="9" t="s">
        <v>1006</v>
      </c>
      <c r="C63" s="9" t="s">
        <v>6</v>
      </c>
      <c r="D63" s="9" t="s">
        <v>138</v>
      </c>
      <c r="E63" s="9"/>
    </row>
    <row r="64" customFormat="false" ht="15" hidden="false" customHeight="false" outlineLevel="0" collapsed="false">
      <c r="A64" s="9" t="s">
        <v>2083</v>
      </c>
      <c r="B64" s="9" t="s">
        <v>2084</v>
      </c>
      <c r="C64" s="9" t="s">
        <v>6</v>
      </c>
      <c r="D64" s="9" t="s">
        <v>138</v>
      </c>
      <c r="E64" s="10" t="s">
        <v>2015</v>
      </c>
    </row>
    <row r="65" customFormat="false" ht="15" hidden="false" customHeight="false" outlineLevel="0" collapsed="false">
      <c r="A65" s="9" t="s">
        <v>2085</v>
      </c>
      <c r="B65" s="9" t="s">
        <v>2086</v>
      </c>
      <c r="C65" s="9" t="s">
        <v>6</v>
      </c>
      <c r="D65" s="9" t="s">
        <v>138</v>
      </c>
      <c r="E65" s="10" t="s">
        <v>2015</v>
      </c>
    </row>
    <row r="66" customFormat="false" ht="15" hidden="false" customHeight="false" outlineLevel="0" collapsed="false">
      <c r="A66" s="9" t="s">
        <v>2087</v>
      </c>
      <c r="B66" s="9" t="s">
        <v>411</v>
      </c>
      <c r="C66" s="9" t="s">
        <v>10</v>
      </c>
      <c r="D66" s="9" t="s">
        <v>921</v>
      </c>
      <c r="E66" s="9"/>
    </row>
    <row r="67" customFormat="false" ht="15" hidden="false" customHeight="false" outlineLevel="0" collapsed="false">
      <c r="A67" s="9" t="s">
        <v>2088</v>
      </c>
      <c r="B67" s="9" t="s">
        <v>2089</v>
      </c>
      <c r="C67" s="9" t="s">
        <v>10</v>
      </c>
      <c r="D67" s="9" t="s">
        <v>921</v>
      </c>
      <c r="E67" s="10" t="s">
        <v>2015</v>
      </c>
    </row>
    <row r="68" customFormat="false" ht="15" hidden="false" customHeight="false" outlineLevel="0" collapsed="false">
      <c r="A68" s="9" t="s">
        <v>2090</v>
      </c>
      <c r="B68" s="9" t="s">
        <v>2091</v>
      </c>
      <c r="C68" s="9" t="s">
        <v>10</v>
      </c>
      <c r="D68" s="9" t="s">
        <v>921</v>
      </c>
      <c r="E68" s="10" t="s">
        <v>2015</v>
      </c>
    </row>
    <row r="69" customFormat="false" ht="15" hidden="false" customHeight="false" outlineLevel="0" collapsed="false">
      <c r="A69" s="9" t="s">
        <v>2092</v>
      </c>
      <c r="B69" s="9" t="s">
        <v>2093</v>
      </c>
      <c r="C69" s="9" t="s">
        <v>6</v>
      </c>
      <c r="D69" s="9" t="s">
        <v>146</v>
      </c>
      <c r="E69" s="9"/>
    </row>
    <row r="70" customFormat="false" ht="15" hidden="false" customHeight="false" outlineLevel="0" collapsed="false">
      <c r="A70" s="9" t="s">
        <v>2094</v>
      </c>
      <c r="B70" s="9" t="s">
        <v>2084</v>
      </c>
      <c r="C70" s="9" t="s">
        <v>6</v>
      </c>
      <c r="D70" s="9" t="s">
        <v>146</v>
      </c>
      <c r="E70" s="10" t="s">
        <v>2015</v>
      </c>
    </row>
    <row r="71" customFormat="false" ht="15" hidden="false" customHeight="false" outlineLevel="0" collapsed="false">
      <c r="A71" s="9" t="s">
        <v>2095</v>
      </c>
      <c r="B71" s="9" t="s">
        <v>2096</v>
      </c>
      <c r="C71" s="9" t="s">
        <v>6</v>
      </c>
      <c r="D71" s="9" t="s">
        <v>146</v>
      </c>
      <c r="E71" s="10" t="s">
        <v>2015</v>
      </c>
    </row>
    <row r="72" customFormat="false" ht="15" hidden="false" customHeight="false" outlineLevel="0" collapsed="false">
      <c r="A72" s="9" t="s">
        <v>2097</v>
      </c>
      <c r="B72" s="9" t="s">
        <v>2098</v>
      </c>
      <c r="C72" s="10" t="s">
        <v>1986</v>
      </c>
      <c r="D72" s="9" t="s">
        <v>59</v>
      </c>
      <c r="E72" s="10" t="s">
        <v>2099</v>
      </c>
    </row>
    <row r="73" customFormat="false" ht="15" hidden="false" customHeight="false" outlineLevel="0" collapsed="false">
      <c r="A73" s="9" t="s">
        <v>2100</v>
      </c>
      <c r="B73" s="9" t="s">
        <v>2101</v>
      </c>
      <c r="C73" s="10" t="s">
        <v>1986</v>
      </c>
      <c r="D73" s="9" t="s">
        <v>59</v>
      </c>
      <c r="E73" s="10" t="s">
        <v>2099</v>
      </c>
    </row>
    <row r="74" customFormat="false" ht="15" hidden="false" customHeight="false" outlineLevel="0" collapsed="false">
      <c r="A74" s="9" t="s">
        <v>2102</v>
      </c>
      <c r="B74" s="9" t="s">
        <v>2103</v>
      </c>
      <c r="C74" s="10" t="s">
        <v>1986</v>
      </c>
      <c r="D74" s="9" t="s">
        <v>59</v>
      </c>
      <c r="E74" s="10" t="s">
        <v>2099</v>
      </c>
    </row>
    <row r="75" customFormat="false" ht="15" hidden="false" customHeight="false" outlineLevel="0" collapsed="false">
      <c r="A75" s="9" t="s">
        <v>184</v>
      </c>
      <c r="B75" s="9" t="s">
        <v>2104</v>
      </c>
      <c r="C75" s="9" t="s">
        <v>6</v>
      </c>
      <c r="D75" s="9" t="s">
        <v>178</v>
      </c>
      <c r="E75" s="9"/>
    </row>
    <row r="76" customFormat="false" ht="15" hidden="false" customHeight="false" outlineLevel="0" collapsed="false">
      <c r="A76" s="9" t="s">
        <v>190</v>
      </c>
      <c r="B76" s="9" t="s">
        <v>2105</v>
      </c>
      <c r="C76" s="9" t="s">
        <v>6</v>
      </c>
      <c r="D76" s="9" t="s">
        <v>187</v>
      </c>
      <c r="E76" s="9"/>
    </row>
    <row r="77" customFormat="false" ht="15" hidden="false" customHeight="false" outlineLevel="0" collapsed="false">
      <c r="A77" s="9" t="s">
        <v>194</v>
      </c>
      <c r="B77" s="9" t="s">
        <v>2106</v>
      </c>
      <c r="C77" s="9" t="s">
        <v>6</v>
      </c>
      <c r="D77" s="9" t="s">
        <v>191</v>
      </c>
      <c r="E77" s="9"/>
    </row>
    <row r="78" customFormat="false" ht="15" hidden="false" customHeight="false" outlineLevel="0" collapsed="false">
      <c r="A78" s="9" t="s">
        <v>2107</v>
      </c>
      <c r="B78" s="9" t="s">
        <v>2108</v>
      </c>
      <c r="C78" s="9" t="s">
        <v>6</v>
      </c>
      <c r="D78" s="9" t="s">
        <v>2109</v>
      </c>
      <c r="E78" s="10" t="s">
        <v>2110</v>
      </c>
    </row>
    <row r="79" customFormat="false" ht="15" hidden="false" customHeight="false" outlineLevel="0" collapsed="false">
      <c r="A79" s="9" t="s">
        <v>2111</v>
      </c>
      <c r="B79" s="9" t="s">
        <v>2084</v>
      </c>
      <c r="C79" s="9" t="s">
        <v>6</v>
      </c>
      <c r="D79" s="9" t="s">
        <v>151</v>
      </c>
      <c r="E79" s="10" t="s">
        <v>2015</v>
      </c>
    </row>
    <row r="80" customFormat="false" ht="15" hidden="false" customHeight="false" outlineLevel="0" collapsed="false">
      <c r="A80" s="9" t="s">
        <v>2112</v>
      </c>
      <c r="B80" s="9" t="s">
        <v>2113</v>
      </c>
      <c r="C80" s="9" t="s">
        <v>6</v>
      </c>
      <c r="D80" s="9" t="s">
        <v>151</v>
      </c>
      <c r="E80" s="10" t="s">
        <v>2015</v>
      </c>
    </row>
    <row r="81" customFormat="false" ht="15" hidden="false" customHeight="false" outlineLevel="0" collapsed="false">
      <c r="A81" s="9" t="s">
        <v>2114</v>
      </c>
      <c r="B81" s="9" t="s">
        <v>2115</v>
      </c>
      <c r="C81" s="9" t="s">
        <v>6</v>
      </c>
      <c r="D81" s="9" t="s">
        <v>151</v>
      </c>
      <c r="E81" s="9"/>
    </row>
    <row r="82" customFormat="false" ht="15" hidden="false" customHeight="false" outlineLevel="0" collapsed="false">
      <c r="A82" s="9" t="s">
        <v>2116</v>
      </c>
      <c r="B82" s="9" t="s">
        <v>2117</v>
      </c>
      <c r="C82" s="9" t="s">
        <v>6</v>
      </c>
      <c r="D82" s="9" t="s">
        <v>160</v>
      </c>
      <c r="E82" s="9"/>
    </row>
    <row r="83" customFormat="false" ht="15" hidden="false" customHeight="false" outlineLevel="0" collapsed="false">
      <c r="A83" s="9" t="s">
        <v>2118</v>
      </c>
      <c r="B83" s="9" t="s">
        <v>2119</v>
      </c>
      <c r="C83" s="9" t="s">
        <v>6</v>
      </c>
      <c r="D83" s="9" t="s">
        <v>162</v>
      </c>
      <c r="E83" s="9"/>
    </row>
    <row r="84" customFormat="false" ht="15" hidden="false" customHeight="false" outlineLevel="0" collapsed="false">
      <c r="A84" s="9" t="s">
        <v>2120</v>
      </c>
      <c r="B84" s="9" t="s">
        <v>2121</v>
      </c>
      <c r="C84" s="9" t="s">
        <v>6</v>
      </c>
      <c r="D84" s="9" t="s">
        <v>164</v>
      </c>
      <c r="E84" s="9"/>
    </row>
    <row r="85" customFormat="false" ht="15" hidden="false" customHeight="false" outlineLevel="0" collapsed="false">
      <c r="A85" s="9" t="s">
        <v>2122</v>
      </c>
      <c r="B85" s="9" t="s">
        <v>2073</v>
      </c>
      <c r="C85" s="9" t="s">
        <v>6</v>
      </c>
      <c r="D85" s="9" t="s">
        <v>167</v>
      </c>
      <c r="E85" s="9"/>
    </row>
    <row r="86" customFormat="false" ht="15" hidden="false" customHeight="false" outlineLevel="0" collapsed="false">
      <c r="A86" s="9" t="s">
        <v>2123</v>
      </c>
      <c r="B86" s="9" t="s">
        <v>2115</v>
      </c>
      <c r="C86" s="9" t="s">
        <v>6</v>
      </c>
      <c r="D86" s="9" t="s">
        <v>169</v>
      </c>
      <c r="E86" s="9"/>
    </row>
    <row r="87" customFormat="false" ht="15" hidden="false" customHeight="false" outlineLevel="0" collapsed="false">
      <c r="A87" s="9" t="s">
        <v>2124</v>
      </c>
      <c r="B87" s="9" t="s">
        <v>2125</v>
      </c>
      <c r="C87" s="9" t="s">
        <v>6</v>
      </c>
      <c r="D87" s="9" t="s">
        <v>171</v>
      </c>
      <c r="E87" s="9"/>
    </row>
    <row r="88" customFormat="false" ht="15" hidden="false" customHeight="false" outlineLevel="0" collapsed="false">
      <c r="A88" s="9" t="s">
        <v>2126</v>
      </c>
      <c r="B88" s="9" t="s">
        <v>2127</v>
      </c>
      <c r="C88" s="9" t="s">
        <v>6</v>
      </c>
      <c r="D88" s="9" t="s">
        <v>174</v>
      </c>
      <c r="E88" s="9"/>
    </row>
    <row r="89" customFormat="false" ht="15" hidden="false" customHeight="false" outlineLevel="0" collapsed="false">
      <c r="A89" s="9" t="s">
        <v>2128</v>
      </c>
      <c r="B89" s="9" t="s">
        <v>2129</v>
      </c>
      <c r="C89" s="9" t="s">
        <v>6</v>
      </c>
      <c r="D89" s="9" t="s">
        <v>176</v>
      </c>
      <c r="E89" s="9"/>
    </row>
    <row r="90" customFormat="false" ht="15" hidden="false" customHeight="false" outlineLevel="0" collapsed="false">
      <c r="A90" s="9" t="s">
        <v>2130</v>
      </c>
      <c r="B90" s="9" t="s">
        <v>2084</v>
      </c>
      <c r="C90" s="9" t="s">
        <v>6</v>
      </c>
      <c r="D90" s="9" t="s">
        <v>195</v>
      </c>
      <c r="E90" s="10" t="s">
        <v>2015</v>
      </c>
    </row>
    <row r="91" customFormat="false" ht="15" hidden="false" customHeight="false" outlineLevel="0" collapsed="false">
      <c r="A91" s="9" t="s">
        <v>2131</v>
      </c>
      <c r="B91" s="9" t="s">
        <v>2132</v>
      </c>
      <c r="C91" s="9" t="s">
        <v>6</v>
      </c>
      <c r="D91" s="9" t="s">
        <v>195</v>
      </c>
      <c r="E91" s="10" t="s">
        <v>2015</v>
      </c>
    </row>
    <row r="92" customFormat="false" ht="15" hidden="false" customHeight="false" outlineLevel="0" collapsed="false">
      <c r="A92" s="9" t="s">
        <v>2133</v>
      </c>
      <c r="B92" s="9" t="s">
        <v>2134</v>
      </c>
      <c r="C92" s="9" t="s">
        <v>6</v>
      </c>
      <c r="D92" s="9" t="s">
        <v>195</v>
      </c>
      <c r="E92" s="9"/>
    </row>
    <row r="93" customFormat="false" ht="15" hidden="false" customHeight="false" outlineLevel="0" collapsed="false">
      <c r="A93" s="9" t="s">
        <v>2135</v>
      </c>
      <c r="B93" s="9" t="s">
        <v>2136</v>
      </c>
      <c r="C93" s="9" t="s">
        <v>6</v>
      </c>
      <c r="D93" s="9" t="s">
        <v>203</v>
      </c>
      <c r="E93" s="9"/>
    </row>
    <row r="94" customFormat="false" ht="15" hidden="false" customHeight="false" outlineLevel="0" collapsed="false">
      <c r="A94" s="9" t="s">
        <v>2137</v>
      </c>
      <c r="B94" s="9" t="s">
        <v>2138</v>
      </c>
      <c r="C94" s="9" t="s">
        <v>6</v>
      </c>
      <c r="D94" s="9" t="s">
        <v>207</v>
      </c>
      <c r="E94" s="9"/>
    </row>
    <row r="95" customFormat="false" ht="15" hidden="false" customHeight="false" outlineLevel="0" collapsed="false">
      <c r="A95" s="9" t="s">
        <v>2139</v>
      </c>
      <c r="B95" s="9" t="s">
        <v>2140</v>
      </c>
      <c r="C95" s="9" t="s">
        <v>6</v>
      </c>
      <c r="D95" s="9" t="s">
        <v>211</v>
      </c>
      <c r="E95" s="9"/>
    </row>
    <row r="96" customFormat="false" ht="15" hidden="false" customHeight="false" outlineLevel="0" collapsed="false">
      <c r="A96" s="9" t="s">
        <v>2141</v>
      </c>
      <c r="B96" s="9" t="s">
        <v>2142</v>
      </c>
      <c r="C96" s="9" t="s">
        <v>6</v>
      </c>
      <c r="D96" s="9" t="s">
        <v>215</v>
      </c>
      <c r="E96" s="9"/>
    </row>
    <row r="97" customFormat="false" ht="15" hidden="false" customHeight="false" outlineLevel="0" collapsed="false">
      <c r="A97" s="9" t="s">
        <v>2143</v>
      </c>
      <c r="B97" s="9" t="s">
        <v>2144</v>
      </c>
      <c r="C97" s="9" t="s">
        <v>10</v>
      </c>
      <c r="D97" s="9" t="s">
        <v>2145</v>
      </c>
      <c r="E97" s="10" t="s">
        <v>2146</v>
      </c>
    </row>
    <row r="98" customFormat="false" ht="15" hidden="false" customHeight="false" outlineLevel="0" collapsed="false">
      <c r="A98" s="9" t="s">
        <v>2147</v>
      </c>
      <c r="B98" s="9" t="s">
        <v>2148</v>
      </c>
      <c r="C98" s="9" t="s">
        <v>10</v>
      </c>
      <c r="D98" s="9" t="s">
        <v>937</v>
      </c>
      <c r="E98" s="9"/>
    </row>
    <row r="99" customFormat="false" ht="15" hidden="false" customHeight="false" outlineLevel="0" collapsed="false">
      <c r="A99" s="9" t="s">
        <v>2149</v>
      </c>
      <c r="B99" s="9" t="s">
        <v>2150</v>
      </c>
      <c r="C99" s="10" t="s">
        <v>2057</v>
      </c>
      <c r="D99" s="9" t="s">
        <v>2151</v>
      </c>
      <c r="E99" s="9" t="s">
        <v>2152</v>
      </c>
    </row>
    <row r="100" customFormat="false" ht="15" hidden="false" customHeight="false" outlineLevel="0" collapsed="false">
      <c r="A100" s="9" t="s">
        <v>2153</v>
      </c>
      <c r="B100" s="9" t="s">
        <v>2154</v>
      </c>
      <c r="C100" s="9" t="s">
        <v>10</v>
      </c>
      <c r="D100" s="9" t="s">
        <v>937</v>
      </c>
      <c r="E100" s="9"/>
    </row>
    <row r="101" customFormat="false" ht="15" hidden="false" customHeight="false" outlineLevel="0" collapsed="false">
      <c r="A101" s="9" t="s">
        <v>2155</v>
      </c>
      <c r="B101" s="9" t="s">
        <v>2156</v>
      </c>
      <c r="C101" s="10" t="s">
        <v>2057</v>
      </c>
      <c r="D101" s="9" t="s">
        <v>2151</v>
      </c>
      <c r="E101" s="9" t="s">
        <v>2152</v>
      </c>
    </row>
    <row r="102" customFormat="false" ht="15" hidden="false" customHeight="false" outlineLevel="0" collapsed="false">
      <c r="A102" s="9" t="s">
        <v>2157</v>
      </c>
      <c r="B102" s="9" t="s">
        <v>2158</v>
      </c>
      <c r="C102" s="9" t="s">
        <v>10</v>
      </c>
      <c r="D102" s="9" t="s">
        <v>937</v>
      </c>
      <c r="E102" s="9"/>
    </row>
    <row r="103" customFormat="false" ht="15" hidden="false" customHeight="false" outlineLevel="0" collapsed="false">
      <c r="A103" s="9" t="s">
        <v>2159</v>
      </c>
      <c r="B103" s="9" t="s">
        <v>2024</v>
      </c>
      <c r="C103" s="10" t="s">
        <v>2057</v>
      </c>
      <c r="D103" s="9" t="s">
        <v>2151</v>
      </c>
      <c r="E103" s="9" t="s">
        <v>2152</v>
      </c>
    </row>
    <row r="104" customFormat="false" ht="15" hidden="false" customHeight="false" outlineLevel="0" collapsed="false">
      <c r="A104" s="9" t="s">
        <v>2160</v>
      </c>
      <c r="B104" s="9" t="s">
        <v>2161</v>
      </c>
      <c r="C104" s="9" t="s">
        <v>10</v>
      </c>
      <c r="D104" s="9" t="s">
        <v>2162</v>
      </c>
      <c r="E104" s="10" t="s">
        <v>2015</v>
      </c>
    </row>
    <row r="105" customFormat="false" ht="15" hidden="false" customHeight="false" outlineLevel="0" collapsed="false">
      <c r="A105" s="9" t="s">
        <v>2163</v>
      </c>
      <c r="B105" s="9" t="s">
        <v>2154</v>
      </c>
      <c r="C105" s="9" t="s">
        <v>10</v>
      </c>
      <c r="D105" s="9" t="s">
        <v>942</v>
      </c>
      <c r="E105" s="9"/>
    </row>
    <row r="106" customFormat="false" ht="15" hidden="false" customHeight="false" outlineLevel="0" collapsed="false">
      <c r="A106" s="9" t="s">
        <v>2164</v>
      </c>
      <c r="B106" s="9" t="s">
        <v>2165</v>
      </c>
      <c r="C106" s="10" t="s">
        <v>2057</v>
      </c>
      <c r="D106" s="9" t="s">
        <v>2151</v>
      </c>
      <c r="E106" s="9" t="s">
        <v>2152</v>
      </c>
    </row>
    <row r="107" customFormat="false" ht="15" hidden="false" customHeight="false" outlineLevel="0" collapsed="false">
      <c r="A107" s="9" t="s">
        <v>2166</v>
      </c>
      <c r="B107" s="9" t="s">
        <v>2117</v>
      </c>
      <c r="C107" s="9" t="s">
        <v>10</v>
      </c>
      <c r="D107" s="9" t="s">
        <v>942</v>
      </c>
      <c r="E107" s="9"/>
    </row>
    <row r="108" customFormat="false" ht="15" hidden="false" customHeight="false" outlineLevel="0" collapsed="false">
      <c r="A108" s="9" t="s">
        <v>2167</v>
      </c>
      <c r="B108" s="9" t="s">
        <v>2121</v>
      </c>
      <c r="C108" s="10" t="s">
        <v>2057</v>
      </c>
      <c r="D108" s="9" t="s">
        <v>2151</v>
      </c>
      <c r="E108" s="9" t="s">
        <v>2152</v>
      </c>
    </row>
    <row r="109" customFormat="false" ht="15" hidden="false" customHeight="false" outlineLevel="0" collapsed="false">
      <c r="A109" s="9" t="s">
        <v>2168</v>
      </c>
      <c r="B109" s="9" t="s">
        <v>2148</v>
      </c>
      <c r="C109" s="9" t="s">
        <v>10</v>
      </c>
      <c r="D109" s="9" t="s">
        <v>942</v>
      </c>
      <c r="E109" s="9"/>
    </row>
    <row r="110" customFormat="false" ht="15" hidden="false" customHeight="false" outlineLevel="0" collapsed="false">
      <c r="A110" s="9" t="s">
        <v>2169</v>
      </c>
      <c r="B110" s="9" t="s">
        <v>2148</v>
      </c>
      <c r="C110" s="10" t="s">
        <v>2057</v>
      </c>
      <c r="D110" s="9" t="s">
        <v>2151</v>
      </c>
      <c r="E110" s="9" t="s">
        <v>2152</v>
      </c>
    </row>
    <row r="111" customFormat="false" ht="15" hidden="false" customHeight="false" outlineLevel="0" collapsed="false">
      <c r="A111" s="9" t="s">
        <v>2170</v>
      </c>
      <c r="B111" s="9" t="s">
        <v>2161</v>
      </c>
      <c r="C111" s="9" t="s">
        <v>10</v>
      </c>
      <c r="D111" s="9" t="s">
        <v>2162</v>
      </c>
      <c r="E111" s="10" t="s">
        <v>2015</v>
      </c>
    </row>
    <row r="112" customFormat="false" ht="15" hidden="false" customHeight="false" outlineLevel="0" collapsed="false">
      <c r="A112" s="9" t="s">
        <v>2171</v>
      </c>
      <c r="B112" s="9" t="s">
        <v>2073</v>
      </c>
      <c r="C112" s="9" t="s">
        <v>10</v>
      </c>
      <c r="D112" s="9" t="s">
        <v>945</v>
      </c>
      <c r="E112" s="9"/>
    </row>
    <row r="113" customFormat="false" ht="15" hidden="false" customHeight="false" outlineLevel="0" collapsed="false">
      <c r="A113" s="9" t="s">
        <v>2172</v>
      </c>
      <c r="B113" s="9" t="s">
        <v>2173</v>
      </c>
      <c r="C113" s="10" t="s">
        <v>2057</v>
      </c>
      <c r="D113" s="9" t="s">
        <v>2151</v>
      </c>
      <c r="E113" s="9" t="s">
        <v>2152</v>
      </c>
    </row>
    <row r="114" customFormat="false" ht="15" hidden="false" customHeight="false" outlineLevel="0" collapsed="false">
      <c r="A114" s="9" t="s">
        <v>2174</v>
      </c>
      <c r="B114" s="9" t="s">
        <v>2125</v>
      </c>
      <c r="C114" s="9" t="s">
        <v>10</v>
      </c>
      <c r="D114" s="9" t="s">
        <v>945</v>
      </c>
      <c r="E114" s="9"/>
    </row>
    <row r="115" customFormat="false" ht="15" hidden="false" customHeight="false" outlineLevel="0" collapsed="false">
      <c r="A115" s="9" t="s">
        <v>2175</v>
      </c>
      <c r="B115" s="9" t="s">
        <v>2176</v>
      </c>
      <c r="C115" s="10" t="s">
        <v>2057</v>
      </c>
      <c r="D115" s="9" t="s">
        <v>2151</v>
      </c>
      <c r="E115" s="9" t="s">
        <v>2152</v>
      </c>
    </row>
    <row r="116" customFormat="false" ht="15" hidden="false" customHeight="false" outlineLevel="0" collapsed="false">
      <c r="A116" s="9" t="s">
        <v>2177</v>
      </c>
      <c r="B116" s="9" t="s">
        <v>2176</v>
      </c>
      <c r="C116" s="9" t="s">
        <v>10</v>
      </c>
      <c r="D116" s="9" t="s">
        <v>945</v>
      </c>
      <c r="E116" s="9"/>
    </row>
    <row r="117" customFormat="false" ht="15" hidden="false" customHeight="false" outlineLevel="0" collapsed="false">
      <c r="A117" s="9" t="s">
        <v>2178</v>
      </c>
      <c r="B117" s="9" t="s">
        <v>2179</v>
      </c>
      <c r="C117" s="10" t="s">
        <v>2057</v>
      </c>
      <c r="D117" s="9" t="s">
        <v>2151</v>
      </c>
      <c r="E117" s="9" t="s">
        <v>2152</v>
      </c>
    </row>
    <row r="118" customFormat="false" ht="15" hidden="false" customHeight="false" outlineLevel="0" collapsed="false">
      <c r="A118" s="9" t="s">
        <v>2180</v>
      </c>
      <c r="B118" s="9" t="s">
        <v>2161</v>
      </c>
      <c r="C118" s="9" t="s">
        <v>10</v>
      </c>
      <c r="D118" s="9" t="s">
        <v>2162</v>
      </c>
      <c r="E118" s="10" t="s">
        <v>2015</v>
      </c>
    </row>
    <row r="119" customFormat="false" ht="15" hidden="false" customHeight="false" outlineLevel="0" collapsed="false">
      <c r="A119" s="9" t="s">
        <v>2181</v>
      </c>
      <c r="B119" s="9" t="s">
        <v>2182</v>
      </c>
      <c r="C119" s="9" t="s">
        <v>10</v>
      </c>
      <c r="D119" s="9" t="s">
        <v>948</v>
      </c>
      <c r="E119" s="9"/>
    </row>
    <row r="120" customFormat="false" ht="15" hidden="false" customHeight="false" outlineLevel="0" collapsed="false">
      <c r="A120" s="9" t="s">
        <v>2183</v>
      </c>
      <c r="B120" s="9" t="s">
        <v>2184</v>
      </c>
      <c r="C120" s="10" t="s">
        <v>2057</v>
      </c>
      <c r="D120" s="9" t="s">
        <v>2151</v>
      </c>
      <c r="E120" s="9" t="s">
        <v>2152</v>
      </c>
    </row>
    <row r="121" customFormat="false" ht="15" hidden="false" customHeight="false" outlineLevel="0" collapsed="false">
      <c r="A121" s="9" t="s">
        <v>2185</v>
      </c>
      <c r="B121" s="9" t="s">
        <v>2186</v>
      </c>
      <c r="C121" s="9" t="s">
        <v>10</v>
      </c>
      <c r="D121" s="9" t="s">
        <v>948</v>
      </c>
      <c r="E121" s="9"/>
    </row>
    <row r="122" customFormat="false" ht="15" hidden="false" customHeight="false" outlineLevel="0" collapsed="false">
      <c r="A122" s="9" t="s">
        <v>2187</v>
      </c>
      <c r="B122" s="9" t="s">
        <v>2188</v>
      </c>
      <c r="C122" s="10" t="s">
        <v>2057</v>
      </c>
      <c r="D122" s="9" t="s">
        <v>2151</v>
      </c>
      <c r="E122" s="9" t="s">
        <v>2152</v>
      </c>
    </row>
    <row r="123" customFormat="false" ht="15" hidden="false" customHeight="false" outlineLevel="0" collapsed="false">
      <c r="A123" s="9" t="s">
        <v>2189</v>
      </c>
      <c r="B123" s="9" t="s">
        <v>2190</v>
      </c>
      <c r="C123" s="9" t="s">
        <v>10</v>
      </c>
      <c r="D123" s="9" t="s">
        <v>948</v>
      </c>
      <c r="E123" s="9"/>
    </row>
    <row r="124" customFormat="false" ht="15" hidden="false" customHeight="false" outlineLevel="0" collapsed="false">
      <c r="A124" s="9" t="s">
        <v>2191</v>
      </c>
      <c r="B124" s="9" t="s">
        <v>2192</v>
      </c>
      <c r="C124" s="10" t="s">
        <v>2057</v>
      </c>
      <c r="D124" s="9" t="s">
        <v>2151</v>
      </c>
      <c r="E124" s="9" t="s">
        <v>2152</v>
      </c>
    </row>
    <row r="125" customFormat="false" ht="15" hidden="false" customHeight="false" outlineLevel="0" collapsed="false">
      <c r="A125" s="9" t="s">
        <v>2193</v>
      </c>
      <c r="B125" s="9" t="s">
        <v>2161</v>
      </c>
      <c r="C125" s="9" t="s">
        <v>10</v>
      </c>
      <c r="D125" s="9" t="s">
        <v>2162</v>
      </c>
      <c r="E125" s="10" t="s">
        <v>2015</v>
      </c>
    </row>
    <row r="126" customFormat="false" ht="15" hidden="false" customHeight="false" outlineLevel="0" collapsed="false">
      <c r="A126" s="9" t="s">
        <v>2194</v>
      </c>
      <c r="B126" s="9" t="s">
        <v>2186</v>
      </c>
      <c r="C126" s="9" t="s">
        <v>10</v>
      </c>
      <c r="D126" s="9" t="s">
        <v>951</v>
      </c>
      <c r="E126" s="9"/>
    </row>
    <row r="127" customFormat="false" ht="15" hidden="false" customHeight="false" outlineLevel="0" collapsed="false">
      <c r="A127" s="9" t="s">
        <v>2195</v>
      </c>
      <c r="B127" s="9" t="s">
        <v>2196</v>
      </c>
      <c r="C127" s="10" t="s">
        <v>2057</v>
      </c>
      <c r="D127" s="9" t="s">
        <v>2151</v>
      </c>
      <c r="E127" s="9" t="s">
        <v>2152</v>
      </c>
    </row>
    <row r="128" customFormat="false" ht="15" hidden="false" customHeight="false" outlineLevel="0" collapsed="false">
      <c r="A128" s="9" t="s">
        <v>2197</v>
      </c>
      <c r="B128" s="9" t="s">
        <v>2156</v>
      </c>
      <c r="C128" s="9" t="s">
        <v>10</v>
      </c>
      <c r="D128" s="9" t="s">
        <v>951</v>
      </c>
      <c r="E128" s="9"/>
    </row>
    <row r="129" customFormat="false" ht="15" hidden="false" customHeight="false" outlineLevel="0" collapsed="false">
      <c r="A129" s="9" t="s">
        <v>2198</v>
      </c>
      <c r="B129" s="9" t="s">
        <v>2199</v>
      </c>
      <c r="C129" s="10" t="s">
        <v>2057</v>
      </c>
      <c r="D129" s="9" t="s">
        <v>2151</v>
      </c>
      <c r="E129" s="9" t="s">
        <v>2152</v>
      </c>
    </row>
    <row r="130" customFormat="false" ht="15" hidden="false" customHeight="false" outlineLevel="0" collapsed="false">
      <c r="A130" s="9" t="s">
        <v>2200</v>
      </c>
      <c r="B130" s="9" t="s">
        <v>2115</v>
      </c>
      <c r="C130" s="9" t="s">
        <v>10</v>
      </c>
      <c r="D130" s="9" t="s">
        <v>951</v>
      </c>
      <c r="E130" s="9"/>
    </row>
    <row r="131" customFormat="false" ht="15" hidden="false" customHeight="false" outlineLevel="0" collapsed="false">
      <c r="A131" s="9" t="s">
        <v>2201</v>
      </c>
      <c r="B131" s="9" t="s">
        <v>2202</v>
      </c>
      <c r="C131" s="10" t="s">
        <v>2057</v>
      </c>
      <c r="D131" s="9" t="s">
        <v>2151</v>
      </c>
      <c r="E131" s="9" t="s">
        <v>2152</v>
      </c>
    </row>
    <row r="132" customFormat="false" ht="15" hidden="false" customHeight="false" outlineLevel="0" collapsed="false">
      <c r="A132" s="9" t="s">
        <v>2203</v>
      </c>
      <c r="B132" s="9" t="s">
        <v>2161</v>
      </c>
      <c r="C132" s="9" t="s">
        <v>10</v>
      </c>
      <c r="D132" s="9" t="s">
        <v>2162</v>
      </c>
      <c r="E132" s="10" t="s">
        <v>2015</v>
      </c>
    </row>
    <row r="133" customFormat="false" ht="15" hidden="false" customHeight="false" outlineLevel="0" collapsed="false">
      <c r="A133" s="9" t="s">
        <v>2204</v>
      </c>
      <c r="B133" s="9" t="s">
        <v>2117</v>
      </c>
      <c r="C133" s="9" t="s">
        <v>10</v>
      </c>
      <c r="D133" s="9" t="s">
        <v>954</v>
      </c>
      <c r="E133" s="9"/>
    </row>
    <row r="134" customFormat="false" ht="15" hidden="false" customHeight="false" outlineLevel="0" collapsed="false">
      <c r="A134" s="9" t="s">
        <v>2205</v>
      </c>
      <c r="B134" s="9" t="s">
        <v>2206</v>
      </c>
      <c r="C134" s="10" t="s">
        <v>2057</v>
      </c>
      <c r="D134" s="9" t="s">
        <v>2151</v>
      </c>
      <c r="E134" s="9" t="s">
        <v>2152</v>
      </c>
    </row>
    <row r="135" customFormat="false" ht="15" hidden="false" customHeight="false" outlineLevel="0" collapsed="false">
      <c r="A135" s="9" t="s">
        <v>2207</v>
      </c>
      <c r="B135" s="9" t="s">
        <v>2129</v>
      </c>
      <c r="C135" s="9" t="s">
        <v>10</v>
      </c>
      <c r="D135" s="9" t="s">
        <v>954</v>
      </c>
      <c r="E135" s="9"/>
    </row>
    <row r="136" customFormat="false" ht="15" hidden="false" customHeight="false" outlineLevel="0" collapsed="false">
      <c r="A136" s="9" t="s">
        <v>2208</v>
      </c>
      <c r="B136" s="9" t="s">
        <v>2148</v>
      </c>
      <c r="C136" s="10" t="s">
        <v>2057</v>
      </c>
      <c r="D136" s="9" t="s">
        <v>2151</v>
      </c>
      <c r="E136" s="9" t="s">
        <v>2152</v>
      </c>
    </row>
    <row r="137" customFormat="false" ht="15" hidden="false" customHeight="false" outlineLevel="0" collapsed="false">
      <c r="A137" s="9" t="s">
        <v>2209</v>
      </c>
      <c r="B137" s="9" t="s">
        <v>2121</v>
      </c>
      <c r="C137" s="9" t="s">
        <v>10</v>
      </c>
      <c r="D137" s="9" t="s">
        <v>954</v>
      </c>
      <c r="E137" s="9"/>
    </row>
    <row r="138" customFormat="false" ht="15" hidden="false" customHeight="false" outlineLevel="0" collapsed="false">
      <c r="A138" s="9" t="s">
        <v>2210</v>
      </c>
      <c r="B138" s="9" t="s">
        <v>2156</v>
      </c>
      <c r="C138" s="10" t="s">
        <v>2057</v>
      </c>
      <c r="D138" s="9" t="s">
        <v>2151</v>
      </c>
      <c r="E138" s="9" t="s">
        <v>2152</v>
      </c>
    </row>
    <row r="139" customFormat="false" ht="15" hidden="false" customHeight="false" outlineLevel="0" collapsed="false">
      <c r="A139" s="9" t="s">
        <v>2211</v>
      </c>
      <c r="B139" s="9" t="s">
        <v>2161</v>
      </c>
      <c r="C139" s="9" t="s">
        <v>10</v>
      </c>
      <c r="D139" s="9" t="s">
        <v>2162</v>
      </c>
      <c r="E139" s="10" t="s">
        <v>2015</v>
      </c>
    </row>
    <row r="140" customFormat="false" ht="15" hidden="false" customHeight="false" outlineLevel="0" collapsed="false">
      <c r="A140" s="9" t="s">
        <v>2212</v>
      </c>
      <c r="B140" s="9" t="s">
        <v>2213</v>
      </c>
      <c r="C140" s="9" t="s">
        <v>10</v>
      </c>
      <c r="D140" s="9" t="s">
        <v>2214</v>
      </c>
      <c r="E140" s="10" t="s">
        <v>2215</v>
      </c>
    </row>
    <row r="141" customFormat="false" ht="15" hidden="false" customHeight="false" outlineLevel="0" collapsed="false">
      <c r="A141" s="9" t="s">
        <v>2216</v>
      </c>
      <c r="B141" s="9" t="s">
        <v>2217</v>
      </c>
      <c r="C141" s="9" t="s">
        <v>10</v>
      </c>
      <c r="D141" s="9" t="s">
        <v>957</v>
      </c>
      <c r="E141" s="9"/>
    </row>
    <row r="142" customFormat="false" ht="15" hidden="false" customHeight="false" outlineLevel="0" collapsed="false">
      <c r="A142" s="9" t="s">
        <v>2218</v>
      </c>
      <c r="B142" s="9" t="s">
        <v>2219</v>
      </c>
      <c r="C142" s="9" t="s">
        <v>10</v>
      </c>
      <c r="D142" s="9" t="s">
        <v>957</v>
      </c>
      <c r="E142" s="9"/>
    </row>
    <row r="143" customFormat="false" ht="15" hidden="false" customHeight="false" outlineLevel="0" collapsed="false">
      <c r="A143" s="9" t="s">
        <v>2220</v>
      </c>
      <c r="B143" s="9" t="s">
        <v>2221</v>
      </c>
      <c r="C143" s="9" t="s">
        <v>10</v>
      </c>
      <c r="D143" s="9" t="s">
        <v>957</v>
      </c>
      <c r="E143" s="9"/>
    </row>
    <row r="144" customFormat="false" ht="15" hidden="false" customHeight="false" outlineLevel="0" collapsed="false">
      <c r="A144" s="9" t="s">
        <v>2222</v>
      </c>
      <c r="B144" s="9" t="s">
        <v>2089</v>
      </c>
      <c r="C144" s="9" t="s">
        <v>10</v>
      </c>
      <c r="D144" s="9" t="s">
        <v>957</v>
      </c>
      <c r="E144" s="10" t="s">
        <v>2015</v>
      </c>
    </row>
    <row r="145" customFormat="false" ht="15" hidden="false" customHeight="false" outlineLevel="0" collapsed="false">
      <c r="A145" s="9" t="s">
        <v>2223</v>
      </c>
      <c r="B145" s="9" t="s">
        <v>2224</v>
      </c>
      <c r="C145" s="9" t="s">
        <v>10</v>
      </c>
      <c r="D145" s="9" t="s">
        <v>963</v>
      </c>
      <c r="E145" s="9"/>
    </row>
    <row r="146" customFormat="false" ht="15" hidden="false" customHeight="false" outlineLevel="0" collapsed="false">
      <c r="A146" s="9" t="s">
        <v>2225</v>
      </c>
      <c r="B146" s="9" t="s">
        <v>2226</v>
      </c>
      <c r="C146" s="9" t="s">
        <v>10</v>
      </c>
      <c r="D146" s="9" t="s">
        <v>963</v>
      </c>
      <c r="E146" s="9"/>
    </row>
    <row r="147" customFormat="false" ht="15" hidden="false" customHeight="false" outlineLevel="0" collapsed="false">
      <c r="A147" s="9" t="s">
        <v>2227</v>
      </c>
      <c r="B147" s="9" t="s">
        <v>2228</v>
      </c>
      <c r="C147" s="9" t="s">
        <v>10</v>
      </c>
      <c r="D147" s="9" t="s">
        <v>963</v>
      </c>
      <c r="E147" s="9"/>
    </row>
    <row r="148" customFormat="false" ht="15" hidden="false" customHeight="false" outlineLevel="0" collapsed="false">
      <c r="A148" s="9" t="s">
        <v>2229</v>
      </c>
      <c r="B148" s="9" t="s">
        <v>2089</v>
      </c>
      <c r="C148" s="9" t="s">
        <v>10</v>
      </c>
      <c r="D148" s="9" t="s">
        <v>963</v>
      </c>
      <c r="E148" s="10" t="s">
        <v>2015</v>
      </c>
    </row>
    <row r="149" customFormat="false" ht="15" hidden="false" customHeight="false" outlineLevel="0" collapsed="false">
      <c r="A149" s="9" t="s">
        <v>2230</v>
      </c>
      <c r="B149" s="9" t="s">
        <v>2224</v>
      </c>
      <c r="C149" s="9" t="s">
        <v>10</v>
      </c>
      <c r="D149" s="9" t="s">
        <v>966</v>
      </c>
      <c r="E149" s="9"/>
    </row>
    <row r="150" customFormat="false" ht="15" hidden="false" customHeight="false" outlineLevel="0" collapsed="false">
      <c r="A150" s="9" t="s">
        <v>2231</v>
      </c>
      <c r="B150" s="9" t="s">
        <v>2226</v>
      </c>
      <c r="C150" s="9" t="s">
        <v>10</v>
      </c>
      <c r="D150" s="9" t="s">
        <v>966</v>
      </c>
      <c r="E150" s="9"/>
    </row>
    <row r="151" customFormat="false" ht="15" hidden="false" customHeight="false" outlineLevel="0" collapsed="false">
      <c r="A151" s="9" t="s">
        <v>2232</v>
      </c>
      <c r="B151" s="9" t="s">
        <v>2228</v>
      </c>
      <c r="C151" s="9" t="s">
        <v>10</v>
      </c>
      <c r="D151" s="9" t="s">
        <v>966</v>
      </c>
      <c r="E151" s="9"/>
    </row>
    <row r="152" customFormat="false" ht="15" hidden="false" customHeight="false" outlineLevel="0" collapsed="false">
      <c r="A152" s="9" t="s">
        <v>2233</v>
      </c>
      <c r="B152" s="9" t="s">
        <v>2089</v>
      </c>
      <c r="C152" s="9" t="s">
        <v>10</v>
      </c>
      <c r="D152" s="9" t="s">
        <v>966</v>
      </c>
      <c r="E152" s="10" t="s">
        <v>2015</v>
      </c>
    </row>
    <row r="153" customFormat="false" ht="15" hidden="false" customHeight="false" outlineLevel="0" collapsed="false">
      <c r="A153" s="9" t="s">
        <v>2234</v>
      </c>
      <c r="B153" s="9" t="s">
        <v>2125</v>
      </c>
      <c r="C153" s="9" t="s">
        <v>6</v>
      </c>
      <c r="D153" s="9" t="s">
        <v>219</v>
      </c>
      <c r="E153" s="9"/>
    </row>
    <row r="154" customFormat="false" ht="15" hidden="false" customHeight="false" outlineLevel="0" collapsed="false">
      <c r="A154" s="9" t="s">
        <v>2235</v>
      </c>
      <c r="B154" s="9" t="s">
        <v>2084</v>
      </c>
      <c r="C154" s="9" t="s">
        <v>6</v>
      </c>
      <c r="D154" s="9" t="s">
        <v>219</v>
      </c>
      <c r="E154" s="10" t="s">
        <v>2015</v>
      </c>
    </row>
    <row r="155" customFormat="false" ht="15" hidden="false" customHeight="false" outlineLevel="0" collapsed="false">
      <c r="A155" s="9" t="s">
        <v>2236</v>
      </c>
      <c r="B155" s="9" t="s">
        <v>2237</v>
      </c>
      <c r="C155" s="9" t="s">
        <v>6</v>
      </c>
      <c r="D155" s="9" t="s">
        <v>219</v>
      </c>
      <c r="E155" s="10" t="s">
        <v>2015</v>
      </c>
    </row>
    <row r="156" customFormat="false" ht="15" hidden="false" customHeight="false" outlineLevel="0" collapsed="false">
      <c r="A156" s="9" t="s">
        <v>2238</v>
      </c>
      <c r="B156" s="9" t="s">
        <v>2176</v>
      </c>
      <c r="C156" s="9" t="s">
        <v>10</v>
      </c>
      <c r="D156" s="9" t="s">
        <v>969</v>
      </c>
      <c r="E156" s="9"/>
    </row>
    <row r="157" customFormat="false" ht="15" hidden="false" customHeight="false" outlineLevel="0" collapsed="false">
      <c r="A157" s="9" t="s">
        <v>2239</v>
      </c>
      <c r="B157" s="9" t="s">
        <v>2240</v>
      </c>
      <c r="C157" s="9" t="s">
        <v>10</v>
      </c>
      <c r="D157" s="9" t="s">
        <v>974</v>
      </c>
      <c r="E157" s="9"/>
    </row>
    <row r="158" customFormat="false" ht="15" hidden="false" customHeight="false" outlineLevel="0" collapsed="false">
      <c r="A158" s="9" t="s">
        <v>2241</v>
      </c>
      <c r="B158" s="9" t="s">
        <v>2242</v>
      </c>
      <c r="C158" s="9" t="s">
        <v>10</v>
      </c>
      <c r="D158" s="9" t="s">
        <v>969</v>
      </c>
      <c r="E158" s="9"/>
    </row>
    <row r="159" customFormat="false" ht="15" hidden="false" customHeight="false" outlineLevel="0" collapsed="false">
      <c r="A159" s="9" t="s">
        <v>2243</v>
      </c>
      <c r="B159" s="9" t="s">
        <v>2244</v>
      </c>
      <c r="C159" s="9" t="s">
        <v>10</v>
      </c>
      <c r="D159" s="9" t="s">
        <v>974</v>
      </c>
      <c r="E159" s="9"/>
    </row>
    <row r="160" customFormat="false" ht="15" hidden="false" customHeight="false" outlineLevel="0" collapsed="false">
      <c r="A160" s="9" t="s">
        <v>2245</v>
      </c>
      <c r="B160" s="9" t="s">
        <v>2129</v>
      </c>
      <c r="C160" s="9" t="s">
        <v>10</v>
      </c>
      <c r="D160" s="9" t="s">
        <v>969</v>
      </c>
      <c r="E160" s="9"/>
    </row>
    <row r="161" customFormat="false" ht="15" hidden="false" customHeight="false" outlineLevel="0" collapsed="false">
      <c r="A161" s="9" t="s">
        <v>2246</v>
      </c>
      <c r="B161" s="9" t="s">
        <v>2242</v>
      </c>
      <c r="C161" s="9" t="s">
        <v>10</v>
      </c>
      <c r="D161" s="9" t="s">
        <v>974</v>
      </c>
      <c r="E161" s="9"/>
    </row>
    <row r="162" customFormat="false" ht="15" hidden="false" customHeight="false" outlineLevel="0" collapsed="false">
      <c r="A162" s="9" t="s">
        <v>2247</v>
      </c>
      <c r="B162" s="9" t="s">
        <v>2089</v>
      </c>
      <c r="C162" s="9" t="s">
        <v>10</v>
      </c>
      <c r="D162" s="9" t="s">
        <v>974</v>
      </c>
      <c r="E162" s="10" t="s">
        <v>2015</v>
      </c>
    </row>
    <row r="163" customFormat="false" ht="15" hidden="false" customHeight="false" outlineLevel="0" collapsed="false">
      <c r="A163" s="9" t="s">
        <v>2248</v>
      </c>
      <c r="B163" s="9" t="s">
        <v>2176</v>
      </c>
      <c r="C163" s="9" t="s">
        <v>10</v>
      </c>
      <c r="D163" s="9" t="s">
        <v>976</v>
      </c>
      <c r="E163" s="9"/>
    </row>
    <row r="164" customFormat="false" ht="15" hidden="false" customHeight="false" outlineLevel="0" collapsed="false">
      <c r="A164" s="9" t="s">
        <v>2249</v>
      </c>
      <c r="B164" s="9" t="s">
        <v>2250</v>
      </c>
      <c r="C164" s="9" t="s">
        <v>10</v>
      </c>
      <c r="D164" s="9" t="s">
        <v>979</v>
      </c>
      <c r="E164" s="9"/>
    </row>
    <row r="165" customFormat="false" ht="15" hidden="false" customHeight="false" outlineLevel="0" collapsed="false">
      <c r="A165" s="9" t="s">
        <v>2251</v>
      </c>
      <c r="B165" s="9" t="s">
        <v>2252</v>
      </c>
      <c r="C165" s="9" t="s">
        <v>10</v>
      </c>
      <c r="D165" s="9" t="s">
        <v>976</v>
      </c>
      <c r="E165" s="9"/>
    </row>
    <row r="166" customFormat="false" ht="15" hidden="false" customHeight="false" outlineLevel="0" collapsed="false">
      <c r="A166" s="9" t="s">
        <v>2253</v>
      </c>
      <c r="B166" s="9" t="s">
        <v>2254</v>
      </c>
      <c r="C166" s="9" t="s">
        <v>10</v>
      </c>
      <c r="D166" s="9" t="s">
        <v>979</v>
      </c>
      <c r="E166" s="9"/>
    </row>
    <row r="167" customFormat="false" ht="15" hidden="false" customHeight="false" outlineLevel="0" collapsed="false">
      <c r="A167" s="9" t="s">
        <v>2255</v>
      </c>
      <c r="B167" s="9" t="s">
        <v>2129</v>
      </c>
      <c r="C167" s="9" t="s">
        <v>10</v>
      </c>
      <c r="D167" s="9" t="s">
        <v>976</v>
      </c>
      <c r="E167" s="9"/>
    </row>
    <row r="168" customFormat="false" ht="15" hidden="false" customHeight="false" outlineLevel="0" collapsed="false">
      <c r="A168" s="9" t="s">
        <v>2256</v>
      </c>
      <c r="B168" s="9" t="s">
        <v>2257</v>
      </c>
      <c r="C168" s="9" t="s">
        <v>10</v>
      </c>
      <c r="D168" s="9" t="s">
        <v>979</v>
      </c>
      <c r="E168" s="9"/>
    </row>
    <row r="169" customFormat="false" ht="15" hidden="false" customHeight="false" outlineLevel="0" collapsed="false">
      <c r="A169" s="9" t="s">
        <v>2258</v>
      </c>
      <c r="B169" s="9" t="s">
        <v>2089</v>
      </c>
      <c r="C169" s="9" t="s">
        <v>10</v>
      </c>
      <c r="D169" s="9" t="s">
        <v>979</v>
      </c>
      <c r="E169" s="10" t="s">
        <v>2015</v>
      </c>
    </row>
    <row r="170" customFormat="false" ht="15" hidden="false" customHeight="false" outlineLevel="0" collapsed="false">
      <c r="A170" s="9" t="s">
        <v>2259</v>
      </c>
      <c r="B170" s="9" t="s">
        <v>2073</v>
      </c>
      <c r="C170" s="10" t="s">
        <v>2057</v>
      </c>
      <c r="D170" s="9" t="s">
        <v>2260</v>
      </c>
      <c r="E170" s="9" t="s">
        <v>2261</v>
      </c>
    </row>
    <row r="171" customFormat="false" ht="15" hidden="false" customHeight="false" outlineLevel="0" collapsed="false">
      <c r="A171" s="9" t="s">
        <v>2262</v>
      </c>
      <c r="B171" s="9" t="s">
        <v>2176</v>
      </c>
      <c r="C171" s="10" t="s">
        <v>2057</v>
      </c>
      <c r="D171" s="9" t="s">
        <v>2260</v>
      </c>
      <c r="E171" s="9" t="s">
        <v>2261</v>
      </c>
    </row>
    <row r="172" customFormat="false" ht="15" hidden="false" customHeight="false" outlineLevel="0" collapsed="false">
      <c r="A172" s="9" t="s">
        <v>2263</v>
      </c>
      <c r="B172" s="9" t="s">
        <v>2125</v>
      </c>
      <c r="C172" s="10" t="s">
        <v>2057</v>
      </c>
      <c r="D172" s="9" t="s">
        <v>2260</v>
      </c>
      <c r="E172" s="9" t="s">
        <v>2261</v>
      </c>
    </row>
    <row r="173" customFormat="false" ht="15" hidden="false" customHeight="false" outlineLevel="0" collapsed="false">
      <c r="A173" s="9" t="s">
        <v>2264</v>
      </c>
      <c r="B173" s="9" t="s">
        <v>2242</v>
      </c>
      <c r="C173" s="10" t="s">
        <v>2057</v>
      </c>
      <c r="D173" s="9" t="s">
        <v>2260</v>
      </c>
      <c r="E173" s="9" t="s">
        <v>2261</v>
      </c>
    </row>
    <row r="174" customFormat="false" ht="15" hidden="false" customHeight="false" outlineLevel="0" collapsed="false">
      <c r="A174" s="9" t="s">
        <v>2265</v>
      </c>
      <c r="B174" s="9" t="s">
        <v>2254</v>
      </c>
      <c r="C174" s="10" t="s">
        <v>2057</v>
      </c>
      <c r="D174" s="9" t="s">
        <v>2260</v>
      </c>
      <c r="E174" s="9" t="s">
        <v>2261</v>
      </c>
    </row>
    <row r="175" customFormat="false" ht="15" hidden="false" customHeight="false" outlineLevel="0" collapsed="false">
      <c r="A175" s="9" t="s">
        <v>2266</v>
      </c>
      <c r="B175" s="9" t="s">
        <v>2257</v>
      </c>
      <c r="C175" s="10" t="s">
        <v>2057</v>
      </c>
      <c r="D175" s="9" t="s">
        <v>2260</v>
      </c>
      <c r="E175" s="9" t="s">
        <v>2261</v>
      </c>
    </row>
    <row r="176" customFormat="false" ht="15" hidden="false" customHeight="false" outlineLevel="0" collapsed="false">
      <c r="A176" s="9" t="s">
        <v>2267</v>
      </c>
      <c r="B176" s="9" t="s">
        <v>2089</v>
      </c>
      <c r="C176" s="10" t="s">
        <v>2057</v>
      </c>
      <c r="D176" s="9" t="s">
        <v>2260</v>
      </c>
      <c r="E176" s="9" t="s">
        <v>2261</v>
      </c>
    </row>
    <row r="177" customFormat="false" ht="15" hidden="false" customHeight="false" outlineLevel="0" collapsed="false">
      <c r="A177" s="9" t="s">
        <v>2268</v>
      </c>
      <c r="B177" s="9" t="s">
        <v>2269</v>
      </c>
      <c r="C177" s="10" t="s">
        <v>2057</v>
      </c>
      <c r="D177" s="9" t="s">
        <v>2260</v>
      </c>
      <c r="E177" s="9" t="s">
        <v>2261</v>
      </c>
    </row>
    <row r="178" customFormat="false" ht="15" hidden="false" customHeight="false" outlineLevel="0" collapsed="false">
      <c r="A178" s="9" t="s">
        <v>2270</v>
      </c>
      <c r="B178" s="9" t="s">
        <v>2073</v>
      </c>
      <c r="C178" s="9" t="s">
        <v>10</v>
      </c>
      <c r="D178" s="9" t="s">
        <v>980</v>
      </c>
      <c r="E178" s="9"/>
    </row>
    <row r="179" customFormat="false" ht="15" hidden="false" customHeight="false" outlineLevel="0" collapsed="false">
      <c r="A179" s="9" t="s">
        <v>2271</v>
      </c>
      <c r="B179" s="9" t="s">
        <v>2125</v>
      </c>
      <c r="C179" s="9" t="s">
        <v>10</v>
      </c>
      <c r="D179" s="9" t="s">
        <v>980</v>
      </c>
      <c r="E179" s="9"/>
    </row>
    <row r="180" customFormat="false" ht="15" hidden="false" customHeight="false" outlineLevel="0" collapsed="false">
      <c r="A180" s="9" t="s">
        <v>2272</v>
      </c>
      <c r="B180" s="9" t="s">
        <v>2254</v>
      </c>
      <c r="C180" s="9" t="s">
        <v>10</v>
      </c>
      <c r="D180" s="9" t="s">
        <v>980</v>
      </c>
      <c r="E180" s="9"/>
    </row>
    <row r="181" customFormat="false" ht="15" hidden="false" customHeight="false" outlineLevel="0" collapsed="false">
      <c r="A181" s="9" t="s">
        <v>2273</v>
      </c>
      <c r="B181" s="9" t="s">
        <v>2274</v>
      </c>
      <c r="C181" s="9" t="s">
        <v>10</v>
      </c>
      <c r="D181" s="9" t="s">
        <v>980</v>
      </c>
      <c r="E181" s="10" t="s">
        <v>2015</v>
      </c>
    </row>
    <row r="182" customFormat="false" ht="15" hidden="false" customHeight="false" outlineLevel="0" collapsed="false">
      <c r="A182" s="9" t="s">
        <v>2275</v>
      </c>
      <c r="B182" s="9" t="s">
        <v>2276</v>
      </c>
      <c r="C182" s="9" t="s">
        <v>10</v>
      </c>
      <c r="D182" s="9" t="s">
        <v>980</v>
      </c>
      <c r="E182" s="10" t="s">
        <v>2015</v>
      </c>
    </row>
    <row r="183" customFormat="false" ht="15" hidden="false" customHeight="false" outlineLevel="0" collapsed="false">
      <c r="A183" s="9" t="s">
        <v>2277</v>
      </c>
      <c r="B183" s="9" t="s">
        <v>2257</v>
      </c>
      <c r="C183" s="9" t="s">
        <v>10</v>
      </c>
      <c r="D183" s="9" t="s">
        <v>983</v>
      </c>
      <c r="E183" s="9"/>
    </row>
    <row r="184" customFormat="false" ht="15" hidden="false" customHeight="false" outlineLevel="0" collapsed="false">
      <c r="A184" s="9" t="s">
        <v>2278</v>
      </c>
      <c r="B184" s="9" t="s">
        <v>2252</v>
      </c>
      <c r="C184" s="9" t="s">
        <v>10</v>
      </c>
      <c r="D184" s="9" t="s">
        <v>983</v>
      </c>
      <c r="E184" s="9"/>
    </row>
    <row r="185" customFormat="false" ht="15" hidden="false" customHeight="false" outlineLevel="0" collapsed="false">
      <c r="A185" s="9" t="s">
        <v>2279</v>
      </c>
      <c r="B185" s="9" t="s">
        <v>2280</v>
      </c>
      <c r="C185" s="9" t="s">
        <v>10</v>
      </c>
      <c r="D185" s="9" t="s">
        <v>983</v>
      </c>
      <c r="E185" s="9"/>
    </row>
    <row r="186" customFormat="false" ht="15" hidden="false" customHeight="false" outlineLevel="0" collapsed="false">
      <c r="A186" s="9" t="s">
        <v>2281</v>
      </c>
      <c r="B186" s="9" t="s">
        <v>2089</v>
      </c>
      <c r="C186" s="9" t="s">
        <v>10</v>
      </c>
      <c r="D186" s="9" t="s">
        <v>983</v>
      </c>
      <c r="E186" s="10" t="s">
        <v>2015</v>
      </c>
    </row>
    <row r="187" customFormat="false" ht="15" hidden="false" customHeight="false" outlineLevel="0" collapsed="false">
      <c r="A187" s="9" t="s">
        <v>2282</v>
      </c>
      <c r="B187" s="9" t="s">
        <v>2073</v>
      </c>
      <c r="C187" s="9" t="s">
        <v>10</v>
      </c>
      <c r="D187" s="9" t="s">
        <v>986</v>
      </c>
      <c r="E187" s="9"/>
    </row>
    <row r="188" customFormat="false" ht="15" hidden="false" customHeight="false" outlineLevel="0" collapsed="false">
      <c r="A188" s="9" t="s">
        <v>2283</v>
      </c>
      <c r="B188" s="9" t="s">
        <v>2125</v>
      </c>
      <c r="C188" s="9" t="s">
        <v>10</v>
      </c>
      <c r="D188" s="9" t="s">
        <v>986</v>
      </c>
      <c r="E188" s="9"/>
    </row>
    <row r="189" customFormat="false" ht="15" hidden="false" customHeight="false" outlineLevel="0" collapsed="false">
      <c r="A189" s="9" t="s">
        <v>2284</v>
      </c>
      <c r="B189" s="9" t="s">
        <v>2252</v>
      </c>
      <c r="C189" s="9" t="s">
        <v>10</v>
      </c>
      <c r="D189" s="9" t="s">
        <v>986</v>
      </c>
      <c r="E189" s="9"/>
    </row>
    <row r="190" customFormat="false" ht="15" hidden="false" customHeight="false" outlineLevel="0" collapsed="false">
      <c r="A190" s="9" t="s">
        <v>2285</v>
      </c>
      <c r="B190" s="9" t="s">
        <v>2089</v>
      </c>
      <c r="C190" s="9" t="s">
        <v>10</v>
      </c>
      <c r="D190" s="9" t="s">
        <v>986</v>
      </c>
      <c r="E190" s="10" t="s">
        <v>2015</v>
      </c>
    </row>
    <row r="191" customFormat="false" ht="15" hidden="false" customHeight="false" outlineLevel="0" collapsed="false">
      <c r="A191" s="9" t="s">
        <v>2286</v>
      </c>
      <c r="B191" s="9" t="s">
        <v>2287</v>
      </c>
      <c r="C191" s="9" t="s">
        <v>10</v>
      </c>
      <c r="D191" s="9" t="s">
        <v>986</v>
      </c>
      <c r="E191" s="10" t="s">
        <v>2015</v>
      </c>
    </row>
    <row r="192" customFormat="false" ht="15" hidden="false" customHeight="false" outlineLevel="0" collapsed="false">
      <c r="A192" s="9" t="s">
        <v>2288</v>
      </c>
      <c r="B192" s="9" t="s">
        <v>2289</v>
      </c>
      <c r="C192" s="9" t="s">
        <v>10</v>
      </c>
      <c r="D192" s="9" t="s">
        <v>989</v>
      </c>
      <c r="E192" s="9"/>
    </row>
    <row r="193" customFormat="false" ht="15" hidden="false" customHeight="false" outlineLevel="0" collapsed="false">
      <c r="A193" s="9" t="s">
        <v>2290</v>
      </c>
      <c r="B193" s="9" t="s">
        <v>2291</v>
      </c>
      <c r="C193" s="9" t="s">
        <v>10</v>
      </c>
      <c r="D193" s="9" t="s">
        <v>989</v>
      </c>
      <c r="E193" s="9"/>
    </row>
    <row r="194" customFormat="false" ht="15" hidden="false" customHeight="false" outlineLevel="0" collapsed="false">
      <c r="A194" s="9" t="s">
        <v>2292</v>
      </c>
      <c r="B194" s="9" t="s">
        <v>2293</v>
      </c>
      <c r="C194" s="9" t="s">
        <v>10</v>
      </c>
      <c r="D194" s="9" t="s">
        <v>989</v>
      </c>
      <c r="E194" s="9"/>
    </row>
    <row r="195" customFormat="false" ht="15" hidden="false" customHeight="false" outlineLevel="0" collapsed="false">
      <c r="A195" s="9" t="s">
        <v>2294</v>
      </c>
      <c r="B195" s="9" t="s">
        <v>2295</v>
      </c>
      <c r="C195" s="9" t="s">
        <v>10</v>
      </c>
      <c r="D195" s="9" t="s">
        <v>989</v>
      </c>
      <c r="E195" s="10" t="s">
        <v>2015</v>
      </c>
    </row>
    <row r="196" customFormat="false" ht="15" hidden="false" customHeight="false" outlineLevel="0" collapsed="false">
      <c r="A196" s="9" t="s">
        <v>2296</v>
      </c>
      <c r="B196" s="9" t="s">
        <v>2089</v>
      </c>
      <c r="C196" s="9" t="s">
        <v>10</v>
      </c>
      <c r="D196" s="9" t="s">
        <v>989</v>
      </c>
      <c r="E196" s="10" t="s">
        <v>2015</v>
      </c>
    </row>
    <row r="197" customFormat="false" ht="15" hidden="false" customHeight="false" outlineLevel="0" collapsed="false">
      <c r="A197" s="9" t="s">
        <v>2297</v>
      </c>
      <c r="B197" s="9" t="s">
        <v>2298</v>
      </c>
      <c r="C197" s="9" t="s">
        <v>10</v>
      </c>
      <c r="D197" s="9" t="s">
        <v>989</v>
      </c>
      <c r="E197" s="10" t="s">
        <v>2015</v>
      </c>
    </row>
    <row r="198" customFormat="false" ht="15" hidden="false" customHeight="false" outlineLevel="0" collapsed="false">
      <c r="A198" s="9" t="s">
        <v>2299</v>
      </c>
      <c r="B198" s="9" t="s">
        <v>2300</v>
      </c>
      <c r="C198" s="9" t="s">
        <v>10</v>
      </c>
      <c r="D198" s="9" t="s">
        <v>2301</v>
      </c>
      <c r="E198" s="10" t="s">
        <v>2302</v>
      </c>
    </row>
    <row r="199" customFormat="false" ht="15" hidden="false" customHeight="false" outlineLevel="0" collapsed="false">
      <c r="A199" s="9" t="s">
        <v>2303</v>
      </c>
      <c r="B199" s="9" t="s">
        <v>2093</v>
      </c>
      <c r="C199" s="9" t="s">
        <v>10</v>
      </c>
      <c r="D199" s="9" t="s">
        <v>994</v>
      </c>
      <c r="E199" s="9"/>
    </row>
    <row r="200" customFormat="false" ht="15" hidden="false" customHeight="false" outlineLevel="0" collapsed="false">
      <c r="A200" s="9" t="s">
        <v>2304</v>
      </c>
      <c r="B200" s="9" t="s">
        <v>2305</v>
      </c>
      <c r="C200" s="9" t="s">
        <v>10</v>
      </c>
      <c r="D200" s="9" t="s">
        <v>998</v>
      </c>
      <c r="E200" s="9"/>
    </row>
    <row r="201" customFormat="false" ht="15" hidden="false" customHeight="false" outlineLevel="0" collapsed="false">
      <c r="A201" s="9" t="s">
        <v>2306</v>
      </c>
      <c r="B201" s="9" t="s">
        <v>2250</v>
      </c>
      <c r="C201" s="9" t="s">
        <v>10</v>
      </c>
      <c r="D201" s="9" t="s">
        <v>999</v>
      </c>
      <c r="E201" s="9"/>
    </row>
    <row r="202" customFormat="false" ht="15" hidden="false" customHeight="false" outlineLevel="0" collapsed="false">
      <c r="A202" s="9" t="s">
        <v>2307</v>
      </c>
      <c r="B202" s="9" t="s">
        <v>2254</v>
      </c>
      <c r="C202" s="9" t="s">
        <v>10</v>
      </c>
      <c r="D202" s="9" t="s">
        <v>1001</v>
      </c>
      <c r="E202" s="9"/>
    </row>
    <row r="203" customFormat="false" ht="15" hidden="false" customHeight="false" outlineLevel="0" collapsed="false">
      <c r="A203" s="9" t="s">
        <v>2308</v>
      </c>
      <c r="B203" s="9" t="s">
        <v>2242</v>
      </c>
      <c r="C203" s="9" t="s">
        <v>10</v>
      </c>
      <c r="D203" s="9" t="s">
        <v>1003</v>
      </c>
      <c r="E203" s="9"/>
    </row>
    <row r="204" customFormat="false" ht="15" hidden="false" customHeight="false" outlineLevel="0" collapsed="false">
      <c r="A204" s="9" t="s">
        <v>2309</v>
      </c>
      <c r="B204" s="9" t="s">
        <v>2073</v>
      </c>
      <c r="C204" s="9" t="s">
        <v>10</v>
      </c>
      <c r="D204" s="9" t="s">
        <v>1005</v>
      </c>
      <c r="E204" s="9"/>
    </row>
    <row r="205" customFormat="false" ht="15" hidden="false" customHeight="false" outlineLevel="0" collapsed="false">
      <c r="A205" s="9" t="s">
        <v>2310</v>
      </c>
      <c r="B205" s="9" t="s">
        <v>2089</v>
      </c>
      <c r="C205" s="9" t="s">
        <v>10</v>
      </c>
      <c r="D205" s="9" t="s">
        <v>1010</v>
      </c>
      <c r="E205" s="10" t="s">
        <v>2015</v>
      </c>
    </row>
    <row r="206" customFormat="false" ht="15" hidden="false" customHeight="false" outlineLevel="0" collapsed="false">
      <c r="A206" s="9" t="s">
        <v>2311</v>
      </c>
      <c r="B206" s="9" t="s">
        <v>2129</v>
      </c>
      <c r="C206" s="9" t="s">
        <v>10</v>
      </c>
      <c r="D206" s="9" t="s">
        <v>1007</v>
      </c>
      <c r="E206" s="9"/>
    </row>
    <row r="207" customFormat="false" ht="15" hidden="false" customHeight="false" outlineLevel="0" collapsed="false">
      <c r="A207" s="9" t="s">
        <v>2312</v>
      </c>
      <c r="B207" s="9" t="s">
        <v>2154</v>
      </c>
      <c r="C207" s="9" t="s">
        <v>10</v>
      </c>
      <c r="D207" s="9" t="s">
        <v>1010</v>
      </c>
      <c r="E207" s="9"/>
    </row>
    <row r="208" customFormat="false" ht="15" hidden="false" customHeight="false" outlineLevel="0" collapsed="false">
      <c r="A208" s="9" t="s">
        <v>2313</v>
      </c>
      <c r="B208" s="9" t="s">
        <v>2093</v>
      </c>
      <c r="C208" s="9" t="s">
        <v>10</v>
      </c>
      <c r="D208" s="9" t="s">
        <v>1012</v>
      </c>
      <c r="E208" s="9"/>
    </row>
    <row r="209" customFormat="false" ht="15" hidden="false" customHeight="false" outlineLevel="0" collapsed="false">
      <c r="A209" s="9" t="s">
        <v>2314</v>
      </c>
      <c r="B209" s="9" t="s">
        <v>2073</v>
      </c>
      <c r="C209" s="9" t="s">
        <v>10</v>
      </c>
      <c r="D209" s="9" t="s">
        <v>1015</v>
      </c>
      <c r="E209" s="9"/>
    </row>
    <row r="210" customFormat="false" ht="15" hidden="false" customHeight="false" outlineLevel="0" collapsed="false">
      <c r="A210" s="9" t="s">
        <v>2315</v>
      </c>
      <c r="B210" s="9" t="s">
        <v>2240</v>
      </c>
      <c r="C210" s="9" t="s">
        <v>10</v>
      </c>
      <c r="D210" s="9" t="s">
        <v>1016</v>
      </c>
      <c r="E210" s="9"/>
    </row>
    <row r="211" customFormat="false" ht="15" hidden="false" customHeight="false" outlineLevel="0" collapsed="false">
      <c r="A211" s="9" t="s">
        <v>2316</v>
      </c>
      <c r="B211" s="9" t="s">
        <v>2317</v>
      </c>
      <c r="C211" s="9" t="s">
        <v>10</v>
      </c>
      <c r="D211" s="9" t="s">
        <v>1017</v>
      </c>
      <c r="E211" s="9"/>
    </row>
    <row r="212" customFormat="false" ht="15" hidden="false" customHeight="false" outlineLevel="0" collapsed="false">
      <c r="A212" s="9" t="s">
        <v>2318</v>
      </c>
      <c r="B212" s="9" t="s">
        <v>2125</v>
      </c>
      <c r="C212" s="9" t="s">
        <v>10</v>
      </c>
      <c r="D212" s="9" t="s">
        <v>1018</v>
      </c>
      <c r="E212" s="9"/>
    </row>
    <row r="213" customFormat="false" ht="15" hidden="false" customHeight="false" outlineLevel="0" collapsed="false">
      <c r="A213" s="9" t="s">
        <v>2319</v>
      </c>
      <c r="B213" s="9" t="s">
        <v>2244</v>
      </c>
      <c r="C213" s="9" t="s">
        <v>10</v>
      </c>
      <c r="D213" s="9" t="s">
        <v>1019</v>
      </c>
      <c r="E213" s="9"/>
    </row>
    <row r="214" customFormat="false" ht="15" hidden="false" customHeight="false" outlineLevel="0" collapsed="false">
      <c r="A214" s="9" t="s">
        <v>2320</v>
      </c>
      <c r="B214" s="9" t="s">
        <v>2089</v>
      </c>
      <c r="C214" s="9" t="s">
        <v>10</v>
      </c>
      <c r="D214" s="9" t="s">
        <v>1022</v>
      </c>
      <c r="E214" s="10" t="s">
        <v>2015</v>
      </c>
    </row>
    <row r="215" customFormat="false" ht="15" hidden="false" customHeight="false" outlineLevel="0" collapsed="false">
      <c r="A215" s="9" t="s">
        <v>2321</v>
      </c>
      <c r="B215" s="9" t="s">
        <v>2129</v>
      </c>
      <c r="C215" s="9" t="s">
        <v>10</v>
      </c>
      <c r="D215" s="9" t="s">
        <v>1020</v>
      </c>
      <c r="E215" s="9"/>
    </row>
    <row r="216" customFormat="false" ht="15" hidden="false" customHeight="false" outlineLevel="0" collapsed="false">
      <c r="A216" s="9" t="s">
        <v>2322</v>
      </c>
      <c r="B216" s="9" t="s">
        <v>2154</v>
      </c>
      <c r="C216" s="9" t="s">
        <v>10</v>
      </c>
      <c r="D216" s="9" t="s">
        <v>1022</v>
      </c>
      <c r="E216" s="9"/>
    </row>
    <row r="217" customFormat="false" ht="15" hidden="false" customHeight="false" outlineLevel="0" collapsed="false">
      <c r="A217" s="9" t="s">
        <v>2323</v>
      </c>
      <c r="B217" s="9" t="s">
        <v>2324</v>
      </c>
      <c r="C217" s="9" t="s">
        <v>10</v>
      </c>
      <c r="D217" s="9" t="s">
        <v>1024</v>
      </c>
      <c r="E217" s="9"/>
    </row>
    <row r="218" customFormat="false" ht="15" hidden="false" customHeight="false" outlineLevel="0" collapsed="false">
      <c r="A218" s="9" t="s">
        <v>2325</v>
      </c>
      <c r="B218" s="9" t="s">
        <v>2326</v>
      </c>
      <c r="C218" s="9" t="s">
        <v>10</v>
      </c>
      <c r="D218" s="9" t="s">
        <v>1024</v>
      </c>
      <c r="E218" s="9"/>
    </row>
    <row r="219" customFormat="false" ht="15" hidden="false" customHeight="false" outlineLevel="0" collapsed="false">
      <c r="A219" s="9" t="s">
        <v>2327</v>
      </c>
      <c r="B219" s="9" t="s">
        <v>2328</v>
      </c>
      <c r="C219" s="9" t="s">
        <v>10</v>
      </c>
      <c r="D219" s="9" t="s">
        <v>1024</v>
      </c>
      <c r="E219" s="9"/>
    </row>
    <row r="220" customFormat="false" ht="15" hidden="false" customHeight="false" outlineLevel="0" collapsed="false">
      <c r="A220" s="9" t="s">
        <v>2329</v>
      </c>
      <c r="B220" s="9" t="s">
        <v>2089</v>
      </c>
      <c r="C220" s="9" t="s">
        <v>10</v>
      </c>
      <c r="D220" s="9" t="s">
        <v>1024</v>
      </c>
      <c r="E220" s="10" t="s">
        <v>2015</v>
      </c>
    </row>
    <row r="221" customFormat="false" ht="15" hidden="false" customHeight="false" outlineLevel="0" collapsed="false">
      <c r="A221" s="9" t="s">
        <v>2330</v>
      </c>
      <c r="B221" s="9" t="s">
        <v>2331</v>
      </c>
      <c r="C221" s="9" t="s">
        <v>10</v>
      </c>
      <c r="D221" s="9" t="s">
        <v>1024</v>
      </c>
      <c r="E221" s="10" t="s">
        <v>2015</v>
      </c>
    </row>
    <row r="222" customFormat="false" ht="15" hidden="false" customHeight="false" outlineLevel="0" collapsed="false">
      <c r="A222" s="9" t="s">
        <v>2332</v>
      </c>
      <c r="B222" s="9" t="s">
        <v>2217</v>
      </c>
      <c r="C222" s="9" t="s">
        <v>10</v>
      </c>
      <c r="D222" s="9" t="s">
        <v>1029</v>
      </c>
      <c r="E222" s="9"/>
    </row>
    <row r="223" customFormat="false" ht="15" hidden="false" customHeight="false" outlineLevel="0" collapsed="false">
      <c r="A223" s="9" t="s">
        <v>2333</v>
      </c>
      <c r="B223" s="9" t="s">
        <v>2219</v>
      </c>
      <c r="C223" s="9" t="s">
        <v>10</v>
      </c>
      <c r="D223" s="9" t="s">
        <v>1029</v>
      </c>
      <c r="E223" s="9"/>
    </row>
    <row r="224" customFormat="false" ht="15" hidden="false" customHeight="false" outlineLevel="0" collapsed="false">
      <c r="A224" s="9" t="s">
        <v>2334</v>
      </c>
      <c r="B224" s="9" t="s">
        <v>2221</v>
      </c>
      <c r="C224" s="9" t="s">
        <v>10</v>
      </c>
      <c r="D224" s="9" t="s">
        <v>1029</v>
      </c>
      <c r="E224" s="9"/>
    </row>
    <row r="225" customFormat="false" ht="15" hidden="false" customHeight="false" outlineLevel="0" collapsed="false">
      <c r="A225" s="9" t="s">
        <v>2335</v>
      </c>
      <c r="B225" s="9" t="s">
        <v>2089</v>
      </c>
      <c r="C225" s="9" t="s">
        <v>10</v>
      </c>
      <c r="D225" s="9" t="s">
        <v>1029</v>
      </c>
      <c r="E225" s="10" t="s">
        <v>2015</v>
      </c>
    </row>
    <row r="226" customFormat="false" ht="15" hidden="false" customHeight="false" outlineLevel="0" collapsed="false">
      <c r="A226" s="9" t="s">
        <v>2336</v>
      </c>
      <c r="B226" s="9" t="s">
        <v>2337</v>
      </c>
      <c r="C226" s="10" t="s">
        <v>1986</v>
      </c>
      <c r="D226" s="9" t="s">
        <v>59</v>
      </c>
      <c r="E226" s="10" t="s">
        <v>2338</v>
      </c>
    </row>
    <row r="227" customFormat="false" ht="15" hidden="false" customHeight="false" outlineLevel="0" collapsed="false">
      <c r="A227" s="9" t="s">
        <v>2339</v>
      </c>
      <c r="B227" s="9" t="s">
        <v>2340</v>
      </c>
      <c r="C227" s="9" t="s">
        <v>10</v>
      </c>
      <c r="D227" s="9" t="s">
        <v>1032</v>
      </c>
      <c r="E227" s="9"/>
    </row>
    <row r="228" customFormat="false" ht="15" hidden="false" customHeight="false" outlineLevel="0" collapsed="false">
      <c r="A228" s="9" t="s">
        <v>2341</v>
      </c>
      <c r="B228" s="9" t="s">
        <v>2342</v>
      </c>
      <c r="C228" s="9" t="s">
        <v>10</v>
      </c>
      <c r="D228" s="9" t="s">
        <v>1032</v>
      </c>
      <c r="E228" s="10" t="s">
        <v>2015</v>
      </c>
    </row>
    <row r="229" customFormat="false" ht="15" hidden="false" customHeight="false" outlineLevel="0" collapsed="false">
      <c r="A229" s="9" t="s">
        <v>2343</v>
      </c>
      <c r="B229" s="9" t="s">
        <v>2344</v>
      </c>
      <c r="C229" s="9" t="s">
        <v>10</v>
      </c>
      <c r="D229" s="9" t="s">
        <v>1032</v>
      </c>
      <c r="E229" s="10" t="s">
        <v>2015</v>
      </c>
    </row>
    <row r="230" customFormat="false" ht="15" hidden="false" customHeight="false" outlineLevel="0" collapsed="false">
      <c r="A230" s="9" t="s">
        <v>2345</v>
      </c>
      <c r="B230" s="9" t="s">
        <v>2346</v>
      </c>
      <c r="C230" s="10" t="s">
        <v>1986</v>
      </c>
      <c r="D230" s="9" t="s">
        <v>59</v>
      </c>
      <c r="E230" s="10" t="s">
        <v>2347</v>
      </c>
    </row>
    <row r="231" customFormat="false" ht="15" hidden="false" customHeight="false" outlineLevel="0" collapsed="false">
      <c r="A231" s="9" t="s">
        <v>2348</v>
      </c>
      <c r="B231" s="9" t="s">
        <v>2349</v>
      </c>
      <c r="C231" s="10" t="s">
        <v>1986</v>
      </c>
      <c r="D231" s="9" t="s">
        <v>59</v>
      </c>
      <c r="E231" s="10" t="s">
        <v>2347</v>
      </c>
    </row>
    <row r="232" customFormat="false" ht="15" hidden="false" customHeight="false" outlineLevel="0" collapsed="false">
      <c r="A232" s="9" t="s">
        <v>2350</v>
      </c>
      <c r="B232" s="9" t="s">
        <v>2351</v>
      </c>
      <c r="C232" s="10" t="s">
        <v>1986</v>
      </c>
      <c r="D232" s="9" t="s">
        <v>59</v>
      </c>
      <c r="E232" s="10" t="s">
        <v>2347</v>
      </c>
    </row>
    <row r="233" customFormat="false" ht="15" hidden="false" customHeight="false" outlineLevel="0" collapsed="false">
      <c r="A233" s="9" t="s">
        <v>2352</v>
      </c>
      <c r="B233" s="9" t="s">
        <v>2353</v>
      </c>
      <c r="C233" s="10" t="s">
        <v>1986</v>
      </c>
      <c r="D233" s="9" t="s">
        <v>59</v>
      </c>
      <c r="E233" s="10" t="s">
        <v>2347</v>
      </c>
    </row>
    <row r="234" customFormat="false" ht="15" hidden="false" customHeight="false" outlineLevel="0" collapsed="false">
      <c r="A234" s="9" t="s">
        <v>2354</v>
      </c>
      <c r="B234" s="9" t="s">
        <v>2355</v>
      </c>
      <c r="C234" s="10" t="s">
        <v>1986</v>
      </c>
      <c r="D234" s="9" t="s">
        <v>59</v>
      </c>
      <c r="E234" s="10" t="s">
        <v>2347</v>
      </c>
    </row>
    <row r="235" customFormat="false" ht="15" hidden="false" customHeight="false" outlineLevel="0" collapsed="false">
      <c r="A235" s="9" t="s">
        <v>2356</v>
      </c>
      <c r="B235" s="9" t="s">
        <v>2357</v>
      </c>
      <c r="C235" s="10" t="s">
        <v>1986</v>
      </c>
      <c r="D235" s="9" t="s">
        <v>59</v>
      </c>
      <c r="E235" s="10" t="s">
        <v>2358</v>
      </c>
    </row>
    <row r="236" customFormat="false" ht="15" hidden="false" customHeight="false" outlineLevel="0" collapsed="false">
      <c r="A236" s="9" t="s">
        <v>2359</v>
      </c>
      <c r="B236" s="9" t="s">
        <v>2357</v>
      </c>
      <c r="C236" s="10" t="s">
        <v>1986</v>
      </c>
      <c r="D236" s="9" t="s">
        <v>59</v>
      </c>
      <c r="E236" s="10" t="s">
        <v>2358</v>
      </c>
    </row>
    <row r="237" customFormat="false" ht="15" hidden="false" customHeight="false" outlineLevel="0" collapsed="false">
      <c r="A237" s="9" t="s">
        <v>2360</v>
      </c>
      <c r="B237" s="9" t="s">
        <v>2357</v>
      </c>
      <c r="C237" s="10" t="s">
        <v>1986</v>
      </c>
      <c r="D237" s="9" t="s">
        <v>59</v>
      </c>
      <c r="E237" s="10" t="s">
        <v>2358</v>
      </c>
    </row>
    <row r="238" customFormat="false" ht="15" hidden="false" customHeight="false" outlineLevel="0" collapsed="false">
      <c r="A238" s="9" t="s">
        <v>2361</v>
      </c>
      <c r="B238" s="9" t="s">
        <v>2357</v>
      </c>
      <c r="C238" s="10" t="s">
        <v>1986</v>
      </c>
      <c r="D238" s="9" t="s">
        <v>59</v>
      </c>
      <c r="E238" s="10" t="s">
        <v>2358</v>
      </c>
    </row>
    <row r="239" customFormat="false" ht="15" hidden="false" customHeight="false" outlineLevel="0" collapsed="false">
      <c r="A239" s="9" t="s">
        <v>2362</v>
      </c>
      <c r="B239" s="9" t="s">
        <v>2363</v>
      </c>
      <c r="C239" s="10" t="s">
        <v>1986</v>
      </c>
      <c r="D239" s="9" t="s">
        <v>59</v>
      </c>
      <c r="E239" s="10" t="s">
        <v>2358</v>
      </c>
    </row>
    <row r="240" customFormat="false" ht="15" hidden="false" customHeight="false" outlineLevel="0" collapsed="false">
      <c r="A240" s="9" t="s">
        <v>2364</v>
      </c>
      <c r="B240" s="9" t="s">
        <v>2365</v>
      </c>
      <c r="C240" s="9" t="s">
        <v>6</v>
      </c>
      <c r="D240" s="9" t="s">
        <v>226</v>
      </c>
      <c r="E240" s="9"/>
    </row>
    <row r="241" customFormat="false" ht="15" hidden="false" customHeight="false" outlineLevel="0" collapsed="false">
      <c r="A241" s="9" t="s">
        <v>2366</v>
      </c>
      <c r="B241" s="9" t="s">
        <v>2367</v>
      </c>
      <c r="C241" s="9" t="s">
        <v>6</v>
      </c>
      <c r="D241" s="9" t="s">
        <v>233</v>
      </c>
      <c r="E241" s="9"/>
    </row>
    <row r="242" customFormat="false" ht="15" hidden="false" customHeight="false" outlineLevel="0" collapsed="false">
      <c r="A242" s="9" t="s">
        <v>2368</v>
      </c>
      <c r="B242" s="9" t="s">
        <v>2369</v>
      </c>
      <c r="C242" s="9" t="s">
        <v>6</v>
      </c>
      <c r="D242" s="9" t="s">
        <v>235</v>
      </c>
      <c r="E242" s="9"/>
    </row>
    <row r="243" customFormat="false" ht="15" hidden="false" customHeight="false" outlineLevel="0" collapsed="false">
      <c r="A243" s="9" t="s">
        <v>2370</v>
      </c>
      <c r="B243" s="9" t="s">
        <v>2371</v>
      </c>
      <c r="C243" s="9" t="s">
        <v>6</v>
      </c>
      <c r="D243" s="9" t="s">
        <v>238</v>
      </c>
      <c r="E243" s="9"/>
    </row>
    <row r="244" customFormat="false" ht="15" hidden="false" customHeight="false" outlineLevel="0" collapsed="false">
      <c r="A244" s="9" t="s">
        <v>2372</v>
      </c>
      <c r="B244" s="9" t="s">
        <v>2367</v>
      </c>
      <c r="C244" s="9" t="s">
        <v>6</v>
      </c>
      <c r="D244" s="9" t="s">
        <v>240</v>
      </c>
      <c r="E244" s="9"/>
    </row>
    <row r="245" customFormat="false" ht="15" hidden="false" customHeight="false" outlineLevel="0" collapsed="false">
      <c r="A245" s="9" t="s">
        <v>2373</v>
      </c>
      <c r="B245" s="9" t="s">
        <v>2374</v>
      </c>
      <c r="C245" s="9" t="s">
        <v>6</v>
      </c>
      <c r="D245" s="9" t="s">
        <v>240</v>
      </c>
      <c r="E245" s="9"/>
    </row>
    <row r="246" customFormat="false" ht="15" hidden="false" customHeight="false" outlineLevel="0" collapsed="false">
      <c r="A246" s="9" t="s">
        <v>2375</v>
      </c>
      <c r="B246" s="9" t="s">
        <v>2084</v>
      </c>
      <c r="C246" s="9" t="s">
        <v>6</v>
      </c>
      <c r="D246" s="9" t="s">
        <v>226</v>
      </c>
      <c r="E246" s="10" t="s">
        <v>2015</v>
      </c>
    </row>
    <row r="247" customFormat="false" ht="15" hidden="false" customHeight="false" outlineLevel="0" collapsed="false">
      <c r="A247" s="9" t="s">
        <v>2376</v>
      </c>
      <c r="B247" s="9" t="s">
        <v>2377</v>
      </c>
      <c r="C247" s="9" t="s">
        <v>6</v>
      </c>
      <c r="D247" s="9" t="s">
        <v>226</v>
      </c>
      <c r="E247" s="10" t="s">
        <v>2015</v>
      </c>
    </row>
    <row r="248" customFormat="false" ht="15" hidden="false" customHeight="false" outlineLevel="0" collapsed="false">
      <c r="A248" s="9" t="s">
        <v>2378</v>
      </c>
      <c r="B248" s="9" t="s">
        <v>2379</v>
      </c>
      <c r="C248" s="9" t="s">
        <v>10</v>
      </c>
      <c r="D248" s="9" t="s">
        <v>2380</v>
      </c>
      <c r="E248" s="10" t="s">
        <v>2381</v>
      </c>
    </row>
    <row r="249" customFormat="false" ht="15" hidden="false" customHeight="false" outlineLevel="0" collapsed="false">
      <c r="A249" s="9" t="s">
        <v>2382</v>
      </c>
      <c r="B249" s="9" t="s">
        <v>2383</v>
      </c>
      <c r="C249" s="9" t="s">
        <v>10</v>
      </c>
      <c r="D249" s="9" t="s">
        <v>1059</v>
      </c>
      <c r="E249" s="9"/>
    </row>
    <row r="250" customFormat="false" ht="15" hidden="false" customHeight="false" outlineLevel="0" collapsed="false">
      <c r="A250" s="9" t="s">
        <v>2384</v>
      </c>
      <c r="B250" s="9" t="s">
        <v>2385</v>
      </c>
      <c r="C250" s="10" t="s">
        <v>2057</v>
      </c>
      <c r="D250" s="9" t="s">
        <v>2386</v>
      </c>
      <c r="E250" s="9" t="s">
        <v>2387</v>
      </c>
    </row>
    <row r="251" customFormat="false" ht="15" hidden="false" customHeight="false" outlineLevel="0" collapsed="false">
      <c r="A251" s="9" t="s">
        <v>2388</v>
      </c>
      <c r="B251" s="9" t="s">
        <v>2389</v>
      </c>
      <c r="C251" s="9" t="s">
        <v>10</v>
      </c>
      <c r="D251" s="9" t="s">
        <v>1063</v>
      </c>
      <c r="E251" s="9"/>
    </row>
    <row r="252" customFormat="false" ht="15" hidden="false" customHeight="false" outlineLevel="0" collapsed="false">
      <c r="A252" s="9" t="s">
        <v>2390</v>
      </c>
      <c r="B252" s="9" t="s">
        <v>2391</v>
      </c>
      <c r="C252" s="9" t="s">
        <v>10</v>
      </c>
      <c r="D252" s="9" t="s">
        <v>1065</v>
      </c>
      <c r="E252" s="9"/>
    </row>
    <row r="253" customFormat="false" ht="15" hidden="false" customHeight="false" outlineLevel="0" collapsed="false">
      <c r="A253" s="9" t="s">
        <v>2392</v>
      </c>
      <c r="B253" s="9" t="s">
        <v>2393</v>
      </c>
      <c r="C253" s="9" t="s">
        <v>10</v>
      </c>
      <c r="D253" s="9" t="s">
        <v>1066</v>
      </c>
      <c r="E253" s="9"/>
    </row>
    <row r="254" customFormat="false" ht="15" hidden="false" customHeight="false" outlineLevel="0" collapsed="false">
      <c r="A254" s="9" t="s">
        <v>2394</v>
      </c>
      <c r="B254" s="9" t="s">
        <v>2395</v>
      </c>
      <c r="C254" s="9" t="s">
        <v>10</v>
      </c>
      <c r="D254" s="9" t="s">
        <v>1067</v>
      </c>
      <c r="E254" s="9"/>
    </row>
    <row r="255" customFormat="false" ht="15" hidden="false" customHeight="false" outlineLevel="0" collapsed="false">
      <c r="A255" s="9" t="s">
        <v>2396</v>
      </c>
      <c r="B255" s="9" t="s">
        <v>2274</v>
      </c>
      <c r="C255" s="9" t="s">
        <v>10</v>
      </c>
      <c r="D255" s="9" t="s">
        <v>1071</v>
      </c>
      <c r="E255" s="10" t="s">
        <v>2015</v>
      </c>
    </row>
    <row r="256" customFormat="false" ht="15" hidden="false" customHeight="false" outlineLevel="0" collapsed="false">
      <c r="A256" s="9" t="s">
        <v>2397</v>
      </c>
      <c r="B256" s="9" t="s">
        <v>2398</v>
      </c>
      <c r="C256" s="9" t="s">
        <v>10</v>
      </c>
      <c r="D256" s="9" t="s">
        <v>1071</v>
      </c>
      <c r="E256" s="10" t="s">
        <v>2015</v>
      </c>
    </row>
    <row r="257" customFormat="false" ht="15" hidden="false" customHeight="false" outlineLevel="0" collapsed="false">
      <c r="A257" s="9" t="s">
        <v>2399</v>
      </c>
      <c r="B257" s="9" t="s">
        <v>2179</v>
      </c>
      <c r="C257" s="9" t="s">
        <v>10</v>
      </c>
      <c r="D257" s="9" t="s">
        <v>1068</v>
      </c>
      <c r="E257" s="9"/>
    </row>
    <row r="258" customFormat="false" ht="15" hidden="false" customHeight="false" outlineLevel="0" collapsed="false">
      <c r="A258" s="9" t="s">
        <v>2400</v>
      </c>
      <c r="B258" s="9" t="s">
        <v>2401</v>
      </c>
      <c r="C258" s="9" t="s">
        <v>10</v>
      </c>
      <c r="D258" s="9" t="s">
        <v>1071</v>
      </c>
      <c r="E258" s="9"/>
    </row>
    <row r="259" customFormat="false" ht="15" hidden="false" customHeight="false" outlineLevel="0" collapsed="false">
      <c r="A259" s="9" t="s">
        <v>2402</v>
      </c>
      <c r="B259" s="9" t="s">
        <v>2403</v>
      </c>
      <c r="C259" s="9" t="s">
        <v>10</v>
      </c>
      <c r="D259" s="9" t="s">
        <v>1071</v>
      </c>
      <c r="E259" s="10" t="s">
        <v>2015</v>
      </c>
    </row>
    <row r="260" customFormat="false" ht="15" hidden="false" customHeight="false" outlineLevel="0" collapsed="false">
      <c r="A260" s="9" t="s">
        <v>2404</v>
      </c>
      <c r="B260" s="9" t="s">
        <v>61</v>
      </c>
      <c r="C260" s="9" t="s">
        <v>10</v>
      </c>
      <c r="D260" s="9" t="s">
        <v>1073</v>
      </c>
      <c r="E260" s="9"/>
    </row>
    <row r="261" customFormat="false" ht="15" hidden="false" customHeight="false" outlineLevel="0" collapsed="false">
      <c r="A261" s="9" t="s">
        <v>2405</v>
      </c>
      <c r="B261" s="9" t="s">
        <v>2289</v>
      </c>
      <c r="C261" s="9" t="s">
        <v>10</v>
      </c>
      <c r="D261" s="9" t="s">
        <v>1076</v>
      </c>
      <c r="E261" s="9"/>
    </row>
    <row r="262" customFormat="false" ht="15" hidden="false" customHeight="false" outlineLevel="0" collapsed="false">
      <c r="A262" s="9" t="s">
        <v>2406</v>
      </c>
      <c r="B262" s="9" t="s">
        <v>2407</v>
      </c>
      <c r="C262" s="9" t="s">
        <v>10</v>
      </c>
      <c r="D262" s="9" t="s">
        <v>1077</v>
      </c>
      <c r="E262" s="9"/>
    </row>
    <row r="263" customFormat="false" ht="15" hidden="false" customHeight="false" outlineLevel="0" collapsed="false">
      <c r="A263" s="9" t="s">
        <v>2408</v>
      </c>
      <c r="B263" s="9" t="s">
        <v>2409</v>
      </c>
      <c r="C263" s="9" t="s">
        <v>10</v>
      </c>
      <c r="D263" s="9" t="s">
        <v>1078</v>
      </c>
      <c r="E263" s="9"/>
    </row>
    <row r="264" customFormat="false" ht="15" hidden="false" customHeight="false" outlineLevel="0" collapsed="false">
      <c r="A264" s="9" t="s">
        <v>2410</v>
      </c>
      <c r="B264" s="9" t="s">
        <v>2411</v>
      </c>
      <c r="C264" s="9" t="s">
        <v>10</v>
      </c>
      <c r="D264" s="9" t="s">
        <v>1079</v>
      </c>
      <c r="E264" s="9"/>
    </row>
    <row r="265" customFormat="false" ht="15" hidden="false" customHeight="false" outlineLevel="0" collapsed="false">
      <c r="A265" s="9" t="s">
        <v>2412</v>
      </c>
      <c r="B265" s="9" t="s">
        <v>2413</v>
      </c>
      <c r="C265" s="9" t="s">
        <v>10</v>
      </c>
      <c r="D265" s="9" t="s">
        <v>1080</v>
      </c>
      <c r="E265" s="9"/>
    </row>
    <row r="266" customFormat="false" ht="15" hidden="false" customHeight="false" outlineLevel="0" collapsed="false">
      <c r="A266" s="9" t="s">
        <v>2414</v>
      </c>
      <c r="B266" s="9" t="s">
        <v>2089</v>
      </c>
      <c r="C266" s="9" t="s">
        <v>10</v>
      </c>
      <c r="D266" s="9" t="s">
        <v>1083</v>
      </c>
      <c r="E266" s="10" t="s">
        <v>2015</v>
      </c>
    </row>
    <row r="267" customFormat="false" ht="15" hidden="false" customHeight="false" outlineLevel="0" collapsed="false">
      <c r="A267" s="9" t="s">
        <v>2415</v>
      </c>
      <c r="B267" s="9" t="s">
        <v>2044</v>
      </c>
      <c r="C267" s="9" t="s">
        <v>10</v>
      </c>
      <c r="D267" s="9" t="s">
        <v>1081</v>
      </c>
      <c r="E267" s="9"/>
    </row>
    <row r="268" customFormat="false" ht="15" hidden="false" customHeight="false" outlineLevel="0" collapsed="false">
      <c r="A268" s="9" t="s">
        <v>2416</v>
      </c>
      <c r="B268" s="9" t="s">
        <v>2154</v>
      </c>
      <c r="C268" s="9" t="s">
        <v>10</v>
      </c>
      <c r="D268" s="9" t="s">
        <v>1083</v>
      </c>
      <c r="E268" s="9"/>
    </row>
    <row r="269" customFormat="false" ht="15" hidden="false" customHeight="false" outlineLevel="0" collapsed="false">
      <c r="A269" s="9" t="s">
        <v>2417</v>
      </c>
      <c r="B269" s="9" t="s">
        <v>2418</v>
      </c>
      <c r="C269" s="9" t="s">
        <v>10</v>
      </c>
      <c r="D269" s="9" t="s">
        <v>1083</v>
      </c>
      <c r="E269" s="10" t="s">
        <v>2015</v>
      </c>
    </row>
    <row r="270" customFormat="false" ht="15" hidden="false" customHeight="false" outlineLevel="0" collapsed="false">
      <c r="A270" s="9" t="s">
        <v>2419</v>
      </c>
      <c r="B270" s="9" t="s">
        <v>2403</v>
      </c>
      <c r="C270" s="9" t="s">
        <v>10</v>
      </c>
      <c r="D270" s="9" t="s">
        <v>1083</v>
      </c>
      <c r="E270" s="10" t="s">
        <v>2015</v>
      </c>
    </row>
    <row r="271" customFormat="false" ht="15" hidden="false" customHeight="false" outlineLevel="0" collapsed="false">
      <c r="A271" s="9" t="s">
        <v>2420</v>
      </c>
      <c r="B271" s="9" t="s">
        <v>2293</v>
      </c>
      <c r="C271" s="10" t="s">
        <v>2057</v>
      </c>
      <c r="D271" s="9" t="s">
        <v>2421</v>
      </c>
      <c r="E271" s="9" t="s">
        <v>2422</v>
      </c>
    </row>
    <row r="272" customFormat="false" ht="15" hidden="false" customHeight="false" outlineLevel="0" collapsed="false">
      <c r="A272" s="9" t="s">
        <v>2423</v>
      </c>
      <c r="B272" s="9" t="s">
        <v>2424</v>
      </c>
      <c r="C272" s="9" t="s">
        <v>10</v>
      </c>
      <c r="D272" s="9" t="s">
        <v>1085</v>
      </c>
      <c r="E272" s="9"/>
    </row>
    <row r="273" customFormat="false" ht="15" hidden="false" customHeight="false" outlineLevel="0" collapsed="false">
      <c r="A273" s="9" t="s">
        <v>2425</v>
      </c>
      <c r="B273" s="9" t="s">
        <v>2426</v>
      </c>
      <c r="C273" s="9" t="s">
        <v>10</v>
      </c>
      <c r="D273" s="9" t="s">
        <v>1088</v>
      </c>
      <c r="E273" s="9"/>
    </row>
    <row r="274" customFormat="false" ht="15" hidden="false" customHeight="false" outlineLevel="0" collapsed="false">
      <c r="A274" s="9" t="s">
        <v>2427</v>
      </c>
      <c r="B274" s="9" t="s">
        <v>2428</v>
      </c>
      <c r="C274" s="9" t="s">
        <v>10</v>
      </c>
      <c r="D274" s="9" t="s">
        <v>1089</v>
      </c>
      <c r="E274" s="9"/>
    </row>
    <row r="275" customFormat="false" ht="15" hidden="false" customHeight="false" outlineLevel="0" collapsed="false">
      <c r="A275" s="9" t="s">
        <v>2429</v>
      </c>
      <c r="B275" s="9" t="s">
        <v>2430</v>
      </c>
      <c r="C275" s="9" t="s">
        <v>10</v>
      </c>
      <c r="D275" s="9" t="s">
        <v>1090</v>
      </c>
      <c r="E275" s="9"/>
    </row>
    <row r="276" customFormat="false" ht="15" hidden="false" customHeight="false" outlineLevel="0" collapsed="false">
      <c r="A276" s="9" t="s">
        <v>2431</v>
      </c>
      <c r="B276" s="9" t="s">
        <v>2432</v>
      </c>
      <c r="C276" s="9" t="s">
        <v>10</v>
      </c>
      <c r="D276" s="9" t="s">
        <v>1091</v>
      </c>
      <c r="E276" s="9"/>
    </row>
    <row r="277" customFormat="false" ht="15" hidden="false" customHeight="false" outlineLevel="0" collapsed="false">
      <c r="A277" s="9" t="s">
        <v>2433</v>
      </c>
      <c r="B277" s="9" t="s">
        <v>2434</v>
      </c>
      <c r="C277" s="9" t="s">
        <v>10</v>
      </c>
      <c r="D277" s="9" t="s">
        <v>1092</v>
      </c>
      <c r="E277" s="9"/>
    </row>
    <row r="278" customFormat="false" ht="15" hidden="false" customHeight="false" outlineLevel="0" collapsed="false">
      <c r="A278" s="9" t="s">
        <v>2435</v>
      </c>
      <c r="B278" s="9" t="s">
        <v>2436</v>
      </c>
      <c r="C278" s="9" t="s">
        <v>10</v>
      </c>
      <c r="D278" s="9" t="s">
        <v>1094</v>
      </c>
      <c r="E278" s="9"/>
    </row>
    <row r="279" customFormat="false" ht="15" hidden="false" customHeight="false" outlineLevel="0" collapsed="false">
      <c r="A279" s="9" t="s">
        <v>2437</v>
      </c>
      <c r="B279" s="9" t="s">
        <v>2014</v>
      </c>
      <c r="C279" s="9" t="s">
        <v>10</v>
      </c>
      <c r="D279" s="9" t="s">
        <v>1094</v>
      </c>
      <c r="E279" s="10" t="s">
        <v>2015</v>
      </c>
    </row>
    <row r="280" customFormat="false" ht="15" hidden="false" customHeight="false" outlineLevel="0" collapsed="false">
      <c r="A280" s="9" t="s">
        <v>2438</v>
      </c>
      <c r="B280" s="9" t="s">
        <v>2439</v>
      </c>
      <c r="C280" s="9" t="s">
        <v>10</v>
      </c>
      <c r="D280" s="9" t="s">
        <v>1094</v>
      </c>
      <c r="E280" s="10" t="s">
        <v>2015</v>
      </c>
    </row>
    <row r="281" customFormat="false" ht="15" hidden="false" customHeight="false" outlineLevel="0" collapsed="false">
      <c r="A281" s="9" t="s">
        <v>2440</v>
      </c>
      <c r="B281" s="9" t="s">
        <v>2403</v>
      </c>
      <c r="C281" s="9" t="s">
        <v>10</v>
      </c>
      <c r="D281" s="9" t="s">
        <v>1094</v>
      </c>
      <c r="E281" s="10" t="s">
        <v>2015</v>
      </c>
    </row>
    <row r="282" customFormat="false" ht="15" hidden="false" customHeight="false" outlineLevel="0" collapsed="false">
      <c r="A282" s="9" t="s">
        <v>2441</v>
      </c>
      <c r="B282" s="9" t="s">
        <v>2129</v>
      </c>
      <c r="C282" s="10" t="s">
        <v>2057</v>
      </c>
      <c r="D282" s="9" t="s">
        <v>2442</v>
      </c>
      <c r="E282" s="9" t="s">
        <v>2443</v>
      </c>
    </row>
    <row r="283" customFormat="false" ht="15" hidden="false" customHeight="false" outlineLevel="0" collapsed="false">
      <c r="A283" s="9" t="s">
        <v>2444</v>
      </c>
      <c r="B283" s="9" t="s">
        <v>2117</v>
      </c>
      <c r="C283" s="10" t="s">
        <v>2057</v>
      </c>
      <c r="D283" s="9" t="s">
        <v>2445</v>
      </c>
      <c r="E283" s="9" t="s">
        <v>2446</v>
      </c>
    </row>
    <row r="284" customFormat="false" ht="15" hidden="false" customHeight="false" outlineLevel="0" collapsed="false">
      <c r="A284" s="9" t="s">
        <v>2447</v>
      </c>
      <c r="B284" s="9" t="s">
        <v>2154</v>
      </c>
      <c r="C284" s="10" t="s">
        <v>2057</v>
      </c>
      <c r="D284" s="9" t="s">
        <v>2448</v>
      </c>
      <c r="E284" s="9" t="s">
        <v>2449</v>
      </c>
    </row>
    <row r="285" customFormat="false" ht="15" hidden="false" customHeight="false" outlineLevel="0" collapsed="false">
      <c r="A285" s="9" t="s">
        <v>2450</v>
      </c>
      <c r="B285" s="9" t="s">
        <v>2121</v>
      </c>
      <c r="C285" s="10" t="s">
        <v>2057</v>
      </c>
      <c r="D285" s="9" t="s">
        <v>2451</v>
      </c>
      <c r="E285" s="9" t="s">
        <v>2452</v>
      </c>
    </row>
    <row r="286" customFormat="false" ht="15" hidden="false" customHeight="false" outlineLevel="0" collapsed="false">
      <c r="A286" s="9" t="s">
        <v>2453</v>
      </c>
      <c r="B286" s="9" t="s">
        <v>2148</v>
      </c>
      <c r="C286" s="10" t="s">
        <v>2057</v>
      </c>
      <c r="D286" s="9" t="s">
        <v>2454</v>
      </c>
      <c r="E286" s="9" t="s">
        <v>2455</v>
      </c>
    </row>
    <row r="287" customFormat="false" ht="15" hidden="false" customHeight="false" outlineLevel="0" collapsed="false">
      <c r="A287" s="9" t="s">
        <v>2456</v>
      </c>
      <c r="B287" s="9" t="s">
        <v>2457</v>
      </c>
      <c r="C287" s="10" t="s">
        <v>2057</v>
      </c>
      <c r="D287" s="9" t="s">
        <v>2458</v>
      </c>
      <c r="E287" s="9" t="s">
        <v>2459</v>
      </c>
    </row>
    <row r="288" customFormat="false" ht="15" hidden="false" customHeight="false" outlineLevel="0" collapsed="false">
      <c r="A288" s="9" t="s">
        <v>2460</v>
      </c>
      <c r="B288" s="9" t="s">
        <v>2044</v>
      </c>
      <c r="C288" s="10" t="s">
        <v>1986</v>
      </c>
      <c r="D288" s="9" t="s">
        <v>59</v>
      </c>
      <c r="E288" s="9" t="s">
        <v>2461</v>
      </c>
    </row>
    <row r="289" customFormat="false" ht="15" hidden="false" customHeight="false" outlineLevel="0" collapsed="false">
      <c r="A289" s="9" t="s">
        <v>2462</v>
      </c>
      <c r="B289" s="9" t="s">
        <v>2401</v>
      </c>
      <c r="C289" s="10" t="s">
        <v>1986</v>
      </c>
      <c r="D289" s="9" t="s">
        <v>59</v>
      </c>
      <c r="E289" s="9" t="s">
        <v>2463</v>
      </c>
    </row>
    <row r="290" customFormat="false" ht="15" hidden="false" customHeight="false" outlineLevel="0" collapsed="false">
      <c r="A290" s="9" t="s">
        <v>2464</v>
      </c>
      <c r="B290" s="9" t="s">
        <v>2014</v>
      </c>
      <c r="C290" s="10" t="s">
        <v>2057</v>
      </c>
      <c r="D290" s="9" t="s">
        <v>2442</v>
      </c>
      <c r="E290" s="10" t="s">
        <v>2015</v>
      </c>
    </row>
    <row r="291" customFormat="false" ht="15" hidden="false" customHeight="false" outlineLevel="0" collapsed="false">
      <c r="A291" s="9" t="s">
        <v>2465</v>
      </c>
      <c r="B291" s="9" t="s">
        <v>2466</v>
      </c>
      <c r="C291" s="10" t="s">
        <v>2057</v>
      </c>
      <c r="D291" s="9" t="s">
        <v>2442</v>
      </c>
      <c r="E291" s="10" t="s">
        <v>2015</v>
      </c>
    </row>
    <row r="292" customFormat="false" ht="15" hidden="false" customHeight="false" outlineLevel="0" collapsed="false">
      <c r="A292" s="9" t="s">
        <v>2467</v>
      </c>
      <c r="B292" s="9" t="s">
        <v>2403</v>
      </c>
      <c r="C292" s="10" t="s">
        <v>2057</v>
      </c>
      <c r="D292" s="9" t="s">
        <v>2442</v>
      </c>
      <c r="E292" s="10" t="s">
        <v>2015</v>
      </c>
    </row>
    <row r="293" customFormat="false" ht="15" hidden="false" customHeight="false" outlineLevel="0" collapsed="false">
      <c r="A293" s="9" t="s">
        <v>2468</v>
      </c>
      <c r="B293" s="9" t="s">
        <v>250</v>
      </c>
      <c r="C293" s="9" t="s">
        <v>10</v>
      </c>
      <c r="D293" s="9" t="s">
        <v>1096</v>
      </c>
      <c r="E293" s="9"/>
    </row>
    <row r="294" customFormat="false" ht="15" hidden="false" customHeight="false" outlineLevel="0" collapsed="false">
      <c r="A294" s="9" t="s">
        <v>2469</v>
      </c>
      <c r="B294" s="9" t="s">
        <v>2470</v>
      </c>
      <c r="C294" s="9" t="s">
        <v>10</v>
      </c>
      <c r="D294" s="9" t="s">
        <v>1099</v>
      </c>
      <c r="E294" s="9"/>
    </row>
    <row r="295" customFormat="false" ht="15" hidden="false" customHeight="false" outlineLevel="0" collapsed="false">
      <c r="A295" s="9" t="s">
        <v>2471</v>
      </c>
      <c r="B295" s="9" t="s">
        <v>2472</v>
      </c>
      <c r="C295" s="9" t="s">
        <v>10</v>
      </c>
      <c r="D295" s="9" t="s">
        <v>1100</v>
      </c>
      <c r="E295" s="9"/>
    </row>
    <row r="296" customFormat="false" ht="15" hidden="false" customHeight="false" outlineLevel="0" collapsed="false">
      <c r="A296" s="9" t="s">
        <v>2473</v>
      </c>
      <c r="B296" s="9" t="s">
        <v>2078</v>
      </c>
      <c r="C296" s="9" t="s">
        <v>10</v>
      </c>
      <c r="D296" s="9" t="s">
        <v>1101</v>
      </c>
      <c r="E296" s="9"/>
    </row>
    <row r="297" customFormat="false" ht="15" hidden="false" customHeight="false" outlineLevel="0" collapsed="false">
      <c r="A297" s="9" t="s">
        <v>2474</v>
      </c>
      <c r="B297" s="9" t="s">
        <v>2475</v>
      </c>
      <c r="C297" s="9" t="s">
        <v>10</v>
      </c>
      <c r="D297" s="9" t="s">
        <v>1102</v>
      </c>
      <c r="E297" s="9"/>
    </row>
    <row r="298" customFormat="false" ht="15" hidden="false" customHeight="false" outlineLevel="0" collapsed="false">
      <c r="A298" s="9" t="s">
        <v>2476</v>
      </c>
      <c r="B298" s="9" t="s">
        <v>2477</v>
      </c>
      <c r="C298" s="9" t="s">
        <v>10</v>
      </c>
      <c r="D298" s="9" t="s">
        <v>1103</v>
      </c>
      <c r="E298" s="9"/>
    </row>
    <row r="299" customFormat="false" ht="15" hidden="false" customHeight="false" outlineLevel="0" collapsed="false">
      <c r="A299" s="9" t="s">
        <v>2478</v>
      </c>
      <c r="B299" s="9" t="s">
        <v>2089</v>
      </c>
      <c r="C299" s="9" t="s">
        <v>10</v>
      </c>
      <c r="D299" s="9" t="s">
        <v>1106</v>
      </c>
      <c r="E299" s="10" t="s">
        <v>2015</v>
      </c>
    </row>
    <row r="300" customFormat="false" ht="15" hidden="false" customHeight="false" outlineLevel="0" collapsed="false">
      <c r="A300" s="9" t="s">
        <v>2479</v>
      </c>
      <c r="B300" s="9" t="s">
        <v>2480</v>
      </c>
      <c r="C300" s="9" t="s">
        <v>10</v>
      </c>
      <c r="D300" s="9" t="s">
        <v>1106</v>
      </c>
      <c r="E300" s="10" t="s">
        <v>2015</v>
      </c>
    </row>
    <row r="301" customFormat="false" ht="15" hidden="false" customHeight="false" outlineLevel="0" collapsed="false">
      <c r="A301" s="9" t="s">
        <v>2481</v>
      </c>
      <c r="B301" s="9" t="s">
        <v>2482</v>
      </c>
      <c r="C301" s="9" t="s">
        <v>10</v>
      </c>
      <c r="D301" s="9" t="s">
        <v>1104</v>
      </c>
      <c r="E301" s="9"/>
    </row>
    <row r="302" customFormat="false" ht="15" hidden="false" customHeight="false" outlineLevel="0" collapsed="false">
      <c r="A302" s="9" t="s">
        <v>2483</v>
      </c>
      <c r="B302" s="9" t="s">
        <v>2484</v>
      </c>
      <c r="C302" s="9" t="s">
        <v>10</v>
      </c>
      <c r="D302" s="9" t="s">
        <v>1106</v>
      </c>
      <c r="E302" s="9"/>
    </row>
    <row r="303" customFormat="false" ht="15" hidden="false" customHeight="false" outlineLevel="0" collapsed="false">
      <c r="A303" s="9" t="s">
        <v>2485</v>
      </c>
      <c r="B303" s="9" t="s">
        <v>2403</v>
      </c>
      <c r="C303" s="9" t="s">
        <v>10</v>
      </c>
      <c r="D303" s="9" t="s">
        <v>1106</v>
      </c>
      <c r="E303" s="10" t="s">
        <v>2015</v>
      </c>
    </row>
    <row r="304" customFormat="false" ht="15" hidden="false" customHeight="false" outlineLevel="0" collapsed="false">
      <c r="A304" s="9" t="s">
        <v>2486</v>
      </c>
      <c r="B304" s="9" t="s">
        <v>2487</v>
      </c>
      <c r="C304" s="9" t="s">
        <v>10</v>
      </c>
      <c r="D304" s="9" t="s">
        <v>2488</v>
      </c>
      <c r="E304" s="10" t="s">
        <v>2489</v>
      </c>
    </row>
    <row r="305" customFormat="false" ht="15" hidden="false" customHeight="false" outlineLevel="0" collapsed="false">
      <c r="A305" s="9" t="s">
        <v>2490</v>
      </c>
      <c r="B305" s="9" t="s">
        <v>2491</v>
      </c>
      <c r="C305" s="9" t="s">
        <v>10</v>
      </c>
      <c r="D305" s="9" t="s">
        <v>1108</v>
      </c>
      <c r="E305" s="9"/>
    </row>
    <row r="306" customFormat="false" ht="15" hidden="false" customHeight="false" outlineLevel="0" collapsed="false">
      <c r="A306" s="9" t="s">
        <v>2492</v>
      </c>
      <c r="B306" s="9" t="s">
        <v>2493</v>
      </c>
      <c r="C306" s="9" t="s">
        <v>10</v>
      </c>
      <c r="D306" s="9" t="s">
        <v>1108</v>
      </c>
      <c r="E306" s="9"/>
    </row>
    <row r="307" customFormat="false" ht="15" hidden="false" customHeight="false" outlineLevel="0" collapsed="false">
      <c r="A307" s="9" t="s">
        <v>2494</v>
      </c>
      <c r="B307" s="9" t="s">
        <v>2365</v>
      </c>
      <c r="C307" s="9" t="s">
        <v>10</v>
      </c>
      <c r="D307" s="9" t="s">
        <v>1108</v>
      </c>
      <c r="E307" s="9"/>
    </row>
    <row r="308" customFormat="false" ht="15" hidden="false" customHeight="false" outlineLevel="0" collapsed="false">
      <c r="A308" s="9" t="s">
        <v>2495</v>
      </c>
      <c r="B308" s="9" t="s">
        <v>2089</v>
      </c>
      <c r="C308" s="9" t="s">
        <v>10</v>
      </c>
      <c r="D308" s="9" t="s">
        <v>1108</v>
      </c>
      <c r="E308" s="10" t="s">
        <v>2015</v>
      </c>
    </row>
    <row r="309" customFormat="false" ht="15" hidden="false" customHeight="false" outlineLevel="0" collapsed="false">
      <c r="A309" s="9" t="s">
        <v>2496</v>
      </c>
      <c r="B309" s="9" t="s">
        <v>2497</v>
      </c>
      <c r="C309" s="9" t="s">
        <v>10</v>
      </c>
      <c r="D309" s="9" t="s">
        <v>1108</v>
      </c>
      <c r="E309" s="10" t="s">
        <v>2015</v>
      </c>
    </row>
    <row r="310" customFormat="false" ht="15" hidden="false" customHeight="false" outlineLevel="0" collapsed="false">
      <c r="A310" s="9" t="s">
        <v>2498</v>
      </c>
      <c r="B310" s="9" t="s">
        <v>2499</v>
      </c>
      <c r="C310" s="9" t="s">
        <v>10</v>
      </c>
      <c r="D310" s="9" t="s">
        <v>1112</v>
      </c>
      <c r="E310" s="9"/>
    </row>
    <row r="311" customFormat="false" ht="15" hidden="false" customHeight="false" outlineLevel="0" collapsed="false">
      <c r="A311" s="9" t="s">
        <v>2500</v>
      </c>
      <c r="B311" s="9" t="s">
        <v>2501</v>
      </c>
      <c r="C311" s="9" t="s">
        <v>10</v>
      </c>
      <c r="D311" s="9" t="s">
        <v>1115</v>
      </c>
      <c r="E311" s="9"/>
    </row>
    <row r="312" customFormat="false" ht="15" hidden="false" customHeight="false" outlineLevel="0" collapsed="false">
      <c r="A312" s="9" t="s">
        <v>2502</v>
      </c>
      <c r="B312" s="9" t="s">
        <v>2503</v>
      </c>
      <c r="C312" s="9" t="s">
        <v>10</v>
      </c>
      <c r="D312" s="9" t="s">
        <v>1112</v>
      </c>
      <c r="E312" s="9"/>
    </row>
    <row r="313" customFormat="false" ht="15" hidden="false" customHeight="false" outlineLevel="0" collapsed="false">
      <c r="A313" s="9" t="s">
        <v>2504</v>
      </c>
      <c r="B313" s="9" t="s">
        <v>2505</v>
      </c>
      <c r="C313" s="9" t="s">
        <v>10</v>
      </c>
      <c r="D313" s="9" t="s">
        <v>1115</v>
      </c>
      <c r="E313" s="9"/>
    </row>
    <row r="314" customFormat="false" ht="15" hidden="false" customHeight="false" outlineLevel="0" collapsed="false">
      <c r="A314" s="9" t="s">
        <v>2506</v>
      </c>
      <c r="B314" s="9" t="s">
        <v>2367</v>
      </c>
      <c r="C314" s="9" t="s">
        <v>10</v>
      </c>
      <c r="D314" s="9" t="s">
        <v>1112</v>
      </c>
      <c r="E314" s="9"/>
    </row>
    <row r="315" customFormat="false" ht="15" hidden="false" customHeight="false" outlineLevel="0" collapsed="false">
      <c r="A315" s="9" t="s">
        <v>2507</v>
      </c>
      <c r="B315" s="9" t="s">
        <v>2367</v>
      </c>
      <c r="C315" s="9" t="s">
        <v>10</v>
      </c>
      <c r="D315" s="9" t="s">
        <v>1115</v>
      </c>
      <c r="E315" s="9"/>
    </row>
    <row r="316" customFormat="false" ht="15" hidden="false" customHeight="false" outlineLevel="0" collapsed="false">
      <c r="A316" s="9" t="s">
        <v>2508</v>
      </c>
      <c r="B316" s="9" t="s">
        <v>2089</v>
      </c>
      <c r="C316" s="9" t="s">
        <v>10</v>
      </c>
      <c r="D316" s="9" t="s">
        <v>1115</v>
      </c>
      <c r="E316" s="10" t="s">
        <v>2015</v>
      </c>
    </row>
    <row r="317" customFormat="false" ht="15" hidden="false" customHeight="false" outlineLevel="0" collapsed="false">
      <c r="A317" s="9" t="s">
        <v>2509</v>
      </c>
      <c r="B317" s="9" t="s">
        <v>2497</v>
      </c>
      <c r="C317" s="9" t="s">
        <v>10</v>
      </c>
      <c r="D317" s="9" t="s">
        <v>1115</v>
      </c>
      <c r="E317" s="10" t="s">
        <v>2015</v>
      </c>
    </row>
    <row r="318" customFormat="false" ht="15" hidden="false" customHeight="false" outlineLevel="0" collapsed="false">
      <c r="A318" s="9" t="s">
        <v>2510</v>
      </c>
      <c r="B318" s="9" t="s">
        <v>2511</v>
      </c>
      <c r="C318" s="9" t="s">
        <v>10</v>
      </c>
      <c r="D318" s="9" t="s">
        <v>1115</v>
      </c>
      <c r="E318" s="10" t="s">
        <v>2015</v>
      </c>
    </row>
    <row r="319" customFormat="false" ht="15" hidden="false" customHeight="false" outlineLevel="0" collapsed="false">
      <c r="A319" s="9" t="s">
        <v>2512</v>
      </c>
      <c r="B319" s="9" t="s">
        <v>2371</v>
      </c>
      <c r="C319" s="9" t="s">
        <v>10</v>
      </c>
      <c r="D319" s="9" t="s">
        <v>1117</v>
      </c>
      <c r="E319" s="9"/>
    </row>
    <row r="320" customFormat="false" ht="15" hidden="false" customHeight="false" outlineLevel="0" collapsed="false">
      <c r="A320" s="9" t="s">
        <v>2513</v>
      </c>
      <c r="B320" s="9" t="s">
        <v>2514</v>
      </c>
      <c r="C320" s="9" t="s">
        <v>10</v>
      </c>
      <c r="D320" s="9" t="s">
        <v>1120</v>
      </c>
      <c r="E320" s="9"/>
    </row>
    <row r="321" customFormat="false" ht="15" hidden="false" customHeight="false" outlineLevel="0" collapsed="false">
      <c r="A321" s="9" t="s">
        <v>2515</v>
      </c>
      <c r="B321" s="9" t="s">
        <v>2371</v>
      </c>
      <c r="C321" s="9" t="s">
        <v>10</v>
      </c>
      <c r="D321" s="9" t="s">
        <v>1117</v>
      </c>
      <c r="E321" s="9"/>
    </row>
    <row r="322" customFormat="false" ht="15" hidden="false" customHeight="false" outlineLevel="0" collapsed="false">
      <c r="A322" s="9" t="s">
        <v>2516</v>
      </c>
      <c r="B322" s="9" t="s">
        <v>2517</v>
      </c>
      <c r="C322" s="9" t="s">
        <v>10</v>
      </c>
      <c r="D322" s="9" t="s">
        <v>1120</v>
      </c>
      <c r="E322" s="9"/>
    </row>
    <row r="323" customFormat="false" ht="15" hidden="false" customHeight="false" outlineLevel="0" collapsed="false">
      <c r="A323" s="9" t="s">
        <v>2518</v>
      </c>
      <c r="B323" s="9" t="s">
        <v>2371</v>
      </c>
      <c r="C323" s="9" t="s">
        <v>10</v>
      </c>
      <c r="D323" s="9" t="s">
        <v>1117</v>
      </c>
      <c r="E323" s="9"/>
    </row>
    <row r="324" customFormat="false" ht="15" hidden="false" customHeight="false" outlineLevel="0" collapsed="false">
      <c r="A324" s="9" t="s">
        <v>2519</v>
      </c>
      <c r="B324" s="9" t="s">
        <v>2520</v>
      </c>
      <c r="C324" s="9" t="s">
        <v>10</v>
      </c>
      <c r="D324" s="9" t="s">
        <v>1120</v>
      </c>
      <c r="E324" s="9"/>
    </row>
    <row r="325" customFormat="false" ht="15" hidden="false" customHeight="false" outlineLevel="0" collapsed="false">
      <c r="A325" s="9" t="s">
        <v>2521</v>
      </c>
      <c r="B325" s="9" t="s">
        <v>2089</v>
      </c>
      <c r="C325" s="9" t="s">
        <v>10</v>
      </c>
      <c r="D325" s="9" t="s">
        <v>1120</v>
      </c>
      <c r="E325" s="10" t="s">
        <v>2015</v>
      </c>
    </row>
    <row r="326" customFormat="false" ht="15" hidden="false" customHeight="false" outlineLevel="0" collapsed="false">
      <c r="A326" s="9" t="s">
        <v>2522</v>
      </c>
      <c r="B326" s="9" t="s">
        <v>2523</v>
      </c>
      <c r="C326" s="9" t="s">
        <v>10</v>
      </c>
      <c r="D326" s="9" t="s">
        <v>1120</v>
      </c>
      <c r="E326" s="10" t="s">
        <v>2015</v>
      </c>
    </row>
    <row r="327" customFormat="false" ht="15" hidden="false" customHeight="false" outlineLevel="0" collapsed="false">
      <c r="A327" s="9" t="s">
        <v>2524</v>
      </c>
      <c r="B327" s="9" t="s">
        <v>2497</v>
      </c>
      <c r="C327" s="9" t="s">
        <v>10</v>
      </c>
      <c r="D327" s="9" t="s">
        <v>1120</v>
      </c>
      <c r="E327" s="10" t="s">
        <v>2015</v>
      </c>
    </row>
    <row r="328" customFormat="false" ht="15" hidden="false" customHeight="false" outlineLevel="0" collapsed="false">
      <c r="A328" s="9" t="s">
        <v>2525</v>
      </c>
      <c r="B328" s="9" t="s">
        <v>2293</v>
      </c>
      <c r="C328" s="9" t="s">
        <v>10</v>
      </c>
      <c r="D328" s="9" t="s">
        <v>1121</v>
      </c>
      <c r="E328" s="9"/>
    </row>
    <row r="329" customFormat="false" ht="15" hidden="false" customHeight="false" outlineLevel="0" collapsed="false">
      <c r="A329" s="9" t="s">
        <v>2526</v>
      </c>
      <c r="B329" s="9" t="s">
        <v>2407</v>
      </c>
      <c r="C329" s="9" t="s">
        <v>10</v>
      </c>
      <c r="D329" s="9" t="s">
        <v>1121</v>
      </c>
      <c r="E329" s="9"/>
    </row>
    <row r="330" customFormat="false" ht="15" hidden="false" customHeight="false" outlineLevel="0" collapsed="false">
      <c r="A330" s="9" t="s">
        <v>2527</v>
      </c>
      <c r="B330" s="9" t="s">
        <v>2411</v>
      </c>
      <c r="C330" s="9" t="s">
        <v>10</v>
      </c>
      <c r="D330" s="9" t="s">
        <v>1121</v>
      </c>
      <c r="E330" s="9"/>
    </row>
    <row r="331" customFormat="false" ht="15" hidden="false" customHeight="false" outlineLevel="0" collapsed="false">
      <c r="A331" s="9" t="s">
        <v>2528</v>
      </c>
      <c r="B331" s="9" t="s">
        <v>2089</v>
      </c>
      <c r="C331" s="9" t="s">
        <v>10</v>
      </c>
      <c r="D331" s="9" t="s">
        <v>1121</v>
      </c>
      <c r="E331" s="10" t="s">
        <v>2015</v>
      </c>
    </row>
    <row r="332" customFormat="false" ht="15" hidden="false" customHeight="false" outlineLevel="0" collapsed="false">
      <c r="A332" s="9" t="s">
        <v>2529</v>
      </c>
      <c r="B332" s="9" t="s">
        <v>2530</v>
      </c>
      <c r="C332" s="9" t="s">
        <v>10</v>
      </c>
      <c r="D332" s="9" t="s">
        <v>1121</v>
      </c>
      <c r="E332" s="10" t="s">
        <v>2015</v>
      </c>
    </row>
    <row r="333" customFormat="false" ht="15" hidden="false" customHeight="false" outlineLevel="0" collapsed="false">
      <c r="A333" s="9" t="s">
        <v>2531</v>
      </c>
      <c r="B333" s="9" t="s">
        <v>2497</v>
      </c>
      <c r="C333" s="9" t="s">
        <v>10</v>
      </c>
      <c r="D333" s="9" t="s">
        <v>1121</v>
      </c>
      <c r="E333" s="10" t="s">
        <v>2015</v>
      </c>
    </row>
    <row r="334" customFormat="false" ht="15" hidden="false" customHeight="false" outlineLevel="0" collapsed="false">
      <c r="A334" s="9" t="s">
        <v>2532</v>
      </c>
      <c r="B334" s="9" t="s">
        <v>2533</v>
      </c>
      <c r="C334" s="9" t="s">
        <v>10</v>
      </c>
      <c r="D334" s="9" t="s">
        <v>2534</v>
      </c>
      <c r="E334" s="10" t="s">
        <v>2215</v>
      </c>
    </row>
    <row r="335" customFormat="false" ht="15" hidden="false" customHeight="false" outlineLevel="0" collapsed="false">
      <c r="A335" s="9" t="s">
        <v>2535</v>
      </c>
      <c r="B335" s="9" t="s">
        <v>2536</v>
      </c>
      <c r="C335" s="9" t="s">
        <v>10</v>
      </c>
      <c r="D335" s="9" t="s">
        <v>1124</v>
      </c>
      <c r="E335" s="9"/>
    </row>
    <row r="336" customFormat="false" ht="15" hidden="false" customHeight="false" outlineLevel="0" collapsed="false">
      <c r="A336" s="9" t="s">
        <v>2537</v>
      </c>
      <c r="B336" s="9" t="s">
        <v>2536</v>
      </c>
      <c r="C336" s="9" t="s">
        <v>10</v>
      </c>
      <c r="D336" s="9" t="s">
        <v>1129</v>
      </c>
      <c r="E336" s="9"/>
    </row>
    <row r="337" customFormat="false" ht="15" hidden="false" customHeight="false" outlineLevel="0" collapsed="false">
      <c r="A337" s="9" t="s">
        <v>2538</v>
      </c>
      <c r="B337" s="9" t="s">
        <v>2539</v>
      </c>
      <c r="C337" s="9" t="s">
        <v>10</v>
      </c>
      <c r="D337" s="9" t="s">
        <v>1130</v>
      </c>
      <c r="E337" s="9"/>
    </row>
    <row r="338" customFormat="false" ht="15" hidden="false" customHeight="false" outlineLevel="0" collapsed="false">
      <c r="A338" s="9" t="s">
        <v>2540</v>
      </c>
      <c r="B338" s="9" t="s">
        <v>2029</v>
      </c>
      <c r="C338" s="9" t="s">
        <v>10</v>
      </c>
      <c r="D338" s="9" t="s">
        <v>1133</v>
      </c>
      <c r="E338" s="9"/>
    </row>
    <row r="339" customFormat="false" ht="15" hidden="false" customHeight="false" outlineLevel="0" collapsed="false">
      <c r="A339" s="9" t="s">
        <v>2541</v>
      </c>
      <c r="B339" s="9" t="s">
        <v>2542</v>
      </c>
      <c r="C339" s="9" t="s">
        <v>10</v>
      </c>
      <c r="D339" s="9" t="s">
        <v>1134</v>
      </c>
      <c r="E339" s="9"/>
    </row>
    <row r="340" customFormat="false" ht="15" hidden="false" customHeight="false" outlineLevel="0" collapsed="false">
      <c r="A340" s="9" t="s">
        <v>2543</v>
      </c>
      <c r="B340" s="9" t="s">
        <v>2544</v>
      </c>
      <c r="C340" s="9" t="s">
        <v>10</v>
      </c>
      <c r="D340" s="9" t="s">
        <v>1137</v>
      </c>
      <c r="E340" s="9"/>
    </row>
    <row r="341" customFormat="false" ht="15" hidden="false" customHeight="false" outlineLevel="0" collapsed="false">
      <c r="A341" s="9" t="s">
        <v>2545</v>
      </c>
      <c r="B341" s="9" t="s">
        <v>2546</v>
      </c>
      <c r="C341" s="9" t="s">
        <v>10</v>
      </c>
      <c r="D341" s="9" t="s">
        <v>1138</v>
      </c>
      <c r="E341" s="9"/>
    </row>
    <row r="342" customFormat="false" ht="15" hidden="false" customHeight="false" outlineLevel="0" collapsed="false">
      <c r="A342" s="9" t="s">
        <v>2547</v>
      </c>
      <c r="B342" s="9" t="s">
        <v>2548</v>
      </c>
      <c r="C342" s="9" t="s">
        <v>10</v>
      </c>
      <c r="D342" s="9" t="s">
        <v>1141</v>
      </c>
      <c r="E342" s="9"/>
    </row>
    <row r="343" customFormat="false" ht="15" hidden="false" customHeight="false" outlineLevel="0" collapsed="false">
      <c r="A343" s="9" t="s">
        <v>2549</v>
      </c>
      <c r="B343" s="9" t="s">
        <v>2550</v>
      </c>
      <c r="C343" s="9" t="s">
        <v>10</v>
      </c>
      <c r="D343" s="9" t="s">
        <v>1142</v>
      </c>
      <c r="E343" s="9"/>
    </row>
    <row r="344" customFormat="false" ht="15" hidden="false" customHeight="false" outlineLevel="0" collapsed="false">
      <c r="A344" s="9" t="s">
        <v>2551</v>
      </c>
      <c r="B344" s="9" t="s">
        <v>2552</v>
      </c>
      <c r="C344" s="9" t="s">
        <v>10</v>
      </c>
      <c r="D344" s="9" t="s">
        <v>1145</v>
      </c>
      <c r="E344" s="9"/>
    </row>
    <row r="345" customFormat="false" ht="15" hidden="false" customHeight="false" outlineLevel="0" collapsed="false">
      <c r="A345" s="9" t="s">
        <v>2553</v>
      </c>
      <c r="B345" s="9" t="s">
        <v>2089</v>
      </c>
      <c r="C345" s="9" t="s">
        <v>10</v>
      </c>
      <c r="D345" s="9" t="s">
        <v>2554</v>
      </c>
      <c r="E345" s="10" t="s">
        <v>2015</v>
      </c>
    </row>
    <row r="346" customFormat="false" ht="15" hidden="false" customHeight="false" outlineLevel="0" collapsed="false">
      <c r="A346" s="9" t="s">
        <v>2555</v>
      </c>
      <c r="B346" s="9" t="s">
        <v>2556</v>
      </c>
      <c r="C346" s="9" t="s">
        <v>10</v>
      </c>
      <c r="D346" s="9" t="s">
        <v>2554</v>
      </c>
      <c r="E346" s="10" t="s">
        <v>2015</v>
      </c>
    </row>
    <row r="347" customFormat="false" ht="15" hidden="false" customHeight="false" outlineLevel="0" collapsed="false">
      <c r="A347" s="9" t="s">
        <v>2557</v>
      </c>
      <c r="B347" s="9" t="s">
        <v>2071</v>
      </c>
      <c r="C347" s="9" t="s">
        <v>10</v>
      </c>
      <c r="D347" s="9" t="s">
        <v>2554</v>
      </c>
      <c r="E347" s="10" t="s">
        <v>2015</v>
      </c>
    </row>
    <row r="348" customFormat="false" ht="15" hidden="false" customHeight="false" outlineLevel="0" collapsed="false">
      <c r="A348" s="9" t="s">
        <v>2558</v>
      </c>
      <c r="B348" s="9" t="s">
        <v>2559</v>
      </c>
      <c r="C348" s="9" t="s">
        <v>10</v>
      </c>
      <c r="D348" s="9" t="s">
        <v>2560</v>
      </c>
      <c r="E348" s="10" t="s">
        <v>2215</v>
      </c>
    </row>
    <row r="349" customFormat="false" ht="15" hidden="false" customHeight="false" outlineLevel="0" collapsed="false">
      <c r="A349" s="9" t="s">
        <v>2561</v>
      </c>
      <c r="B349" s="9" t="s">
        <v>2121</v>
      </c>
      <c r="C349" s="9" t="s">
        <v>10</v>
      </c>
      <c r="D349" s="9" t="s">
        <v>1146</v>
      </c>
      <c r="E349" s="9"/>
    </row>
    <row r="350" customFormat="false" ht="15" hidden="false" customHeight="false" outlineLevel="0" collapsed="false">
      <c r="A350" s="9" t="s">
        <v>2562</v>
      </c>
      <c r="B350" s="9" t="s">
        <v>2563</v>
      </c>
      <c r="C350" s="9" t="s">
        <v>10</v>
      </c>
      <c r="D350" s="9" t="s">
        <v>1149</v>
      </c>
      <c r="E350" s="9"/>
    </row>
    <row r="351" customFormat="false" ht="15" hidden="false" customHeight="false" outlineLevel="0" collapsed="false">
      <c r="A351" s="9" t="s">
        <v>2564</v>
      </c>
      <c r="B351" s="9" t="s">
        <v>2457</v>
      </c>
      <c r="C351" s="9" t="s">
        <v>10</v>
      </c>
      <c r="D351" s="9" t="s">
        <v>1150</v>
      </c>
      <c r="E351" s="9"/>
    </row>
    <row r="352" customFormat="false" ht="15" hidden="false" customHeight="false" outlineLevel="0" collapsed="false">
      <c r="A352" s="9" t="s">
        <v>2565</v>
      </c>
      <c r="B352" s="9" t="s">
        <v>2566</v>
      </c>
      <c r="C352" s="9" t="s">
        <v>10</v>
      </c>
      <c r="D352" s="9" t="s">
        <v>1153</v>
      </c>
      <c r="E352" s="9"/>
    </row>
    <row r="353" customFormat="false" ht="15" hidden="false" customHeight="false" outlineLevel="0" collapsed="false">
      <c r="A353" s="9" t="s">
        <v>2567</v>
      </c>
      <c r="B353" s="9" t="s">
        <v>2158</v>
      </c>
      <c r="C353" s="9" t="s">
        <v>10</v>
      </c>
      <c r="D353" s="9" t="s">
        <v>1154</v>
      </c>
      <c r="E353" s="9"/>
    </row>
    <row r="354" customFormat="false" ht="15" hidden="false" customHeight="false" outlineLevel="0" collapsed="false">
      <c r="A354" s="9" t="s">
        <v>2568</v>
      </c>
      <c r="B354" s="9" t="s">
        <v>2569</v>
      </c>
      <c r="C354" s="9" t="s">
        <v>10</v>
      </c>
      <c r="D354" s="9" t="s">
        <v>1157</v>
      </c>
      <c r="E354" s="9"/>
    </row>
    <row r="355" customFormat="false" ht="15" hidden="false" customHeight="false" outlineLevel="0" collapsed="false">
      <c r="A355" s="9" t="s">
        <v>2570</v>
      </c>
      <c r="B355" s="9" t="s">
        <v>2115</v>
      </c>
      <c r="C355" s="9" t="s">
        <v>10</v>
      </c>
      <c r="D355" s="9" t="s">
        <v>1158</v>
      </c>
      <c r="E355" s="9"/>
    </row>
    <row r="356" customFormat="false" ht="15" hidden="false" customHeight="false" outlineLevel="0" collapsed="false">
      <c r="A356" s="9" t="s">
        <v>2571</v>
      </c>
      <c r="B356" s="9" t="s">
        <v>2572</v>
      </c>
      <c r="C356" s="9" t="s">
        <v>10</v>
      </c>
      <c r="D356" s="9" t="s">
        <v>1161</v>
      </c>
      <c r="E356" s="9"/>
    </row>
    <row r="357" customFormat="false" ht="15" hidden="false" customHeight="false" outlineLevel="0" collapsed="false">
      <c r="A357" s="9" t="s">
        <v>2573</v>
      </c>
      <c r="B357" s="9" t="s">
        <v>2158</v>
      </c>
      <c r="C357" s="9" t="s">
        <v>10</v>
      </c>
      <c r="D357" s="9" t="s">
        <v>1162</v>
      </c>
      <c r="E357" s="9"/>
    </row>
    <row r="358" customFormat="false" ht="15" hidden="false" customHeight="false" outlineLevel="0" collapsed="false">
      <c r="A358" s="9" t="s">
        <v>2574</v>
      </c>
      <c r="B358" s="9" t="s">
        <v>2575</v>
      </c>
      <c r="C358" s="9" t="s">
        <v>10</v>
      </c>
      <c r="D358" s="9" t="s">
        <v>1165</v>
      </c>
      <c r="E358" s="9"/>
    </row>
    <row r="359" customFormat="false" ht="15" hidden="false" customHeight="false" outlineLevel="0" collapsed="false">
      <c r="A359" s="9" t="s">
        <v>2576</v>
      </c>
      <c r="B359" s="9" t="s">
        <v>2089</v>
      </c>
      <c r="C359" s="9" t="s">
        <v>10</v>
      </c>
      <c r="D359" s="9" t="s">
        <v>2577</v>
      </c>
      <c r="E359" s="10" t="s">
        <v>2015</v>
      </c>
    </row>
    <row r="360" customFormat="false" ht="15" hidden="false" customHeight="false" outlineLevel="0" collapsed="false">
      <c r="A360" s="9" t="s">
        <v>2578</v>
      </c>
      <c r="B360" s="9" t="s">
        <v>2579</v>
      </c>
      <c r="C360" s="9" t="s">
        <v>10</v>
      </c>
      <c r="D360" s="9" t="s">
        <v>2577</v>
      </c>
      <c r="E360" s="10" t="s">
        <v>2015</v>
      </c>
    </row>
    <row r="361" customFormat="false" ht="15" hidden="false" customHeight="false" outlineLevel="0" collapsed="false">
      <c r="A361" s="9" t="s">
        <v>2580</v>
      </c>
      <c r="B361" s="9" t="s">
        <v>2071</v>
      </c>
      <c r="C361" s="9" t="s">
        <v>10</v>
      </c>
      <c r="D361" s="9" t="s">
        <v>2577</v>
      </c>
      <c r="E361" s="10" t="s">
        <v>2015</v>
      </c>
    </row>
    <row r="362" customFormat="false" ht="15" hidden="false" customHeight="false" outlineLevel="0" collapsed="false">
      <c r="A362" s="9" t="s">
        <v>2581</v>
      </c>
      <c r="B362" s="9" t="s">
        <v>2125</v>
      </c>
      <c r="C362" s="9" t="s">
        <v>10</v>
      </c>
      <c r="D362" s="9" t="s">
        <v>1166</v>
      </c>
      <c r="E362" s="9"/>
    </row>
    <row r="363" customFormat="false" ht="15" hidden="false" customHeight="false" outlineLevel="0" collapsed="false">
      <c r="A363" s="9" t="s">
        <v>2582</v>
      </c>
      <c r="B363" s="9" t="s">
        <v>2583</v>
      </c>
      <c r="C363" s="9" t="s">
        <v>10</v>
      </c>
      <c r="D363" s="9" t="s">
        <v>1166</v>
      </c>
      <c r="E363" s="9"/>
    </row>
    <row r="364" customFormat="false" ht="15" hidden="false" customHeight="false" outlineLevel="0" collapsed="false">
      <c r="A364" s="9" t="s">
        <v>2584</v>
      </c>
      <c r="B364" s="9" t="s">
        <v>2073</v>
      </c>
      <c r="C364" s="9" t="s">
        <v>10</v>
      </c>
      <c r="D364" s="9" t="s">
        <v>1166</v>
      </c>
      <c r="E364" s="9"/>
    </row>
    <row r="365" customFormat="false" ht="15" hidden="false" customHeight="false" outlineLevel="0" collapsed="false">
      <c r="A365" s="9" t="s">
        <v>2585</v>
      </c>
      <c r="B365" s="9" t="s">
        <v>2089</v>
      </c>
      <c r="C365" s="9" t="s">
        <v>10</v>
      </c>
      <c r="D365" s="9" t="s">
        <v>1166</v>
      </c>
      <c r="E365" s="10" t="s">
        <v>2015</v>
      </c>
    </row>
    <row r="366" customFormat="false" ht="15" hidden="false" customHeight="false" outlineLevel="0" collapsed="false">
      <c r="A366" s="9" t="s">
        <v>2586</v>
      </c>
      <c r="B366" s="9" t="s">
        <v>2240</v>
      </c>
      <c r="C366" s="9" t="s">
        <v>10</v>
      </c>
      <c r="D366" s="9" t="s">
        <v>1169</v>
      </c>
      <c r="E366" s="9"/>
    </row>
    <row r="367" customFormat="false" ht="15" hidden="false" customHeight="false" outlineLevel="0" collapsed="false">
      <c r="A367" s="9" t="s">
        <v>2587</v>
      </c>
      <c r="B367" s="9" t="s">
        <v>2125</v>
      </c>
      <c r="C367" s="9" t="s">
        <v>10</v>
      </c>
      <c r="D367" s="9" t="s">
        <v>1169</v>
      </c>
      <c r="E367" s="9"/>
    </row>
    <row r="368" customFormat="false" ht="15" hidden="false" customHeight="false" outlineLevel="0" collapsed="false">
      <c r="A368" s="9" t="s">
        <v>2588</v>
      </c>
      <c r="B368" s="9" t="s">
        <v>2242</v>
      </c>
      <c r="C368" s="9" t="s">
        <v>10</v>
      </c>
      <c r="D368" s="9" t="s">
        <v>1169</v>
      </c>
      <c r="E368" s="9"/>
    </row>
    <row r="369" customFormat="false" ht="15" hidden="false" customHeight="false" outlineLevel="0" collapsed="false">
      <c r="A369" s="9" t="s">
        <v>2589</v>
      </c>
      <c r="B369" s="9" t="s">
        <v>2089</v>
      </c>
      <c r="C369" s="9" t="s">
        <v>10</v>
      </c>
      <c r="D369" s="9" t="s">
        <v>1169</v>
      </c>
      <c r="E369" s="10" t="s">
        <v>2015</v>
      </c>
    </row>
    <row r="370" customFormat="false" ht="15" hidden="false" customHeight="false" outlineLevel="0" collapsed="false">
      <c r="A370" s="9" t="s">
        <v>2590</v>
      </c>
      <c r="B370" s="9" t="s">
        <v>2103</v>
      </c>
      <c r="C370" s="9" t="s">
        <v>10</v>
      </c>
      <c r="D370" s="9" t="s">
        <v>1039</v>
      </c>
      <c r="E370" s="9"/>
    </row>
    <row r="371" customFormat="false" ht="15" hidden="false" customHeight="false" outlineLevel="0" collapsed="false">
      <c r="A371" s="9" t="s">
        <v>2591</v>
      </c>
      <c r="B371" s="9" t="s">
        <v>2103</v>
      </c>
      <c r="C371" s="9" t="s">
        <v>10</v>
      </c>
      <c r="D371" s="9" t="s">
        <v>1045</v>
      </c>
      <c r="E371" s="9"/>
    </row>
    <row r="372" customFormat="false" ht="15" hidden="false" customHeight="false" outlineLevel="0" collapsed="false">
      <c r="A372" s="9" t="s">
        <v>2592</v>
      </c>
      <c r="B372" s="9" t="s">
        <v>2101</v>
      </c>
      <c r="C372" s="9" t="s">
        <v>10</v>
      </c>
      <c r="D372" s="9" t="s">
        <v>1048</v>
      </c>
      <c r="E372" s="9"/>
    </row>
    <row r="373" customFormat="false" ht="15" hidden="false" customHeight="false" outlineLevel="0" collapsed="false">
      <c r="A373" s="9" t="s">
        <v>2593</v>
      </c>
      <c r="B373" s="9" t="s">
        <v>2098</v>
      </c>
      <c r="C373" s="9" t="s">
        <v>10</v>
      </c>
      <c r="D373" s="9" t="s">
        <v>1052</v>
      </c>
      <c r="E373" s="9"/>
    </row>
    <row r="374" customFormat="false" ht="15" hidden="false" customHeight="false" outlineLevel="0" collapsed="false">
      <c r="A374" s="9" t="s">
        <v>2594</v>
      </c>
      <c r="B374" s="9" t="s">
        <v>2101</v>
      </c>
      <c r="C374" s="9" t="s">
        <v>10</v>
      </c>
      <c r="D374" s="9" t="s">
        <v>1056</v>
      </c>
      <c r="E374" s="9"/>
    </row>
    <row r="375" customFormat="false" ht="15" hidden="false" customHeight="false" outlineLevel="0" collapsed="false">
      <c r="A375" s="9" t="s">
        <v>2595</v>
      </c>
      <c r="B375" s="9" t="s">
        <v>2089</v>
      </c>
      <c r="C375" s="9" t="s">
        <v>10</v>
      </c>
      <c r="D375" s="9" t="s">
        <v>2596</v>
      </c>
      <c r="E375" s="10" t="s">
        <v>2015</v>
      </c>
    </row>
    <row r="376" customFormat="false" ht="15" hidden="false" customHeight="false" outlineLevel="0" collapsed="false">
      <c r="A376" s="9" t="s">
        <v>2597</v>
      </c>
      <c r="B376" s="9" t="s">
        <v>2598</v>
      </c>
      <c r="C376" s="9" t="s">
        <v>10</v>
      </c>
      <c r="D376" s="9" t="s">
        <v>2596</v>
      </c>
      <c r="E376" s="10" t="s">
        <v>2015</v>
      </c>
    </row>
    <row r="377" customFormat="false" ht="15" hidden="false" customHeight="false" outlineLevel="0" collapsed="false">
      <c r="A377" s="9" t="s">
        <v>2599</v>
      </c>
      <c r="B377" s="9" t="s">
        <v>2600</v>
      </c>
      <c r="C377" s="9" t="s">
        <v>6</v>
      </c>
      <c r="D377" s="9" t="s">
        <v>244</v>
      </c>
      <c r="E377" s="10" t="s">
        <v>2015</v>
      </c>
    </row>
    <row r="378" customFormat="false" ht="15" hidden="false" customHeight="false" outlineLevel="0" collapsed="false">
      <c r="A378" s="9" t="s">
        <v>2601</v>
      </c>
      <c r="B378" s="9" t="s">
        <v>2602</v>
      </c>
      <c r="C378" s="9" t="s">
        <v>6</v>
      </c>
      <c r="D378" s="9" t="s">
        <v>244</v>
      </c>
      <c r="E378" s="9"/>
    </row>
    <row r="379" customFormat="false" ht="15" hidden="false" customHeight="false" outlineLevel="0" collapsed="false">
      <c r="A379" s="9" t="s">
        <v>2603</v>
      </c>
      <c r="B379" s="9" t="s">
        <v>2014</v>
      </c>
      <c r="C379" s="9" t="s">
        <v>6</v>
      </c>
      <c r="D379" s="9" t="s">
        <v>244</v>
      </c>
      <c r="E379" s="10" t="s">
        <v>2015</v>
      </c>
    </row>
    <row r="380" customFormat="false" ht="15" hidden="false" customHeight="false" outlineLevel="0" collapsed="false">
      <c r="A380" s="9" t="s">
        <v>2604</v>
      </c>
      <c r="B380" s="9" t="s">
        <v>2605</v>
      </c>
      <c r="C380" s="9" t="s">
        <v>6</v>
      </c>
      <c r="D380" s="9" t="s">
        <v>244</v>
      </c>
      <c r="E380" s="10" t="s">
        <v>2015</v>
      </c>
    </row>
    <row r="381" customFormat="false" ht="15" hidden="false" customHeight="false" outlineLevel="0" collapsed="false">
      <c r="A381" s="9" t="s">
        <v>2606</v>
      </c>
      <c r="B381" s="9" t="s">
        <v>2403</v>
      </c>
      <c r="C381" s="9" t="s">
        <v>6</v>
      </c>
      <c r="D381" s="9" t="s">
        <v>244</v>
      </c>
      <c r="E381" s="10" t="s">
        <v>2015</v>
      </c>
    </row>
    <row r="382" customFormat="false" ht="15" hidden="false" customHeight="false" outlineLevel="0" collapsed="false">
      <c r="A382" s="9" t="s">
        <v>2607</v>
      </c>
      <c r="B382" s="9" t="s">
        <v>2608</v>
      </c>
      <c r="C382" s="9" t="s">
        <v>6</v>
      </c>
      <c r="D382" s="9" t="s">
        <v>254</v>
      </c>
      <c r="E382" s="9"/>
    </row>
    <row r="383" customFormat="false" ht="15" hidden="false" customHeight="false" outlineLevel="0" collapsed="false">
      <c r="A383" s="9" t="s">
        <v>2609</v>
      </c>
      <c r="B383" s="9" t="s">
        <v>2014</v>
      </c>
      <c r="C383" s="9" t="s">
        <v>6</v>
      </c>
      <c r="D383" s="9" t="s">
        <v>254</v>
      </c>
      <c r="E383" s="10" t="s">
        <v>2015</v>
      </c>
    </row>
    <row r="384" customFormat="false" ht="15" hidden="false" customHeight="false" outlineLevel="0" collapsed="false">
      <c r="A384" s="9" t="s">
        <v>2610</v>
      </c>
      <c r="B384" s="9" t="s">
        <v>2611</v>
      </c>
      <c r="C384" s="9" t="s">
        <v>6</v>
      </c>
      <c r="D384" s="9" t="s">
        <v>254</v>
      </c>
      <c r="E384" s="10" t="s">
        <v>2015</v>
      </c>
    </row>
    <row r="385" customFormat="false" ht="15" hidden="false" customHeight="false" outlineLevel="0" collapsed="false">
      <c r="A385" s="9" t="s">
        <v>2612</v>
      </c>
      <c r="B385" s="9" t="s">
        <v>2403</v>
      </c>
      <c r="C385" s="9" t="s">
        <v>6</v>
      </c>
      <c r="D385" s="9" t="s">
        <v>254</v>
      </c>
      <c r="E385" s="10" t="s">
        <v>2015</v>
      </c>
    </row>
    <row r="386" customFormat="false" ht="15" hidden="false" customHeight="false" outlineLevel="0" collapsed="false">
      <c r="A386" s="9" t="s">
        <v>2613</v>
      </c>
      <c r="B386" s="9" t="s">
        <v>2614</v>
      </c>
      <c r="C386" s="9" t="s">
        <v>10</v>
      </c>
      <c r="D386" s="9" t="s">
        <v>927</v>
      </c>
      <c r="E386" s="9"/>
    </row>
    <row r="387" customFormat="false" ht="15" hidden="false" customHeight="false" outlineLevel="0" collapsed="false">
      <c r="A387" s="9" t="s">
        <v>2615</v>
      </c>
      <c r="B387" s="9" t="s">
        <v>2252</v>
      </c>
      <c r="C387" s="9" t="s">
        <v>10</v>
      </c>
      <c r="D387" s="9" t="s">
        <v>932</v>
      </c>
      <c r="E387" s="9"/>
    </row>
    <row r="388" customFormat="false" ht="15" hidden="false" customHeight="false" outlineLevel="0" collapsed="false">
      <c r="A388" s="9" t="s">
        <v>2616</v>
      </c>
      <c r="B388" s="9" t="s">
        <v>2179</v>
      </c>
      <c r="C388" s="9" t="s">
        <v>10</v>
      </c>
      <c r="D388" s="9" t="s">
        <v>935</v>
      </c>
      <c r="E388" s="9"/>
    </row>
    <row r="389" customFormat="false" ht="15" hidden="false" customHeight="false" outlineLevel="0" collapsed="false">
      <c r="A389" s="9" t="s">
        <v>2617</v>
      </c>
      <c r="B389" s="9" t="s">
        <v>2342</v>
      </c>
      <c r="C389" s="9" t="s">
        <v>10</v>
      </c>
      <c r="D389" s="9" t="s">
        <v>935</v>
      </c>
      <c r="E389" s="10" t="s">
        <v>2015</v>
      </c>
    </row>
    <row r="390" customFormat="false" ht="15" hidden="false" customHeight="false" outlineLevel="0" collapsed="false">
      <c r="A390" s="9" t="s">
        <v>2618</v>
      </c>
      <c r="B390" s="9" t="s">
        <v>2619</v>
      </c>
      <c r="C390" s="9" t="s">
        <v>10</v>
      </c>
      <c r="D390" s="9" t="s">
        <v>935</v>
      </c>
      <c r="E390" s="10" t="s">
        <v>2015</v>
      </c>
    </row>
    <row r="391" customFormat="false" ht="15" hidden="false" customHeight="false" outlineLevel="0" collapsed="false">
      <c r="A391" s="9" t="s">
        <v>2620</v>
      </c>
      <c r="B391" s="9" t="s">
        <v>2621</v>
      </c>
      <c r="C391" s="9" t="s">
        <v>10</v>
      </c>
      <c r="D391" s="9" t="s">
        <v>2622</v>
      </c>
      <c r="E391" s="10" t="s">
        <v>2623</v>
      </c>
    </row>
    <row r="392" customFormat="false" ht="15" hidden="false" customHeight="false" outlineLevel="0" collapsed="false">
      <c r="A392" s="9" t="s">
        <v>2624</v>
      </c>
      <c r="B392" s="9" t="s">
        <v>2346</v>
      </c>
      <c r="C392" s="10" t="s">
        <v>1986</v>
      </c>
      <c r="D392" s="9" t="s">
        <v>59</v>
      </c>
      <c r="E392" s="10" t="s">
        <v>2625</v>
      </c>
    </row>
    <row r="393" customFormat="false" ht="15" hidden="false" customHeight="false" outlineLevel="0" collapsed="false">
      <c r="A393" s="9" t="s">
        <v>2626</v>
      </c>
      <c r="B393" s="9" t="s">
        <v>2349</v>
      </c>
      <c r="C393" s="10" t="s">
        <v>1986</v>
      </c>
      <c r="D393" s="9" t="s">
        <v>59</v>
      </c>
      <c r="E393" s="10" t="s">
        <v>2625</v>
      </c>
    </row>
    <row r="394" customFormat="false" ht="15" hidden="false" customHeight="false" outlineLevel="0" collapsed="false">
      <c r="A394" s="9" t="s">
        <v>2627</v>
      </c>
      <c r="B394" s="9" t="s">
        <v>2093</v>
      </c>
      <c r="C394" s="9" t="s">
        <v>10</v>
      </c>
      <c r="D394" s="9" t="s">
        <v>1173</v>
      </c>
      <c r="E394" s="9"/>
    </row>
    <row r="395" customFormat="false" ht="15" hidden="false" customHeight="false" outlineLevel="0" collapsed="false">
      <c r="A395" s="9" t="s">
        <v>2628</v>
      </c>
      <c r="B395" s="9" t="s">
        <v>2242</v>
      </c>
      <c r="C395" s="9" t="s">
        <v>10</v>
      </c>
      <c r="D395" s="9" t="s">
        <v>1178</v>
      </c>
      <c r="E395" s="9"/>
    </row>
    <row r="396" customFormat="false" ht="15" hidden="false" customHeight="false" outlineLevel="0" collapsed="false">
      <c r="A396" s="9" t="s">
        <v>2629</v>
      </c>
      <c r="B396" s="9" t="s">
        <v>2254</v>
      </c>
      <c r="C396" s="9" t="s">
        <v>10</v>
      </c>
      <c r="D396" s="9" t="s">
        <v>1179</v>
      </c>
      <c r="E396" s="9"/>
    </row>
    <row r="397" customFormat="false" ht="15" hidden="false" customHeight="false" outlineLevel="0" collapsed="false">
      <c r="A397" s="9" t="s">
        <v>2630</v>
      </c>
      <c r="B397" s="9" t="s">
        <v>2176</v>
      </c>
      <c r="C397" s="9" t="s">
        <v>10</v>
      </c>
      <c r="D397" s="9" t="s">
        <v>1180</v>
      </c>
      <c r="E397" s="9"/>
    </row>
    <row r="398" customFormat="false" ht="15" hidden="false" customHeight="false" outlineLevel="0" collapsed="false">
      <c r="A398" s="9" t="s">
        <v>2631</v>
      </c>
      <c r="B398" s="9" t="s">
        <v>2250</v>
      </c>
      <c r="C398" s="9" t="s">
        <v>10</v>
      </c>
      <c r="D398" s="9" t="s">
        <v>1181</v>
      </c>
      <c r="E398" s="9"/>
    </row>
    <row r="399" customFormat="false" ht="15" hidden="false" customHeight="false" outlineLevel="0" collapsed="false">
      <c r="A399" s="9" t="s">
        <v>2632</v>
      </c>
      <c r="B399" s="9" t="s">
        <v>2129</v>
      </c>
      <c r="C399" s="9" t="s">
        <v>10</v>
      </c>
      <c r="D399" s="9" t="s">
        <v>1182</v>
      </c>
      <c r="E399" s="9"/>
    </row>
    <row r="400" customFormat="false" ht="15" hidden="false" customHeight="false" outlineLevel="0" collapsed="false">
      <c r="A400" s="9" t="s">
        <v>2633</v>
      </c>
      <c r="B400" s="9" t="s">
        <v>2093</v>
      </c>
      <c r="C400" s="9" t="s">
        <v>10</v>
      </c>
      <c r="D400" s="9" t="s">
        <v>1173</v>
      </c>
      <c r="E400" s="9"/>
    </row>
    <row r="401" customFormat="false" ht="15" hidden="false" customHeight="false" outlineLevel="0" collapsed="false">
      <c r="A401" s="9" t="s">
        <v>2634</v>
      </c>
      <c r="B401" s="9" t="s">
        <v>2240</v>
      </c>
      <c r="C401" s="9" t="s">
        <v>10</v>
      </c>
      <c r="D401" s="9" t="s">
        <v>1178</v>
      </c>
      <c r="E401" s="9"/>
    </row>
    <row r="402" customFormat="false" ht="15" hidden="false" customHeight="false" outlineLevel="0" collapsed="false">
      <c r="A402" s="9" t="s">
        <v>2635</v>
      </c>
      <c r="B402" s="9" t="s">
        <v>2242</v>
      </c>
      <c r="C402" s="9" t="s">
        <v>10</v>
      </c>
      <c r="D402" s="9" t="s">
        <v>1179</v>
      </c>
      <c r="E402" s="9"/>
    </row>
    <row r="403" customFormat="false" ht="15" hidden="false" customHeight="false" outlineLevel="0" collapsed="false">
      <c r="A403" s="9" t="s">
        <v>2636</v>
      </c>
      <c r="B403" s="9" t="s">
        <v>2252</v>
      </c>
      <c r="C403" s="9" t="s">
        <v>10</v>
      </c>
      <c r="D403" s="9" t="s">
        <v>1180</v>
      </c>
      <c r="E403" s="9"/>
    </row>
    <row r="404" customFormat="false" ht="15" hidden="false" customHeight="false" outlineLevel="0" collapsed="false">
      <c r="A404" s="9" t="s">
        <v>2637</v>
      </c>
      <c r="B404" s="9" t="s">
        <v>2252</v>
      </c>
      <c r="C404" s="9" t="s">
        <v>10</v>
      </c>
      <c r="D404" s="9" t="s">
        <v>1181</v>
      </c>
      <c r="E404" s="9"/>
    </row>
    <row r="405" customFormat="false" ht="15" hidden="false" customHeight="false" outlineLevel="0" collapsed="false">
      <c r="A405" s="9" t="s">
        <v>2638</v>
      </c>
      <c r="B405" s="9" t="s">
        <v>2254</v>
      </c>
      <c r="C405" s="9" t="s">
        <v>10</v>
      </c>
      <c r="D405" s="9" t="s">
        <v>1182</v>
      </c>
      <c r="E405" s="9"/>
    </row>
    <row r="406" customFormat="false" ht="15" hidden="false" customHeight="false" outlineLevel="0" collapsed="false">
      <c r="A406" s="9" t="s">
        <v>2639</v>
      </c>
      <c r="B406" s="9" t="s">
        <v>2093</v>
      </c>
      <c r="C406" s="9" t="s">
        <v>10</v>
      </c>
      <c r="D406" s="9" t="s">
        <v>1173</v>
      </c>
      <c r="E406" s="9"/>
    </row>
    <row r="407" customFormat="false" ht="15" hidden="false" customHeight="false" outlineLevel="0" collapsed="false">
      <c r="A407" s="9" t="s">
        <v>2640</v>
      </c>
      <c r="B407" s="9" t="s">
        <v>2254</v>
      </c>
      <c r="C407" s="9" t="s">
        <v>10</v>
      </c>
      <c r="D407" s="9" t="s">
        <v>1178</v>
      </c>
      <c r="E407" s="9"/>
    </row>
    <row r="408" customFormat="false" ht="15" hidden="false" customHeight="false" outlineLevel="0" collapsed="false">
      <c r="A408" s="9" t="s">
        <v>2641</v>
      </c>
      <c r="B408" s="9" t="s">
        <v>2129</v>
      </c>
      <c r="C408" s="9" t="s">
        <v>10</v>
      </c>
      <c r="D408" s="9" t="s">
        <v>1179</v>
      </c>
      <c r="E408" s="9"/>
    </row>
    <row r="409" customFormat="false" ht="15" hidden="false" customHeight="false" outlineLevel="0" collapsed="false">
      <c r="A409" s="9" t="s">
        <v>2642</v>
      </c>
      <c r="B409" s="9" t="s">
        <v>2044</v>
      </c>
      <c r="C409" s="9" t="s">
        <v>10</v>
      </c>
      <c r="D409" s="9" t="s">
        <v>1180</v>
      </c>
      <c r="E409" s="9"/>
    </row>
    <row r="410" customFormat="false" ht="15" hidden="false" customHeight="false" outlineLevel="0" collapsed="false">
      <c r="A410" s="9" t="s">
        <v>2643</v>
      </c>
      <c r="B410" s="9" t="s">
        <v>2644</v>
      </c>
      <c r="C410" s="9" t="s">
        <v>10</v>
      </c>
      <c r="D410" s="9" t="s">
        <v>1181</v>
      </c>
      <c r="E410" s="9"/>
    </row>
    <row r="411" customFormat="false" ht="15" hidden="false" customHeight="false" outlineLevel="0" collapsed="false">
      <c r="A411" s="9" t="s">
        <v>2645</v>
      </c>
      <c r="B411" s="9" t="s">
        <v>2482</v>
      </c>
      <c r="C411" s="9" t="s">
        <v>10</v>
      </c>
      <c r="D411" s="9" t="s">
        <v>1182</v>
      </c>
      <c r="E411" s="9"/>
    </row>
    <row r="412" customFormat="false" ht="15" hidden="false" customHeight="false" outlineLevel="0" collapsed="false">
      <c r="A412" s="9" t="s">
        <v>2646</v>
      </c>
      <c r="B412" s="9" t="s">
        <v>2089</v>
      </c>
      <c r="C412" s="9" t="s">
        <v>10</v>
      </c>
      <c r="D412" s="9" t="s">
        <v>1182</v>
      </c>
      <c r="E412" s="10" t="s">
        <v>2015</v>
      </c>
    </row>
    <row r="413" customFormat="false" ht="15" hidden="false" customHeight="false" outlineLevel="0" collapsed="false">
      <c r="A413" s="9" t="s">
        <v>2647</v>
      </c>
      <c r="B413" s="9" t="s">
        <v>2648</v>
      </c>
      <c r="C413" s="9" t="s">
        <v>10</v>
      </c>
      <c r="D413" s="9" t="s">
        <v>1182</v>
      </c>
      <c r="E413" s="10" t="s">
        <v>2015</v>
      </c>
    </row>
    <row r="414" customFormat="false" ht="15" hidden="false" customHeight="false" outlineLevel="0" collapsed="false">
      <c r="A414" s="9" t="s">
        <v>2649</v>
      </c>
      <c r="B414" s="9" t="s">
        <v>2093</v>
      </c>
      <c r="C414" s="9" t="s">
        <v>10</v>
      </c>
      <c r="D414" s="9" t="s">
        <v>1183</v>
      </c>
      <c r="E414" s="9"/>
    </row>
    <row r="415" customFormat="false" ht="15" hidden="false" customHeight="false" outlineLevel="0" collapsed="false">
      <c r="A415" s="9" t="s">
        <v>2650</v>
      </c>
      <c r="B415" s="9" t="s">
        <v>250</v>
      </c>
      <c r="C415" s="9" t="s">
        <v>10</v>
      </c>
      <c r="D415" s="9" t="s">
        <v>1188</v>
      </c>
      <c r="E415" s="9"/>
    </row>
    <row r="416" customFormat="false" ht="15" hidden="false" customHeight="false" outlineLevel="0" collapsed="false">
      <c r="A416" s="9" t="s">
        <v>2651</v>
      </c>
      <c r="B416" s="9" t="s">
        <v>2493</v>
      </c>
      <c r="C416" s="9" t="s">
        <v>10</v>
      </c>
      <c r="D416" s="9" t="s">
        <v>1189</v>
      </c>
      <c r="E416" s="9"/>
    </row>
    <row r="417" customFormat="false" ht="15" hidden="false" customHeight="false" outlineLevel="0" collapsed="false">
      <c r="A417" s="9" t="s">
        <v>2652</v>
      </c>
      <c r="B417" s="9" t="s">
        <v>2653</v>
      </c>
      <c r="C417" s="9" t="s">
        <v>10</v>
      </c>
      <c r="D417" s="9" t="s">
        <v>1190</v>
      </c>
      <c r="E417" s="9"/>
    </row>
    <row r="418" customFormat="false" ht="15" hidden="false" customHeight="false" outlineLevel="0" collapsed="false">
      <c r="A418" s="9" t="s">
        <v>2654</v>
      </c>
      <c r="B418" s="9" t="s">
        <v>2291</v>
      </c>
      <c r="C418" s="9" t="s">
        <v>10</v>
      </c>
      <c r="D418" s="9" t="s">
        <v>1191</v>
      </c>
      <c r="E418" s="9"/>
    </row>
    <row r="419" customFormat="false" ht="15" hidden="false" customHeight="false" outlineLevel="0" collapsed="false">
      <c r="A419" s="9" t="s">
        <v>2655</v>
      </c>
      <c r="B419" s="9" t="s">
        <v>2656</v>
      </c>
      <c r="C419" s="9" t="s">
        <v>10</v>
      </c>
      <c r="D419" s="9" t="s">
        <v>1192</v>
      </c>
      <c r="E419" s="9"/>
    </row>
    <row r="420" customFormat="false" ht="15" hidden="false" customHeight="false" outlineLevel="0" collapsed="false">
      <c r="A420" s="9" t="s">
        <v>2657</v>
      </c>
      <c r="B420" s="9" t="s">
        <v>2093</v>
      </c>
      <c r="C420" s="9" t="s">
        <v>10</v>
      </c>
      <c r="D420" s="9" t="s">
        <v>1183</v>
      </c>
      <c r="E420" s="9"/>
    </row>
    <row r="421" customFormat="false" ht="15" hidden="false" customHeight="false" outlineLevel="0" collapsed="false">
      <c r="A421" s="9" t="s">
        <v>2658</v>
      </c>
      <c r="B421" s="9" t="s">
        <v>2154</v>
      </c>
      <c r="C421" s="9" t="s">
        <v>10</v>
      </c>
      <c r="D421" s="9" t="s">
        <v>1188</v>
      </c>
      <c r="E421" s="9"/>
    </row>
    <row r="422" customFormat="false" ht="15" hidden="false" customHeight="false" outlineLevel="0" collapsed="false">
      <c r="A422" s="9" t="s">
        <v>2659</v>
      </c>
      <c r="B422" s="9" t="s">
        <v>61</v>
      </c>
      <c r="C422" s="9" t="s">
        <v>10</v>
      </c>
      <c r="D422" s="9" t="s">
        <v>1189</v>
      </c>
      <c r="E422" s="9"/>
    </row>
    <row r="423" customFormat="false" ht="15" hidden="false" customHeight="false" outlineLevel="0" collapsed="false">
      <c r="A423" s="9" t="s">
        <v>2660</v>
      </c>
      <c r="B423" s="9" t="s">
        <v>2148</v>
      </c>
      <c r="C423" s="9" t="s">
        <v>10</v>
      </c>
      <c r="D423" s="9" t="s">
        <v>1190</v>
      </c>
      <c r="E423" s="9"/>
    </row>
    <row r="424" customFormat="false" ht="15" hidden="false" customHeight="false" outlineLevel="0" collapsed="false">
      <c r="A424" s="9" t="s">
        <v>2661</v>
      </c>
      <c r="B424" s="9" t="s">
        <v>250</v>
      </c>
      <c r="C424" s="9" t="s">
        <v>10</v>
      </c>
      <c r="D424" s="9" t="s">
        <v>1191</v>
      </c>
      <c r="E424" s="9"/>
    </row>
    <row r="425" customFormat="false" ht="15" hidden="false" customHeight="false" outlineLevel="0" collapsed="false">
      <c r="A425" s="9" t="s">
        <v>2662</v>
      </c>
      <c r="B425" s="9" t="s">
        <v>2663</v>
      </c>
      <c r="C425" s="9" t="s">
        <v>10</v>
      </c>
      <c r="D425" s="9" t="s">
        <v>1192</v>
      </c>
      <c r="E425" s="9"/>
    </row>
    <row r="426" customFormat="false" ht="15" hidden="false" customHeight="false" outlineLevel="0" collapsed="false">
      <c r="A426" s="9" t="s">
        <v>2664</v>
      </c>
      <c r="B426" s="9" t="s">
        <v>2093</v>
      </c>
      <c r="C426" s="9" t="s">
        <v>10</v>
      </c>
      <c r="D426" s="9" t="s">
        <v>1183</v>
      </c>
      <c r="E426" s="9"/>
    </row>
    <row r="427" customFormat="false" ht="15" hidden="false" customHeight="false" outlineLevel="0" collapsed="false">
      <c r="A427" s="9" t="s">
        <v>2665</v>
      </c>
      <c r="B427" s="9" t="s">
        <v>2291</v>
      </c>
      <c r="C427" s="9" t="s">
        <v>10</v>
      </c>
      <c r="D427" s="9" t="s">
        <v>1188</v>
      </c>
      <c r="E427" s="9"/>
    </row>
    <row r="428" customFormat="false" ht="15" hidden="false" customHeight="false" outlineLevel="0" collapsed="false">
      <c r="A428" s="9" t="s">
        <v>2666</v>
      </c>
      <c r="B428" s="9" t="s">
        <v>2491</v>
      </c>
      <c r="C428" s="9" t="s">
        <v>10</v>
      </c>
      <c r="D428" s="9" t="s">
        <v>1189</v>
      </c>
      <c r="E428" s="9"/>
    </row>
    <row r="429" customFormat="false" ht="15" hidden="false" customHeight="false" outlineLevel="0" collapsed="false">
      <c r="A429" s="9" t="s">
        <v>2667</v>
      </c>
      <c r="B429" s="9" t="s">
        <v>2024</v>
      </c>
      <c r="C429" s="9" t="s">
        <v>10</v>
      </c>
      <c r="D429" s="9" t="s">
        <v>1190</v>
      </c>
      <c r="E429" s="9"/>
    </row>
    <row r="430" customFormat="false" ht="15" hidden="false" customHeight="false" outlineLevel="0" collapsed="false">
      <c r="A430" s="9" t="s">
        <v>2668</v>
      </c>
      <c r="B430" s="9" t="s">
        <v>2608</v>
      </c>
      <c r="C430" s="9" t="s">
        <v>10</v>
      </c>
      <c r="D430" s="9" t="s">
        <v>1191</v>
      </c>
      <c r="E430" s="9"/>
    </row>
    <row r="431" customFormat="false" ht="15" hidden="false" customHeight="false" outlineLevel="0" collapsed="false">
      <c r="A431" s="9" t="s">
        <v>2669</v>
      </c>
      <c r="B431" s="9" t="s">
        <v>2670</v>
      </c>
      <c r="C431" s="9" t="s">
        <v>10</v>
      </c>
      <c r="D431" s="9" t="s">
        <v>1192</v>
      </c>
      <c r="E431" s="9"/>
    </row>
    <row r="432" customFormat="false" ht="15" hidden="false" customHeight="false" outlineLevel="0" collapsed="false">
      <c r="A432" s="9" t="s">
        <v>2671</v>
      </c>
      <c r="B432" s="9" t="s">
        <v>2672</v>
      </c>
      <c r="C432" s="9" t="s">
        <v>10</v>
      </c>
      <c r="D432" s="9" t="s">
        <v>1192</v>
      </c>
      <c r="E432" s="10" t="s">
        <v>2015</v>
      </c>
    </row>
    <row r="433" customFormat="false" ht="15" hidden="false" customHeight="false" outlineLevel="0" collapsed="false">
      <c r="A433" s="9" t="s">
        <v>2673</v>
      </c>
      <c r="B433" s="9" t="s">
        <v>2274</v>
      </c>
      <c r="C433" s="9" t="s">
        <v>10</v>
      </c>
      <c r="D433" s="9" t="s">
        <v>1192</v>
      </c>
      <c r="E433" s="10" t="s">
        <v>2015</v>
      </c>
    </row>
    <row r="434" customFormat="false" ht="15" hidden="false" customHeight="false" outlineLevel="0" collapsed="false">
      <c r="A434" s="9" t="s">
        <v>2674</v>
      </c>
      <c r="B434" s="9" t="s">
        <v>2675</v>
      </c>
      <c r="C434" s="9" t="s">
        <v>10</v>
      </c>
      <c r="D434" s="9" t="s">
        <v>1192</v>
      </c>
      <c r="E434" s="10" t="s">
        <v>2015</v>
      </c>
    </row>
    <row r="435" customFormat="false" ht="15" hidden="false" customHeight="false" outlineLevel="0" collapsed="false">
      <c r="A435" s="9" t="s">
        <v>2676</v>
      </c>
      <c r="B435" s="9" t="s">
        <v>2148</v>
      </c>
      <c r="C435" s="9" t="s">
        <v>6</v>
      </c>
      <c r="D435" s="9" t="s">
        <v>258</v>
      </c>
      <c r="E435" s="9"/>
    </row>
    <row r="436" customFormat="false" ht="15" hidden="false" customHeight="false" outlineLevel="0" collapsed="false">
      <c r="A436" s="9" t="s">
        <v>2677</v>
      </c>
      <c r="B436" s="9" t="s">
        <v>2670</v>
      </c>
      <c r="C436" s="9" t="s">
        <v>6</v>
      </c>
      <c r="D436" s="9" t="s">
        <v>265</v>
      </c>
      <c r="E436" s="9"/>
    </row>
    <row r="437" customFormat="false" ht="15" hidden="false" customHeight="false" outlineLevel="0" collapsed="false">
      <c r="A437" s="9" t="s">
        <v>2678</v>
      </c>
      <c r="B437" s="9" t="s">
        <v>2374</v>
      </c>
      <c r="C437" s="9" t="s">
        <v>6</v>
      </c>
      <c r="D437" s="9" t="s">
        <v>267</v>
      </c>
      <c r="E437" s="9"/>
    </row>
    <row r="438" customFormat="false" ht="15" hidden="false" customHeight="false" outlineLevel="0" collapsed="false">
      <c r="A438" s="9" t="s">
        <v>2679</v>
      </c>
      <c r="B438" s="9" t="s">
        <v>2680</v>
      </c>
      <c r="C438" s="9" t="s">
        <v>6</v>
      </c>
      <c r="D438" s="9" t="s">
        <v>269</v>
      </c>
      <c r="E438" s="9"/>
    </row>
    <row r="439" customFormat="false" ht="15" hidden="false" customHeight="false" outlineLevel="0" collapsed="false">
      <c r="A439" s="9" t="s">
        <v>2681</v>
      </c>
      <c r="B439" s="9" t="s">
        <v>2369</v>
      </c>
      <c r="C439" s="9" t="s">
        <v>6</v>
      </c>
      <c r="D439" s="9" t="s">
        <v>271</v>
      </c>
      <c r="E439" s="9"/>
    </row>
    <row r="440" customFormat="false" ht="15" hidden="false" customHeight="false" outlineLevel="0" collapsed="false">
      <c r="A440" s="9" t="s">
        <v>2682</v>
      </c>
      <c r="B440" s="9" t="s">
        <v>2014</v>
      </c>
      <c r="C440" s="9" t="s">
        <v>6</v>
      </c>
      <c r="D440" s="9" t="s">
        <v>258</v>
      </c>
      <c r="E440" s="10" t="s">
        <v>2015</v>
      </c>
    </row>
    <row r="441" customFormat="false" ht="15" hidden="false" customHeight="false" outlineLevel="0" collapsed="false">
      <c r="A441" s="9" t="s">
        <v>2683</v>
      </c>
      <c r="B441" s="9" t="s">
        <v>2684</v>
      </c>
      <c r="C441" s="9" t="s">
        <v>6</v>
      </c>
      <c r="D441" s="9" t="s">
        <v>258</v>
      </c>
      <c r="E441" s="10" t="s">
        <v>2015</v>
      </c>
    </row>
    <row r="442" customFormat="false" ht="15" hidden="false" customHeight="false" outlineLevel="0" collapsed="false">
      <c r="A442" s="9" t="s">
        <v>2685</v>
      </c>
      <c r="B442" s="9" t="s">
        <v>2093</v>
      </c>
      <c r="C442" s="9" t="s">
        <v>10</v>
      </c>
      <c r="D442" s="9" t="s">
        <v>1193</v>
      </c>
      <c r="E442" s="9"/>
    </row>
    <row r="443" customFormat="false" ht="15" hidden="false" customHeight="false" outlineLevel="0" collapsed="false">
      <c r="A443" s="9" t="s">
        <v>2686</v>
      </c>
      <c r="B443" s="9" t="s">
        <v>2089</v>
      </c>
      <c r="C443" s="9" t="s">
        <v>10</v>
      </c>
      <c r="D443" s="9" t="s">
        <v>1193</v>
      </c>
      <c r="E443" s="10" t="s">
        <v>2015</v>
      </c>
    </row>
    <row r="444" customFormat="false" ht="15" hidden="false" customHeight="false" outlineLevel="0" collapsed="false">
      <c r="A444" s="9" t="s">
        <v>2687</v>
      </c>
      <c r="B444" s="9" t="s">
        <v>2688</v>
      </c>
      <c r="C444" s="9" t="s">
        <v>10</v>
      </c>
      <c r="D444" s="9" t="s">
        <v>1193</v>
      </c>
      <c r="E444" s="10" t="s">
        <v>2015</v>
      </c>
    </row>
    <row r="445" customFormat="false" ht="15" hidden="false" customHeight="false" outlineLevel="0" collapsed="false">
      <c r="A445" s="9" t="s">
        <v>2689</v>
      </c>
      <c r="B445" s="9" t="s">
        <v>2690</v>
      </c>
      <c r="C445" s="10" t="s">
        <v>2691</v>
      </c>
      <c r="D445" s="9" t="s">
        <v>2692</v>
      </c>
      <c r="E445" s="10" t="s">
        <v>2693</v>
      </c>
    </row>
    <row r="446" customFormat="false" ht="15" hidden="false" customHeight="false" outlineLevel="0" collapsed="false">
      <c r="A446" s="9" t="s">
        <v>2694</v>
      </c>
      <c r="B446" s="9" t="s">
        <v>2695</v>
      </c>
      <c r="C446" s="10" t="s">
        <v>2691</v>
      </c>
      <c r="D446" s="9" t="s">
        <v>2692</v>
      </c>
      <c r="E446" s="10" t="s">
        <v>2693</v>
      </c>
    </row>
    <row r="447" customFormat="false" ht="15" hidden="false" customHeight="false" outlineLevel="0" collapsed="false">
      <c r="A447" s="9" t="s">
        <v>2696</v>
      </c>
      <c r="B447" s="9" t="s">
        <v>2697</v>
      </c>
      <c r="C447" s="10" t="s">
        <v>2691</v>
      </c>
      <c r="D447" s="9" t="s">
        <v>2692</v>
      </c>
      <c r="E447" s="10" t="s">
        <v>2693</v>
      </c>
    </row>
    <row r="448" customFormat="false" ht="15" hidden="false" customHeight="false" outlineLevel="0" collapsed="false">
      <c r="A448" s="9" t="s">
        <v>2698</v>
      </c>
      <c r="B448" s="9" t="s">
        <v>2699</v>
      </c>
      <c r="C448" s="10" t="s">
        <v>2691</v>
      </c>
      <c r="D448" s="9" t="s">
        <v>2692</v>
      </c>
      <c r="E448" s="10" t="s">
        <v>2693</v>
      </c>
    </row>
    <row r="449" customFormat="false" ht="15" hidden="false" customHeight="false" outlineLevel="0" collapsed="false">
      <c r="A449" s="9" t="s">
        <v>2700</v>
      </c>
      <c r="B449" s="9" t="s">
        <v>2701</v>
      </c>
      <c r="C449" s="10" t="s">
        <v>2691</v>
      </c>
      <c r="D449" s="9" t="s">
        <v>2692</v>
      </c>
      <c r="E449" s="10" t="s">
        <v>2693</v>
      </c>
    </row>
    <row r="450" customFormat="false" ht="15" hidden="false" customHeight="false" outlineLevel="0" collapsed="false">
      <c r="A450" s="9" t="s">
        <v>2702</v>
      </c>
      <c r="B450" s="9" t="s">
        <v>2703</v>
      </c>
      <c r="C450" s="10" t="s">
        <v>2691</v>
      </c>
      <c r="D450" s="9" t="s">
        <v>2692</v>
      </c>
      <c r="E450" s="10" t="s">
        <v>2693</v>
      </c>
    </row>
    <row r="451" customFormat="false" ht="15" hidden="false" customHeight="false" outlineLevel="0" collapsed="false">
      <c r="A451" s="9" t="s">
        <v>2704</v>
      </c>
      <c r="B451" s="9" t="s">
        <v>2067</v>
      </c>
      <c r="C451" s="10" t="s">
        <v>2691</v>
      </c>
      <c r="D451" s="9" t="s">
        <v>2692</v>
      </c>
      <c r="E451" s="10" t="s">
        <v>2693</v>
      </c>
    </row>
    <row r="452" customFormat="false" ht="15" hidden="false" customHeight="false" outlineLevel="0" collapsed="false">
      <c r="A452" s="9" t="s">
        <v>2705</v>
      </c>
      <c r="B452" s="9" t="s">
        <v>2706</v>
      </c>
      <c r="C452" s="10" t="s">
        <v>2691</v>
      </c>
      <c r="D452" s="9" t="s">
        <v>2692</v>
      </c>
      <c r="E452" s="10" t="s">
        <v>2693</v>
      </c>
    </row>
    <row r="453" customFormat="false" ht="15" hidden="false" customHeight="false" outlineLevel="0" collapsed="false">
      <c r="A453" s="9" t="s">
        <v>2707</v>
      </c>
      <c r="B453" s="9" t="s">
        <v>2071</v>
      </c>
      <c r="C453" s="10" t="s">
        <v>2691</v>
      </c>
      <c r="D453" s="9" t="s">
        <v>2692</v>
      </c>
      <c r="E453" s="10" t="s">
        <v>2693</v>
      </c>
    </row>
    <row r="454" customFormat="false" ht="15" hidden="false" customHeight="false" outlineLevel="0" collapsed="false">
      <c r="A454" s="9" t="s">
        <v>2708</v>
      </c>
      <c r="B454" s="9" t="s">
        <v>2709</v>
      </c>
      <c r="C454" s="10" t="s">
        <v>1986</v>
      </c>
      <c r="D454" s="9" t="s">
        <v>59</v>
      </c>
      <c r="E454" s="9" t="s">
        <v>2710</v>
      </c>
    </row>
    <row r="455" customFormat="false" ht="15" hidden="false" customHeight="false" outlineLevel="0" collapsed="false">
      <c r="A455" s="9" t="s">
        <v>2711</v>
      </c>
      <c r="B455" s="9" t="s">
        <v>2712</v>
      </c>
      <c r="C455" s="10" t="s">
        <v>1986</v>
      </c>
      <c r="D455" s="9" t="s">
        <v>59</v>
      </c>
      <c r="E455" s="9" t="s">
        <v>2713</v>
      </c>
    </row>
    <row r="456" customFormat="false" ht="15" hidden="false" customHeight="false" outlineLevel="0" collapsed="false">
      <c r="A456" s="9" t="s">
        <v>2714</v>
      </c>
      <c r="B456" s="9" t="s">
        <v>2715</v>
      </c>
      <c r="C456" s="10" t="s">
        <v>1986</v>
      </c>
      <c r="D456" s="9" t="s">
        <v>59</v>
      </c>
      <c r="E456" s="9" t="s">
        <v>2713</v>
      </c>
    </row>
    <row r="457" customFormat="false" ht="15" hidden="false" customHeight="false" outlineLevel="0" collapsed="false">
      <c r="A457" s="9" t="s">
        <v>2716</v>
      </c>
      <c r="B457" s="9" t="s">
        <v>2717</v>
      </c>
      <c r="C457" s="10" t="s">
        <v>1986</v>
      </c>
      <c r="D457" s="9" t="s">
        <v>59</v>
      </c>
      <c r="E457" s="9" t="s">
        <v>2713</v>
      </c>
    </row>
    <row r="458" customFormat="false" ht="15" hidden="false" customHeight="false" outlineLevel="0" collapsed="false">
      <c r="A458" s="9" t="s">
        <v>2718</v>
      </c>
      <c r="B458" s="9" t="s">
        <v>2719</v>
      </c>
      <c r="C458" s="10" t="s">
        <v>1986</v>
      </c>
      <c r="D458" s="9" t="s">
        <v>59</v>
      </c>
      <c r="E458" s="10" t="s">
        <v>2720</v>
      </c>
    </row>
    <row r="459" customFormat="false" ht="15" hidden="false" customHeight="false" outlineLevel="0" collapsed="false">
      <c r="A459" s="9" t="s">
        <v>2721</v>
      </c>
      <c r="B459" s="9" t="s">
        <v>2722</v>
      </c>
      <c r="C459" s="9" t="s">
        <v>6</v>
      </c>
      <c r="D459" s="9" t="s">
        <v>273</v>
      </c>
      <c r="E459" s="9"/>
    </row>
    <row r="460" customFormat="false" ht="15" hidden="false" customHeight="false" outlineLevel="0" collapsed="false">
      <c r="A460" s="9" t="s">
        <v>2723</v>
      </c>
      <c r="B460" s="9" t="s">
        <v>2724</v>
      </c>
      <c r="C460" s="9" t="s">
        <v>6</v>
      </c>
      <c r="D460" s="9" t="s">
        <v>280</v>
      </c>
      <c r="E460" s="9"/>
    </row>
    <row r="461" customFormat="false" ht="15" hidden="false" customHeight="false" outlineLevel="0" collapsed="false">
      <c r="A461" s="9" t="s">
        <v>2725</v>
      </c>
      <c r="B461" s="9" t="s">
        <v>2726</v>
      </c>
      <c r="C461" s="9" t="s">
        <v>6</v>
      </c>
      <c r="D461" s="9" t="s">
        <v>283</v>
      </c>
      <c r="E461" s="9"/>
    </row>
    <row r="462" customFormat="false" ht="15" hidden="false" customHeight="false" outlineLevel="0" collapsed="false">
      <c r="A462" s="9" t="s">
        <v>2727</v>
      </c>
      <c r="B462" s="9" t="s">
        <v>2014</v>
      </c>
      <c r="C462" s="9" t="s">
        <v>6</v>
      </c>
      <c r="D462" s="9" t="s">
        <v>273</v>
      </c>
      <c r="E462" s="10" t="s">
        <v>2015</v>
      </c>
    </row>
    <row r="463" customFormat="false" ht="15" hidden="false" customHeight="false" outlineLevel="0" collapsed="false">
      <c r="A463" s="9" t="s">
        <v>2728</v>
      </c>
      <c r="B463" s="9" t="s">
        <v>2729</v>
      </c>
      <c r="C463" s="9" t="s">
        <v>6</v>
      </c>
      <c r="D463" s="9" t="s">
        <v>273</v>
      </c>
      <c r="E463" s="10" t="s">
        <v>2015</v>
      </c>
    </row>
    <row r="464" customFormat="false" ht="15" hidden="false" customHeight="false" outlineLevel="0" collapsed="false">
      <c r="A464" s="9" t="s">
        <v>2730</v>
      </c>
      <c r="B464" s="9" t="s">
        <v>2731</v>
      </c>
      <c r="C464" s="10" t="s">
        <v>2057</v>
      </c>
      <c r="D464" s="9" t="s">
        <v>2732</v>
      </c>
      <c r="E464" s="9" t="s">
        <v>2733</v>
      </c>
    </row>
    <row r="465" customFormat="false" ht="15" hidden="false" customHeight="false" outlineLevel="0" collapsed="false">
      <c r="A465" s="9" t="s">
        <v>2734</v>
      </c>
      <c r="B465" s="9" t="s">
        <v>2735</v>
      </c>
      <c r="C465" s="10" t="s">
        <v>2057</v>
      </c>
      <c r="D465" s="9" t="s">
        <v>2732</v>
      </c>
      <c r="E465" s="9" t="s">
        <v>2733</v>
      </c>
    </row>
    <row r="466" customFormat="false" ht="15" hidden="false" customHeight="false" outlineLevel="0" collapsed="false">
      <c r="A466" s="9" t="s">
        <v>2736</v>
      </c>
      <c r="B466" s="9" t="s">
        <v>2722</v>
      </c>
      <c r="C466" s="10" t="s">
        <v>2057</v>
      </c>
      <c r="D466" s="9" t="s">
        <v>2732</v>
      </c>
      <c r="E466" s="9" t="s">
        <v>2733</v>
      </c>
    </row>
    <row r="467" customFormat="false" ht="15" hidden="false" customHeight="false" outlineLevel="0" collapsed="false">
      <c r="A467" s="9" t="s">
        <v>2737</v>
      </c>
      <c r="B467" s="9" t="s">
        <v>2067</v>
      </c>
      <c r="C467" s="10" t="s">
        <v>2057</v>
      </c>
      <c r="D467" s="9" t="s">
        <v>2732</v>
      </c>
      <c r="E467" s="9" t="s">
        <v>2733</v>
      </c>
    </row>
    <row r="468" customFormat="false" ht="15" hidden="false" customHeight="false" outlineLevel="0" collapsed="false">
      <c r="A468" s="9" t="s">
        <v>2738</v>
      </c>
      <c r="B468" s="9" t="s">
        <v>2739</v>
      </c>
      <c r="C468" s="10" t="s">
        <v>2057</v>
      </c>
      <c r="D468" s="9" t="s">
        <v>2732</v>
      </c>
      <c r="E468" s="9" t="s">
        <v>2733</v>
      </c>
    </row>
    <row r="469" customFormat="false" ht="15" hidden="false" customHeight="false" outlineLevel="0" collapsed="false">
      <c r="A469" s="9" t="s">
        <v>2740</v>
      </c>
      <c r="B469" s="9" t="s">
        <v>2741</v>
      </c>
      <c r="C469" s="9" t="s">
        <v>6</v>
      </c>
      <c r="D469" s="9" t="s">
        <v>285</v>
      </c>
      <c r="E469" s="9"/>
    </row>
    <row r="470" customFormat="false" ht="15" hidden="false" customHeight="false" outlineLevel="0" collapsed="false">
      <c r="A470" s="9" t="s">
        <v>2742</v>
      </c>
      <c r="B470" s="9" t="s">
        <v>2002</v>
      </c>
      <c r="C470" s="9" t="s">
        <v>6</v>
      </c>
      <c r="D470" s="9" t="s">
        <v>285</v>
      </c>
      <c r="E470" s="10" t="s">
        <v>2015</v>
      </c>
    </row>
    <row r="471" customFormat="false" ht="15" hidden="false" customHeight="false" outlineLevel="0" collapsed="false">
      <c r="A471" s="9" t="s">
        <v>2743</v>
      </c>
      <c r="B471" s="9" t="s">
        <v>2014</v>
      </c>
      <c r="C471" s="9" t="s">
        <v>6</v>
      </c>
      <c r="D471" s="9" t="s">
        <v>285</v>
      </c>
      <c r="E471" s="10" t="s">
        <v>2015</v>
      </c>
    </row>
    <row r="472" customFormat="false" ht="15" hidden="false" customHeight="false" outlineLevel="0" collapsed="false">
      <c r="A472" s="9" t="s">
        <v>2744</v>
      </c>
      <c r="B472" s="9" t="s">
        <v>2745</v>
      </c>
      <c r="C472" s="9" t="s">
        <v>6</v>
      </c>
      <c r="D472" s="9" t="s">
        <v>285</v>
      </c>
      <c r="E472" s="10" t="s">
        <v>2015</v>
      </c>
    </row>
    <row r="473" customFormat="false" ht="15" hidden="false" customHeight="false" outlineLevel="0" collapsed="false">
      <c r="A473" s="9" t="s">
        <v>2746</v>
      </c>
      <c r="B473" s="9" t="s">
        <v>2747</v>
      </c>
      <c r="C473" s="9" t="s">
        <v>10</v>
      </c>
      <c r="D473" s="9" t="s">
        <v>2748</v>
      </c>
      <c r="E473" s="10" t="s">
        <v>2749</v>
      </c>
    </row>
    <row r="474" customFormat="false" ht="15" hidden="false" customHeight="false" outlineLevel="0" collapsed="false">
      <c r="A474" s="9" t="s">
        <v>1199</v>
      </c>
      <c r="B474" s="9" t="s">
        <v>2328</v>
      </c>
      <c r="C474" s="9" t="s">
        <v>10</v>
      </c>
      <c r="D474" s="9" t="s">
        <v>1197</v>
      </c>
      <c r="E474" s="9"/>
    </row>
    <row r="475" customFormat="false" ht="15" hidden="false" customHeight="false" outlineLevel="0" collapsed="false">
      <c r="A475" s="9" t="s">
        <v>1203</v>
      </c>
      <c r="B475" s="9" t="s">
        <v>2221</v>
      </c>
      <c r="C475" s="9" t="s">
        <v>10</v>
      </c>
      <c r="D475" s="9" t="s">
        <v>1201</v>
      </c>
      <c r="E475" s="9"/>
    </row>
    <row r="476" customFormat="false" ht="15" hidden="false" customHeight="false" outlineLevel="0" collapsed="false">
      <c r="A476" s="9" t="s">
        <v>1209</v>
      </c>
      <c r="B476" s="9" t="s">
        <v>2219</v>
      </c>
      <c r="C476" s="9" t="s">
        <v>10</v>
      </c>
      <c r="D476" s="9" t="s">
        <v>1207</v>
      </c>
      <c r="E476" s="9"/>
    </row>
    <row r="477" customFormat="false" ht="15" hidden="false" customHeight="false" outlineLevel="0" collapsed="false">
      <c r="A477" s="9" t="s">
        <v>1212</v>
      </c>
      <c r="B477" s="9" t="s">
        <v>2226</v>
      </c>
      <c r="C477" s="9" t="s">
        <v>10</v>
      </c>
      <c r="D477" s="9" t="s">
        <v>1210</v>
      </c>
      <c r="E477" s="9"/>
    </row>
    <row r="478" customFormat="false" ht="15" hidden="false" customHeight="false" outlineLevel="0" collapsed="false">
      <c r="A478" s="9" t="s">
        <v>1215</v>
      </c>
      <c r="B478" s="9" t="s">
        <v>2226</v>
      </c>
      <c r="C478" s="9" t="s">
        <v>10</v>
      </c>
      <c r="D478" s="9" t="s">
        <v>1213</v>
      </c>
      <c r="E478" s="9"/>
    </row>
    <row r="479" customFormat="false" ht="15" hidden="false" customHeight="false" outlineLevel="0" collapsed="false">
      <c r="A479" s="9" t="s">
        <v>1206</v>
      </c>
      <c r="B479" s="9" t="s">
        <v>2242</v>
      </c>
      <c r="C479" s="9" t="s">
        <v>10</v>
      </c>
      <c r="D479" s="9" t="s">
        <v>1204</v>
      </c>
      <c r="E479" s="9"/>
    </row>
    <row r="480" customFormat="false" ht="15" hidden="false" customHeight="false" outlineLevel="0" collapsed="false">
      <c r="A480" s="9" t="s">
        <v>1218</v>
      </c>
      <c r="B480" s="9" t="s">
        <v>2324</v>
      </c>
      <c r="C480" s="9" t="s">
        <v>10</v>
      </c>
      <c r="D480" s="9" t="s">
        <v>1216</v>
      </c>
      <c r="E480" s="9"/>
    </row>
    <row r="481" customFormat="false" ht="15" hidden="false" customHeight="false" outlineLevel="0" collapsed="false">
      <c r="A481" s="9" t="s">
        <v>1221</v>
      </c>
      <c r="B481" s="9" t="s">
        <v>2217</v>
      </c>
      <c r="C481" s="9" t="s">
        <v>10</v>
      </c>
      <c r="D481" s="9" t="s">
        <v>1219</v>
      </c>
      <c r="E481" s="9"/>
    </row>
    <row r="482" customFormat="false" ht="15" hidden="false" customHeight="false" outlineLevel="0" collapsed="false">
      <c r="A482" s="9" t="s">
        <v>1227</v>
      </c>
      <c r="B482" s="9" t="s">
        <v>2217</v>
      </c>
      <c r="C482" s="9" t="s">
        <v>10</v>
      </c>
      <c r="D482" s="9" t="s">
        <v>1225</v>
      </c>
      <c r="E482" s="9"/>
    </row>
    <row r="483" customFormat="false" ht="15" hidden="false" customHeight="false" outlineLevel="0" collapsed="false">
      <c r="A483" s="9" t="s">
        <v>1230</v>
      </c>
      <c r="B483" s="9" t="s">
        <v>2224</v>
      </c>
      <c r="C483" s="9" t="s">
        <v>10</v>
      </c>
      <c r="D483" s="9" t="s">
        <v>1228</v>
      </c>
      <c r="E483" s="9"/>
    </row>
    <row r="484" customFormat="false" ht="15" hidden="false" customHeight="false" outlineLevel="0" collapsed="false">
      <c r="A484" s="9" t="s">
        <v>1233</v>
      </c>
      <c r="B484" s="9" t="s">
        <v>2224</v>
      </c>
      <c r="C484" s="9" t="s">
        <v>10</v>
      </c>
      <c r="D484" s="9" t="s">
        <v>1231</v>
      </c>
      <c r="E484" s="9"/>
    </row>
    <row r="485" customFormat="false" ht="15" hidden="false" customHeight="false" outlineLevel="0" collapsed="false">
      <c r="A485" s="9" t="s">
        <v>1224</v>
      </c>
      <c r="B485" s="9" t="s">
        <v>2240</v>
      </c>
      <c r="C485" s="9" t="s">
        <v>10</v>
      </c>
      <c r="D485" s="9" t="s">
        <v>1222</v>
      </c>
      <c r="E485" s="9"/>
    </row>
    <row r="486" customFormat="false" ht="15" hidden="false" customHeight="false" outlineLevel="0" collapsed="false">
      <c r="A486" s="9" t="s">
        <v>1236</v>
      </c>
      <c r="B486" s="9" t="s">
        <v>2326</v>
      </c>
      <c r="C486" s="9" t="s">
        <v>10</v>
      </c>
      <c r="D486" s="9" t="s">
        <v>1234</v>
      </c>
      <c r="E486" s="9"/>
    </row>
    <row r="487" customFormat="false" ht="15" hidden="false" customHeight="false" outlineLevel="0" collapsed="false">
      <c r="A487" s="9" t="s">
        <v>1239</v>
      </c>
      <c r="B487" s="9" t="s">
        <v>2219</v>
      </c>
      <c r="C487" s="9" t="s">
        <v>10</v>
      </c>
      <c r="D487" s="9" t="s">
        <v>1237</v>
      </c>
      <c r="E487" s="9"/>
    </row>
    <row r="488" customFormat="false" ht="15" hidden="false" customHeight="false" outlineLevel="0" collapsed="false">
      <c r="A488" s="9" t="s">
        <v>1245</v>
      </c>
      <c r="B488" s="9" t="s">
        <v>2217</v>
      </c>
      <c r="C488" s="9" t="s">
        <v>10</v>
      </c>
      <c r="D488" s="9" t="s">
        <v>1243</v>
      </c>
      <c r="E488" s="9"/>
    </row>
    <row r="489" customFormat="false" ht="15" hidden="false" customHeight="false" outlineLevel="0" collapsed="false">
      <c r="A489" s="9" t="s">
        <v>1248</v>
      </c>
      <c r="B489" s="9" t="s">
        <v>2224</v>
      </c>
      <c r="C489" s="9" t="s">
        <v>10</v>
      </c>
      <c r="D489" s="9" t="s">
        <v>1246</v>
      </c>
      <c r="E489" s="9"/>
    </row>
    <row r="490" customFormat="false" ht="15" hidden="false" customHeight="false" outlineLevel="0" collapsed="false">
      <c r="A490" s="9" t="s">
        <v>1251</v>
      </c>
      <c r="B490" s="9" t="s">
        <v>2224</v>
      </c>
      <c r="C490" s="9" t="s">
        <v>10</v>
      </c>
      <c r="D490" s="9" t="s">
        <v>1249</v>
      </c>
      <c r="E490" s="9"/>
    </row>
    <row r="491" customFormat="false" ht="15" hidden="false" customHeight="false" outlineLevel="0" collapsed="false">
      <c r="A491" s="9" t="s">
        <v>1242</v>
      </c>
      <c r="B491" s="9" t="s">
        <v>2125</v>
      </c>
      <c r="C491" s="9" t="s">
        <v>10</v>
      </c>
      <c r="D491" s="9" t="s">
        <v>1240</v>
      </c>
      <c r="E491" s="9"/>
    </row>
    <row r="492" customFormat="false" ht="15" hidden="false" customHeight="false" outlineLevel="0" collapsed="false">
      <c r="A492" s="9" t="s">
        <v>2750</v>
      </c>
      <c r="B492" s="9" t="s">
        <v>2751</v>
      </c>
      <c r="C492" s="10" t="s">
        <v>1986</v>
      </c>
      <c r="D492" s="9" t="s">
        <v>59</v>
      </c>
      <c r="E492" s="10" t="s">
        <v>2215</v>
      </c>
    </row>
    <row r="493" customFormat="false" ht="15" hidden="false" customHeight="false" outlineLevel="0" collapsed="false">
      <c r="A493" s="9" t="s">
        <v>2752</v>
      </c>
      <c r="B493" s="9" t="s">
        <v>2753</v>
      </c>
      <c r="C493" s="10" t="s">
        <v>2691</v>
      </c>
      <c r="D493" s="9" t="s">
        <v>2754</v>
      </c>
      <c r="E493" s="10" t="s">
        <v>2755</v>
      </c>
    </row>
    <row r="494" customFormat="false" ht="15" hidden="false" customHeight="false" outlineLevel="0" collapsed="false">
      <c r="A494" s="9" t="s">
        <v>2756</v>
      </c>
      <c r="B494" s="9" t="s">
        <v>2757</v>
      </c>
      <c r="C494" s="10" t="s">
        <v>2691</v>
      </c>
      <c r="D494" s="9" t="s">
        <v>2754</v>
      </c>
      <c r="E494" s="10" t="s">
        <v>2755</v>
      </c>
    </row>
    <row r="495" customFormat="false" ht="15" hidden="false" customHeight="false" outlineLevel="0" collapsed="false">
      <c r="A495" s="9" t="s">
        <v>2758</v>
      </c>
      <c r="B495" s="9" t="s">
        <v>2759</v>
      </c>
      <c r="C495" s="10" t="s">
        <v>2691</v>
      </c>
      <c r="D495" s="9" t="s">
        <v>2754</v>
      </c>
      <c r="E495" s="10" t="s">
        <v>2755</v>
      </c>
    </row>
    <row r="496" customFormat="false" ht="15" hidden="false" customHeight="false" outlineLevel="0" collapsed="false">
      <c r="A496" s="9" t="s">
        <v>2760</v>
      </c>
      <c r="B496" s="9" t="s">
        <v>2254</v>
      </c>
      <c r="C496" s="10" t="s">
        <v>2691</v>
      </c>
      <c r="D496" s="9" t="s">
        <v>2754</v>
      </c>
      <c r="E496" s="10" t="s">
        <v>2755</v>
      </c>
    </row>
    <row r="497" customFormat="false" ht="15" hidden="false" customHeight="false" outlineLevel="0" collapsed="false">
      <c r="A497" s="9" t="s">
        <v>2761</v>
      </c>
      <c r="B497" s="9" t="s">
        <v>2762</v>
      </c>
      <c r="C497" s="10" t="s">
        <v>2691</v>
      </c>
      <c r="D497" s="9" t="s">
        <v>2754</v>
      </c>
      <c r="E497" s="10" t="s">
        <v>2755</v>
      </c>
    </row>
    <row r="498" customFormat="false" ht="15" hidden="false" customHeight="false" outlineLevel="0" collapsed="false">
      <c r="A498" s="9" t="s">
        <v>2763</v>
      </c>
      <c r="B498" s="9" t="s">
        <v>2764</v>
      </c>
      <c r="C498" s="10" t="s">
        <v>2691</v>
      </c>
      <c r="D498" s="9" t="s">
        <v>2754</v>
      </c>
      <c r="E498" s="10" t="s">
        <v>2755</v>
      </c>
    </row>
    <row r="499" customFormat="false" ht="15" hidden="false" customHeight="false" outlineLevel="0" collapsed="false">
      <c r="A499" s="9" t="s">
        <v>2765</v>
      </c>
      <c r="B499" s="9" t="s">
        <v>2563</v>
      </c>
      <c r="C499" s="10" t="s">
        <v>2691</v>
      </c>
      <c r="D499" s="9" t="s">
        <v>2754</v>
      </c>
      <c r="E499" s="10" t="s">
        <v>2755</v>
      </c>
    </row>
    <row r="500" customFormat="false" ht="15" hidden="false" customHeight="false" outlineLevel="0" collapsed="false">
      <c r="A500" s="9" t="s">
        <v>2766</v>
      </c>
      <c r="B500" s="9" t="s">
        <v>2767</v>
      </c>
      <c r="C500" s="10" t="s">
        <v>2691</v>
      </c>
      <c r="D500" s="9" t="s">
        <v>2754</v>
      </c>
      <c r="E500" s="10" t="s">
        <v>2755</v>
      </c>
    </row>
    <row r="501" customFormat="false" ht="15" hidden="false" customHeight="false" outlineLevel="0" collapsed="false">
      <c r="A501" s="9" t="s">
        <v>2768</v>
      </c>
      <c r="B501" s="9" t="s">
        <v>2044</v>
      </c>
      <c r="C501" s="10" t="s">
        <v>2691</v>
      </c>
      <c r="D501" s="9" t="s">
        <v>2754</v>
      </c>
      <c r="E501" s="10" t="s">
        <v>2755</v>
      </c>
    </row>
    <row r="502" customFormat="false" ht="15" hidden="false" customHeight="false" outlineLevel="0" collapsed="false">
      <c r="A502" s="9" t="s">
        <v>2769</v>
      </c>
      <c r="B502" s="9" t="s">
        <v>2176</v>
      </c>
      <c r="C502" s="10" t="s">
        <v>2691</v>
      </c>
      <c r="D502" s="9" t="s">
        <v>2754</v>
      </c>
      <c r="E502" s="10" t="s">
        <v>2755</v>
      </c>
    </row>
    <row r="503" customFormat="false" ht="15" hidden="false" customHeight="false" outlineLevel="0" collapsed="false">
      <c r="A503" s="9" t="s">
        <v>2770</v>
      </c>
      <c r="B503" s="9" t="s">
        <v>2179</v>
      </c>
      <c r="C503" s="10" t="s">
        <v>2691</v>
      </c>
      <c r="D503" s="9" t="s">
        <v>2754</v>
      </c>
      <c r="E503" s="10" t="s">
        <v>2755</v>
      </c>
    </row>
    <row r="504" customFormat="false" ht="15" hidden="false" customHeight="false" outlineLevel="0" collapsed="false">
      <c r="A504" s="9" t="s">
        <v>2771</v>
      </c>
      <c r="B504" s="9" t="s">
        <v>2089</v>
      </c>
      <c r="C504" s="10" t="s">
        <v>2691</v>
      </c>
      <c r="D504" s="9" t="s">
        <v>2754</v>
      </c>
      <c r="E504" s="10" t="s">
        <v>2755</v>
      </c>
    </row>
    <row r="505" customFormat="false" ht="15" hidden="false" customHeight="false" outlineLevel="0" collapsed="false">
      <c r="A505" s="9" t="s">
        <v>2772</v>
      </c>
      <c r="B505" s="9" t="s">
        <v>2067</v>
      </c>
      <c r="C505" s="10" t="s">
        <v>2691</v>
      </c>
      <c r="D505" s="9" t="s">
        <v>2754</v>
      </c>
      <c r="E505" s="10" t="s">
        <v>2755</v>
      </c>
    </row>
    <row r="506" customFormat="false" ht="15" hidden="false" customHeight="false" outlineLevel="0" collapsed="false">
      <c r="A506" s="9" t="s">
        <v>2773</v>
      </c>
      <c r="B506" s="9" t="s">
        <v>2774</v>
      </c>
      <c r="C506" s="10" t="s">
        <v>2691</v>
      </c>
      <c r="D506" s="9" t="s">
        <v>2754</v>
      </c>
      <c r="E506" s="10" t="s">
        <v>2755</v>
      </c>
    </row>
    <row r="507" customFormat="false" ht="15" hidden="false" customHeight="false" outlineLevel="0" collapsed="false">
      <c r="A507" s="9" t="s">
        <v>2775</v>
      </c>
      <c r="B507" s="9" t="s">
        <v>2071</v>
      </c>
      <c r="C507" s="10" t="s">
        <v>2691</v>
      </c>
      <c r="D507" s="9" t="s">
        <v>2754</v>
      </c>
      <c r="E507" s="10" t="s">
        <v>2755</v>
      </c>
    </row>
    <row r="508" customFormat="false" ht="15" hidden="false" customHeight="false" outlineLevel="0" collapsed="false">
      <c r="A508" s="9" t="s">
        <v>2776</v>
      </c>
      <c r="B508" s="9" t="s">
        <v>2777</v>
      </c>
      <c r="C508" s="10" t="s">
        <v>2691</v>
      </c>
      <c r="D508" s="9" t="s">
        <v>2754</v>
      </c>
      <c r="E508" s="10" t="s">
        <v>2755</v>
      </c>
    </row>
    <row r="509" customFormat="false" ht="15" hidden="false" customHeight="false" outlineLevel="0" collapsed="false">
      <c r="A509" s="9" t="s">
        <v>2778</v>
      </c>
      <c r="B509" s="9" t="s">
        <v>2779</v>
      </c>
      <c r="C509" s="10" t="s">
        <v>2691</v>
      </c>
      <c r="D509" s="9" t="s">
        <v>2754</v>
      </c>
      <c r="E509" s="10" t="s">
        <v>2755</v>
      </c>
    </row>
    <row r="510" customFormat="false" ht="15" hidden="false" customHeight="false" outlineLevel="0" collapsed="false">
      <c r="A510" s="9" t="s">
        <v>2780</v>
      </c>
      <c r="B510" s="9" t="s">
        <v>2781</v>
      </c>
      <c r="C510" s="10" t="s">
        <v>2691</v>
      </c>
      <c r="D510" s="9" t="s">
        <v>2754</v>
      </c>
      <c r="E510" s="10" t="s">
        <v>2755</v>
      </c>
    </row>
    <row r="511" customFormat="false" ht="15" hidden="false" customHeight="false" outlineLevel="0" collapsed="false">
      <c r="A511" s="9" t="s">
        <v>2782</v>
      </c>
      <c r="B511" s="9" t="s">
        <v>2783</v>
      </c>
      <c r="C511" s="10" t="s">
        <v>2691</v>
      </c>
      <c r="D511" s="9" t="s">
        <v>2754</v>
      </c>
      <c r="E511" s="10" t="s">
        <v>2755</v>
      </c>
    </row>
    <row r="512" customFormat="false" ht="15" hidden="false" customHeight="false" outlineLevel="0" collapsed="false">
      <c r="A512" s="9" t="s">
        <v>2784</v>
      </c>
      <c r="B512" s="9" t="s">
        <v>2785</v>
      </c>
      <c r="C512" s="10" t="s">
        <v>2691</v>
      </c>
      <c r="D512" s="9" t="s">
        <v>2754</v>
      </c>
      <c r="E512" s="10" t="s">
        <v>2755</v>
      </c>
    </row>
    <row r="513" customFormat="false" ht="15" hidden="false" customHeight="false" outlineLevel="0" collapsed="false">
      <c r="A513" s="9" t="s">
        <v>2786</v>
      </c>
      <c r="B513" s="9" t="s">
        <v>2787</v>
      </c>
      <c r="C513" s="10" t="s">
        <v>2691</v>
      </c>
      <c r="D513" s="9" t="s">
        <v>2754</v>
      </c>
      <c r="E513" s="10" t="s">
        <v>2755</v>
      </c>
    </row>
    <row r="514" customFormat="false" ht="15" hidden="false" customHeight="false" outlineLevel="0" collapsed="false">
      <c r="A514" s="9" t="s">
        <v>2788</v>
      </c>
      <c r="B514" s="9" t="s">
        <v>2789</v>
      </c>
      <c r="C514" s="10" t="s">
        <v>2691</v>
      </c>
      <c r="D514" s="9" t="s">
        <v>2790</v>
      </c>
      <c r="E514" s="10" t="s">
        <v>2755</v>
      </c>
    </row>
    <row r="515" customFormat="false" ht="15" hidden="false" customHeight="false" outlineLevel="0" collapsed="false">
      <c r="A515" s="9" t="s">
        <v>2791</v>
      </c>
      <c r="B515" s="9" t="s">
        <v>2792</v>
      </c>
      <c r="C515" s="10" t="s">
        <v>2691</v>
      </c>
      <c r="D515" s="9" t="s">
        <v>2790</v>
      </c>
      <c r="E515" s="10" t="s">
        <v>2755</v>
      </c>
    </row>
    <row r="516" customFormat="false" ht="15" hidden="false" customHeight="false" outlineLevel="0" collapsed="false">
      <c r="A516" s="9" t="s">
        <v>2793</v>
      </c>
      <c r="B516" s="9" t="s">
        <v>2794</v>
      </c>
      <c r="C516" s="10" t="s">
        <v>2691</v>
      </c>
      <c r="D516" s="9" t="s">
        <v>2790</v>
      </c>
      <c r="E516" s="10" t="s">
        <v>2755</v>
      </c>
    </row>
    <row r="517" customFormat="false" ht="15" hidden="false" customHeight="false" outlineLevel="0" collapsed="false">
      <c r="A517" s="9" t="s">
        <v>2795</v>
      </c>
      <c r="B517" s="9" t="s">
        <v>2796</v>
      </c>
      <c r="C517" s="10" t="s">
        <v>2691</v>
      </c>
      <c r="D517" s="9" t="s">
        <v>2790</v>
      </c>
      <c r="E517" s="10" t="s">
        <v>2755</v>
      </c>
    </row>
    <row r="518" customFormat="false" ht="15" hidden="false" customHeight="false" outlineLevel="0" collapsed="false">
      <c r="A518" s="9" t="s">
        <v>2797</v>
      </c>
      <c r="B518" s="9" t="s">
        <v>2798</v>
      </c>
      <c r="C518" s="10" t="s">
        <v>2691</v>
      </c>
      <c r="D518" s="9" t="s">
        <v>2790</v>
      </c>
      <c r="E518" s="10" t="s">
        <v>2755</v>
      </c>
    </row>
    <row r="519" customFormat="false" ht="15" hidden="false" customHeight="false" outlineLevel="0" collapsed="false">
      <c r="A519" s="9" t="s">
        <v>2799</v>
      </c>
      <c r="B519" s="9" t="s">
        <v>2800</v>
      </c>
      <c r="C519" s="10" t="s">
        <v>2691</v>
      </c>
      <c r="D519" s="9" t="s">
        <v>2790</v>
      </c>
      <c r="E519" s="10" t="s">
        <v>2755</v>
      </c>
    </row>
    <row r="520" customFormat="false" ht="15" hidden="false" customHeight="false" outlineLevel="0" collapsed="false">
      <c r="A520" s="9" t="s">
        <v>2801</v>
      </c>
      <c r="B520" s="9" t="s">
        <v>2802</v>
      </c>
      <c r="C520" s="10" t="s">
        <v>2691</v>
      </c>
      <c r="D520" s="9" t="s">
        <v>2790</v>
      </c>
      <c r="E520" s="10" t="s">
        <v>2755</v>
      </c>
    </row>
    <row r="521" customFormat="false" ht="15" hidden="false" customHeight="false" outlineLevel="0" collapsed="false">
      <c r="A521" s="9" t="s">
        <v>2803</v>
      </c>
      <c r="B521" s="9" t="s">
        <v>2804</v>
      </c>
      <c r="C521" s="10" t="s">
        <v>2691</v>
      </c>
      <c r="D521" s="9" t="s">
        <v>2790</v>
      </c>
      <c r="E521" s="10" t="s">
        <v>2755</v>
      </c>
    </row>
    <row r="522" customFormat="false" ht="15" hidden="false" customHeight="false" outlineLevel="0" collapsed="false">
      <c r="A522" s="9" t="s">
        <v>2805</v>
      </c>
      <c r="B522" s="9" t="s">
        <v>2806</v>
      </c>
      <c r="C522" s="10" t="s">
        <v>2691</v>
      </c>
      <c r="D522" s="9" t="s">
        <v>2790</v>
      </c>
      <c r="E522" s="10" t="s">
        <v>2755</v>
      </c>
    </row>
    <row r="523" customFormat="false" ht="15" hidden="false" customHeight="false" outlineLevel="0" collapsed="false">
      <c r="A523" s="9" t="s">
        <v>2807</v>
      </c>
      <c r="B523" s="9" t="s">
        <v>2808</v>
      </c>
      <c r="C523" s="10" t="s">
        <v>2691</v>
      </c>
      <c r="D523" s="9" t="s">
        <v>2790</v>
      </c>
      <c r="E523" s="10" t="s">
        <v>2755</v>
      </c>
    </row>
    <row r="524" customFormat="false" ht="15" hidden="false" customHeight="false" outlineLevel="0" collapsed="false">
      <c r="A524" s="9" t="s">
        <v>2809</v>
      </c>
      <c r="B524" s="9" t="s">
        <v>2810</v>
      </c>
      <c r="C524" s="10" t="s">
        <v>2691</v>
      </c>
      <c r="D524" s="9" t="s">
        <v>2790</v>
      </c>
      <c r="E524" s="10" t="s">
        <v>2755</v>
      </c>
    </row>
    <row r="525" customFormat="false" ht="15" hidden="false" customHeight="false" outlineLevel="0" collapsed="false">
      <c r="A525" s="9" t="s">
        <v>2811</v>
      </c>
      <c r="B525" s="9" t="s">
        <v>2812</v>
      </c>
      <c r="C525" s="10" t="s">
        <v>2691</v>
      </c>
      <c r="D525" s="9" t="s">
        <v>2790</v>
      </c>
      <c r="E525" s="10" t="s">
        <v>2755</v>
      </c>
    </row>
    <row r="526" customFormat="false" ht="15" hidden="false" customHeight="false" outlineLevel="0" collapsed="false">
      <c r="A526" s="9" t="s">
        <v>2813</v>
      </c>
      <c r="B526" s="9" t="s">
        <v>2814</v>
      </c>
      <c r="C526" s="10" t="s">
        <v>2691</v>
      </c>
      <c r="D526" s="9" t="s">
        <v>2790</v>
      </c>
      <c r="E526" s="10" t="s">
        <v>2755</v>
      </c>
    </row>
    <row r="527" customFormat="false" ht="15" hidden="false" customHeight="false" outlineLevel="0" collapsed="false">
      <c r="A527" s="9" t="s">
        <v>2815</v>
      </c>
      <c r="B527" s="9" t="s">
        <v>2816</v>
      </c>
      <c r="C527" s="10" t="s">
        <v>2691</v>
      </c>
      <c r="D527" s="9" t="s">
        <v>2790</v>
      </c>
      <c r="E527" s="10" t="s">
        <v>2755</v>
      </c>
    </row>
    <row r="528" customFormat="false" ht="15" hidden="false" customHeight="false" outlineLevel="0" collapsed="false">
      <c r="A528" s="9" t="s">
        <v>2817</v>
      </c>
      <c r="B528" s="9" t="s">
        <v>2818</v>
      </c>
      <c r="C528" s="10" t="s">
        <v>2691</v>
      </c>
      <c r="D528" s="9" t="s">
        <v>2790</v>
      </c>
      <c r="E528" s="10" t="s">
        <v>2755</v>
      </c>
    </row>
    <row r="529" customFormat="false" ht="15" hidden="false" customHeight="false" outlineLevel="0" collapsed="false">
      <c r="A529" s="9" t="s">
        <v>2819</v>
      </c>
      <c r="B529" s="9" t="s">
        <v>2820</v>
      </c>
      <c r="C529" s="10" t="s">
        <v>2691</v>
      </c>
      <c r="D529" s="9" t="s">
        <v>2790</v>
      </c>
      <c r="E529" s="10" t="s">
        <v>2755</v>
      </c>
    </row>
    <row r="530" customFormat="false" ht="15" hidden="false" customHeight="false" outlineLevel="0" collapsed="false">
      <c r="A530" s="9" t="s">
        <v>2821</v>
      </c>
      <c r="B530" s="9" t="s">
        <v>2274</v>
      </c>
      <c r="C530" s="10" t="s">
        <v>2691</v>
      </c>
      <c r="D530" s="9" t="s">
        <v>2790</v>
      </c>
      <c r="E530" s="10" t="s">
        <v>2755</v>
      </c>
    </row>
    <row r="531" customFormat="false" ht="15" hidden="false" customHeight="false" outlineLevel="0" collapsed="false">
      <c r="A531" s="9" t="s">
        <v>2822</v>
      </c>
      <c r="B531" s="9" t="s">
        <v>2071</v>
      </c>
      <c r="C531" s="10" t="s">
        <v>2691</v>
      </c>
      <c r="D531" s="9" t="s">
        <v>2790</v>
      </c>
      <c r="E531" s="10" t="s">
        <v>2755</v>
      </c>
    </row>
    <row r="532" customFormat="false" ht="15" hidden="false" customHeight="false" outlineLevel="0" collapsed="false">
      <c r="A532" s="9" t="s">
        <v>2823</v>
      </c>
      <c r="B532" s="9" t="s">
        <v>2824</v>
      </c>
      <c r="C532" s="10" t="s">
        <v>2691</v>
      </c>
      <c r="D532" s="9" t="s">
        <v>2825</v>
      </c>
      <c r="E532" s="10" t="s">
        <v>2755</v>
      </c>
    </row>
    <row r="533" customFormat="false" ht="15" hidden="false" customHeight="false" outlineLevel="0" collapsed="false">
      <c r="A533" s="9" t="s">
        <v>2826</v>
      </c>
      <c r="B533" s="9" t="s">
        <v>2432</v>
      </c>
      <c r="C533" s="10" t="s">
        <v>2691</v>
      </c>
      <c r="D533" s="9" t="s">
        <v>2825</v>
      </c>
      <c r="E533" s="10" t="s">
        <v>2755</v>
      </c>
    </row>
    <row r="534" customFormat="false" ht="15" hidden="false" customHeight="false" outlineLevel="0" collapsed="false">
      <c r="A534" s="9" t="s">
        <v>2827</v>
      </c>
      <c r="B534" s="9" t="s">
        <v>2828</v>
      </c>
      <c r="C534" s="10" t="s">
        <v>2691</v>
      </c>
      <c r="D534" s="9" t="s">
        <v>2825</v>
      </c>
      <c r="E534" s="10" t="s">
        <v>2755</v>
      </c>
    </row>
    <row r="535" customFormat="false" ht="15" hidden="false" customHeight="false" outlineLevel="0" collapsed="false">
      <c r="A535" s="9" t="s">
        <v>2829</v>
      </c>
      <c r="B535" s="9" t="s">
        <v>2089</v>
      </c>
      <c r="C535" s="10" t="s">
        <v>2691</v>
      </c>
      <c r="D535" s="9" t="s">
        <v>2825</v>
      </c>
      <c r="E535" s="10" t="s">
        <v>2755</v>
      </c>
    </row>
    <row r="536" customFormat="false" ht="15" hidden="false" customHeight="false" outlineLevel="0" collapsed="false">
      <c r="A536" s="9" t="s">
        <v>2830</v>
      </c>
      <c r="B536" s="9" t="s">
        <v>2365</v>
      </c>
      <c r="C536" s="10" t="s">
        <v>2691</v>
      </c>
      <c r="D536" s="9" t="s">
        <v>2825</v>
      </c>
      <c r="E536" s="10" t="s">
        <v>2755</v>
      </c>
    </row>
    <row r="537" customFormat="false" ht="15" hidden="false" customHeight="false" outlineLevel="0" collapsed="false">
      <c r="A537" s="9" t="s">
        <v>2831</v>
      </c>
      <c r="B537" s="9" t="s">
        <v>2493</v>
      </c>
      <c r="C537" s="10" t="s">
        <v>2691</v>
      </c>
      <c r="D537" s="9" t="s">
        <v>2825</v>
      </c>
      <c r="E537" s="10" t="s">
        <v>2755</v>
      </c>
    </row>
    <row r="538" customFormat="false" ht="15" hidden="false" customHeight="false" outlineLevel="0" collapsed="false">
      <c r="A538" s="9" t="s">
        <v>2832</v>
      </c>
      <c r="B538" s="9" t="s">
        <v>2833</v>
      </c>
      <c r="C538" s="10" t="s">
        <v>2691</v>
      </c>
      <c r="D538" s="9" t="s">
        <v>2825</v>
      </c>
      <c r="E538" s="10" t="s">
        <v>2755</v>
      </c>
    </row>
    <row r="539" customFormat="false" ht="15" hidden="false" customHeight="false" outlineLevel="0" collapsed="false">
      <c r="A539" s="9" t="s">
        <v>2834</v>
      </c>
      <c r="B539" s="9" t="s">
        <v>2089</v>
      </c>
      <c r="C539" s="10" t="s">
        <v>2691</v>
      </c>
      <c r="D539" s="9" t="s">
        <v>2825</v>
      </c>
      <c r="E539" s="10" t="s">
        <v>2755</v>
      </c>
    </row>
    <row r="540" customFormat="false" ht="15" hidden="false" customHeight="false" outlineLevel="0" collapsed="false">
      <c r="A540" s="9" t="s">
        <v>2835</v>
      </c>
      <c r="B540" s="9" t="s">
        <v>2836</v>
      </c>
      <c r="C540" s="10" t="s">
        <v>2691</v>
      </c>
      <c r="D540" s="9" t="s">
        <v>2825</v>
      </c>
      <c r="E540" s="10" t="s">
        <v>2755</v>
      </c>
    </row>
    <row r="541" customFormat="false" ht="15" hidden="false" customHeight="false" outlineLevel="0" collapsed="false">
      <c r="A541" s="9" t="s">
        <v>2837</v>
      </c>
      <c r="B541" s="9" t="s">
        <v>2089</v>
      </c>
      <c r="C541" s="10" t="s">
        <v>2691</v>
      </c>
      <c r="D541" s="9" t="s">
        <v>2825</v>
      </c>
      <c r="E541" s="10" t="s">
        <v>2755</v>
      </c>
    </row>
    <row r="542" customFormat="false" ht="15" hidden="false" customHeight="false" outlineLevel="0" collapsed="false">
      <c r="A542" s="9" t="s">
        <v>2838</v>
      </c>
      <c r="B542" s="9" t="s">
        <v>2125</v>
      </c>
      <c r="C542" s="10" t="s">
        <v>2691</v>
      </c>
      <c r="D542" s="9" t="s">
        <v>2825</v>
      </c>
      <c r="E542" s="10" t="s">
        <v>2755</v>
      </c>
    </row>
    <row r="543" customFormat="false" ht="15" hidden="false" customHeight="false" outlineLevel="0" collapsed="false">
      <c r="A543" s="9" t="s">
        <v>2839</v>
      </c>
      <c r="B543" s="9" t="s">
        <v>2583</v>
      </c>
      <c r="C543" s="10" t="s">
        <v>2691</v>
      </c>
      <c r="D543" s="9" t="s">
        <v>2825</v>
      </c>
      <c r="E543" s="10" t="s">
        <v>2755</v>
      </c>
    </row>
    <row r="544" customFormat="false" ht="15" hidden="false" customHeight="false" outlineLevel="0" collapsed="false">
      <c r="A544" s="9" t="s">
        <v>2840</v>
      </c>
      <c r="B544" s="9" t="s">
        <v>2073</v>
      </c>
      <c r="C544" s="10" t="s">
        <v>2691</v>
      </c>
      <c r="D544" s="9" t="s">
        <v>2825</v>
      </c>
      <c r="E544" s="10" t="s">
        <v>2755</v>
      </c>
    </row>
    <row r="545" customFormat="false" ht="15" hidden="false" customHeight="false" outlineLevel="0" collapsed="false">
      <c r="A545" s="9" t="s">
        <v>2841</v>
      </c>
      <c r="B545" s="9" t="s">
        <v>2274</v>
      </c>
      <c r="C545" s="10" t="s">
        <v>2691</v>
      </c>
      <c r="D545" s="9" t="s">
        <v>2825</v>
      </c>
      <c r="E545" s="10" t="s">
        <v>2755</v>
      </c>
    </row>
    <row r="546" customFormat="false" ht="15" hidden="false" customHeight="false" outlineLevel="0" collapsed="false">
      <c r="A546" s="9" t="s">
        <v>2842</v>
      </c>
      <c r="B546" s="9" t="s">
        <v>2843</v>
      </c>
      <c r="C546" s="10" t="s">
        <v>2691</v>
      </c>
      <c r="D546" s="9" t="s">
        <v>2825</v>
      </c>
      <c r="E546" s="10" t="s">
        <v>2755</v>
      </c>
    </row>
    <row r="547" customFormat="false" ht="15" hidden="false" customHeight="false" outlineLevel="0" collapsed="false">
      <c r="A547" s="9" t="s">
        <v>2844</v>
      </c>
      <c r="B547" s="9" t="s">
        <v>2845</v>
      </c>
      <c r="C547" s="9" t="s">
        <v>10</v>
      </c>
      <c r="D547" s="9" t="s">
        <v>2846</v>
      </c>
      <c r="E547" s="10" t="s">
        <v>2215</v>
      </c>
    </row>
    <row r="548" customFormat="false" ht="15" hidden="false" customHeight="false" outlineLevel="0" collapsed="false">
      <c r="A548" s="9" t="s">
        <v>2847</v>
      </c>
      <c r="B548" s="9" t="s">
        <v>2848</v>
      </c>
      <c r="C548" s="9" t="s">
        <v>10</v>
      </c>
      <c r="D548" s="9" t="s">
        <v>1252</v>
      </c>
      <c r="E548" s="9"/>
    </row>
    <row r="549" customFormat="false" ht="15" hidden="false" customHeight="false" outlineLevel="0" collapsed="false">
      <c r="A549" s="9" t="s">
        <v>2849</v>
      </c>
      <c r="B549" s="9" t="s">
        <v>2125</v>
      </c>
      <c r="C549" s="9" t="s">
        <v>10</v>
      </c>
      <c r="D549" s="9" t="s">
        <v>1257</v>
      </c>
      <c r="E549" s="9"/>
    </row>
    <row r="550" customFormat="false" ht="15" hidden="false" customHeight="false" outlineLevel="0" collapsed="false">
      <c r="A550" s="9" t="s">
        <v>2850</v>
      </c>
      <c r="B550" s="9" t="s">
        <v>2614</v>
      </c>
      <c r="C550" s="9" t="s">
        <v>10</v>
      </c>
      <c r="D550" s="9" t="s">
        <v>1259</v>
      </c>
      <c r="E550" s="9"/>
    </row>
    <row r="551" customFormat="false" ht="15" hidden="false" customHeight="false" outlineLevel="0" collapsed="false">
      <c r="A551" s="9" t="s">
        <v>2851</v>
      </c>
      <c r="B551" s="9" t="s">
        <v>2242</v>
      </c>
      <c r="C551" s="9" t="s">
        <v>10</v>
      </c>
      <c r="D551" s="9" t="s">
        <v>1261</v>
      </c>
      <c r="E551" s="9"/>
    </row>
    <row r="552" customFormat="false" ht="15" hidden="false" customHeight="false" outlineLevel="0" collapsed="false">
      <c r="A552" s="9" t="s">
        <v>2852</v>
      </c>
      <c r="B552" s="9" t="s">
        <v>2176</v>
      </c>
      <c r="C552" s="9" t="s">
        <v>10</v>
      </c>
      <c r="D552" s="9" t="s">
        <v>1263</v>
      </c>
      <c r="E552" s="9"/>
    </row>
    <row r="553" customFormat="false" ht="15" hidden="false" customHeight="false" outlineLevel="0" collapsed="false">
      <c r="A553" s="9" t="s">
        <v>2853</v>
      </c>
      <c r="B553" s="9" t="s">
        <v>2434</v>
      </c>
      <c r="C553" s="9" t="s">
        <v>10</v>
      </c>
      <c r="D553" s="9" t="s">
        <v>1265</v>
      </c>
      <c r="E553" s="9"/>
    </row>
    <row r="554" customFormat="false" ht="15" hidden="false" customHeight="false" outlineLevel="0" collapsed="false">
      <c r="A554" s="9" t="s">
        <v>2854</v>
      </c>
      <c r="B554" s="9" t="s">
        <v>2240</v>
      </c>
      <c r="C554" s="9" t="s">
        <v>10</v>
      </c>
      <c r="D554" s="9" t="s">
        <v>1268</v>
      </c>
      <c r="E554" s="9"/>
    </row>
    <row r="555" customFormat="false" ht="15" hidden="false" customHeight="false" outlineLevel="0" collapsed="false">
      <c r="A555" s="9" t="s">
        <v>2855</v>
      </c>
      <c r="B555" s="9" t="s">
        <v>2614</v>
      </c>
      <c r="C555" s="9" t="s">
        <v>10</v>
      </c>
      <c r="D555" s="9" t="s">
        <v>1269</v>
      </c>
      <c r="E555" s="9"/>
    </row>
    <row r="556" customFormat="false" ht="15" hidden="false" customHeight="false" outlineLevel="0" collapsed="false">
      <c r="A556" s="9" t="s">
        <v>2856</v>
      </c>
      <c r="B556" s="9" t="s">
        <v>2242</v>
      </c>
      <c r="C556" s="9" t="s">
        <v>10</v>
      </c>
      <c r="D556" s="9" t="s">
        <v>1270</v>
      </c>
      <c r="E556" s="9"/>
    </row>
    <row r="557" customFormat="false" ht="15" hidden="false" customHeight="false" outlineLevel="0" collapsed="false">
      <c r="A557" s="9" t="s">
        <v>2857</v>
      </c>
      <c r="B557" s="9" t="s">
        <v>2176</v>
      </c>
      <c r="C557" s="9" t="s">
        <v>10</v>
      </c>
      <c r="D557" s="9" t="s">
        <v>1271</v>
      </c>
      <c r="E557" s="9"/>
    </row>
    <row r="558" customFormat="false" ht="15" hidden="false" customHeight="false" outlineLevel="0" collapsed="false">
      <c r="A558" s="9" t="s">
        <v>2858</v>
      </c>
      <c r="B558" s="9" t="s">
        <v>2254</v>
      </c>
      <c r="C558" s="9" t="s">
        <v>10</v>
      </c>
      <c r="D558" s="9" t="s">
        <v>1272</v>
      </c>
      <c r="E558" s="9"/>
    </row>
    <row r="559" customFormat="false" ht="15" hidden="false" customHeight="false" outlineLevel="0" collapsed="false">
      <c r="A559" s="9" t="s">
        <v>2859</v>
      </c>
      <c r="B559" s="9" t="s">
        <v>2044</v>
      </c>
      <c r="C559" s="9" t="s">
        <v>10</v>
      </c>
      <c r="D559" s="9" t="s">
        <v>1275</v>
      </c>
      <c r="E559" s="9"/>
    </row>
    <row r="560" customFormat="false" ht="15" hidden="false" customHeight="false" outlineLevel="0" collapsed="false">
      <c r="A560" s="9" t="s">
        <v>2860</v>
      </c>
      <c r="B560" s="9" t="s">
        <v>2583</v>
      </c>
      <c r="C560" s="9" t="s">
        <v>10</v>
      </c>
      <c r="D560" s="9" t="s">
        <v>1276</v>
      </c>
      <c r="E560" s="9"/>
    </row>
    <row r="561" customFormat="false" ht="15" hidden="false" customHeight="false" outlineLevel="0" collapsed="false">
      <c r="A561" s="9" t="s">
        <v>2861</v>
      </c>
      <c r="B561" s="9" t="s">
        <v>2176</v>
      </c>
      <c r="C561" s="9" t="s">
        <v>10</v>
      </c>
      <c r="D561" s="9" t="s">
        <v>1277</v>
      </c>
      <c r="E561" s="9"/>
    </row>
    <row r="562" customFormat="false" ht="15" hidden="false" customHeight="false" outlineLevel="0" collapsed="false">
      <c r="A562" s="9" t="s">
        <v>2862</v>
      </c>
      <c r="B562" s="9" t="s">
        <v>2129</v>
      </c>
      <c r="C562" s="9" t="s">
        <v>10</v>
      </c>
      <c r="D562" s="9" t="s">
        <v>1278</v>
      </c>
      <c r="E562" s="9"/>
    </row>
    <row r="563" customFormat="false" ht="15" hidden="false" customHeight="false" outlineLevel="0" collapsed="false">
      <c r="A563" s="9" t="s">
        <v>2863</v>
      </c>
      <c r="B563" s="9" t="s">
        <v>2125</v>
      </c>
      <c r="C563" s="9" t="s">
        <v>10</v>
      </c>
      <c r="D563" s="9" t="s">
        <v>1279</v>
      </c>
      <c r="E563" s="9"/>
    </row>
    <row r="564" customFormat="false" ht="15" hidden="false" customHeight="false" outlineLevel="0" collapsed="false">
      <c r="A564" s="9" t="s">
        <v>2864</v>
      </c>
      <c r="B564" s="9" t="s">
        <v>2129</v>
      </c>
      <c r="C564" s="9" t="s">
        <v>10</v>
      </c>
      <c r="D564" s="9" t="s">
        <v>1282</v>
      </c>
      <c r="E564" s="9"/>
    </row>
    <row r="565" customFormat="false" ht="15" hidden="false" customHeight="false" outlineLevel="0" collapsed="false">
      <c r="A565" s="9" t="s">
        <v>2865</v>
      </c>
      <c r="B565" s="9" t="s">
        <v>2176</v>
      </c>
      <c r="C565" s="9" t="s">
        <v>10</v>
      </c>
      <c r="D565" s="9" t="s">
        <v>1283</v>
      </c>
      <c r="E565" s="9"/>
    </row>
    <row r="566" customFormat="false" ht="15" hidden="false" customHeight="false" outlineLevel="0" collapsed="false">
      <c r="A566" s="9" t="s">
        <v>2866</v>
      </c>
      <c r="B566" s="9" t="s">
        <v>2129</v>
      </c>
      <c r="C566" s="9" t="s">
        <v>10</v>
      </c>
      <c r="D566" s="9" t="s">
        <v>1284</v>
      </c>
      <c r="E566" s="9"/>
    </row>
    <row r="567" customFormat="false" ht="15" hidden="false" customHeight="false" outlineLevel="0" collapsed="false">
      <c r="A567" s="9" t="s">
        <v>2867</v>
      </c>
      <c r="B567" s="9" t="s">
        <v>2044</v>
      </c>
      <c r="C567" s="9" t="s">
        <v>10</v>
      </c>
      <c r="D567" s="9" t="s">
        <v>1285</v>
      </c>
      <c r="E567" s="9"/>
    </row>
    <row r="568" customFormat="false" ht="15" hidden="false" customHeight="false" outlineLevel="0" collapsed="false">
      <c r="A568" s="9" t="s">
        <v>2868</v>
      </c>
      <c r="B568" s="9" t="s">
        <v>2252</v>
      </c>
      <c r="C568" s="9" t="s">
        <v>10</v>
      </c>
      <c r="D568" s="9" t="s">
        <v>1286</v>
      </c>
      <c r="E568" s="9"/>
    </row>
    <row r="569" customFormat="false" ht="15" hidden="false" customHeight="false" outlineLevel="0" collapsed="false">
      <c r="A569" s="9" t="s">
        <v>2869</v>
      </c>
      <c r="B569" s="9" t="s">
        <v>2644</v>
      </c>
      <c r="C569" s="9" t="s">
        <v>10</v>
      </c>
      <c r="D569" s="9" t="s">
        <v>1289</v>
      </c>
      <c r="E569" s="9"/>
    </row>
    <row r="570" customFormat="false" ht="15" hidden="false" customHeight="false" outlineLevel="0" collapsed="false">
      <c r="A570" s="9" t="s">
        <v>2870</v>
      </c>
      <c r="B570" s="9" t="s">
        <v>2583</v>
      </c>
      <c r="C570" s="9" t="s">
        <v>10</v>
      </c>
      <c r="D570" s="9" t="s">
        <v>1290</v>
      </c>
      <c r="E570" s="9"/>
    </row>
    <row r="571" customFormat="false" ht="15" hidden="false" customHeight="false" outlineLevel="0" collapsed="false">
      <c r="A571" s="9" t="s">
        <v>2871</v>
      </c>
      <c r="B571" s="9" t="s">
        <v>2254</v>
      </c>
      <c r="C571" s="9" t="s">
        <v>10</v>
      </c>
      <c r="D571" s="9" t="s">
        <v>1291</v>
      </c>
      <c r="E571" s="9"/>
    </row>
    <row r="572" customFormat="false" ht="15" hidden="false" customHeight="false" outlineLevel="0" collapsed="false">
      <c r="A572" s="9" t="s">
        <v>2872</v>
      </c>
      <c r="B572" s="9" t="s">
        <v>2257</v>
      </c>
      <c r="C572" s="9" t="s">
        <v>10</v>
      </c>
      <c r="D572" s="9" t="s">
        <v>1292</v>
      </c>
      <c r="E572" s="9"/>
    </row>
    <row r="573" customFormat="false" ht="15" hidden="false" customHeight="false" outlineLevel="0" collapsed="false">
      <c r="A573" s="9" t="s">
        <v>2873</v>
      </c>
      <c r="B573" s="9" t="s">
        <v>2089</v>
      </c>
      <c r="C573" s="9" t="s">
        <v>10</v>
      </c>
      <c r="D573" s="9" t="s">
        <v>2874</v>
      </c>
      <c r="E573" s="10" t="s">
        <v>2015</v>
      </c>
    </row>
    <row r="574" customFormat="false" ht="15" hidden="false" customHeight="false" outlineLevel="0" collapsed="false">
      <c r="A574" s="9" t="s">
        <v>2875</v>
      </c>
      <c r="B574" s="9" t="s">
        <v>2497</v>
      </c>
      <c r="C574" s="9" t="s">
        <v>10</v>
      </c>
      <c r="D574" s="9" t="s">
        <v>2874</v>
      </c>
      <c r="E574" s="10" t="s">
        <v>2015</v>
      </c>
    </row>
    <row r="575" customFormat="false" ht="15" hidden="false" customHeight="false" outlineLevel="0" collapsed="false">
      <c r="A575" s="9" t="s">
        <v>2876</v>
      </c>
      <c r="B575" s="9" t="s">
        <v>2877</v>
      </c>
      <c r="C575" s="9" t="s">
        <v>6</v>
      </c>
      <c r="D575" s="9" t="s">
        <v>290</v>
      </c>
      <c r="E575" s="9"/>
    </row>
    <row r="576" customFormat="false" ht="15" hidden="false" customHeight="false" outlineLevel="0" collapsed="false">
      <c r="A576" s="9" t="s">
        <v>2878</v>
      </c>
      <c r="B576" s="9" t="s">
        <v>2014</v>
      </c>
      <c r="C576" s="9" t="s">
        <v>6</v>
      </c>
      <c r="D576" s="9" t="s">
        <v>290</v>
      </c>
      <c r="E576" s="10" t="s">
        <v>2015</v>
      </c>
    </row>
    <row r="577" customFormat="false" ht="15" hidden="false" customHeight="false" outlineLevel="0" collapsed="false">
      <c r="A577" s="9" t="s">
        <v>2879</v>
      </c>
      <c r="B577" s="9" t="s">
        <v>2880</v>
      </c>
      <c r="C577" s="9" t="s">
        <v>6</v>
      </c>
      <c r="D577" s="9" t="s">
        <v>290</v>
      </c>
      <c r="E577" s="10" t="s">
        <v>2015</v>
      </c>
    </row>
    <row r="578" customFormat="false" ht="15" hidden="false" customHeight="false" outlineLevel="0" collapsed="false">
      <c r="A578" s="9" t="s">
        <v>2881</v>
      </c>
      <c r="B578" s="9" t="s">
        <v>2403</v>
      </c>
      <c r="C578" s="9" t="s">
        <v>6</v>
      </c>
      <c r="D578" s="9" t="s">
        <v>290</v>
      </c>
      <c r="E578" s="10" t="s">
        <v>2015</v>
      </c>
    </row>
    <row r="579" customFormat="false" ht="15" hidden="false" customHeight="false" outlineLevel="0" collapsed="false">
      <c r="A579" s="9" t="s">
        <v>2882</v>
      </c>
      <c r="B579" s="9" t="s">
        <v>2883</v>
      </c>
      <c r="C579" s="9" t="s">
        <v>6</v>
      </c>
      <c r="D579" s="9" t="s">
        <v>298</v>
      </c>
      <c r="E579" s="9"/>
    </row>
    <row r="580" customFormat="false" ht="15" hidden="false" customHeight="false" outlineLevel="0" collapsed="false">
      <c r="A580" s="9" t="s">
        <v>2884</v>
      </c>
      <c r="B580" s="9" t="s">
        <v>2014</v>
      </c>
      <c r="C580" s="9" t="s">
        <v>6</v>
      </c>
      <c r="D580" s="9" t="s">
        <v>298</v>
      </c>
      <c r="E580" s="10" t="s">
        <v>2015</v>
      </c>
    </row>
    <row r="581" customFormat="false" ht="15" hidden="false" customHeight="false" outlineLevel="0" collapsed="false">
      <c r="A581" s="9" t="s">
        <v>2885</v>
      </c>
      <c r="B581" s="9" t="s">
        <v>2886</v>
      </c>
      <c r="C581" s="9" t="s">
        <v>6</v>
      </c>
      <c r="D581" s="9" t="s">
        <v>298</v>
      </c>
      <c r="E581" s="10" t="s">
        <v>2015</v>
      </c>
    </row>
    <row r="582" customFormat="false" ht="15" hidden="false" customHeight="false" outlineLevel="0" collapsed="false">
      <c r="A582" s="9" t="s">
        <v>2887</v>
      </c>
      <c r="B582" s="9" t="s">
        <v>2403</v>
      </c>
      <c r="C582" s="9" t="s">
        <v>6</v>
      </c>
      <c r="D582" s="9" t="s">
        <v>298</v>
      </c>
      <c r="E582" s="10" t="s">
        <v>2015</v>
      </c>
    </row>
    <row r="583" customFormat="false" ht="15" hidden="false" customHeight="false" outlineLevel="0" collapsed="false">
      <c r="A583" s="9" t="s">
        <v>2888</v>
      </c>
      <c r="B583" s="9" t="s">
        <v>2653</v>
      </c>
      <c r="C583" s="9" t="s">
        <v>6</v>
      </c>
      <c r="D583" s="9" t="s">
        <v>304</v>
      </c>
      <c r="E583" s="9"/>
    </row>
    <row r="584" customFormat="false" ht="15" hidden="false" customHeight="false" outlineLevel="0" collapsed="false">
      <c r="A584" s="9" t="s">
        <v>2889</v>
      </c>
      <c r="B584" s="9" t="s">
        <v>2014</v>
      </c>
      <c r="C584" s="9" t="s">
        <v>6</v>
      </c>
      <c r="D584" s="9" t="s">
        <v>304</v>
      </c>
      <c r="E584" s="10" t="s">
        <v>2015</v>
      </c>
    </row>
    <row r="585" customFormat="false" ht="15" hidden="false" customHeight="false" outlineLevel="0" collapsed="false">
      <c r="A585" s="9" t="s">
        <v>2890</v>
      </c>
      <c r="B585" s="9" t="s">
        <v>2891</v>
      </c>
      <c r="C585" s="9" t="s">
        <v>6</v>
      </c>
      <c r="D585" s="9" t="s">
        <v>304</v>
      </c>
      <c r="E585" s="10" t="s">
        <v>2015</v>
      </c>
    </row>
    <row r="586" customFormat="false" ht="15" hidden="false" customHeight="false" outlineLevel="0" collapsed="false">
      <c r="A586" s="9" t="s">
        <v>2892</v>
      </c>
      <c r="B586" s="9" t="s">
        <v>2403</v>
      </c>
      <c r="C586" s="9" t="s">
        <v>6</v>
      </c>
      <c r="D586" s="9" t="s">
        <v>304</v>
      </c>
      <c r="E586" s="10" t="s">
        <v>2015</v>
      </c>
    </row>
    <row r="587" customFormat="false" ht="15" hidden="false" customHeight="false" outlineLevel="0" collapsed="false">
      <c r="A587" s="9" t="s">
        <v>2893</v>
      </c>
      <c r="B587" s="9" t="s">
        <v>2129</v>
      </c>
      <c r="C587" s="9" t="s">
        <v>10</v>
      </c>
      <c r="D587" s="9" t="s">
        <v>1293</v>
      </c>
      <c r="E587" s="9"/>
    </row>
    <row r="588" customFormat="false" ht="15" hidden="false" customHeight="false" outlineLevel="0" collapsed="false">
      <c r="A588" s="9" t="s">
        <v>2894</v>
      </c>
      <c r="B588" s="9" t="s">
        <v>2252</v>
      </c>
      <c r="C588" s="9" t="s">
        <v>10</v>
      </c>
      <c r="D588" s="9" t="s">
        <v>1293</v>
      </c>
      <c r="E588" s="9"/>
    </row>
    <row r="589" customFormat="false" ht="15" hidden="false" customHeight="false" outlineLevel="0" collapsed="false">
      <c r="A589" s="9" t="s">
        <v>2895</v>
      </c>
      <c r="B589" s="9" t="s">
        <v>2644</v>
      </c>
      <c r="C589" s="9" t="s">
        <v>10</v>
      </c>
      <c r="D589" s="9" t="s">
        <v>1293</v>
      </c>
      <c r="E589" s="9"/>
    </row>
    <row r="590" customFormat="false" ht="15" hidden="false" customHeight="false" outlineLevel="0" collapsed="false">
      <c r="A590" s="9" t="s">
        <v>2896</v>
      </c>
      <c r="B590" s="9" t="s">
        <v>2089</v>
      </c>
      <c r="C590" s="9" t="s">
        <v>10</v>
      </c>
      <c r="D590" s="9" t="s">
        <v>1293</v>
      </c>
      <c r="E590" s="10" t="s">
        <v>2015</v>
      </c>
    </row>
    <row r="591" customFormat="false" ht="15" hidden="false" customHeight="false" outlineLevel="0" collapsed="false">
      <c r="A591" s="9" t="s">
        <v>2897</v>
      </c>
      <c r="B591" s="9" t="s">
        <v>2898</v>
      </c>
      <c r="C591" s="9" t="s">
        <v>10</v>
      </c>
      <c r="D591" s="9" t="s">
        <v>1293</v>
      </c>
      <c r="E591" s="10" t="s">
        <v>2015</v>
      </c>
    </row>
    <row r="592" customFormat="false" ht="15" hidden="false" customHeight="false" outlineLevel="0" collapsed="false">
      <c r="A592" s="9" t="s">
        <v>2899</v>
      </c>
      <c r="B592" s="9" t="s">
        <v>2497</v>
      </c>
      <c r="C592" s="9" t="s">
        <v>10</v>
      </c>
      <c r="D592" s="9" t="s">
        <v>1293</v>
      </c>
      <c r="E592" s="10" t="s">
        <v>2015</v>
      </c>
    </row>
    <row r="593" customFormat="false" ht="15" hidden="false" customHeight="false" outlineLevel="0" collapsed="false">
      <c r="A593" s="9" t="s">
        <v>2900</v>
      </c>
      <c r="B593" s="9" t="s">
        <v>2024</v>
      </c>
      <c r="C593" s="10" t="s">
        <v>2901</v>
      </c>
      <c r="D593" s="9" t="s">
        <v>2902</v>
      </c>
      <c r="E593" s="10" t="s">
        <v>2903</v>
      </c>
    </row>
    <row r="594" customFormat="false" ht="15" hidden="false" customHeight="false" outlineLevel="0" collapsed="false">
      <c r="A594" s="9" t="s">
        <v>2904</v>
      </c>
      <c r="B594" s="9" t="s">
        <v>2014</v>
      </c>
      <c r="C594" s="10" t="s">
        <v>2901</v>
      </c>
      <c r="D594" s="9" t="s">
        <v>2902</v>
      </c>
      <c r="E594" s="10" t="s">
        <v>2905</v>
      </c>
    </row>
    <row r="595" customFormat="false" ht="15" hidden="false" customHeight="false" outlineLevel="0" collapsed="false">
      <c r="A595" s="9" t="s">
        <v>2906</v>
      </c>
      <c r="B595" s="9" t="s">
        <v>2907</v>
      </c>
      <c r="C595" s="10" t="s">
        <v>2901</v>
      </c>
      <c r="D595" s="9" t="s">
        <v>2902</v>
      </c>
      <c r="E595" s="10" t="s">
        <v>2905</v>
      </c>
    </row>
    <row r="596" customFormat="false" ht="15" hidden="false" customHeight="false" outlineLevel="0" collapsed="false">
      <c r="A596" s="9" t="s">
        <v>2908</v>
      </c>
      <c r="B596" s="9" t="s">
        <v>2403</v>
      </c>
      <c r="C596" s="10" t="s">
        <v>2901</v>
      </c>
      <c r="D596" s="9" t="s">
        <v>2902</v>
      </c>
      <c r="E596" s="10" t="s">
        <v>2905</v>
      </c>
    </row>
    <row r="597" customFormat="false" ht="15" hidden="false" customHeight="false" outlineLevel="0" collapsed="false">
      <c r="A597" s="9" t="s">
        <v>2909</v>
      </c>
      <c r="B597" s="9" t="s">
        <v>2910</v>
      </c>
      <c r="C597" s="9" t="s">
        <v>6</v>
      </c>
      <c r="D597" s="9" t="s">
        <v>309</v>
      </c>
      <c r="E597" s="9"/>
    </row>
    <row r="598" customFormat="false" ht="15" hidden="false" customHeight="false" outlineLevel="0" collapsed="false">
      <c r="A598" s="9" t="s">
        <v>2911</v>
      </c>
      <c r="B598" s="9" t="s">
        <v>2912</v>
      </c>
      <c r="C598" s="9" t="s">
        <v>6</v>
      </c>
      <c r="D598" s="9" t="s">
        <v>309</v>
      </c>
      <c r="E598" s="9"/>
    </row>
    <row r="599" customFormat="false" ht="15" hidden="false" customHeight="false" outlineLevel="0" collapsed="false">
      <c r="A599" s="9" t="s">
        <v>2913</v>
      </c>
      <c r="B599" s="9" t="s">
        <v>2014</v>
      </c>
      <c r="C599" s="9" t="s">
        <v>6</v>
      </c>
      <c r="D599" s="9" t="s">
        <v>309</v>
      </c>
      <c r="E599" s="10" t="s">
        <v>2015</v>
      </c>
    </row>
    <row r="600" customFormat="false" ht="15" hidden="false" customHeight="false" outlineLevel="0" collapsed="false">
      <c r="A600" s="9" t="s">
        <v>2914</v>
      </c>
      <c r="B600" s="9" t="s">
        <v>2915</v>
      </c>
      <c r="C600" s="9" t="s">
        <v>6</v>
      </c>
      <c r="D600" s="9" t="s">
        <v>309</v>
      </c>
      <c r="E600" s="10" t="s">
        <v>2015</v>
      </c>
    </row>
    <row r="601" customFormat="false" ht="15" hidden="false" customHeight="false" outlineLevel="0" collapsed="false">
      <c r="A601" s="9" t="s">
        <v>2916</v>
      </c>
      <c r="B601" s="9" t="s">
        <v>2917</v>
      </c>
      <c r="C601" s="9" t="s">
        <v>6</v>
      </c>
      <c r="D601" s="9" t="s">
        <v>316</v>
      </c>
      <c r="E601" s="9"/>
    </row>
    <row r="602" customFormat="false" ht="15" hidden="false" customHeight="false" outlineLevel="0" collapsed="false">
      <c r="A602" s="9" t="s">
        <v>2918</v>
      </c>
      <c r="B602" s="9" t="s">
        <v>2919</v>
      </c>
      <c r="C602" s="9" t="s">
        <v>6</v>
      </c>
      <c r="D602" s="9" t="s">
        <v>316</v>
      </c>
      <c r="E602" s="9"/>
    </row>
    <row r="603" customFormat="false" ht="15" hidden="false" customHeight="false" outlineLevel="0" collapsed="false">
      <c r="A603" s="9" t="s">
        <v>2920</v>
      </c>
      <c r="B603" s="9" t="s">
        <v>2921</v>
      </c>
      <c r="C603" s="9" t="s">
        <v>6</v>
      </c>
      <c r="D603" s="9" t="s">
        <v>316</v>
      </c>
      <c r="E603" s="9"/>
    </row>
    <row r="604" customFormat="false" ht="15" hidden="false" customHeight="false" outlineLevel="0" collapsed="false">
      <c r="A604" s="9" t="s">
        <v>2922</v>
      </c>
      <c r="B604" s="9" t="s">
        <v>2014</v>
      </c>
      <c r="C604" s="9" t="s">
        <v>6</v>
      </c>
      <c r="D604" s="9" t="s">
        <v>316</v>
      </c>
      <c r="E604" s="10" t="s">
        <v>2015</v>
      </c>
    </row>
    <row r="605" customFormat="false" ht="15" hidden="false" customHeight="false" outlineLevel="0" collapsed="false">
      <c r="A605" s="9" t="s">
        <v>2923</v>
      </c>
      <c r="B605" s="9" t="s">
        <v>2611</v>
      </c>
      <c r="C605" s="9" t="s">
        <v>6</v>
      </c>
      <c r="D605" s="9" t="s">
        <v>316</v>
      </c>
      <c r="E605" s="10" t="s">
        <v>2015</v>
      </c>
    </row>
    <row r="606" customFormat="false" ht="15" hidden="false" customHeight="false" outlineLevel="0" collapsed="false">
      <c r="A606" s="9" t="s">
        <v>2924</v>
      </c>
      <c r="B606" s="9" t="s">
        <v>2925</v>
      </c>
      <c r="C606" s="10" t="s">
        <v>2057</v>
      </c>
      <c r="D606" s="9" t="s">
        <v>2926</v>
      </c>
      <c r="E606" s="9" t="s">
        <v>2927</v>
      </c>
    </row>
    <row r="607" customFormat="false" ht="15" hidden="false" customHeight="false" outlineLevel="0" collapsed="false">
      <c r="A607" s="9" t="s">
        <v>2928</v>
      </c>
      <c r="B607" s="9" t="s">
        <v>2067</v>
      </c>
      <c r="C607" s="10" t="s">
        <v>2057</v>
      </c>
      <c r="D607" s="9" t="s">
        <v>2926</v>
      </c>
      <c r="E607" s="9" t="s">
        <v>2927</v>
      </c>
    </row>
    <row r="608" customFormat="false" ht="15" hidden="false" customHeight="false" outlineLevel="0" collapsed="false">
      <c r="A608" s="9" t="s">
        <v>2929</v>
      </c>
      <c r="B608" s="9" t="s">
        <v>2930</v>
      </c>
      <c r="C608" s="10" t="s">
        <v>1986</v>
      </c>
      <c r="D608" s="9" t="s">
        <v>59</v>
      </c>
      <c r="E608" s="10" t="s">
        <v>2931</v>
      </c>
    </row>
    <row r="609" customFormat="false" ht="15" hidden="false" customHeight="false" outlineLevel="0" collapsed="false">
      <c r="A609" s="9" t="s">
        <v>2932</v>
      </c>
      <c r="B609" s="9" t="s">
        <v>2933</v>
      </c>
      <c r="C609" s="10" t="s">
        <v>1986</v>
      </c>
      <c r="D609" s="9" t="s">
        <v>59</v>
      </c>
      <c r="E609" s="10" t="s">
        <v>2934</v>
      </c>
    </row>
    <row r="610" customFormat="false" ht="15" hidden="false" customHeight="false" outlineLevel="0" collapsed="false">
      <c r="A610" s="9" t="s">
        <v>2935</v>
      </c>
      <c r="B610" s="9" t="s">
        <v>2936</v>
      </c>
      <c r="C610" s="9" t="s">
        <v>6</v>
      </c>
      <c r="D610" s="10" t="s">
        <v>2937</v>
      </c>
      <c r="E610" s="10" t="s">
        <v>2938</v>
      </c>
    </row>
    <row r="611" customFormat="false" ht="15" hidden="false" customHeight="false" outlineLevel="0" collapsed="false">
      <c r="A611" s="9" t="s">
        <v>2939</v>
      </c>
      <c r="B611" s="9" t="s">
        <v>2019</v>
      </c>
      <c r="C611" s="10" t="s">
        <v>2901</v>
      </c>
      <c r="D611" s="9" t="s">
        <v>2940</v>
      </c>
      <c r="E611" s="9" t="s">
        <v>2941</v>
      </c>
    </row>
    <row r="612" customFormat="false" ht="15" hidden="false" customHeight="false" outlineLevel="0" collapsed="false">
      <c r="A612" s="9" t="s">
        <v>2942</v>
      </c>
      <c r="B612" s="9" t="s">
        <v>2722</v>
      </c>
      <c r="C612" s="10" t="s">
        <v>2901</v>
      </c>
      <c r="D612" s="9" t="s">
        <v>273</v>
      </c>
      <c r="E612" s="9" t="s">
        <v>2943</v>
      </c>
    </row>
    <row r="613" customFormat="false" ht="15" hidden="false" customHeight="false" outlineLevel="0" collapsed="false">
      <c r="A613" s="9" t="s">
        <v>2944</v>
      </c>
      <c r="B613" s="9" t="s">
        <v>2945</v>
      </c>
      <c r="C613" s="10" t="s">
        <v>2057</v>
      </c>
      <c r="D613" s="9" t="s">
        <v>2946</v>
      </c>
      <c r="E613" s="9" t="s">
        <v>2947</v>
      </c>
    </row>
    <row r="614" customFormat="false" ht="15" hidden="false" customHeight="false" outlineLevel="0" collapsed="false">
      <c r="A614" s="9" t="s">
        <v>2948</v>
      </c>
      <c r="B614" s="9" t="s">
        <v>2949</v>
      </c>
      <c r="C614" s="10" t="s">
        <v>2057</v>
      </c>
      <c r="D614" s="9" t="s">
        <v>2946</v>
      </c>
      <c r="E614" s="9" t="s">
        <v>2947</v>
      </c>
    </row>
    <row r="615" customFormat="false" ht="15" hidden="false" customHeight="false" outlineLevel="0" collapsed="false">
      <c r="A615" s="9" t="s">
        <v>2950</v>
      </c>
      <c r="B615" s="9" t="s">
        <v>2951</v>
      </c>
      <c r="C615" s="10" t="s">
        <v>2057</v>
      </c>
      <c r="D615" s="9" t="s">
        <v>2946</v>
      </c>
      <c r="E615" s="9" t="s">
        <v>2947</v>
      </c>
    </row>
    <row r="616" customFormat="false" ht="15" hidden="false" customHeight="false" outlineLevel="0" collapsed="false">
      <c r="A616" s="9" t="s">
        <v>2952</v>
      </c>
      <c r="B616" s="9" t="s">
        <v>2724</v>
      </c>
      <c r="C616" s="10" t="s">
        <v>2901</v>
      </c>
      <c r="D616" s="9" t="s">
        <v>280</v>
      </c>
      <c r="E616" s="9" t="s">
        <v>2953</v>
      </c>
    </row>
    <row r="617" customFormat="false" ht="15" hidden="false" customHeight="false" outlineLevel="0" collapsed="false">
      <c r="A617" s="9" t="s">
        <v>2954</v>
      </c>
      <c r="B617" s="9" t="s">
        <v>2955</v>
      </c>
      <c r="C617" s="10" t="s">
        <v>2901</v>
      </c>
      <c r="D617" s="9" t="s">
        <v>273</v>
      </c>
      <c r="E617" s="10" t="s">
        <v>2905</v>
      </c>
    </row>
    <row r="618" customFormat="false" ht="15" hidden="false" customHeight="false" outlineLevel="0" collapsed="false">
      <c r="A618" s="9" t="s">
        <v>2956</v>
      </c>
      <c r="B618" s="9" t="s">
        <v>2957</v>
      </c>
      <c r="C618" s="10" t="s">
        <v>2901</v>
      </c>
      <c r="D618" s="9" t="s">
        <v>273</v>
      </c>
      <c r="E618" s="10" t="s">
        <v>2905</v>
      </c>
    </row>
    <row r="619" customFormat="false" ht="15" hidden="false" customHeight="false" outlineLevel="0" collapsed="false">
      <c r="A619" s="9" t="s">
        <v>2958</v>
      </c>
      <c r="B619" s="9" t="s">
        <v>2959</v>
      </c>
      <c r="C619" s="9" t="s">
        <v>6</v>
      </c>
      <c r="D619" s="9" t="s">
        <v>322</v>
      </c>
      <c r="E619" s="9"/>
    </row>
    <row r="620" customFormat="false" ht="15" hidden="false" customHeight="false" outlineLevel="0" collapsed="false">
      <c r="A620" s="9" t="s">
        <v>2960</v>
      </c>
      <c r="B620" s="9" t="s">
        <v>2014</v>
      </c>
      <c r="C620" s="9" t="s">
        <v>6</v>
      </c>
      <c r="D620" s="9" t="s">
        <v>322</v>
      </c>
      <c r="E620" s="10" t="s">
        <v>2015</v>
      </c>
    </row>
    <row r="621" customFormat="false" ht="15" hidden="false" customHeight="false" outlineLevel="0" collapsed="false">
      <c r="A621" s="9" t="s">
        <v>2961</v>
      </c>
      <c r="B621" s="9" t="s">
        <v>2962</v>
      </c>
      <c r="C621" s="9" t="s">
        <v>6</v>
      </c>
      <c r="D621" s="9" t="s">
        <v>322</v>
      </c>
      <c r="E621" s="10" t="s">
        <v>2015</v>
      </c>
    </row>
    <row r="622" customFormat="false" ht="15" hidden="false" customHeight="false" outlineLevel="0" collapsed="false">
      <c r="A622" s="9" t="s">
        <v>2963</v>
      </c>
      <c r="B622" s="9" t="s">
        <v>2964</v>
      </c>
      <c r="C622" s="10" t="s">
        <v>2901</v>
      </c>
      <c r="D622" s="9" t="s">
        <v>327</v>
      </c>
      <c r="E622" s="10" t="s">
        <v>2965</v>
      </c>
    </row>
    <row r="623" customFormat="false" ht="15" hidden="false" customHeight="false" outlineLevel="0" collapsed="false">
      <c r="A623" s="9" t="s">
        <v>2966</v>
      </c>
      <c r="B623" s="9" t="s">
        <v>2014</v>
      </c>
      <c r="C623" s="10" t="s">
        <v>2901</v>
      </c>
      <c r="D623" s="9" t="s">
        <v>327</v>
      </c>
      <c r="E623" s="10" t="s">
        <v>2905</v>
      </c>
    </row>
    <row r="624" customFormat="false" ht="15" hidden="false" customHeight="false" outlineLevel="0" collapsed="false">
      <c r="A624" s="9" t="s">
        <v>2967</v>
      </c>
      <c r="B624" s="9" t="s">
        <v>2962</v>
      </c>
      <c r="C624" s="10" t="s">
        <v>2901</v>
      </c>
      <c r="D624" s="9" t="s">
        <v>327</v>
      </c>
      <c r="E624" s="10" t="s">
        <v>2905</v>
      </c>
    </row>
    <row r="625" customFormat="false" ht="15" hidden="false" customHeight="false" outlineLevel="0" collapsed="false">
      <c r="A625" s="9" t="s">
        <v>2968</v>
      </c>
      <c r="B625" s="9" t="s">
        <v>2969</v>
      </c>
      <c r="C625" s="9" t="s">
        <v>6</v>
      </c>
      <c r="D625" s="9" t="s">
        <v>334</v>
      </c>
      <c r="E625" s="9"/>
    </row>
    <row r="626" customFormat="false" ht="15" hidden="false" customHeight="false" outlineLevel="0" collapsed="false">
      <c r="A626" s="9" t="s">
        <v>2970</v>
      </c>
      <c r="B626" s="9" t="s">
        <v>2014</v>
      </c>
      <c r="C626" s="9" t="s">
        <v>6</v>
      </c>
      <c r="D626" s="9" t="s">
        <v>334</v>
      </c>
      <c r="E626" s="10" t="s">
        <v>2015</v>
      </c>
    </row>
    <row r="627" customFormat="false" ht="15" hidden="false" customHeight="false" outlineLevel="0" collapsed="false">
      <c r="A627" s="9" t="s">
        <v>2971</v>
      </c>
      <c r="B627" s="9" t="s">
        <v>2972</v>
      </c>
      <c r="C627" s="9" t="s">
        <v>6</v>
      </c>
      <c r="D627" s="9" t="s">
        <v>334</v>
      </c>
      <c r="E627" s="10" t="s">
        <v>2015</v>
      </c>
    </row>
    <row r="628" customFormat="false" ht="15" hidden="false" customHeight="false" outlineLevel="0" collapsed="false">
      <c r="A628" s="9" t="s">
        <v>2973</v>
      </c>
      <c r="B628" s="9" t="s">
        <v>2974</v>
      </c>
      <c r="C628" s="10" t="s">
        <v>1986</v>
      </c>
      <c r="D628" s="9" t="s">
        <v>59</v>
      </c>
      <c r="E628" s="10" t="s">
        <v>2975</v>
      </c>
    </row>
    <row r="629" customFormat="false" ht="15" hidden="false" customHeight="false" outlineLevel="0" collapsed="false">
      <c r="A629" s="9" t="s">
        <v>2976</v>
      </c>
      <c r="B629" s="9" t="s">
        <v>2977</v>
      </c>
      <c r="C629" s="10" t="s">
        <v>1986</v>
      </c>
      <c r="D629" s="9" t="s">
        <v>59</v>
      </c>
      <c r="E629" s="10" t="s">
        <v>2975</v>
      </c>
    </row>
    <row r="630" customFormat="false" ht="15" hidden="false" customHeight="false" outlineLevel="0" collapsed="false">
      <c r="A630" s="9" t="s">
        <v>2978</v>
      </c>
      <c r="B630" s="9" t="s">
        <v>2979</v>
      </c>
      <c r="C630" s="10" t="s">
        <v>1986</v>
      </c>
      <c r="D630" s="9" t="s">
        <v>59</v>
      </c>
      <c r="E630" s="10" t="s">
        <v>2975</v>
      </c>
    </row>
    <row r="631" customFormat="false" ht="15" hidden="false" customHeight="false" outlineLevel="0" collapsed="false">
      <c r="A631" s="9" t="s">
        <v>2980</v>
      </c>
      <c r="B631" s="9" t="s">
        <v>2981</v>
      </c>
      <c r="C631" s="10" t="s">
        <v>1986</v>
      </c>
      <c r="D631" s="9" t="s">
        <v>59</v>
      </c>
      <c r="E631" s="10" t="s">
        <v>2982</v>
      </c>
    </row>
    <row r="632" customFormat="false" ht="15" hidden="false" customHeight="false" outlineLevel="0" collapsed="false">
      <c r="A632" s="9" t="s">
        <v>2983</v>
      </c>
      <c r="B632" s="9" t="s">
        <v>2093</v>
      </c>
      <c r="C632" s="10" t="s">
        <v>2901</v>
      </c>
      <c r="D632" s="9" t="s">
        <v>59</v>
      </c>
      <c r="E632" s="9" t="s">
        <v>2984</v>
      </c>
    </row>
    <row r="633" customFormat="false" ht="15" hidden="false" customHeight="false" outlineLevel="0" collapsed="false">
      <c r="A633" s="9" t="s">
        <v>2985</v>
      </c>
      <c r="B633" s="9" t="s">
        <v>2148</v>
      </c>
      <c r="C633" s="10" t="s">
        <v>2901</v>
      </c>
      <c r="D633" s="9" t="s">
        <v>2986</v>
      </c>
      <c r="E633" s="10" t="s">
        <v>2987</v>
      </c>
    </row>
    <row r="634" customFormat="false" ht="15" hidden="false" customHeight="false" outlineLevel="0" collapsed="false">
      <c r="A634" s="9" t="s">
        <v>2988</v>
      </c>
      <c r="B634" s="9" t="s">
        <v>2670</v>
      </c>
      <c r="C634" s="10" t="s">
        <v>2901</v>
      </c>
      <c r="D634" s="9" t="s">
        <v>2989</v>
      </c>
      <c r="E634" s="10" t="s">
        <v>2987</v>
      </c>
    </row>
    <row r="635" customFormat="false" ht="15" hidden="false" customHeight="false" outlineLevel="0" collapsed="false">
      <c r="A635" s="9" t="s">
        <v>2990</v>
      </c>
      <c r="B635" s="9" t="s">
        <v>2374</v>
      </c>
      <c r="C635" s="10" t="s">
        <v>2901</v>
      </c>
      <c r="D635" s="9" t="s">
        <v>2991</v>
      </c>
      <c r="E635" s="10" t="s">
        <v>2987</v>
      </c>
    </row>
    <row r="636" customFormat="false" ht="15" hidden="false" customHeight="false" outlineLevel="0" collapsed="false">
      <c r="A636" s="9" t="s">
        <v>2992</v>
      </c>
      <c r="B636" s="9" t="s">
        <v>2680</v>
      </c>
      <c r="C636" s="10" t="s">
        <v>2901</v>
      </c>
      <c r="D636" s="9" t="s">
        <v>2993</v>
      </c>
      <c r="E636" s="10" t="s">
        <v>2987</v>
      </c>
    </row>
    <row r="637" customFormat="false" ht="15" hidden="false" customHeight="false" outlineLevel="0" collapsed="false">
      <c r="A637" s="9" t="s">
        <v>2994</v>
      </c>
      <c r="B637" s="9" t="s">
        <v>2369</v>
      </c>
      <c r="C637" s="10" t="s">
        <v>2901</v>
      </c>
      <c r="D637" s="9" t="s">
        <v>2995</v>
      </c>
      <c r="E637" s="10" t="s">
        <v>2987</v>
      </c>
    </row>
    <row r="638" customFormat="false" ht="15" hidden="false" customHeight="false" outlineLevel="0" collapsed="false">
      <c r="A638" s="9" t="s">
        <v>2996</v>
      </c>
      <c r="B638" s="9" t="s">
        <v>2014</v>
      </c>
      <c r="C638" s="10" t="s">
        <v>2901</v>
      </c>
      <c r="D638" s="9" t="s">
        <v>2997</v>
      </c>
      <c r="E638" s="10" t="s">
        <v>2905</v>
      </c>
    </row>
    <row r="639" customFormat="false" ht="15" hidden="false" customHeight="false" outlineLevel="0" collapsed="false">
      <c r="A639" s="9" t="s">
        <v>2998</v>
      </c>
      <c r="B639" s="9" t="s">
        <v>2999</v>
      </c>
      <c r="C639" s="10" t="s">
        <v>2901</v>
      </c>
      <c r="D639" s="9" t="s">
        <v>2997</v>
      </c>
      <c r="E639" s="10" t="s">
        <v>2905</v>
      </c>
    </row>
    <row r="640" customFormat="false" ht="15" hidden="false" customHeight="false" outlineLevel="0" collapsed="false">
      <c r="A640" s="9" t="s">
        <v>3000</v>
      </c>
      <c r="B640" s="9" t="s">
        <v>3001</v>
      </c>
      <c r="C640" s="10" t="s">
        <v>1986</v>
      </c>
      <c r="D640" s="9" t="s">
        <v>59</v>
      </c>
      <c r="E640" s="10" t="s">
        <v>3002</v>
      </c>
    </row>
    <row r="641" customFormat="false" ht="15" hidden="false" customHeight="false" outlineLevel="0" collapsed="false">
      <c r="A641" s="9" t="s">
        <v>3003</v>
      </c>
      <c r="B641" s="9" t="s">
        <v>3004</v>
      </c>
      <c r="C641" s="9" t="s">
        <v>10</v>
      </c>
      <c r="D641" s="9" t="s">
        <v>1297</v>
      </c>
      <c r="E641" s="9"/>
    </row>
    <row r="642" customFormat="false" ht="15" hidden="false" customHeight="false" outlineLevel="0" collapsed="false">
      <c r="A642" s="9" t="s">
        <v>3005</v>
      </c>
      <c r="B642" s="9" t="s">
        <v>3006</v>
      </c>
      <c r="C642" s="10" t="s">
        <v>1986</v>
      </c>
      <c r="D642" s="9" t="s">
        <v>59</v>
      </c>
      <c r="E642" s="10" t="s">
        <v>3007</v>
      </c>
    </row>
    <row r="643" customFormat="false" ht="15" hidden="false" customHeight="false" outlineLevel="0" collapsed="false">
      <c r="A643" s="9" t="s">
        <v>3008</v>
      </c>
      <c r="B643" s="9" t="s">
        <v>3004</v>
      </c>
      <c r="C643" s="10" t="s">
        <v>1986</v>
      </c>
      <c r="D643" s="9" t="s">
        <v>59</v>
      </c>
      <c r="E643" s="10" t="s">
        <v>3007</v>
      </c>
    </row>
    <row r="644" customFormat="false" ht="15" hidden="false" customHeight="false" outlineLevel="0" collapsed="false">
      <c r="A644" s="9" t="s">
        <v>3009</v>
      </c>
      <c r="B644" s="9" t="s">
        <v>2342</v>
      </c>
      <c r="C644" s="9" t="s">
        <v>10</v>
      </c>
      <c r="D644" s="9" t="s">
        <v>1297</v>
      </c>
      <c r="E644" s="10" t="s">
        <v>2015</v>
      </c>
    </row>
    <row r="645" customFormat="false" ht="15" hidden="false" customHeight="false" outlineLevel="0" collapsed="false">
      <c r="A645" s="9" t="s">
        <v>3010</v>
      </c>
      <c r="B645" s="9" t="s">
        <v>3011</v>
      </c>
      <c r="C645" s="9" t="s">
        <v>10</v>
      </c>
      <c r="D645" s="9" t="s">
        <v>1297</v>
      </c>
      <c r="E645" s="10" t="s">
        <v>2015</v>
      </c>
    </row>
    <row r="646" customFormat="false" ht="15" hidden="false" customHeight="false" outlineLevel="0" collapsed="false">
      <c r="A646" s="9" t="s">
        <v>3012</v>
      </c>
      <c r="B646" s="9" t="s">
        <v>3013</v>
      </c>
      <c r="C646" s="9" t="s">
        <v>6</v>
      </c>
      <c r="D646" s="9" t="s">
        <v>340</v>
      </c>
      <c r="E646" s="9"/>
    </row>
    <row r="647" customFormat="false" ht="15" hidden="false" customHeight="false" outlineLevel="0" collapsed="false">
      <c r="A647" s="9" t="s">
        <v>3014</v>
      </c>
      <c r="B647" s="9" t="s">
        <v>399</v>
      </c>
      <c r="C647" s="9" t="s">
        <v>10</v>
      </c>
      <c r="D647" s="9" t="s">
        <v>1304</v>
      </c>
      <c r="E647" s="9"/>
    </row>
    <row r="648" customFormat="false" ht="15" hidden="false" customHeight="false" outlineLevel="0" collapsed="false">
      <c r="A648" s="9" t="s">
        <v>3015</v>
      </c>
      <c r="B648" s="9" t="s">
        <v>1006</v>
      </c>
      <c r="C648" s="9" t="s">
        <v>10</v>
      </c>
      <c r="D648" s="9" t="s">
        <v>1308</v>
      </c>
      <c r="E648" s="9"/>
    </row>
    <row r="649" customFormat="false" ht="15" hidden="false" customHeight="false" outlineLevel="0" collapsed="false">
      <c r="A649" s="9" t="s">
        <v>3016</v>
      </c>
      <c r="B649" s="9" t="s">
        <v>2712</v>
      </c>
      <c r="C649" s="10" t="s">
        <v>1986</v>
      </c>
      <c r="D649" s="9" t="s">
        <v>59</v>
      </c>
      <c r="E649" s="9" t="s">
        <v>3017</v>
      </c>
    </row>
    <row r="650" customFormat="false" ht="15" hidden="false" customHeight="false" outlineLevel="0" collapsed="false">
      <c r="A650" s="9" t="s">
        <v>3018</v>
      </c>
      <c r="B650" s="9" t="s">
        <v>3019</v>
      </c>
      <c r="C650" s="9" t="s">
        <v>6</v>
      </c>
      <c r="D650" s="9" t="s">
        <v>340</v>
      </c>
      <c r="E650" s="10" t="s">
        <v>2015</v>
      </c>
    </row>
    <row r="651" customFormat="false" ht="15" hidden="false" customHeight="false" outlineLevel="0" collapsed="false">
      <c r="A651" s="9" t="s">
        <v>3020</v>
      </c>
      <c r="B651" s="9" t="s">
        <v>3021</v>
      </c>
      <c r="C651" s="9" t="s">
        <v>6</v>
      </c>
      <c r="D651" s="9" t="s">
        <v>340</v>
      </c>
      <c r="E651" s="10" t="s">
        <v>2015</v>
      </c>
    </row>
    <row r="652" customFormat="false" ht="15" hidden="false" customHeight="false" outlineLevel="0" collapsed="false">
      <c r="A652" s="9" t="s">
        <v>3022</v>
      </c>
      <c r="B652" s="9" t="s">
        <v>3023</v>
      </c>
      <c r="C652" s="9" t="s">
        <v>6</v>
      </c>
      <c r="D652" s="9" t="s">
        <v>346</v>
      </c>
      <c r="E652" s="9"/>
    </row>
    <row r="653" customFormat="false" ht="15" hidden="false" customHeight="false" outlineLevel="0" collapsed="false">
      <c r="A653" s="9" t="s">
        <v>3024</v>
      </c>
      <c r="B653" s="9" t="s">
        <v>1000</v>
      </c>
      <c r="C653" s="9" t="s">
        <v>6</v>
      </c>
      <c r="D653" s="9" t="s">
        <v>354</v>
      </c>
      <c r="E653" s="9"/>
    </row>
    <row r="654" customFormat="false" ht="15" hidden="false" customHeight="false" outlineLevel="0" collapsed="false">
      <c r="A654" s="9" t="s">
        <v>3025</v>
      </c>
      <c r="B654" s="9" t="s">
        <v>3026</v>
      </c>
      <c r="C654" s="9" t="s">
        <v>6</v>
      </c>
      <c r="D654" s="9" t="s">
        <v>358</v>
      </c>
      <c r="E654" s="9"/>
    </row>
    <row r="655" customFormat="false" ht="15" hidden="false" customHeight="false" outlineLevel="0" collapsed="false">
      <c r="A655" s="9" t="s">
        <v>3027</v>
      </c>
      <c r="B655" s="9" t="s">
        <v>3028</v>
      </c>
      <c r="C655" s="10" t="s">
        <v>2057</v>
      </c>
      <c r="D655" s="9" t="s">
        <v>3029</v>
      </c>
      <c r="E655" s="9" t="s">
        <v>3030</v>
      </c>
    </row>
    <row r="656" customFormat="false" ht="15" hidden="false" customHeight="false" outlineLevel="0" collapsed="false">
      <c r="A656" s="9" t="s">
        <v>3031</v>
      </c>
      <c r="B656" s="9" t="s">
        <v>2014</v>
      </c>
      <c r="C656" s="9" t="s">
        <v>6</v>
      </c>
      <c r="D656" s="9" t="s">
        <v>346</v>
      </c>
      <c r="E656" s="10" t="s">
        <v>2015</v>
      </c>
    </row>
    <row r="657" customFormat="false" ht="15" hidden="false" customHeight="false" outlineLevel="0" collapsed="false">
      <c r="A657" s="9" t="s">
        <v>3032</v>
      </c>
      <c r="B657" s="9" t="s">
        <v>3033</v>
      </c>
      <c r="C657" s="9" t="s">
        <v>6</v>
      </c>
      <c r="D657" s="9" t="s">
        <v>346</v>
      </c>
      <c r="E657" s="10" t="s">
        <v>2015</v>
      </c>
    </row>
    <row r="658" customFormat="false" ht="15" hidden="false" customHeight="false" outlineLevel="0" collapsed="false">
      <c r="A658" s="9" t="s">
        <v>3034</v>
      </c>
      <c r="B658" s="9" t="s">
        <v>2653</v>
      </c>
      <c r="C658" s="9" t="s">
        <v>6</v>
      </c>
      <c r="D658" s="9" t="s">
        <v>361</v>
      </c>
      <c r="E658" s="9"/>
    </row>
    <row r="659" customFormat="false" ht="15" hidden="false" customHeight="false" outlineLevel="0" collapsed="false">
      <c r="A659" s="9" t="s">
        <v>3035</v>
      </c>
      <c r="B659" s="9" t="s">
        <v>2078</v>
      </c>
      <c r="C659" s="9" t="s">
        <v>6</v>
      </c>
      <c r="D659" s="9" t="s">
        <v>366</v>
      </c>
      <c r="E659" s="9"/>
    </row>
    <row r="660" customFormat="false" ht="15" hidden="false" customHeight="false" outlineLevel="0" collapsed="false">
      <c r="A660" s="9" t="s">
        <v>3036</v>
      </c>
      <c r="B660" s="9" t="s">
        <v>399</v>
      </c>
      <c r="C660" s="9" t="s">
        <v>6</v>
      </c>
      <c r="D660" s="9" t="s">
        <v>374</v>
      </c>
      <c r="E660" s="9"/>
    </row>
    <row r="661" customFormat="false" ht="15" hidden="false" customHeight="false" outlineLevel="0" collapsed="false">
      <c r="A661" s="9" t="s">
        <v>3037</v>
      </c>
      <c r="B661" s="9" t="s">
        <v>3026</v>
      </c>
      <c r="C661" s="9" t="s">
        <v>6</v>
      </c>
      <c r="D661" s="9" t="s">
        <v>377</v>
      </c>
      <c r="E661" s="9"/>
    </row>
    <row r="662" customFormat="false" ht="15" hidden="false" customHeight="false" outlineLevel="0" collapsed="false">
      <c r="A662" s="9" t="s">
        <v>3038</v>
      </c>
      <c r="B662" s="9" t="s">
        <v>2712</v>
      </c>
      <c r="C662" s="10" t="s">
        <v>1986</v>
      </c>
      <c r="D662" s="9" t="s">
        <v>59</v>
      </c>
      <c r="E662" s="9" t="s">
        <v>3039</v>
      </c>
    </row>
    <row r="663" customFormat="false" ht="15" hidden="false" customHeight="false" outlineLevel="0" collapsed="false">
      <c r="A663" s="9" t="s">
        <v>3040</v>
      </c>
      <c r="B663" s="9" t="s">
        <v>2084</v>
      </c>
      <c r="C663" s="9" t="s">
        <v>6</v>
      </c>
      <c r="D663" s="9" t="s">
        <v>366</v>
      </c>
      <c r="E663" s="10" t="s">
        <v>2015</v>
      </c>
    </row>
    <row r="664" customFormat="false" ht="15" hidden="false" customHeight="false" outlineLevel="0" collapsed="false">
      <c r="A664" s="9" t="s">
        <v>3041</v>
      </c>
      <c r="B664" s="9" t="s">
        <v>3042</v>
      </c>
      <c r="C664" s="9" t="s">
        <v>6</v>
      </c>
      <c r="D664" s="9" t="s">
        <v>366</v>
      </c>
      <c r="E664" s="10" t="s">
        <v>2015</v>
      </c>
    </row>
    <row r="665" customFormat="false" ht="15" hidden="false" customHeight="false" outlineLevel="0" collapsed="false">
      <c r="A665" s="9" t="s">
        <v>3043</v>
      </c>
      <c r="B665" s="9" t="s">
        <v>2369</v>
      </c>
      <c r="C665" s="9" t="s">
        <v>6</v>
      </c>
      <c r="D665" s="9" t="s">
        <v>380</v>
      </c>
      <c r="E665" s="9"/>
    </row>
    <row r="666" customFormat="false" ht="15" hidden="false" customHeight="false" outlineLevel="0" collapsed="false">
      <c r="A666" s="9" t="s">
        <v>3044</v>
      </c>
      <c r="B666" s="9" t="s">
        <v>411</v>
      </c>
      <c r="C666" s="9" t="s">
        <v>6</v>
      </c>
      <c r="D666" s="9" t="s">
        <v>385</v>
      </c>
      <c r="E666" s="9"/>
    </row>
    <row r="667" customFormat="false" ht="15" hidden="false" customHeight="false" outlineLevel="0" collapsed="false">
      <c r="A667" s="9" t="s">
        <v>3045</v>
      </c>
      <c r="B667" s="9" t="s">
        <v>3046</v>
      </c>
      <c r="C667" s="9" t="s">
        <v>6</v>
      </c>
      <c r="D667" s="9" t="s">
        <v>387</v>
      </c>
      <c r="E667" s="9"/>
    </row>
    <row r="668" customFormat="false" ht="15" hidden="false" customHeight="false" outlineLevel="0" collapsed="false">
      <c r="A668" s="9" t="s">
        <v>3047</v>
      </c>
      <c r="B668" s="9" t="s">
        <v>2712</v>
      </c>
      <c r="C668" s="10" t="s">
        <v>1986</v>
      </c>
      <c r="D668" s="9" t="s">
        <v>59</v>
      </c>
      <c r="E668" s="9" t="s">
        <v>3039</v>
      </c>
    </row>
    <row r="669" customFormat="false" ht="15" hidden="false" customHeight="false" outlineLevel="0" collapsed="false">
      <c r="A669" s="9" t="s">
        <v>3048</v>
      </c>
      <c r="B669" s="9" t="s">
        <v>2084</v>
      </c>
      <c r="C669" s="9" t="s">
        <v>6</v>
      </c>
      <c r="D669" s="9" t="s">
        <v>380</v>
      </c>
      <c r="E669" s="10" t="s">
        <v>2015</v>
      </c>
    </row>
    <row r="670" customFormat="false" ht="15" hidden="false" customHeight="false" outlineLevel="0" collapsed="false">
      <c r="A670" s="9" t="s">
        <v>3049</v>
      </c>
      <c r="B670" s="9" t="s">
        <v>3050</v>
      </c>
      <c r="C670" s="9" t="s">
        <v>6</v>
      </c>
      <c r="D670" s="9" t="s">
        <v>380</v>
      </c>
      <c r="E670" s="10" t="s">
        <v>2015</v>
      </c>
    </row>
    <row r="671" customFormat="false" ht="15" hidden="false" customHeight="false" outlineLevel="0" collapsed="false">
      <c r="A671" s="9" t="s">
        <v>3051</v>
      </c>
      <c r="B671" s="9" t="s">
        <v>2121</v>
      </c>
      <c r="C671" s="9" t="s">
        <v>6</v>
      </c>
      <c r="D671" s="9" t="s">
        <v>390</v>
      </c>
      <c r="E671" s="9"/>
    </row>
    <row r="672" customFormat="false" ht="15" hidden="false" customHeight="false" outlineLevel="0" collapsed="false">
      <c r="A672" s="9" t="s">
        <v>3052</v>
      </c>
      <c r="B672" s="9" t="s">
        <v>3053</v>
      </c>
      <c r="C672" s="9" t="s">
        <v>6</v>
      </c>
      <c r="D672" s="9" t="s">
        <v>380</v>
      </c>
      <c r="E672" s="10" t="s">
        <v>2015</v>
      </c>
    </row>
    <row r="673" customFormat="false" ht="15" hidden="false" customHeight="false" outlineLevel="0" collapsed="false">
      <c r="A673" s="9" t="s">
        <v>3054</v>
      </c>
      <c r="B673" s="9" t="s">
        <v>3055</v>
      </c>
      <c r="C673" s="9" t="s">
        <v>6</v>
      </c>
      <c r="D673" s="9" t="s">
        <v>395</v>
      </c>
      <c r="E673" s="9"/>
    </row>
    <row r="674" customFormat="false" ht="15" hidden="false" customHeight="false" outlineLevel="0" collapsed="false">
      <c r="A674" s="9" t="s">
        <v>3056</v>
      </c>
      <c r="B674" s="9" t="s">
        <v>399</v>
      </c>
      <c r="C674" s="9" t="s">
        <v>6</v>
      </c>
      <c r="D674" s="9" t="s">
        <v>402</v>
      </c>
      <c r="E674" s="9"/>
    </row>
    <row r="675" customFormat="false" ht="15" hidden="false" customHeight="false" outlineLevel="0" collapsed="false">
      <c r="A675" s="9" t="s">
        <v>3057</v>
      </c>
      <c r="B675" s="9" t="s">
        <v>1004</v>
      </c>
      <c r="C675" s="9" t="s">
        <v>6</v>
      </c>
      <c r="D675" s="9" t="s">
        <v>405</v>
      </c>
      <c r="E675" s="9"/>
    </row>
    <row r="676" customFormat="false" ht="15" hidden="false" customHeight="false" outlineLevel="0" collapsed="false">
      <c r="A676" s="9" t="s">
        <v>3058</v>
      </c>
      <c r="B676" s="9" t="s">
        <v>2712</v>
      </c>
      <c r="C676" s="10" t="s">
        <v>1986</v>
      </c>
      <c r="D676" s="9" t="s">
        <v>59</v>
      </c>
      <c r="E676" s="9" t="s">
        <v>3039</v>
      </c>
    </row>
    <row r="677" customFormat="false" ht="15" hidden="false" customHeight="false" outlineLevel="0" collapsed="false">
      <c r="A677" s="9" t="s">
        <v>3059</v>
      </c>
      <c r="B677" s="9" t="s">
        <v>2084</v>
      </c>
      <c r="C677" s="9" t="s">
        <v>6</v>
      </c>
      <c r="D677" s="9" t="s">
        <v>395</v>
      </c>
      <c r="E677" s="10" t="s">
        <v>2015</v>
      </c>
    </row>
    <row r="678" customFormat="false" ht="15" hidden="false" customHeight="false" outlineLevel="0" collapsed="false">
      <c r="A678" s="9" t="s">
        <v>3060</v>
      </c>
      <c r="B678" s="9" t="s">
        <v>3061</v>
      </c>
      <c r="C678" s="9" t="s">
        <v>6</v>
      </c>
      <c r="D678" s="9" t="s">
        <v>395</v>
      </c>
      <c r="E678" s="10" t="s">
        <v>2015</v>
      </c>
    </row>
    <row r="679" customFormat="false" ht="15" hidden="false" customHeight="false" outlineLevel="0" collapsed="false">
      <c r="A679" s="9" t="s">
        <v>3062</v>
      </c>
      <c r="B679" s="9" t="s">
        <v>2367</v>
      </c>
      <c r="C679" s="9" t="s">
        <v>6</v>
      </c>
      <c r="D679" s="9" t="s">
        <v>407</v>
      </c>
      <c r="E679" s="9"/>
    </row>
    <row r="680" customFormat="false" ht="15" hidden="false" customHeight="false" outlineLevel="0" collapsed="false">
      <c r="A680" s="9" t="s">
        <v>3063</v>
      </c>
      <c r="B680" s="9" t="s">
        <v>2367</v>
      </c>
      <c r="C680" s="9" t="s">
        <v>6</v>
      </c>
      <c r="D680" s="9" t="s">
        <v>407</v>
      </c>
      <c r="E680" s="9"/>
    </row>
    <row r="681" customFormat="false" ht="15" hidden="false" customHeight="false" outlineLevel="0" collapsed="false">
      <c r="A681" s="9" t="s">
        <v>3064</v>
      </c>
      <c r="B681" s="9" t="s">
        <v>2374</v>
      </c>
      <c r="C681" s="9" t="s">
        <v>10</v>
      </c>
      <c r="D681" s="9" t="s">
        <v>1312</v>
      </c>
      <c r="E681" s="9"/>
    </row>
    <row r="682" customFormat="false" ht="15" hidden="false" customHeight="false" outlineLevel="0" collapsed="false">
      <c r="A682" s="9" t="s">
        <v>3065</v>
      </c>
      <c r="B682" s="9" t="s">
        <v>411</v>
      </c>
      <c r="C682" s="9" t="s">
        <v>6</v>
      </c>
      <c r="D682" s="9" t="s">
        <v>415</v>
      </c>
      <c r="E682" s="9"/>
    </row>
    <row r="683" customFormat="false" ht="15" hidden="false" customHeight="false" outlineLevel="0" collapsed="false">
      <c r="A683" s="9" t="s">
        <v>3066</v>
      </c>
      <c r="B683" s="9" t="s">
        <v>3026</v>
      </c>
      <c r="C683" s="9" t="s">
        <v>10</v>
      </c>
      <c r="D683" s="9" t="s">
        <v>1315</v>
      </c>
      <c r="E683" s="9"/>
    </row>
    <row r="684" customFormat="false" ht="15" hidden="false" customHeight="false" outlineLevel="0" collapsed="false">
      <c r="A684" s="9" t="s">
        <v>3067</v>
      </c>
      <c r="B684" s="9" t="s">
        <v>2712</v>
      </c>
      <c r="C684" s="10" t="s">
        <v>1986</v>
      </c>
      <c r="D684" s="9" t="s">
        <v>59</v>
      </c>
      <c r="E684" s="9" t="s">
        <v>3039</v>
      </c>
    </row>
    <row r="685" customFormat="false" ht="15" hidden="false" customHeight="false" outlineLevel="0" collapsed="false">
      <c r="A685" s="9" t="s">
        <v>3068</v>
      </c>
      <c r="B685" s="9" t="s">
        <v>3019</v>
      </c>
      <c r="C685" s="9" t="s">
        <v>6</v>
      </c>
      <c r="D685" s="9" t="s">
        <v>407</v>
      </c>
      <c r="E685" s="10" t="s">
        <v>2015</v>
      </c>
    </row>
    <row r="686" customFormat="false" ht="15" hidden="false" customHeight="false" outlineLevel="0" collapsed="false">
      <c r="A686" s="9" t="s">
        <v>3069</v>
      </c>
      <c r="B686" s="9" t="s">
        <v>3070</v>
      </c>
      <c r="C686" s="9" t="s">
        <v>6</v>
      </c>
      <c r="D686" s="9" t="s">
        <v>407</v>
      </c>
      <c r="E686" s="10" t="s">
        <v>2015</v>
      </c>
    </row>
    <row r="687" customFormat="false" ht="15" hidden="false" customHeight="false" outlineLevel="0" collapsed="false">
      <c r="A687" s="9" t="s">
        <v>3071</v>
      </c>
      <c r="B687" s="9" t="s">
        <v>2280</v>
      </c>
      <c r="C687" s="9" t="s">
        <v>6</v>
      </c>
      <c r="D687" s="9" t="s">
        <v>418</v>
      </c>
      <c r="E687" s="9"/>
    </row>
    <row r="688" customFormat="false" ht="15" hidden="false" customHeight="false" outlineLevel="0" collapsed="false">
      <c r="A688" s="9" t="s">
        <v>3072</v>
      </c>
      <c r="B688" s="9" t="s">
        <v>3073</v>
      </c>
      <c r="C688" s="9" t="s">
        <v>6</v>
      </c>
      <c r="D688" s="9" t="s">
        <v>570</v>
      </c>
      <c r="E688" s="9"/>
    </row>
    <row r="689" customFormat="false" ht="15" hidden="false" customHeight="false" outlineLevel="0" collapsed="false">
      <c r="A689" s="9" t="s">
        <v>3074</v>
      </c>
      <c r="B689" s="9" t="s">
        <v>3075</v>
      </c>
      <c r="C689" s="9" t="s">
        <v>6</v>
      </c>
      <c r="D689" s="9" t="s">
        <v>584</v>
      </c>
      <c r="E689" s="9"/>
    </row>
    <row r="690" customFormat="false" ht="15" hidden="false" customHeight="false" outlineLevel="0" collapsed="false">
      <c r="A690" s="9" t="s">
        <v>3076</v>
      </c>
      <c r="B690" s="9" t="s">
        <v>3077</v>
      </c>
      <c r="C690" s="10" t="s">
        <v>1986</v>
      </c>
      <c r="D690" s="9" t="s">
        <v>59</v>
      </c>
      <c r="E690" s="10" t="s">
        <v>3078</v>
      </c>
    </row>
    <row r="691" customFormat="false" ht="15" hidden="false" customHeight="false" outlineLevel="0" collapsed="false">
      <c r="A691" s="9" t="s">
        <v>3079</v>
      </c>
      <c r="B691" s="9" t="s">
        <v>2093</v>
      </c>
      <c r="C691" s="9" t="s">
        <v>10</v>
      </c>
      <c r="D691" s="9" t="s">
        <v>1318</v>
      </c>
      <c r="E691" s="9"/>
    </row>
    <row r="692" customFormat="false" ht="15" hidden="false" customHeight="false" outlineLevel="0" collapsed="false">
      <c r="A692" s="9" t="s">
        <v>3080</v>
      </c>
      <c r="B692" s="9" t="s">
        <v>2367</v>
      </c>
      <c r="C692" s="9" t="s">
        <v>10</v>
      </c>
      <c r="D692" s="9" t="s">
        <v>1321</v>
      </c>
      <c r="E692" s="9"/>
    </row>
    <row r="693" customFormat="false" ht="15" hidden="false" customHeight="false" outlineLevel="0" collapsed="false">
      <c r="A693" s="9" t="s">
        <v>3081</v>
      </c>
      <c r="B693" s="9" t="s">
        <v>2293</v>
      </c>
      <c r="C693" s="9" t="s">
        <v>10</v>
      </c>
      <c r="D693" s="9" t="s">
        <v>1323</v>
      </c>
      <c r="E693" s="9"/>
    </row>
    <row r="694" customFormat="false" ht="15" hidden="false" customHeight="false" outlineLevel="0" collapsed="false">
      <c r="A694" s="9" t="s">
        <v>3082</v>
      </c>
      <c r="B694" s="9" t="s">
        <v>2411</v>
      </c>
      <c r="C694" s="9" t="s">
        <v>10</v>
      </c>
      <c r="D694" s="9" t="s">
        <v>1324</v>
      </c>
      <c r="E694" s="9"/>
    </row>
    <row r="695" customFormat="false" ht="15" hidden="false" customHeight="false" outlineLevel="0" collapsed="false">
      <c r="A695" s="9" t="s">
        <v>3083</v>
      </c>
      <c r="B695" s="9" t="s">
        <v>3028</v>
      </c>
      <c r="C695" s="9" t="s">
        <v>10</v>
      </c>
      <c r="D695" s="9" t="s">
        <v>1325</v>
      </c>
      <c r="E695" s="9"/>
    </row>
    <row r="696" customFormat="false" ht="15" hidden="false" customHeight="false" outlineLevel="0" collapsed="false">
      <c r="A696" s="9" t="s">
        <v>3084</v>
      </c>
      <c r="B696" s="9" t="s">
        <v>3085</v>
      </c>
      <c r="C696" s="9" t="s">
        <v>10</v>
      </c>
      <c r="D696" s="9" t="s">
        <v>1326</v>
      </c>
      <c r="E696" s="9"/>
    </row>
    <row r="697" customFormat="false" ht="15" hidden="false" customHeight="false" outlineLevel="0" collapsed="false">
      <c r="A697" s="9" t="s">
        <v>3086</v>
      </c>
      <c r="B697" s="9" t="s">
        <v>2044</v>
      </c>
      <c r="C697" s="9" t="s">
        <v>10</v>
      </c>
      <c r="D697" s="9" t="s">
        <v>1327</v>
      </c>
      <c r="E697" s="9"/>
    </row>
    <row r="698" customFormat="false" ht="15" hidden="false" customHeight="false" outlineLevel="0" collapsed="false">
      <c r="A698" s="9" t="s">
        <v>3087</v>
      </c>
      <c r="B698" s="9" t="s">
        <v>2154</v>
      </c>
      <c r="C698" s="9" t="s">
        <v>10</v>
      </c>
      <c r="D698" s="9" t="s">
        <v>1329</v>
      </c>
      <c r="E698" s="9"/>
    </row>
    <row r="699" customFormat="false" ht="15" hidden="false" customHeight="false" outlineLevel="0" collapsed="false">
      <c r="A699" s="9" t="s">
        <v>3088</v>
      </c>
      <c r="B699" s="9" t="s">
        <v>2089</v>
      </c>
      <c r="C699" s="9" t="s">
        <v>10</v>
      </c>
      <c r="D699" s="9" t="s">
        <v>1329</v>
      </c>
      <c r="E699" s="10" t="s">
        <v>2015</v>
      </c>
    </row>
    <row r="700" customFormat="false" ht="15" hidden="false" customHeight="false" outlineLevel="0" collapsed="false">
      <c r="A700" s="9" t="s">
        <v>3089</v>
      </c>
      <c r="B700" s="9" t="s">
        <v>3090</v>
      </c>
      <c r="C700" s="9" t="s">
        <v>10</v>
      </c>
      <c r="D700" s="9" t="s">
        <v>1329</v>
      </c>
      <c r="E700" s="10" t="s">
        <v>2015</v>
      </c>
    </row>
    <row r="701" customFormat="false" ht="15" hidden="false" customHeight="false" outlineLevel="0" collapsed="false">
      <c r="A701" s="9" t="s">
        <v>3091</v>
      </c>
      <c r="B701" s="9" t="s">
        <v>2614</v>
      </c>
      <c r="C701" s="9" t="s">
        <v>10</v>
      </c>
      <c r="D701" s="9" t="s">
        <v>1331</v>
      </c>
      <c r="E701" s="9"/>
    </row>
    <row r="702" customFormat="false" ht="15" hidden="false" customHeight="false" outlineLevel="0" collapsed="false">
      <c r="A702" s="9" t="s">
        <v>3092</v>
      </c>
      <c r="B702" s="9" t="s">
        <v>2614</v>
      </c>
      <c r="C702" s="9" t="s">
        <v>10</v>
      </c>
      <c r="D702" s="9" t="s">
        <v>1331</v>
      </c>
      <c r="E702" s="9"/>
    </row>
    <row r="703" customFormat="false" ht="15" hidden="false" customHeight="false" outlineLevel="0" collapsed="false">
      <c r="A703" s="9" t="s">
        <v>3093</v>
      </c>
      <c r="B703" s="9" t="s">
        <v>2252</v>
      </c>
      <c r="C703" s="9" t="s">
        <v>10</v>
      </c>
      <c r="D703" s="9" t="s">
        <v>1331</v>
      </c>
      <c r="E703" s="9"/>
    </row>
    <row r="704" customFormat="false" ht="15" hidden="false" customHeight="false" outlineLevel="0" collapsed="false">
      <c r="A704" s="9" t="s">
        <v>3094</v>
      </c>
      <c r="B704" s="9" t="s">
        <v>2089</v>
      </c>
      <c r="C704" s="9" t="s">
        <v>10</v>
      </c>
      <c r="D704" s="9" t="s">
        <v>1331</v>
      </c>
      <c r="E704" s="10" t="s">
        <v>2015</v>
      </c>
    </row>
    <row r="705" customFormat="false" ht="15" hidden="false" customHeight="false" outlineLevel="0" collapsed="false">
      <c r="A705" s="9" t="s">
        <v>3095</v>
      </c>
      <c r="B705" s="9" t="s">
        <v>3096</v>
      </c>
      <c r="C705" s="9" t="s">
        <v>10</v>
      </c>
      <c r="D705" s="9" t="s">
        <v>1331</v>
      </c>
      <c r="E705" s="10" t="s">
        <v>2015</v>
      </c>
    </row>
    <row r="706" customFormat="false" ht="15" hidden="false" customHeight="false" outlineLevel="0" collapsed="false">
      <c r="A706" s="9" t="s">
        <v>3097</v>
      </c>
      <c r="B706" s="9" t="s">
        <v>2712</v>
      </c>
      <c r="C706" s="10" t="s">
        <v>1986</v>
      </c>
      <c r="D706" s="9" t="s">
        <v>59</v>
      </c>
      <c r="E706" s="9" t="s">
        <v>3098</v>
      </c>
    </row>
    <row r="707" customFormat="false" ht="15" hidden="false" customHeight="false" outlineLevel="0" collapsed="false">
      <c r="A707" s="9" t="s">
        <v>3099</v>
      </c>
      <c r="B707" s="9" t="s">
        <v>2715</v>
      </c>
      <c r="C707" s="10" t="s">
        <v>1986</v>
      </c>
      <c r="D707" s="9" t="s">
        <v>59</v>
      </c>
      <c r="E707" s="9" t="s">
        <v>3098</v>
      </c>
    </row>
    <row r="708" customFormat="false" ht="15" hidden="false" customHeight="false" outlineLevel="0" collapsed="false">
      <c r="A708" s="9" t="s">
        <v>3100</v>
      </c>
      <c r="B708" s="9" t="s">
        <v>3101</v>
      </c>
      <c r="C708" s="10" t="s">
        <v>1986</v>
      </c>
      <c r="D708" s="9" t="s">
        <v>59</v>
      </c>
      <c r="E708" s="9" t="s">
        <v>3098</v>
      </c>
    </row>
    <row r="709" customFormat="false" ht="15" hidden="false" customHeight="false" outlineLevel="0" collapsed="false">
      <c r="A709" s="9" t="s">
        <v>3102</v>
      </c>
      <c r="B709" s="9" t="s">
        <v>3103</v>
      </c>
      <c r="C709" s="10" t="s">
        <v>2057</v>
      </c>
      <c r="D709" s="9" t="s">
        <v>3104</v>
      </c>
      <c r="E709" s="9" t="s">
        <v>3105</v>
      </c>
    </row>
    <row r="710" customFormat="false" ht="15" hidden="false" customHeight="false" outlineLevel="0" collapsed="false">
      <c r="A710" s="9" t="s">
        <v>3106</v>
      </c>
      <c r="B710" s="9" t="s">
        <v>3107</v>
      </c>
      <c r="C710" s="9" t="s">
        <v>10</v>
      </c>
      <c r="D710" s="9" t="s">
        <v>1336</v>
      </c>
      <c r="E710" s="9"/>
    </row>
    <row r="711" customFormat="false" ht="15" hidden="false" customHeight="false" outlineLevel="0" collapsed="false">
      <c r="A711" s="9" t="s">
        <v>3108</v>
      </c>
      <c r="B711" s="9" t="s">
        <v>3109</v>
      </c>
      <c r="C711" s="9" t="s">
        <v>10</v>
      </c>
      <c r="D711" s="9" t="s">
        <v>1341</v>
      </c>
      <c r="E711" s="9"/>
    </row>
    <row r="712" customFormat="false" ht="15" hidden="false" customHeight="false" outlineLevel="0" collapsed="false">
      <c r="A712" s="9" t="s">
        <v>3110</v>
      </c>
      <c r="B712" s="9" t="s">
        <v>3111</v>
      </c>
      <c r="C712" s="9" t="s">
        <v>10</v>
      </c>
      <c r="D712" s="9" t="s">
        <v>1342</v>
      </c>
      <c r="E712" s="9"/>
    </row>
    <row r="713" customFormat="false" ht="15" hidden="false" customHeight="false" outlineLevel="0" collapsed="false">
      <c r="A713" s="9" t="s">
        <v>3112</v>
      </c>
      <c r="B713" s="9" t="s">
        <v>3113</v>
      </c>
      <c r="C713" s="9" t="s">
        <v>10</v>
      </c>
      <c r="D713" s="9" t="s">
        <v>1343</v>
      </c>
      <c r="E713" s="9"/>
    </row>
    <row r="714" customFormat="false" ht="15" hidden="false" customHeight="false" outlineLevel="0" collapsed="false">
      <c r="A714" s="9" t="s">
        <v>3114</v>
      </c>
      <c r="B714" s="9" t="s">
        <v>3115</v>
      </c>
      <c r="C714" s="9" t="s">
        <v>10</v>
      </c>
      <c r="D714" s="9" t="s">
        <v>1344</v>
      </c>
      <c r="E714" s="9"/>
    </row>
    <row r="715" customFormat="false" ht="15" hidden="false" customHeight="false" outlineLevel="0" collapsed="false">
      <c r="A715" s="9" t="s">
        <v>3116</v>
      </c>
      <c r="B715" s="9" t="s">
        <v>2179</v>
      </c>
      <c r="C715" s="9" t="s">
        <v>10</v>
      </c>
      <c r="D715" s="9" t="s">
        <v>1345</v>
      </c>
      <c r="E715" s="9"/>
    </row>
    <row r="716" customFormat="false" ht="15" hidden="false" customHeight="false" outlineLevel="0" collapsed="false">
      <c r="A716" s="9" t="s">
        <v>3117</v>
      </c>
      <c r="B716" s="9" t="s">
        <v>2484</v>
      </c>
      <c r="C716" s="9" t="s">
        <v>10</v>
      </c>
      <c r="D716" s="9" t="s">
        <v>1348</v>
      </c>
      <c r="E716" s="9"/>
    </row>
    <row r="717" customFormat="false" ht="15" hidden="false" customHeight="false" outlineLevel="0" collapsed="false">
      <c r="A717" s="9" t="s">
        <v>3118</v>
      </c>
      <c r="B717" s="9" t="s">
        <v>2089</v>
      </c>
      <c r="C717" s="9" t="s">
        <v>10</v>
      </c>
      <c r="D717" s="9" t="s">
        <v>1348</v>
      </c>
      <c r="E717" s="10" t="s">
        <v>2015</v>
      </c>
    </row>
    <row r="718" customFormat="false" ht="15" hidden="false" customHeight="false" outlineLevel="0" collapsed="false">
      <c r="A718" s="9" t="s">
        <v>3119</v>
      </c>
      <c r="B718" s="9" t="s">
        <v>3120</v>
      </c>
      <c r="C718" s="9" t="s">
        <v>10</v>
      </c>
      <c r="D718" s="9" t="s">
        <v>1348</v>
      </c>
      <c r="E718" s="10" t="s">
        <v>2015</v>
      </c>
    </row>
    <row r="719" customFormat="false" ht="15" hidden="false" customHeight="false" outlineLevel="0" collapsed="false">
      <c r="A719" s="9" t="s">
        <v>3121</v>
      </c>
      <c r="B719" s="9" t="s">
        <v>3122</v>
      </c>
      <c r="C719" s="9" t="s">
        <v>6</v>
      </c>
      <c r="D719" s="9" t="s">
        <v>421</v>
      </c>
      <c r="E719" s="9"/>
    </row>
    <row r="720" customFormat="false" ht="15" hidden="false" customHeight="false" outlineLevel="0" collapsed="false">
      <c r="A720" s="9" t="s">
        <v>3123</v>
      </c>
      <c r="B720" s="9" t="s">
        <v>2014</v>
      </c>
      <c r="C720" s="9" t="s">
        <v>6</v>
      </c>
      <c r="D720" s="9" t="s">
        <v>421</v>
      </c>
      <c r="E720" s="10" t="s">
        <v>2015</v>
      </c>
    </row>
    <row r="721" customFormat="false" ht="15" hidden="false" customHeight="false" outlineLevel="0" collapsed="false">
      <c r="A721" s="9" t="s">
        <v>3124</v>
      </c>
      <c r="B721" s="9" t="s">
        <v>3125</v>
      </c>
      <c r="C721" s="9" t="s">
        <v>6</v>
      </c>
      <c r="D721" s="9" t="s">
        <v>421</v>
      </c>
      <c r="E721" s="10" t="s">
        <v>2015</v>
      </c>
    </row>
    <row r="722" customFormat="false" ht="15" hidden="false" customHeight="false" outlineLevel="0" collapsed="false">
      <c r="A722" s="9" t="s">
        <v>3126</v>
      </c>
      <c r="B722" s="9" t="s">
        <v>2964</v>
      </c>
      <c r="C722" s="10" t="s">
        <v>2901</v>
      </c>
      <c r="D722" s="9" t="s">
        <v>327</v>
      </c>
      <c r="E722" s="10" t="s">
        <v>2965</v>
      </c>
    </row>
    <row r="723" customFormat="false" ht="15" hidden="false" customHeight="false" outlineLevel="0" collapsed="false">
      <c r="A723" s="9" t="s">
        <v>3127</v>
      </c>
      <c r="B723" s="9" t="s">
        <v>2014</v>
      </c>
      <c r="C723" s="10" t="s">
        <v>2901</v>
      </c>
      <c r="D723" s="9" t="s">
        <v>327</v>
      </c>
      <c r="E723" s="10" t="s">
        <v>2905</v>
      </c>
    </row>
    <row r="724" customFormat="false" ht="15" hidden="false" customHeight="false" outlineLevel="0" collapsed="false">
      <c r="A724" s="9" t="s">
        <v>3128</v>
      </c>
      <c r="B724" s="9" t="s">
        <v>2962</v>
      </c>
      <c r="C724" s="10" t="s">
        <v>2901</v>
      </c>
      <c r="D724" s="9" t="s">
        <v>327</v>
      </c>
      <c r="E724" s="10" t="s">
        <v>2905</v>
      </c>
    </row>
    <row r="725" customFormat="false" ht="15" hidden="false" customHeight="false" outlineLevel="0" collapsed="false">
      <c r="A725" s="9" t="s">
        <v>3129</v>
      </c>
      <c r="B725" s="9" t="s">
        <v>3130</v>
      </c>
      <c r="C725" s="9" t="s">
        <v>6</v>
      </c>
      <c r="D725" s="9" t="s">
        <v>427</v>
      </c>
      <c r="E725" s="9"/>
    </row>
    <row r="726" customFormat="false" ht="15" hidden="false" customHeight="false" outlineLevel="0" collapsed="false">
      <c r="A726" s="9" t="s">
        <v>3131</v>
      </c>
      <c r="B726" s="9" t="s">
        <v>2014</v>
      </c>
      <c r="C726" s="9" t="s">
        <v>6</v>
      </c>
      <c r="D726" s="9" t="s">
        <v>427</v>
      </c>
      <c r="E726" s="10" t="s">
        <v>2015</v>
      </c>
    </row>
    <row r="727" customFormat="false" ht="15" hidden="false" customHeight="false" outlineLevel="0" collapsed="false">
      <c r="A727" s="9" t="s">
        <v>3132</v>
      </c>
      <c r="B727" s="9" t="s">
        <v>3133</v>
      </c>
      <c r="C727" s="9" t="s">
        <v>6</v>
      </c>
      <c r="D727" s="9" t="s">
        <v>427</v>
      </c>
      <c r="E727" s="10" t="s">
        <v>2015</v>
      </c>
    </row>
    <row r="728" customFormat="false" ht="15" hidden="false" customHeight="false" outlineLevel="0" collapsed="false">
      <c r="A728" s="9" t="s">
        <v>3134</v>
      </c>
      <c r="B728" s="9" t="s">
        <v>3135</v>
      </c>
      <c r="C728" s="9" t="s">
        <v>6</v>
      </c>
      <c r="D728" s="9" t="s">
        <v>431</v>
      </c>
      <c r="E728" s="9"/>
    </row>
    <row r="729" customFormat="false" ht="15" hidden="false" customHeight="false" outlineLevel="0" collapsed="false">
      <c r="A729" s="9" t="s">
        <v>3136</v>
      </c>
      <c r="B729" s="9" t="s">
        <v>2014</v>
      </c>
      <c r="C729" s="9" t="s">
        <v>6</v>
      </c>
      <c r="D729" s="9" t="s">
        <v>431</v>
      </c>
      <c r="E729" s="10" t="s">
        <v>2015</v>
      </c>
    </row>
    <row r="730" customFormat="false" ht="15" hidden="false" customHeight="false" outlineLevel="0" collapsed="false">
      <c r="A730" s="9" t="s">
        <v>3137</v>
      </c>
      <c r="B730" s="9" t="s">
        <v>3138</v>
      </c>
      <c r="C730" s="9" t="s">
        <v>6</v>
      </c>
      <c r="D730" s="9" t="s">
        <v>431</v>
      </c>
      <c r="E730" s="10" t="s">
        <v>2015</v>
      </c>
    </row>
    <row r="731" customFormat="false" ht="15" hidden="false" customHeight="false" outlineLevel="0" collapsed="false">
      <c r="A731" s="9" t="s">
        <v>3139</v>
      </c>
      <c r="B731" s="9" t="s">
        <v>3140</v>
      </c>
      <c r="C731" s="10" t="s">
        <v>1986</v>
      </c>
      <c r="D731" s="9" t="s">
        <v>59</v>
      </c>
      <c r="E731" s="10" t="s">
        <v>3141</v>
      </c>
    </row>
    <row r="732" customFormat="false" ht="15" hidden="false" customHeight="false" outlineLevel="0" collapsed="false">
      <c r="A732" s="9" t="s">
        <v>3142</v>
      </c>
      <c r="B732" s="9" t="s">
        <v>2039</v>
      </c>
      <c r="C732" s="9" t="s">
        <v>6</v>
      </c>
      <c r="D732" s="9" t="s">
        <v>435</v>
      </c>
      <c r="E732" s="9"/>
    </row>
    <row r="733" customFormat="false" ht="15" hidden="false" customHeight="false" outlineLevel="0" collapsed="false">
      <c r="A733" s="9" t="s">
        <v>3143</v>
      </c>
      <c r="B733" s="9" t="s">
        <v>2409</v>
      </c>
      <c r="C733" s="9" t="s">
        <v>6</v>
      </c>
      <c r="D733" s="9" t="s">
        <v>435</v>
      </c>
      <c r="E733" s="9"/>
    </row>
    <row r="734" customFormat="false" ht="15" hidden="false" customHeight="false" outlineLevel="0" collapsed="false">
      <c r="A734" s="9" t="s">
        <v>3144</v>
      </c>
      <c r="B734" s="9" t="s">
        <v>2411</v>
      </c>
      <c r="C734" s="9" t="s">
        <v>6</v>
      </c>
      <c r="D734" s="9" t="s">
        <v>435</v>
      </c>
      <c r="E734" s="9"/>
    </row>
    <row r="735" customFormat="false" ht="15" hidden="false" customHeight="false" outlineLevel="0" collapsed="false">
      <c r="A735" s="9" t="s">
        <v>3145</v>
      </c>
      <c r="B735" s="9" t="s">
        <v>2014</v>
      </c>
      <c r="C735" s="9" t="s">
        <v>6</v>
      </c>
      <c r="D735" s="9" t="s">
        <v>435</v>
      </c>
      <c r="E735" s="10" t="s">
        <v>2015</v>
      </c>
    </row>
    <row r="736" customFormat="false" ht="15" hidden="false" customHeight="false" outlineLevel="0" collapsed="false">
      <c r="A736" s="9" t="s">
        <v>3146</v>
      </c>
      <c r="B736" s="9" t="s">
        <v>3147</v>
      </c>
      <c r="C736" s="9" t="s">
        <v>6</v>
      </c>
      <c r="D736" s="9" t="s">
        <v>435</v>
      </c>
      <c r="E736" s="10" t="s">
        <v>2015</v>
      </c>
    </row>
    <row r="737" customFormat="false" ht="15" hidden="false" customHeight="false" outlineLevel="0" collapsed="false">
      <c r="A737" s="9" t="s">
        <v>3148</v>
      </c>
      <c r="B737" s="9" t="s">
        <v>3149</v>
      </c>
      <c r="C737" s="9" t="s">
        <v>6</v>
      </c>
      <c r="D737" s="9" t="s">
        <v>440</v>
      </c>
      <c r="E737" s="9"/>
    </row>
    <row r="738" customFormat="false" ht="15" hidden="false" customHeight="false" outlineLevel="0" collapsed="false">
      <c r="A738" s="9" t="s">
        <v>3150</v>
      </c>
      <c r="B738" s="9" t="s">
        <v>3151</v>
      </c>
      <c r="C738" s="10" t="s">
        <v>2057</v>
      </c>
      <c r="D738" s="9" t="s">
        <v>3152</v>
      </c>
      <c r="E738" s="9" t="s">
        <v>3153</v>
      </c>
    </row>
    <row r="739" customFormat="false" ht="15" hidden="false" customHeight="false" outlineLevel="0" collapsed="false">
      <c r="A739" s="9" t="s">
        <v>3154</v>
      </c>
      <c r="B739" s="9" t="s">
        <v>2014</v>
      </c>
      <c r="C739" s="10" t="s">
        <v>2057</v>
      </c>
      <c r="D739" s="9" t="s">
        <v>3152</v>
      </c>
      <c r="E739" s="9" t="s">
        <v>3153</v>
      </c>
    </row>
    <row r="740" customFormat="false" ht="15" hidden="false" customHeight="false" outlineLevel="0" collapsed="false">
      <c r="A740" s="9" t="s">
        <v>3155</v>
      </c>
      <c r="B740" s="9" t="s">
        <v>3156</v>
      </c>
      <c r="C740" s="10" t="s">
        <v>2057</v>
      </c>
      <c r="D740" s="9" t="s">
        <v>3152</v>
      </c>
      <c r="E740" s="9" t="s">
        <v>3153</v>
      </c>
    </row>
    <row r="741" customFormat="false" ht="15" hidden="false" customHeight="false" outlineLevel="0" collapsed="false">
      <c r="A741" s="9" t="s">
        <v>3157</v>
      </c>
      <c r="B741" s="9" t="s">
        <v>2409</v>
      </c>
      <c r="C741" s="9" t="s">
        <v>6</v>
      </c>
      <c r="D741" s="9" t="s">
        <v>447</v>
      </c>
      <c r="E741" s="9"/>
    </row>
    <row r="742" customFormat="false" ht="15" hidden="false" customHeight="false" outlineLevel="0" collapsed="false">
      <c r="A742" s="9" t="s">
        <v>3158</v>
      </c>
      <c r="B742" s="9" t="s">
        <v>2084</v>
      </c>
      <c r="C742" s="9" t="s">
        <v>6</v>
      </c>
      <c r="D742" s="9" t="s">
        <v>447</v>
      </c>
      <c r="E742" s="10" t="s">
        <v>2015</v>
      </c>
    </row>
    <row r="743" customFormat="false" ht="15" hidden="false" customHeight="false" outlineLevel="0" collapsed="false">
      <c r="A743" s="9" t="s">
        <v>3159</v>
      </c>
      <c r="B743" s="9" t="s">
        <v>3160</v>
      </c>
      <c r="C743" s="9" t="s">
        <v>6</v>
      </c>
      <c r="D743" s="9" t="s">
        <v>447</v>
      </c>
      <c r="E743" s="10" t="s">
        <v>2015</v>
      </c>
    </row>
    <row r="744" customFormat="false" ht="15" hidden="false" customHeight="false" outlineLevel="0" collapsed="false">
      <c r="A744" s="9" t="s">
        <v>3161</v>
      </c>
      <c r="B744" s="9" t="s">
        <v>2289</v>
      </c>
      <c r="C744" s="9" t="s">
        <v>10</v>
      </c>
      <c r="D744" s="9" t="s">
        <v>1350</v>
      </c>
      <c r="E744" s="9"/>
    </row>
    <row r="745" customFormat="false" ht="15" hidden="false" customHeight="false" outlineLevel="0" collapsed="false">
      <c r="A745" s="9" t="s">
        <v>3162</v>
      </c>
      <c r="B745" s="9" t="s">
        <v>2291</v>
      </c>
      <c r="C745" s="9" t="s">
        <v>10</v>
      </c>
      <c r="D745" s="9" t="s">
        <v>1350</v>
      </c>
      <c r="E745" s="9"/>
    </row>
    <row r="746" customFormat="false" ht="15" hidden="false" customHeight="false" outlineLevel="0" collapsed="false">
      <c r="A746" s="9" t="s">
        <v>3163</v>
      </c>
      <c r="B746" s="9" t="s">
        <v>2367</v>
      </c>
      <c r="C746" s="9" t="s">
        <v>10</v>
      </c>
      <c r="D746" s="9" t="s">
        <v>1350</v>
      </c>
      <c r="E746" s="9"/>
    </row>
    <row r="747" customFormat="false" ht="15" hidden="false" customHeight="false" outlineLevel="0" collapsed="false">
      <c r="A747" s="9" t="s">
        <v>3164</v>
      </c>
      <c r="B747" s="9" t="s">
        <v>2089</v>
      </c>
      <c r="C747" s="9" t="s">
        <v>10</v>
      </c>
      <c r="D747" s="9" t="s">
        <v>1350</v>
      </c>
      <c r="E747" s="10" t="s">
        <v>2015</v>
      </c>
    </row>
    <row r="748" customFormat="false" ht="15" hidden="false" customHeight="false" outlineLevel="0" collapsed="false">
      <c r="A748" s="9" t="s">
        <v>3165</v>
      </c>
      <c r="B748" s="9" t="s">
        <v>3013</v>
      </c>
      <c r="C748" s="9" t="s">
        <v>6</v>
      </c>
      <c r="D748" s="9" t="s">
        <v>453</v>
      </c>
      <c r="E748" s="9"/>
    </row>
    <row r="749" customFormat="false" ht="15" hidden="false" customHeight="false" outlineLevel="0" collapsed="false">
      <c r="A749" s="9" t="s">
        <v>3166</v>
      </c>
      <c r="B749" s="9" t="s">
        <v>2014</v>
      </c>
      <c r="C749" s="9" t="s">
        <v>6</v>
      </c>
      <c r="D749" s="9" t="s">
        <v>453</v>
      </c>
      <c r="E749" s="10" t="s">
        <v>2015</v>
      </c>
    </row>
    <row r="750" customFormat="false" ht="15" hidden="false" customHeight="false" outlineLevel="0" collapsed="false">
      <c r="A750" s="9" t="s">
        <v>3167</v>
      </c>
      <c r="B750" s="9" t="s">
        <v>3168</v>
      </c>
      <c r="C750" s="9" t="s">
        <v>6</v>
      </c>
      <c r="D750" s="9" t="s">
        <v>453</v>
      </c>
      <c r="E750" s="10" t="s">
        <v>2015</v>
      </c>
    </row>
    <row r="751" customFormat="false" ht="15" hidden="false" customHeight="false" outlineLevel="0" collapsed="false">
      <c r="A751" s="9" t="s">
        <v>3169</v>
      </c>
      <c r="B751" s="9" t="s">
        <v>2724</v>
      </c>
      <c r="C751" s="9" t="s">
        <v>6</v>
      </c>
      <c r="D751" s="9" t="s">
        <v>458</v>
      </c>
      <c r="E751" s="9"/>
    </row>
    <row r="752" customFormat="false" ht="15" hidden="false" customHeight="false" outlineLevel="0" collapsed="false">
      <c r="A752" s="9" t="s">
        <v>3170</v>
      </c>
      <c r="B752" s="9" t="s">
        <v>2014</v>
      </c>
      <c r="C752" s="9" t="s">
        <v>6</v>
      </c>
      <c r="D752" s="9" t="s">
        <v>458</v>
      </c>
      <c r="E752" s="10" t="s">
        <v>2015</v>
      </c>
    </row>
    <row r="753" customFormat="false" ht="15" hidden="false" customHeight="false" outlineLevel="0" collapsed="false">
      <c r="A753" s="9" t="s">
        <v>3171</v>
      </c>
      <c r="B753" s="9" t="s">
        <v>3172</v>
      </c>
      <c r="C753" s="9" t="s">
        <v>6</v>
      </c>
      <c r="D753" s="9" t="s">
        <v>458</v>
      </c>
      <c r="E753" s="10" t="s">
        <v>2015</v>
      </c>
    </row>
    <row r="754" customFormat="false" ht="15" hidden="false" customHeight="false" outlineLevel="0" collapsed="false">
      <c r="A754" s="9" t="s">
        <v>3173</v>
      </c>
      <c r="B754" s="9" t="s">
        <v>3174</v>
      </c>
      <c r="C754" s="10" t="s">
        <v>1986</v>
      </c>
      <c r="D754" s="9" t="s">
        <v>59</v>
      </c>
      <c r="E754" s="10" t="s">
        <v>3175</v>
      </c>
    </row>
    <row r="755" customFormat="false" ht="15" hidden="false" customHeight="false" outlineLevel="0" collapsed="false">
      <c r="A755" s="9" t="s">
        <v>3176</v>
      </c>
      <c r="B755" s="9" t="s">
        <v>3177</v>
      </c>
      <c r="C755" s="10" t="s">
        <v>1986</v>
      </c>
      <c r="D755" s="9" t="s">
        <v>59</v>
      </c>
      <c r="E755" s="10" t="s">
        <v>3178</v>
      </c>
    </row>
    <row r="756" customFormat="false" ht="15" hidden="false" customHeight="false" outlineLevel="0" collapsed="false">
      <c r="A756" s="9" t="s">
        <v>3179</v>
      </c>
      <c r="B756" s="9" t="s">
        <v>3180</v>
      </c>
      <c r="C756" s="10" t="s">
        <v>1986</v>
      </c>
      <c r="D756" s="9" t="s">
        <v>59</v>
      </c>
      <c r="E756" s="10" t="s">
        <v>2215</v>
      </c>
    </row>
    <row r="757" customFormat="false" ht="15" hidden="false" customHeight="false" outlineLevel="0" collapsed="false">
      <c r="A757" s="9" t="s">
        <v>3181</v>
      </c>
      <c r="B757" s="9" t="s">
        <v>2457</v>
      </c>
      <c r="C757" s="9" t="s">
        <v>6</v>
      </c>
      <c r="D757" s="9" t="s">
        <v>463</v>
      </c>
      <c r="E757" s="9"/>
    </row>
    <row r="758" customFormat="false" ht="15" hidden="false" customHeight="false" outlineLevel="0" collapsed="false">
      <c r="A758" s="9" t="s">
        <v>3182</v>
      </c>
      <c r="B758" s="9" t="s">
        <v>2014</v>
      </c>
      <c r="C758" s="9" t="s">
        <v>6</v>
      </c>
      <c r="D758" s="9" t="s">
        <v>463</v>
      </c>
      <c r="E758" s="10" t="s">
        <v>2015</v>
      </c>
    </row>
    <row r="759" customFormat="false" ht="15" hidden="false" customHeight="false" outlineLevel="0" collapsed="false">
      <c r="A759" s="9" t="s">
        <v>3183</v>
      </c>
      <c r="B759" s="9" t="s">
        <v>3184</v>
      </c>
      <c r="C759" s="9" t="s">
        <v>6</v>
      </c>
      <c r="D759" s="9" t="s">
        <v>463</v>
      </c>
      <c r="E759" s="10" t="s">
        <v>2015</v>
      </c>
    </row>
    <row r="760" customFormat="false" ht="15" hidden="false" customHeight="false" outlineLevel="0" collapsed="false">
      <c r="A760" s="9" t="s">
        <v>3185</v>
      </c>
      <c r="B760" s="9" t="s">
        <v>2403</v>
      </c>
      <c r="C760" s="9" t="s">
        <v>6</v>
      </c>
      <c r="D760" s="9" t="s">
        <v>463</v>
      </c>
      <c r="E760" s="10" t="s">
        <v>2015</v>
      </c>
    </row>
    <row r="761" customFormat="false" ht="15" hidden="false" customHeight="false" outlineLevel="0" collapsed="false">
      <c r="A761" s="9" t="s">
        <v>3186</v>
      </c>
      <c r="B761" s="9" t="s">
        <v>3187</v>
      </c>
      <c r="C761" s="10" t="s">
        <v>2057</v>
      </c>
      <c r="D761" s="10" t="s">
        <v>3188</v>
      </c>
      <c r="E761" s="9" t="s">
        <v>3189</v>
      </c>
    </row>
    <row r="762" customFormat="false" ht="15" hidden="false" customHeight="false" outlineLevel="0" collapsed="false">
      <c r="A762" s="9" t="s">
        <v>3190</v>
      </c>
      <c r="B762" s="9" t="s">
        <v>3191</v>
      </c>
      <c r="C762" s="10" t="s">
        <v>2057</v>
      </c>
      <c r="D762" s="10" t="s">
        <v>3188</v>
      </c>
      <c r="E762" s="9" t="s">
        <v>3189</v>
      </c>
    </row>
    <row r="763" customFormat="false" ht="15" hidden="false" customHeight="false" outlineLevel="0" collapsed="false">
      <c r="A763" s="9" t="s">
        <v>3192</v>
      </c>
      <c r="B763" s="9" t="s">
        <v>3193</v>
      </c>
      <c r="C763" s="10" t="s">
        <v>2057</v>
      </c>
      <c r="D763" s="10" t="s">
        <v>3188</v>
      </c>
      <c r="E763" s="9" t="s">
        <v>3189</v>
      </c>
    </row>
    <row r="764" customFormat="false" ht="15" hidden="false" customHeight="false" outlineLevel="0" collapsed="false">
      <c r="A764" s="9" t="s">
        <v>3194</v>
      </c>
      <c r="B764" s="9" t="s">
        <v>2067</v>
      </c>
      <c r="C764" s="10" t="s">
        <v>2057</v>
      </c>
      <c r="D764" s="10" t="s">
        <v>3188</v>
      </c>
      <c r="E764" s="9" t="s">
        <v>3189</v>
      </c>
    </row>
    <row r="765" customFormat="false" ht="15" hidden="false" customHeight="false" outlineLevel="0" collapsed="false">
      <c r="A765" s="9" t="s">
        <v>3195</v>
      </c>
      <c r="B765" s="9" t="s">
        <v>3196</v>
      </c>
      <c r="C765" s="10" t="s">
        <v>2057</v>
      </c>
      <c r="D765" s="10" t="s">
        <v>3188</v>
      </c>
      <c r="E765" s="9" t="s">
        <v>3189</v>
      </c>
    </row>
    <row r="766" customFormat="false" ht="15" hidden="false" customHeight="false" outlineLevel="0" collapsed="false">
      <c r="A766" s="9" t="s">
        <v>3197</v>
      </c>
      <c r="B766" s="9" t="s">
        <v>2403</v>
      </c>
      <c r="C766" s="10" t="s">
        <v>2057</v>
      </c>
      <c r="D766" s="10" t="s">
        <v>3188</v>
      </c>
      <c r="E766" s="9" t="s">
        <v>3189</v>
      </c>
    </row>
    <row r="767" customFormat="false" ht="15" hidden="false" customHeight="false" outlineLevel="0" collapsed="false">
      <c r="A767" s="9" t="s">
        <v>3198</v>
      </c>
      <c r="B767" s="9" t="s">
        <v>3199</v>
      </c>
      <c r="C767" s="9" t="s">
        <v>6</v>
      </c>
      <c r="D767" s="9" t="s">
        <v>468</v>
      </c>
      <c r="E767" s="9"/>
    </row>
    <row r="768" customFormat="false" ht="15" hidden="false" customHeight="false" outlineLevel="0" collapsed="false">
      <c r="A768" s="9" t="s">
        <v>3200</v>
      </c>
      <c r="B768" s="9" t="s">
        <v>2014</v>
      </c>
      <c r="C768" s="9" t="s">
        <v>6</v>
      </c>
      <c r="D768" s="9" t="s">
        <v>468</v>
      </c>
      <c r="E768" s="10" t="s">
        <v>2015</v>
      </c>
    </row>
    <row r="769" customFormat="false" ht="15" hidden="false" customHeight="false" outlineLevel="0" collapsed="false">
      <c r="A769" s="9" t="s">
        <v>3201</v>
      </c>
      <c r="B769" s="9" t="s">
        <v>3202</v>
      </c>
      <c r="C769" s="9" t="s">
        <v>6</v>
      </c>
      <c r="D769" s="9" t="s">
        <v>468</v>
      </c>
      <c r="E769" s="10" t="s">
        <v>2015</v>
      </c>
    </row>
    <row r="770" customFormat="false" ht="15" hidden="false" customHeight="false" outlineLevel="0" collapsed="false">
      <c r="A770" s="9" t="s">
        <v>3203</v>
      </c>
      <c r="B770" s="9" t="s">
        <v>2964</v>
      </c>
      <c r="C770" s="9" t="s">
        <v>6</v>
      </c>
      <c r="D770" s="9" t="s">
        <v>327</v>
      </c>
      <c r="E770" s="9"/>
    </row>
    <row r="771" customFormat="false" ht="15" hidden="false" customHeight="false" outlineLevel="0" collapsed="false">
      <c r="A771" s="9" t="s">
        <v>3204</v>
      </c>
      <c r="B771" s="9" t="s">
        <v>2383</v>
      </c>
      <c r="C771" s="9" t="s">
        <v>6</v>
      </c>
      <c r="D771" s="9" t="s">
        <v>327</v>
      </c>
      <c r="E771" s="9"/>
    </row>
    <row r="772" customFormat="false" ht="15" hidden="false" customHeight="false" outlineLevel="0" collapsed="false">
      <c r="A772" s="9" t="s">
        <v>3205</v>
      </c>
      <c r="B772" s="9" t="s">
        <v>2964</v>
      </c>
      <c r="C772" s="9" t="s">
        <v>6</v>
      </c>
      <c r="D772" s="9" t="s">
        <v>327</v>
      </c>
      <c r="E772" s="9"/>
    </row>
    <row r="773" customFormat="false" ht="15" hidden="false" customHeight="false" outlineLevel="0" collapsed="false">
      <c r="A773" s="9" t="s">
        <v>3206</v>
      </c>
      <c r="B773" s="9" t="s">
        <v>2014</v>
      </c>
      <c r="C773" s="9" t="s">
        <v>6</v>
      </c>
      <c r="D773" s="9" t="s">
        <v>327</v>
      </c>
      <c r="E773" s="10" t="s">
        <v>2015</v>
      </c>
    </row>
    <row r="774" customFormat="false" ht="15" hidden="false" customHeight="false" outlineLevel="0" collapsed="false">
      <c r="A774" s="9" t="s">
        <v>3207</v>
      </c>
      <c r="B774" s="9" t="s">
        <v>3208</v>
      </c>
      <c r="C774" s="9" t="s">
        <v>6</v>
      </c>
      <c r="D774" s="9" t="s">
        <v>327</v>
      </c>
      <c r="E774" s="10" t="s">
        <v>2015</v>
      </c>
    </row>
    <row r="775" customFormat="false" ht="15" hidden="false" customHeight="false" outlineLevel="0" collapsed="false">
      <c r="A775" s="9" t="s">
        <v>3209</v>
      </c>
      <c r="B775" s="9" t="s">
        <v>2403</v>
      </c>
      <c r="C775" s="9" t="s">
        <v>6</v>
      </c>
      <c r="D775" s="9" t="s">
        <v>327</v>
      </c>
      <c r="E775" s="10" t="s">
        <v>2015</v>
      </c>
    </row>
    <row r="776" customFormat="false" ht="15" hidden="false" customHeight="false" outlineLevel="0" collapsed="false">
      <c r="A776" s="9" t="s">
        <v>3210</v>
      </c>
      <c r="B776" s="9" t="s">
        <v>2910</v>
      </c>
      <c r="C776" s="10" t="s">
        <v>2901</v>
      </c>
      <c r="D776" s="9" t="s">
        <v>3211</v>
      </c>
      <c r="E776" s="10" t="s">
        <v>3212</v>
      </c>
    </row>
    <row r="777" customFormat="false" ht="15" hidden="false" customHeight="false" outlineLevel="0" collapsed="false">
      <c r="A777" s="9" t="s">
        <v>3213</v>
      </c>
      <c r="B777" s="9" t="s">
        <v>2917</v>
      </c>
      <c r="C777" s="10" t="s">
        <v>2901</v>
      </c>
      <c r="D777" s="9" t="s">
        <v>3214</v>
      </c>
      <c r="E777" s="10" t="s">
        <v>3215</v>
      </c>
    </row>
    <row r="778" customFormat="false" ht="15" hidden="false" customHeight="false" outlineLevel="0" collapsed="false">
      <c r="A778" s="9" t="s">
        <v>3216</v>
      </c>
      <c r="B778" s="9" t="s">
        <v>2014</v>
      </c>
      <c r="C778" s="10" t="s">
        <v>2901</v>
      </c>
      <c r="D778" s="9" t="s">
        <v>3217</v>
      </c>
      <c r="E778" s="10" t="s">
        <v>2905</v>
      </c>
    </row>
    <row r="779" customFormat="false" ht="15" hidden="false" customHeight="false" outlineLevel="0" collapsed="false">
      <c r="A779" s="9" t="s">
        <v>3218</v>
      </c>
      <c r="B779" s="9" t="s">
        <v>3219</v>
      </c>
      <c r="C779" s="10" t="s">
        <v>2901</v>
      </c>
      <c r="D779" s="9" t="s">
        <v>3217</v>
      </c>
      <c r="E779" s="10" t="s">
        <v>3220</v>
      </c>
    </row>
    <row r="780" customFormat="false" ht="15" hidden="false" customHeight="false" outlineLevel="0" collapsed="false">
      <c r="A780" s="9" t="s">
        <v>3221</v>
      </c>
      <c r="B780" s="9" t="s">
        <v>3222</v>
      </c>
      <c r="C780" s="10" t="s">
        <v>1986</v>
      </c>
      <c r="D780" s="9" t="s">
        <v>59</v>
      </c>
      <c r="E780" s="10" t="s">
        <v>3223</v>
      </c>
    </row>
    <row r="781" customFormat="false" ht="15" hidden="false" customHeight="false" outlineLevel="0" collapsed="false">
      <c r="A781" s="9" t="s">
        <v>3224</v>
      </c>
      <c r="B781" s="9" t="s">
        <v>3225</v>
      </c>
      <c r="C781" s="10" t="s">
        <v>1986</v>
      </c>
      <c r="D781" s="9" t="s">
        <v>59</v>
      </c>
      <c r="E781" s="10" t="s">
        <v>3226</v>
      </c>
    </row>
    <row r="782" customFormat="false" ht="15" hidden="false" customHeight="false" outlineLevel="0" collapsed="false">
      <c r="A782" s="9" t="s">
        <v>3227</v>
      </c>
      <c r="B782" s="9" t="s">
        <v>3228</v>
      </c>
      <c r="C782" s="10" t="s">
        <v>1986</v>
      </c>
      <c r="D782" s="9" t="s">
        <v>59</v>
      </c>
      <c r="E782" s="10" t="s">
        <v>3229</v>
      </c>
    </row>
    <row r="783" customFormat="false" ht="15" hidden="false" customHeight="false" outlineLevel="0" collapsed="false">
      <c r="A783" s="9" t="s">
        <v>3230</v>
      </c>
      <c r="B783" s="9" t="s">
        <v>3231</v>
      </c>
      <c r="C783" s="10" t="s">
        <v>2691</v>
      </c>
      <c r="D783" s="9" t="s">
        <v>3232</v>
      </c>
      <c r="E783" s="10" t="s">
        <v>3233</v>
      </c>
    </row>
    <row r="784" customFormat="false" ht="15" hidden="false" customHeight="false" outlineLevel="0" collapsed="false">
      <c r="A784" s="9" t="s">
        <v>3234</v>
      </c>
      <c r="B784" s="9" t="s">
        <v>3235</v>
      </c>
      <c r="C784" s="10" t="s">
        <v>2691</v>
      </c>
      <c r="D784" s="9" t="s">
        <v>3232</v>
      </c>
      <c r="E784" s="10" t="s">
        <v>3233</v>
      </c>
    </row>
    <row r="785" customFormat="false" ht="15" hidden="false" customHeight="false" outlineLevel="0" collapsed="false">
      <c r="A785" s="9" t="s">
        <v>3236</v>
      </c>
      <c r="B785" s="9" t="s">
        <v>3237</v>
      </c>
      <c r="C785" s="10" t="s">
        <v>2691</v>
      </c>
      <c r="D785" s="9" t="s">
        <v>3232</v>
      </c>
      <c r="E785" s="10" t="s">
        <v>3233</v>
      </c>
    </row>
    <row r="786" customFormat="false" ht="15" hidden="false" customHeight="false" outlineLevel="0" collapsed="false">
      <c r="A786" s="9" t="s">
        <v>3238</v>
      </c>
      <c r="B786" s="9" t="s">
        <v>3239</v>
      </c>
      <c r="C786" s="10" t="s">
        <v>2691</v>
      </c>
      <c r="D786" s="9" t="s">
        <v>3232</v>
      </c>
      <c r="E786" s="10" t="s">
        <v>3233</v>
      </c>
    </row>
    <row r="787" customFormat="false" ht="15" hidden="false" customHeight="false" outlineLevel="0" collapsed="false">
      <c r="A787" s="9" t="s">
        <v>3240</v>
      </c>
      <c r="B787" s="9" t="s">
        <v>3241</v>
      </c>
      <c r="C787" s="10" t="s">
        <v>2691</v>
      </c>
      <c r="D787" s="9" t="s">
        <v>3232</v>
      </c>
      <c r="E787" s="10" t="s">
        <v>3233</v>
      </c>
    </row>
    <row r="788" customFormat="false" ht="15" hidden="false" customHeight="false" outlineLevel="0" collapsed="false">
      <c r="A788" s="9" t="s">
        <v>3242</v>
      </c>
      <c r="B788" s="9" t="s">
        <v>3243</v>
      </c>
      <c r="C788" s="10" t="s">
        <v>2691</v>
      </c>
      <c r="D788" s="9" t="s">
        <v>3232</v>
      </c>
      <c r="E788" s="10" t="s">
        <v>3233</v>
      </c>
    </row>
    <row r="789" customFormat="false" ht="15" hidden="false" customHeight="false" outlineLevel="0" collapsed="false">
      <c r="A789" s="9" t="s">
        <v>3244</v>
      </c>
      <c r="B789" s="9" t="s">
        <v>3245</v>
      </c>
      <c r="C789" s="10" t="s">
        <v>2691</v>
      </c>
      <c r="D789" s="9" t="s">
        <v>3232</v>
      </c>
      <c r="E789" s="10" t="s">
        <v>3233</v>
      </c>
    </row>
    <row r="790" customFormat="false" ht="15" hidden="false" customHeight="false" outlineLevel="0" collapsed="false">
      <c r="A790" s="9" t="s">
        <v>3246</v>
      </c>
      <c r="B790" s="9" t="s">
        <v>3247</v>
      </c>
      <c r="C790" s="10" t="s">
        <v>2691</v>
      </c>
      <c r="D790" s="9" t="s">
        <v>3232</v>
      </c>
      <c r="E790" s="10" t="s">
        <v>3233</v>
      </c>
    </row>
    <row r="791" customFormat="false" ht="15" hidden="false" customHeight="false" outlineLevel="0" collapsed="false">
      <c r="A791" s="9" t="s">
        <v>3248</v>
      </c>
      <c r="B791" s="9" t="s">
        <v>3249</v>
      </c>
      <c r="C791" s="10" t="s">
        <v>2691</v>
      </c>
      <c r="D791" s="9" t="s">
        <v>3232</v>
      </c>
      <c r="E791" s="10" t="s">
        <v>3233</v>
      </c>
    </row>
    <row r="792" customFormat="false" ht="15" hidden="false" customHeight="false" outlineLevel="0" collapsed="false">
      <c r="A792" s="9" t="s">
        <v>3250</v>
      </c>
      <c r="B792" s="9" t="s">
        <v>3251</v>
      </c>
      <c r="C792" s="10" t="s">
        <v>2691</v>
      </c>
      <c r="D792" s="9" t="s">
        <v>3232</v>
      </c>
      <c r="E792" s="10" t="s">
        <v>3233</v>
      </c>
    </row>
    <row r="793" customFormat="false" ht="15" hidden="false" customHeight="false" outlineLevel="0" collapsed="false">
      <c r="A793" s="9" t="s">
        <v>3252</v>
      </c>
      <c r="B793" s="9" t="s">
        <v>2067</v>
      </c>
      <c r="C793" s="10" t="s">
        <v>2691</v>
      </c>
      <c r="D793" s="9" t="s">
        <v>3232</v>
      </c>
      <c r="E793" s="10" t="s">
        <v>3233</v>
      </c>
    </row>
    <row r="794" customFormat="false" ht="15" hidden="false" customHeight="false" outlineLevel="0" collapsed="false">
      <c r="A794" s="9" t="s">
        <v>3253</v>
      </c>
      <c r="B794" s="9" t="s">
        <v>2071</v>
      </c>
      <c r="C794" s="10" t="s">
        <v>2691</v>
      </c>
      <c r="D794" s="9" t="s">
        <v>3232</v>
      </c>
      <c r="E794" s="10" t="s">
        <v>3233</v>
      </c>
    </row>
    <row r="795" customFormat="false" ht="15" hidden="false" customHeight="false" outlineLevel="0" collapsed="false">
      <c r="A795" s="9" t="s">
        <v>3254</v>
      </c>
      <c r="B795" s="9" t="s">
        <v>2240</v>
      </c>
      <c r="C795" s="10" t="s">
        <v>2691</v>
      </c>
      <c r="D795" s="9" t="s">
        <v>3255</v>
      </c>
      <c r="E795" s="10" t="s">
        <v>2693</v>
      </c>
    </row>
    <row r="796" customFormat="false" ht="15" hidden="false" customHeight="false" outlineLevel="0" collapsed="false">
      <c r="A796" s="9" t="s">
        <v>3256</v>
      </c>
      <c r="B796" s="9" t="s">
        <v>2125</v>
      </c>
      <c r="C796" s="10" t="s">
        <v>2691</v>
      </c>
      <c r="D796" s="9" t="s">
        <v>3255</v>
      </c>
      <c r="E796" s="10" t="s">
        <v>2693</v>
      </c>
    </row>
    <row r="797" customFormat="false" ht="15" hidden="false" customHeight="false" outlineLevel="0" collapsed="false">
      <c r="A797" s="9" t="s">
        <v>3257</v>
      </c>
      <c r="B797" s="9" t="s">
        <v>2242</v>
      </c>
      <c r="C797" s="10" t="s">
        <v>2691</v>
      </c>
      <c r="D797" s="9" t="s">
        <v>3255</v>
      </c>
      <c r="E797" s="10" t="s">
        <v>2693</v>
      </c>
    </row>
    <row r="798" customFormat="false" ht="15" hidden="false" customHeight="false" outlineLevel="0" collapsed="false">
      <c r="A798" s="9" t="s">
        <v>3258</v>
      </c>
      <c r="B798" s="9" t="s">
        <v>2274</v>
      </c>
      <c r="C798" s="10" t="s">
        <v>2691</v>
      </c>
      <c r="D798" s="9" t="s">
        <v>3255</v>
      </c>
      <c r="E798" s="10" t="s">
        <v>2693</v>
      </c>
    </row>
    <row r="799" customFormat="false" ht="15" hidden="false" customHeight="false" outlineLevel="0" collapsed="false">
      <c r="A799" s="9" t="s">
        <v>3259</v>
      </c>
      <c r="B799" s="9" t="s">
        <v>2044</v>
      </c>
      <c r="C799" s="9" t="s">
        <v>10</v>
      </c>
      <c r="D799" s="9" t="s">
        <v>1354</v>
      </c>
      <c r="E799" s="9"/>
    </row>
    <row r="800" customFormat="false" ht="15" hidden="false" customHeight="false" outlineLevel="0" collapsed="false">
      <c r="A800" s="9" t="s">
        <v>3260</v>
      </c>
      <c r="B800" s="9" t="s">
        <v>2176</v>
      </c>
      <c r="C800" s="9" t="s">
        <v>10</v>
      </c>
      <c r="D800" s="9" t="s">
        <v>1354</v>
      </c>
      <c r="E800" s="9"/>
    </row>
    <row r="801" customFormat="false" ht="15" hidden="false" customHeight="false" outlineLevel="0" collapsed="false">
      <c r="A801" s="9" t="s">
        <v>3261</v>
      </c>
      <c r="B801" s="9" t="s">
        <v>2117</v>
      </c>
      <c r="C801" s="9" t="s">
        <v>10</v>
      </c>
      <c r="D801" s="9" t="s">
        <v>1354</v>
      </c>
      <c r="E801" s="9"/>
    </row>
    <row r="802" customFormat="false" ht="15" hidden="false" customHeight="false" outlineLevel="0" collapsed="false">
      <c r="A802" s="9" t="s">
        <v>3262</v>
      </c>
      <c r="B802" s="9" t="s">
        <v>2089</v>
      </c>
      <c r="C802" s="9" t="s">
        <v>10</v>
      </c>
      <c r="D802" s="9" t="s">
        <v>1354</v>
      </c>
      <c r="E802" s="10" t="s">
        <v>2015</v>
      </c>
    </row>
    <row r="803" customFormat="false" ht="15" hidden="false" customHeight="false" outlineLevel="0" collapsed="false">
      <c r="A803" s="9" t="s">
        <v>3263</v>
      </c>
      <c r="B803" s="9" t="s">
        <v>3264</v>
      </c>
      <c r="C803" s="9" t="s">
        <v>10</v>
      </c>
      <c r="D803" s="9" t="s">
        <v>1354</v>
      </c>
      <c r="E803" s="10" t="s">
        <v>2015</v>
      </c>
    </row>
    <row r="804" customFormat="false" ht="15" hidden="false" customHeight="false" outlineLevel="0" collapsed="false">
      <c r="A804" s="9" t="s">
        <v>3265</v>
      </c>
      <c r="B804" s="9" t="s">
        <v>3266</v>
      </c>
      <c r="C804" s="10" t="s">
        <v>2691</v>
      </c>
      <c r="D804" s="9" t="s">
        <v>3267</v>
      </c>
      <c r="E804" s="10" t="s">
        <v>2693</v>
      </c>
    </row>
    <row r="805" customFormat="false" ht="15" hidden="false" customHeight="false" outlineLevel="0" collapsed="false">
      <c r="A805" s="9" t="s">
        <v>3268</v>
      </c>
      <c r="B805" s="9" t="s">
        <v>2484</v>
      </c>
      <c r="C805" s="10" t="s">
        <v>2691</v>
      </c>
      <c r="D805" s="9" t="s">
        <v>3267</v>
      </c>
      <c r="E805" s="10" t="s">
        <v>2693</v>
      </c>
    </row>
    <row r="806" customFormat="false" ht="15" hidden="false" customHeight="false" outlineLevel="0" collapsed="false">
      <c r="A806" s="9" t="s">
        <v>3269</v>
      </c>
      <c r="B806" s="9" t="s">
        <v>2148</v>
      </c>
      <c r="C806" s="10" t="s">
        <v>2691</v>
      </c>
      <c r="D806" s="9" t="s">
        <v>3267</v>
      </c>
      <c r="E806" s="10" t="s">
        <v>2693</v>
      </c>
    </row>
    <row r="807" customFormat="false" ht="15" hidden="false" customHeight="false" outlineLevel="0" collapsed="false">
      <c r="A807" s="9" t="s">
        <v>3270</v>
      </c>
      <c r="B807" s="9" t="s">
        <v>2089</v>
      </c>
      <c r="C807" s="10" t="s">
        <v>2691</v>
      </c>
      <c r="D807" s="9" t="s">
        <v>3267</v>
      </c>
      <c r="E807" s="10" t="s">
        <v>2693</v>
      </c>
    </row>
    <row r="808" customFormat="false" ht="15" hidden="false" customHeight="false" outlineLevel="0" collapsed="false">
      <c r="A808" s="9" t="s">
        <v>3271</v>
      </c>
      <c r="B808" s="9" t="s">
        <v>3272</v>
      </c>
      <c r="C808" s="10" t="s">
        <v>2691</v>
      </c>
      <c r="D808" s="9" t="s">
        <v>3267</v>
      </c>
      <c r="E808" s="10" t="s">
        <v>2693</v>
      </c>
    </row>
    <row r="809" customFormat="false" ht="15" hidden="false" customHeight="false" outlineLevel="0" collapsed="false">
      <c r="A809" s="9" t="s">
        <v>3273</v>
      </c>
      <c r="B809" s="9" t="s">
        <v>3274</v>
      </c>
      <c r="C809" s="9" t="s">
        <v>10</v>
      </c>
      <c r="D809" s="9" t="s">
        <v>3275</v>
      </c>
      <c r="E809" s="10" t="s">
        <v>3276</v>
      </c>
    </row>
    <row r="810" customFormat="false" ht="15" hidden="false" customHeight="false" outlineLevel="0" collapsed="false">
      <c r="A810" s="9" t="s">
        <v>3277</v>
      </c>
      <c r="B810" s="9" t="s">
        <v>2044</v>
      </c>
      <c r="C810" s="9" t="s">
        <v>10</v>
      </c>
      <c r="D810" s="9" t="s">
        <v>1359</v>
      </c>
      <c r="E810" s="9"/>
    </row>
    <row r="811" customFormat="false" ht="15" hidden="false" customHeight="false" outlineLevel="0" collapsed="false">
      <c r="A811" s="9" t="s">
        <v>3278</v>
      </c>
      <c r="B811" s="9" t="s">
        <v>2254</v>
      </c>
      <c r="C811" s="9" t="s">
        <v>10</v>
      </c>
      <c r="D811" s="9" t="s">
        <v>1364</v>
      </c>
      <c r="E811" s="9"/>
    </row>
    <row r="812" customFormat="false" ht="15" hidden="false" customHeight="false" outlineLevel="0" collapsed="false">
      <c r="A812" s="9" t="s">
        <v>3279</v>
      </c>
      <c r="B812" s="9" t="s">
        <v>2240</v>
      </c>
      <c r="C812" s="9" t="s">
        <v>10</v>
      </c>
      <c r="D812" s="9" t="s">
        <v>1365</v>
      </c>
      <c r="E812" s="9"/>
    </row>
    <row r="813" customFormat="false" ht="15" hidden="false" customHeight="false" outlineLevel="0" collapsed="false">
      <c r="A813" s="9" t="s">
        <v>3280</v>
      </c>
      <c r="B813" s="9" t="s">
        <v>2583</v>
      </c>
      <c r="C813" s="9" t="s">
        <v>10</v>
      </c>
      <c r="D813" s="9" t="s">
        <v>1366</v>
      </c>
      <c r="E813" s="9"/>
    </row>
    <row r="814" customFormat="false" ht="15" hidden="false" customHeight="false" outlineLevel="0" collapsed="false">
      <c r="A814" s="9" t="s">
        <v>3281</v>
      </c>
      <c r="B814" s="9" t="s">
        <v>2093</v>
      </c>
      <c r="C814" s="9" t="s">
        <v>10</v>
      </c>
      <c r="D814" s="9" t="s">
        <v>1367</v>
      </c>
      <c r="E814" s="9"/>
    </row>
    <row r="815" customFormat="false" ht="15" hidden="false" customHeight="false" outlineLevel="0" collapsed="false">
      <c r="A815" s="9" t="s">
        <v>3282</v>
      </c>
      <c r="B815" s="9" t="s">
        <v>2093</v>
      </c>
      <c r="C815" s="9" t="s">
        <v>10</v>
      </c>
      <c r="D815" s="9" t="s">
        <v>1368</v>
      </c>
      <c r="E815" s="9"/>
    </row>
    <row r="816" customFormat="false" ht="15" hidden="false" customHeight="false" outlineLevel="0" collapsed="false">
      <c r="A816" s="9" t="s">
        <v>3283</v>
      </c>
      <c r="B816" s="9" t="s">
        <v>2176</v>
      </c>
      <c r="C816" s="9" t="s">
        <v>10</v>
      </c>
      <c r="D816" s="9" t="s">
        <v>1369</v>
      </c>
      <c r="E816" s="9"/>
    </row>
    <row r="817" customFormat="false" ht="15" hidden="false" customHeight="false" outlineLevel="0" collapsed="false">
      <c r="A817" s="9" t="s">
        <v>3284</v>
      </c>
      <c r="B817" s="9" t="s">
        <v>2257</v>
      </c>
      <c r="C817" s="9" t="s">
        <v>10</v>
      </c>
      <c r="D817" s="9" t="s">
        <v>1373</v>
      </c>
      <c r="E817" s="9"/>
    </row>
    <row r="818" customFormat="false" ht="15" hidden="false" customHeight="false" outlineLevel="0" collapsed="false">
      <c r="A818" s="9" t="s">
        <v>3285</v>
      </c>
      <c r="B818" s="9" t="s">
        <v>2250</v>
      </c>
      <c r="C818" s="9" t="s">
        <v>10</v>
      </c>
      <c r="D818" s="9" t="s">
        <v>1374</v>
      </c>
      <c r="E818" s="9"/>
    </row>
    <row r="819" customFormat="false" ht="15" hidden="false" customHeight="false" outlineLevel="0" collapsed="false">
      <c r="A819" s="9" t="s">
        <v>3286</v>
      </c>
      <c r="B819" s="9" t="s">
        <v>2252</v>
      </c>
      <c r="C819" s="9" t="s">
        <v>10</v>
      </c>
      <c r="D819" s="9" t="s">
        <v>1375</v>
      </c>
      <c r="E819" s="9"/>
    </row>
    <row r="820" customFormat="false" ht="15" hidden="false" customHeight="false" outlineLevel="0" collapsed="false">
      <c r="A820" s="9" t="s">
        <v>3287</v>
      </c>
      <c r="B820" s="9" t="s">
        <v>2073</v>
      </c>
      <c r="C820" s="9" t="s">
        <v>10</v>
      </c>
      <c r="D820" s="9" t="s">
        <v>1376</v>
      </c>
      <c r="E820" s="9"/>
    </row>
    <row r="821" customFormat="false" ht="15" hidden="false" customHeight="false" outlineLevel="0" collapsed="false">
      <c r="A821" s="9" t="s">
        <v>3288</v>
      </c>
      <c r="B821" s="9" t="s">
        <v>2125</v>
      </c>
      <c r="C821" s="9" t="s">
        <v>10</v>
      </c>
      <c r="D821" s="9" t="s">
        <v>1377</v>
      </c>
      <c r="E821" s="9"/>
    </row>
    <row r="822" customFormat="false" ht="15" hidden="false" customHeight="false" outlineLevel="0" collapsed="false">
      <c r="A822" s="9" t="s">
        <v>3289</v>
      </c>
      <c r="B822" s="9" t="s">
        <v>2093</v>
      </c>
      <c r="C822" s="9" t="s">
        <v>10</v>
      </c>
      <c r="D822" s="9" t="s">
        <v>1378</v>
      </c>
      <c r="E822" s="9"/>
    </row>
    <row r="823" customFormat="false" ht="15" hidden="false" customHeight="false" outlineLevel="0" collapsed="false">
      <c r="A823" s="9" t="s">
        <v>3290</v>
      </c>
      <c r="B823" s="9" t="s">
        <v>2583</v>
      </c>
      <c r="C823" s="9" t="s">
        <v>10</v>
      </c>
      <c r="D823" s="9" t="s">
        <v>1381</v>
      </c>
      <c r="E823" s="9"/>
    </row>
    <row r="824" customFormat="false" ht="15" hidden="false" customHeight="false" outlineLevel="0" collapsed="false">
      <c r="A824" s="9" t="s">
        <v>3291</v>
      </c>
      <c r="B824" s="9" t="s">
        <v>2252</v>
      </c>
      <c r="C824" s="9" t="s">
        <v>10</v>
      </c>
      <c r="D824" s="9" t="s">
        <v>1382</v>
      </c>
      <c r="E824" s="9"/>
    </row>
    <row r="825" customFormat="false" ht="15" hidden="false" customHeight="false" outlineLevel="0" collapsed="false">
      <c r="A825" s="9" t="s">
        <v>3292</v>
      </c>
      <c r="B825" s="9" t="s">
        <v>2250</v>
      </c>
      <c r="C825" s="9" t="s">
        <v>10</v>
      </c>
      <c r="D825" s="9" t="s">
        <v>1383</v>
      </c>
      <c r="E825" s="9"/>
    </row>
    <row r="826" customFormat="false" ht="15" hidden="false" customHeight="false" outlineLevel="0" collapsed="false">
      <c r="A826" s="9" t="s">
        <v>3293</v>
      </c>
      <c r="B826" s="9" t="s">
        <v>2129</v>
      </c>
      <c r="C826" s="9" t="s">
        <v>10</v>
      </c>
      <c r="D826" s="9" t="s">
        <v>1384</v>
      </c>
      <c r="E826" s="9"/>
    </row>
    <row r="827" customFormat="false" ht="15" hidden="false" customHeight="false" outlineLevel="0" collapsed="false">
      <c r="A827" s="9" t="s">
        <v>3294</v>
      </c>
      <c r="B827" s="9" t="s">
        <v>2250</v>
      </c>
      <c r="C827" s="9" t="s">
        <v>10</v>
      </c>
      <c r="D827" s="9" t="s">
        <v>1385</v>
      </c>
      <c r="E827" s="9"/>
    </row>
    <row r="828" customFormat="false" ht="15" hidden="false" customHeight="false" outlineLevel="0" collapsed="false">
      <c r="A828" s="9" t="s">
        <v>3295</v>
      </c>
      <c r="B828" s="9" t="s">
        <v>2093</v>
      </c>
      <c r="C828" s="9" t="s">
        <v>10</v>
      </c>
      <c r="D828" s="9" t="s">
        <v>1386</v>
      </c>
      <c r="E828" s="9"/>
    </row>
    <row r="829" customFormat="false" ht="15" hidden="false" customHeight="false" outlineLevel="0" collapsed="false">
      <c r="A829" s="9" t="s">
        <v>3296</v>
      </c>
      <c r="B829" s="9" t="s">
        <v>2093</v>
      </c>
      <c r="C829" s="9" t="s">
        <v>10</v>
      </c>
      <c r="D829" s="9" t="s">
        <v>1389</v>
      </c>
      <c r="E829" s="9"/>
    </row>
    <row r="830" customFormat="false" ht="15" hidden="false" customHeight="false" outlineLevel="0" collapsed="false">
      <c r="A830" s="9" t="s">
        <v>3297</v>
      </c>
      <c r="B830" s="9" t="s">
        <v>2093</v>
      </c>
      <c r="C830" s="9" t="s">
        <v>10</v>
      </c>
      <c r="D830" s="9" t="s">
        <v>1390</v>
      </c>
      <c r="E830" s="9"/>
    </row>
    <row r="831" customFormat="false" ht="15" hidden="false" customHeight="false" outlineLevel="0" collapsed="false">
      <c r="A831" s="9" t="s">
        <v>3298</v>
      </c>
      <c r="B831" s="9" t="s">
        <v>2583</v>
      </c>
      <c r="C831" s="9" t="s">
        <v>10</v>
      </c>
      <c r="D831" s="9" t="s">
        <v>1391</v>
      </c>
      <c r="E831" s="9"/>
    </row>
    <row r="832" customFormat="false" ht="15" hidden="false" customHeight="false" outlineLevel="0" collapsed="false">
      <c r="A832" s="9" t="s">
        <v>3299</v>
      </c>
      <c r="B832" s="9" t="s">
        <v>2125</v>
      </c>
      <c r="C832" s="9" t="s">
        <v>10</v>
      </c>
      <c r="D832" s="9" t="s">
        <v>1392</v>
      </c>
      <c r="E832" s="9"/>
    </row>
    <row r="833" customFormat="false" ht="15" hidden="false" customHeight="false" outlineLevel="0" collapsed="false">
      <c r="A833" s="9" t="s">
        <v>3300</v>
      </c>
      <c r="B833" s="9" t="s">
        <v>2073</v>
      </c>
      <c r="C833" s="9" t="s">
        <v>10</v>
      </c>
      <c r="D833" s="9" t="s">
        <v>1393</v>
      </c>
      <c r="E833" s="9"/>
    </row>
    <row r="834" customFormat="false" ht="15" hidden="false" customHeight="false" outlineLevel="0" collapsed="false">
      <c r="A834" s="9" t="s">
        <v>3301</v>
      </c>
      <c r="B834" s="9" t="s">
        <v>2089</v>
      </c>
      <c r="C834" s="9" t="s">
        <v>10</v>
      </c>
      <c r="D834" s="9" t="s">
        <v>3302</v>
      </c>
      <c r="E834" s="10" t="s">
        <v>2015</v>
      </c>
    </row>
    <row r="835" customFormat="false" ht="15" hidden="false" customHeight="false" outlineLevel="0" collapsed="false">
      <c r="A835" s="9" t="s">
        <v>3303</v>
      </c>
      <c r="B835" s="9" t="s">
        <v>2497</v>
      </c>
      <c r="C835" s="9" t="s">
        <v>10</v>
      </c>
      <c r="D835" s="9" t="s">
        <v>3302</v>
      </c>
      <c r="E835" s="10" t="s">
        <v>2015</v>
      </c>
    </row>
    <row r="836" customFormat="false" ht="15" hidden="false" customHeight="false" outlineLevel="0" collapsed="false">
      <c r="A836" s="9" t="s">
        <v>478</v>
      </c>
      <c r="B836" s="9" t="s">
        <v>2073</v>
      </c>
      <c r="C836" s="9" t="s">
        <v>6</v>
      </c>
      <c r="D836" s="9" t="s">
        <v>473</v>
      </c>
      <c r="E836" s="9"/>
    </row>
    <row r="837" customFormat="false" ht="15" hidden="false" customHeight="false" outlineLevel="0" collapsed="false">
      <c r="A837" s="9" t="s">
        <v>482</v>
      </c>
      <c r="B837" s="9" t="s">
        <v>2044</v>
      </c>
      <c r="C837" s="9" t="s">
        <v>6</v>
      </c>
      <c r="D837" s="9" t="s">
        <v>480</v>
      </c>
      <c r="E837" s="9"/>
    </row>
    <row r="838" customFormat="false" ht="15" hidden="false" customHeight="false" outlineLevel="0" collapsed="false">
      <c r="A838" s="9" t="s">
        <v>487</v>
      </c>
      <c r="B838" s="9" t="s">
        <v>3304</v>
      </c>
      <c r="C838" s="9" t="s">
        <v>6</v>
      </c>
      <c r="D838" s="9" t="s">
        <v>484</v>
      </c>
      <c r="E838" s="9"/>
    </row>
    <row r="839" customFormat="false" ht="15" hidden="false" customHeight="false" outlineLevel="0" collapsed="false">
      <c r="A839" s="9" t="s">
        <v>492</v>
      </c>
      <c r="B839" s="9" t="s">
        <v>2367</v>
      </c>
      <c r="C839" s="9" t="s">
        <v>6</v>
      </c>
      <c r="D839" s="9" t="s">
        <v>489</v>
      </c>
      <c r="E839" s="9"/>
    </row>
    <row r="840" customFormat="false" ht="15" hidden="false" customHeight="false" outlineLevel="0" collapsed="false">
      <c r="A840" s="9" t="s">
        <v>3305</v>
      </c>
      <c r="B840" s="9" t="s">
        <v>2014</v>
      </c>
      <c r="C840" s="9" t="s">
        <v>6</v>
      </c>
      <c r="D840" s="10" t="s">
        <v>3306</v>
      </c>
      <c r="E840" s="10" t="s">
        <v>2015</v>
      </c>
    </row>
    <row r="841" customFormat="false" ht="15" hidden="false" customHeight="false" outlineLevel="0" collapsed="false">
      <c r="A841" s="9" t="s">
        <v>3307</v>
      </c>
      <c r="B841" s="9" t="s">
        <v>3308</v>
      </c>
      <c r="C841" s="9" t="s">
        <v>6</v>
      </c>
      <c r="D841" s="10" t="s">
        <v>3306</v>
      </c>
      <c r="E841" s="10" t="s">
        <v>2015</v>
      </c>
    </row>
    <row r="842" customFormat="false" ht="15" hidden="false" customHeight="false" outlineLevel="0" collapsed="false">
      <c r="A842" s="9" t="s">
        <v>3309</v>
      </c>
      <c r="B842" s="9" t="s">
        <v>2403</v>
      </c>
      <c r="C842" s="9" t="s">
        <v>6</v>
      </c>
      <c r="D842" s="10" t="s">
        <v>3306</v>
      </c>
      <c r="E842" s="10" t="s">
        <v>2015</v>
      </c>
    </row>
    <row r="843" customFormat="false" ht="15" hidden="false" customHeight="false" outlineLevel="0" collapsed="false">
      <c r="A843" s="9" t="s">
        <v>3310</v>
      </c>
      <c r="B843" s="9" t="s">
        <v>1992</v>
      </c>
      <c r="C843" s="9" t="s">
        <v>10</v>
      </c>
      <c r="D843" s="9" t="s">
        <v>1394</v>
      </c>
      <c r="E843" s="9"/>
    </row>
    <row r="844" customFormat="false" ht="15" hidden="false" customHeight="false" outlineLevel="0" collapsed="false">
      <c r="A844" s="9" t="s">
        <v>3311</v>
      </c>
      <c r="B844" s="9" t="s">
        <v>2365</v>
      </c>
      <c r="C844" s="9" t="s">
        <v>10</v>
      </c>
      <c r="D844" s="9" t="s">
        <v>1394</v>
      </c>
      <c r="E844" s="9"/>
    </row>
    <row r="845" customFormat="false" ht="15" hidden="false" customHeight="false" outlineLevel="0" collapsed="false">
      <c r="A845" s="9" t="s">
        <v>3312</v>
      </c>
      <c r="B845" s="9" t="s">
        <v>3313</v>
      </c>
      <c r="C845" s="9" t="s">
        <v>10</v>
      </c>
      <c r="D845" s="9" t="s">
        <v>1394</v>
      </c>
      <c r="E845" s="9"/>
    </row>
    <row r="846" customFormat="false" ht="15" hidden="false" customHeight="false" outlineLevel="0" collapsed="false">
      <c r="A846" s="9" t="s">
        <v>3314</v>
      </c>
      <c r="B846" s="9" t="s">
        <v>2274</v>
      </c>
      <c r="C846" s="9" t="s">
        <v>10</v>
      </c>
      <c r="D846" s="9" t="s">
        <v>1394</v>
      </c>
      <c r="E846" s="10" t="s">
        <v>2015</v>
      </c>
    </row>
    <row r="847" customFormat="false" ht="15" hidden="false" customHeight="false" outlineLevel="0" collapsed="false">
      <c r="A847" s="9" t="s">
        <v>3315</v>
      </c>
      <c r="B847" s="9" t="s">
        <v>3316</v>
      </c>
      <c r="C847" s="9" t="s">
        <v>10</v>
      </c>
      <c r="D847" s="9" t="s">
        <v>1394</v>
      </c>
      <c r="E847" s="10" t="s">
        <v>2015</v>
      </c>
    </row>
    <row r="848" customFormat="false" ht="15" hidden="false" customHeight="false" outlineLevel="0" collapsed="false">
      <c r="A848" s="9" t="s">
        <v>3317</v>
      </c>
      <c r="B848" s="9" t="s">
        <v>2125</v>
      </c>
      <c r="C848" s="9" t="s">
        <v>10</v>
      </c>
      <c r="D848" s="9" t="s">
        <v>1407</v>
      </c>
      <c r="E848" s="9"/>
    </row>
    <row r="849" customFormat="false" ht="15" hidden="false" customHeight="false" outlineLevel="0" collapsed="false">
      <c r="A849" s="9" t="s">
        <v>3318</v>
      </c>
      <c r="B849" s="9" t="s">
        <v>2089</v>
      </c>
      <c r="C849" s="9" t="s">
        <v>10</v>
      </c>
      <c r="D849" s="9" t="s">
        <v>1407</v>
      </c>
      <c r="E849" s="10" t="s">
        <v>2015</v>
      </c>
    </row>
    <row r="850" customFormat="false" ht="15" hidden="false" customHeight="false" outlineLevel="0" collapsed="false">
      <c r="A850" s="9" t="s">
        <v>3319</v>
      </c>
      <c r="B850" s="9" t="s">
        <v>2252</v>
      </c>
      <c r="C850" s="9" t="s">
        <v>10</v>
      </c>
      <c r="D850" s="9" t="s">
        <v>1410</v>
      </c>
      <c r="E850" s="9"/>
    </row>
    <row r="851" customFormat="false" ht="15" hidden="false" customHeight="false" outlineLevel="0" collapsed="false">
      <c r="A851" s="9" t="s">
        <v>3320</v>
      </c>
      <c r="B851" s="9" t="s">
        <v>2089</v>
      </c>
      <c r="C851" s="9" t="s">
        <v>10</v>
      </c>
      <c r="D851" s="9" t="s">
        <v>1410</v>
      </c>
      <c r="E851" s="10" t="s">
        <v>2015</v>
      </c>
    </row>
    <row r="852" customFormat="false" ht="15" hidden="false" customHeight="false" outlineLevel="0" collapsed="false">
      <c r="A852" s="9" t="s">
        <v>3321</v>
      </c>
      <c r="B852" s="9" t="s">
        <v>3322</v>
      </c>
      <c r="C852" s="9" t="s">
        <v>10</v>
      </c>
      <c r="D852" s="9" t="s">
        <v>1410</v>
      </c>
      <c r="E852" s="10" t="s">
        <v>2015</v>
      </c>
    </row>
    <row r="853" customFormat="false" ht="15" hidden="false" customHeight="false" outlineLevel="0" collapsed="false">
      <c r="A853" s="9" t="s">
        <v>3323</v>
      </c>
      <c r="B853" s="9" t="s">
        <v>3324</v>
      </c>
      <c r="C853" s="10" t="s">
        <v>1986</v>
      </c>
      <c r="D853" s="9" t="s">
        <v>59</v>
      </c>
      <c r="E853" s="10" t="s">
        <v>3325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3326</v>
      </c>
      <c r="B1" s="0" t="s">
        <v>3327</v>
      </c>
      <c r="C1" s="0" t="s">
        <v>3328</v>
      </c>
      <c r="D1" s="0" t="s">
        <v>3329</v>
      </c>
    </row>
    <row r="2" customFormat="false" ht="15" hidden="false" customHeight="false" outlineLevel="0" collapsed="false">
      <c r="A2" s="0" t="s">
        <v>6</v>
      </c>
      <c r="B2" s="0" t="s">
        <v>54</v>
      </c>
      <c r="C2" s="0" t="s">
        <v>3330</v>
      </c>
      <c r="D2" s="0" t="n">
        <v>3.7</v>
      </c>
    </row>
    <row r="3" customFormat="false" ht="15" hidden="false" customHeight="false" outlineLevel="0" collapsed="false">
      <c r="A3" s="0" t="s">
        <v>6</v>
      </c>
      <c r="B3" s="0" t="s">
        <v>54</v>
      </c>
      <c r="C3" s="0" t="s">
        <v>3331</v>
      </c>
    </row>
    <row r="4" customFormat="false" ht="15" hidden="false" customHeight="false" outlineLevel="0" collapsed="false">
      <c r="A4" s="0" t="s">
        <v>6</v>
      </c>
      <c r="B4" s="0" t="s">
        <v>54</v>
      </c>
      <c r="C4" s="0" t="s">
        <v>3332</v>
      </c>
    </row>
    <row r="5" customFormat="false" ht="15" hidden="false" customHeight="false" outlineLevel="0" collapsed="false">
      <c r="A5" s="0" t="s">
        <v>6</v>
      </c>
      <c r="B5" s="0" t="s">
        <v>70</v>
      </c>
      <c r="C5" s="0" t="s">
        <v>3330</v>
      </c>
      <c r="D5" s="0" t="n">
        <v>13.07</v>
      </c>
    </row>
    <row r="6" customFormat="false" ht="15" hidden="false" customHeight="false" outlineLevel="0" collapsed="false">
      <c r="A6" s="0" t="s">
        <v>6</v>
      </c>
      <c r="B6" s="0" t="s">
        <v>70</v>
      </c>
      <c r="C6" s="0" t="s">
        <v>3331</v>
      </c>
    </row>
    <row r="7" customFormat="false" ht="15" hidden="false" customHeight="false" outlineLevel="0" collapsed="false">
      <c r="A7" s="0" t="s">
        <v>6</v>
      </c>
      <c r="B7" s="0" t="s">
        <v>70</v>
      </c>
      <c r="C7" s="0" t="s">
        <v>3332</v>
      </c>
    </row>
    <row r="8" customFormat="false" ht="15" hidden="false" customHeight="false" outlineLevel="0" collapsed="false">
      <c r="A8" s="0" t="s">
        <v>6</v>
      </c>
      <c r="B8" s="0" t="s">
        <v>78</v>
      </c>
      <c r="C8" s="0" t="s">
        <v>3330</v>
      </c>
      <c r="D8" s="0" t="n">
        <v>7.5</v>
      </c>
    </row>
    <row r="9" customFormat="false" ht="15" hidden="false" customHeight="false" outlineLevel="0" collapsed="false">
      <c r="A9" s="0" t="s">
        <v>6</v>
      </c>
      <c r="B9" s="0" t="s">
        <v>78</v>
      </c>
      <c r="C9" s="0" t="s">
        <v>3331</v>
      </c>
    </row>
    <row r="10" customFormat="false" ht="15" hidden="false" customHeight="false" outlineLevel="0" collapsed="false">
      <c r="A10" s="0" t="s">
        <v>6</v>
      </c>
      <c r="B10" s="0" t="s">
        <v>78</v>
      </c>
      <c r="C10" s="0" t="s">
        <v>3332</v>
      </c>
    </row>
    <row r="11" customFormat="false" ht="15" hidden="false" customHeight="false" outlineLevel="0" collapsed="false">
      <c r="A11" s="0" t="s">
        <v>6</v>
      </c>
      <c r="B11" s="0" t="s">
        <v>84</v>
      </c>
      <c r="C11" s="0" t="s">
        <v>3330</v>
      </c>
      <c r="D11" s="0" t="n">
        <v>5.7</v>
      </c>
    </row>
    <row r="12" customFormat="false" ht="15" hidden="false" customHeight="false" outlineLevel="0" collapsed="false">
      <c r="A12" s="0" t="s">
        <v>6</v>
      </c>
      <c r="B12" s="0" t="s">
        <v>84</v>
      </c>
      <c r="C12" s="0" t="s">
        <v>3331</v>
      </c>
    </row>
    <row r="13" customFormat="false" ht="15" hidden="false" customHeight="false" outlineLevel="0" collapsed="false">
      <c r="A13" s="0" t="s">
        <v>6</v>
      </c>
      <c r="B13" s="0" t="s">
        <v>84</v>
      </c>
      <c r="C13" s="0" t="s">
        <v>3332</v>
      </c>
    </row>
    <row r="14" customFormat="false" ht="15" hidden="false" customHeight="false" outlineLevel="0" collapsed="false">
      <c r="A14" s="0" t="s">
        <v>6</v>
      </c>
      <c r="B14" s="0" t="s">
        <v>92</v>
      </c>
      <c r="C14" s="0" t="s">
        <v>3330</v>
      </c>
      <c r="D14" s="0" t="n">
        <v>6.7</v>
      </c>
    </row>
    <row r="15" customFormat="false" ht="15" hidden="false" customHeight="false" outlineLevel="0" collapsed="false">
      <c r="A15" s="0" t="s">
        <v>6</v>
      </c>
      <c r="B15" s="0" t="s">
        <v>92</v>
      </c>
      <c r="C15" s="0" t="s">
        <v>3331</v>
      </c>
    </row>
    <row r="16" customFormat="false" ht="15" hidden="false" customHeight="false" outlineLevel="0" collapsed="false">
      <c r="A16" s="0" t="s">
        <v>6</v>
      </c>
      <c r="B16" s="0" t="s">
        <v>92</v>
      </c>
      <c r="C16" s="0" t="s">
        <v>3332</v>
      </c>
    </row>
    <row r="17" customFormat="false" ht="15" hidden="false" customHeight="false" outlineLevel="0" collapsed="false">
      <c r="A17" s="0" t="s">
        <v>6</v>
      </c>
      <c r="B17" s="0" t="s">
        <v>99</v>
      </c>
      <c r="C17" s="0" t="s">
        <v>3330</v>
      </c>
      <c r="D17" s="0" t="n">
        <v>40</v>
      </c>
    </row>
    <row r="18" customFormat="false" ht="15" hidden="false" customHeight="false" outlineLevel="0" collapsed="false">
      <c r="A18" s="0" t="s">
        <v>6</v>
      </c>
      <c r="B18" s="0" t="s">
        <v>99</v>
      </c>
      <c r="C18" s="0" t="s">
        <v>3331</v>
      </c>
    </row>
    <row r="19" customFormat="false" ht="15" hidden="false" customHeight="false" outlineLevel="0" collapsed="false">
      <c r="A19" s="0" t="s">
        <v>6</v>
      </c>
      <c r="B19" s="0" t="s">
        <v>99</v>
      </c>
      <c r="C19" s="0" t="s">
        <v>3332</v>
      </c>
    </row>
    <row r="20" customFormat="false" ht="15" hidden="false" customHeight="false" outlineLevel="0" collapsed="false">
      <c r="A20" s="0" t="s">
        <v>6</v>
      </c>
      <c r="B20" s="0" t="s">
        <v>106</v>
      </c>
      <c r="C20" s="0" t="s">
        <v>3330</v>
      </c>
      <c r="D20" s="0" t="n">
        <v>0.6</v>
      </c>
    </row>
    <row r="21" customFormat="false" ht="15" hidden="false" customHeight="false" outlineLevel="0" collapsed="false">
      <c r="A21" s="0" t="s">
        <v>6</v>
      </c>
      <c r="B21" s="0" t="s">
        <v>106</v>
      </c>
      <c r="C21" s="0" t="s">
        <v>3331</v>
      </c>
    </row>
    <row r="22" customFormat="false" ht="15" hidden="false" customHeight="false" outlineLevel="0" collapsed="false">
      <c r="A22" s="0" t="s">
        <v>6</v>
      </c>
      <c r="B22" s="0" t="s">
        <v>106</v>
      </c>
      <c r="C22" s="0" t="s">
        <v>3332</v>
      </c>
    </row>
    <row r="23" customFormat="false" ht="15" hidden="false" customHeight="false" outlineLevel="0" collapsed="false">
      <c r="A23" s="0" t="s">
        <v>6</v>
      </c>
      <c r="B23" s="0" t="s">
        <v>113</v>
      </c>
      <c r="C23" s="0" t="s">
        <v>3330</v>
      </c>
      <c r="D23" s="0" t="n">
        <v>6</v>
      </c>
    </row>
    <row r="24" customFormat="false" ht="15" hidden="false" customHeight="false" outlineLevel="0" collapsed="false">
      <c r="A24" s="0" t="s">
        <v>6</v>
      </c>
      <c r="B24" s="0" t="s">
        <v>113</v>
      </c>
      <c r="C24" s="0" t="s">
        <v>3331</v>
      </c>
    </row>
    <row r="25" customFormat="false" ht="15" hidden="false" customHeight="false" outlineLevel="0" collapsed="false">
      <c r="A25" s="0" t="s">
        <v>6</v>
      </c>
      <c r="B25" s="0" t="s">
        <v>113</v>
      </c>
      <c r="C25" s="0" t="s">
        <v>3332</v>
      </c>
    </row>
    <row r="26" customFormat="false" ht="15" hidden="false" customHeight="false" outlineLevel="0" collapsed="false">
      <c r="A26" s="0" t="s">
        <v>6</v>
      </c>
      <c r="B26" s="0" t="s">
        <v>123</v>
      </c>
      <c r="C26" s="0" t="s">
        <v>3330</v>
      </c>
      <c r="D26" s="0" t="n">
        <v>0.2</v>
      </c>
    </row>
    <row r="27" customFormat="false" ht="15" hidden="false" customHeight="false" outlineLevel="0" collapsed="false">
      <c r="A27" s="0" t="s">
        <v>6</v>
      </c>
      <c r="B27" s="0" t="s">
        <v>123</v>
      </c>
      <c r="C27" s="0" t="s">
        <v>3331</v>
      </c>
    </row>
    <row r="28" customFormat="false" ht="15" hidden="false" customHeight="false" outlineLevel="0" collapsed="false">
      <c r="A28" s="0" t="s">
        <v>6</v>
      </c>
      <c r="B28" s="0" t="s">
        <v>123</v>
      </c>
      <c r="C28" s="0" t="s">
        <v>3332</v>
      </c>
    </row>
    <row r="29" customFormat="false" ht="15" hidden="false" customHeight="false" outlineLevel="0" collapsed="false">
      <c r="A29" s="0" t="s">
        <v>6</v>
      </c>
      <c r="B29" s="0" t="s">
        <v>132</v>
      </c>
      <c r="C29" s="0" t="s">
        <v>3330</v>
      </c>
      <c r="D29" s="0" t="n">
        <v>38</v>
      </c>
    </row>
    <row r="30" customFormat="false" ht="15" hidden="false" customHeight="false" outlineLevel="0" collapsed="false">
      <c r="A30" s="0" t="s">
        <v>6</v>
      </c>
      <c r="B30" s="0" t="s">
        <v>132</v>
      </c>
      <c r="C30" s="0" t="s">
        <v>3331</v>
      </c>
    </row>
    <row r="31" customFormat="false" ht="15" hidden="false" customHeight="false" outlineLevel="0" collapsed="false">
      <c r="A31" s="0" t="s">
        <v>6</v>
      </c>
      <c r="B31" s="0" t="s">
        <v>132</v>
      </c>
      <c r="C31" s="0" t="s">
        <v>3332</v>
      </c>
    </row>
    <row r="32" customFormat="false" ht="15" hidden="false" customHeight="false" outlineLevel="0" collapsed="false">
      <c r="A32" s="0" t="s">
        <v>6</v>
      </c>
      <c r="B32" s="0" t="s">
        <v>138</v>
      </c>
      <c r="C32" s="0" t="s">
        <v>3330</v>
      </c>
      <c r="D32" s="0" t="n">
        <v>2030</v>
      </c>
    </row>
    <row r="33" customFormat="false" ht="15" hidden="false" customHeight="false" outlineLevel="0" collapsed="false">
      <c r="A33" s="0" t="s">
        <v>6</v>
      </c>
      <c r="B33" s="0" t="s">
        <v>138</v>
      </c>
      <c r="C33" s="0" t="s">
        <v>3331</v>
      </c>
    </row>
    <row r="34" customFormat="false" ht="15" hidden="false" customHeight="false" outlineLevel="0" collapsed="false">
      <c r="A34" s="0" t="s">
        <v>6</v>
      </c>
      <c r="B34" s="0" t="s">
        <v>138</v>
      </c>
      <c r="C34" s="0" t="s">
        <v>3332</v>
      </c>
    </row>
    <row r="35" customFormat="false" ht="15" hidden="false" customHeight="false" outlineLevel="0" collapsed="false">
      <c r="A35" s="0" t="s">
        <v>6</v>
      </c>
      <c r="B35" s="0" t="s">
        <v>146</v>
      </c>
      <c r="C35" s="0" t="s">
        <v>3330</v>
      </c>
      <c r="D35" s="0" t="n">
        <v>0</v>
      </c>
    </row>
    <row r="36" customFormat="false" ht="15" hidden="false" customHeight="false" outlineLevel="0" collapsed="false">
      <c r="A36" s="0" t="s">
        <v>6</v>
      </c>
      <c r="B36" s="0" t="s">
        <v>146</v>
      </c>
      <c r="C36" s="0" t="s">
        <v>3331</v>
      </c>
    </row>
    <row r="37" customFormat="false" ht="15" hidden="false" customHeight="false" outlineLevel="0" collapsed="false">
      <c r="A37" s="0" t="s">
        <v>6</v>
      </c>
      <c r="B37" s="0" t="s">
        <v>146</v>
      </c>
      <c r="C37" s="0" t="s">
        <v>3332</v>
      </c>
    </row>
    <row r="38" customFormat="false" ht="15" hidden="false" customHeight="false" outlineLevel="0" collapsed="false">
      <c r="A38" s="0" t="s">
        <v>6</v>
      </c>
      <c r="B38" s="0" t="s">
        <v>151</v>
      </c>
      <c r="C38" s="0" t="s">
        <v>3330</v>
      </c>
      <c r="D38" s="0" t="n">
        <v>10</v>
      </c>
    </row>
    <row r="39" customFormat="false" ht="15" hidden="false" customHeight="false" outlineLevel="0" collapsed="false">
      <c r="A39" s="0" t="s">
        <v>6</v>
      </c>
      <c r="B39" s="0" t="s">
        <v>151</v>
      </c>
      <c r="C39" s="0" t="s">
        <v>3331</v>
      </c>
    </row>
    <row r="40" customFormat="false" ht="15" hidden="false" customHeight="false" outlineLevel="0" collapsed="false">
      <c r="A40" s="0" t="s">
        <v>6</v>
      </c>
      <c r="B40" s="0" t="s">
        <v>151</v>
      </c>
      <c r="C40" s="0" t="s">
        <v>3332</v>
      </c>
    </row>
    <row r="41" customFormat="false" ht="15" hidden="false" customHeight="false" outlineLevel="0" collapsed="false">
      <c r="A41" s="0" t="s">
        <v>6</v>
      </c>
      <c r="B41" s="0" t="s">
        <v>160</v>
      </c>
      <c r="C41" s="0" t="s">
        <v>3330</v>
      </c>
      <c r="D41" s="0" t="n">
        <v>1</v>
      </c>
    </row>
    <row r="42" customFormat="false" ht="15" hidden="false" customHeight="false" outlineLevel="0" collapsed="false">
      <c r="A42" s="0" t="s">
        <v>6</v>
      </c>
      <c r="B42" s="0" t="s">
        <v>160</v>
      </c>
      <c r="C42" s="0" t="s">
        <v>3331</v>
      </c>
    </row>
    <row r="43" customFormat="false" ht="15" hidden="false" customHeight="false" outlineLevel="0" collapsed="false">
      <c r="A43" s="0" t="s">
        <v>6</v>
      </c>
      <c r="B43" s="0" t="s">
        <v>160</v>
      </c>
      <c r="C43" s="0" t="s">
        <v>3332</v>
      </c>
    </row>
    <row r="44" customFormat="false" ht="15" hidden="false" customHeight="false" outlineLevel="0" collapsed="false">
      <c r="A44" s="0" t="s">
        <v>6</v>
      </c>
      <c r="B44" s="0" t="s">
        <v>162</v>
      </c>
      <c r="C44" s="0" t="s">
        <v>3330</v>
      </c>
      <c r="D44" s="0" t="n">
        <v>50</v>
      </c>
    </row>
    <row r="45" customFormat="false" ht="15" hidden="false" customHeight="false" outlineLevel="0" collapsed="false">
      <c r="A45" s="0" t="s">
        <v>6</v>
      </c>
      <c r="B45" s="0" t="s">
        <v>162</v>
      </c>
      <c r="C45" s="0" t="s">
        <v>3331</v>
      </c>
    </row>
    <row r="46" customFormat="false" ht="15" hidden="false" customHeight="false" outlineLevel="0" collapsed="false">
      <c r="A46" s="0" t="s">
        <v>6</v>
      </c>
      <c r="B46" s="0" t="s">
        <v>162</v>
      </c>
      <c r="C46" s="0" t="s">
        <v>3332</v>
      </c>
    </row>
    <row r="47" customFormat="false" ht="15" hidden="false" customHeight="false" outlineLevel="0" collapsed="false">
      <c r="A47" s="0" t="s">
        <v>6</v>
      </c>
      <c r="B47" s="0" t="s">
        <v>164</v>
      </c>
      <c r="C47" s="0" t="s">
        <v>3330</v>
      </c>
      <c r="D47" s="0" t="n">
        <v>2</v>
      </c>
    </row>
    <row r="48" customFormat="false" ht="15" hidden="false" customHeight="false" outlineLevel="0" collapsed="false">
      <c r="A48" s="0" t="s">
        <v>6</v>
      </c>
      <c r="B48" s="0" t="s">
        <v>164</v>
      </c>
      <c r="C48" s="0" t="s">
        <v>3331</v>
      </c>
    </row>
    <row r="49" customFormat="false" ht="15" hidden="false" customHeight="false" outlineLevel="0" collapsed="false">
      <c r="A49" s="0" t="s">
        <v>6</v>
      </c>
      <c r="B49" s="0" t="s">
        <v>164</v>
      </c>
      <c r="C49" s="0" t="s">
        <v>3332</v>
      </c>
    </row>
    <row r="50" customFormat="false" ht="15" hidden="false" customHeight="false" outlineLevel="0" collapsed="false">
      <c r="A50" s="0" t="s">
        <v>6</v>
      </c>
      <c r="B50" s="0" t="s">
        <v>167</v>
      </c>
      <c r="C50" s="0" t="s">
        <v>3330</v>
      </c>
      <c r="D50" s="0" t="n">
        <v>0.2</v>
      </c>
    </row>
    <row r="51" customFormat="false" ht="15" hidden="false" customHeight="false" outlineLevel="0" collapsed="false">
      <c r="A51" s="0" t="s">
        <v>6</v>
      </c>
      <c r="B51" s="0" t="s">
        <v>167</v>
      </c>
      <c r="C51" s="0" t="s">
        <v>3331</v>
      </c>
    </row>
    <row r="52" customFormat="false" ht="15" hidden="false" customHeight="false" outlineLevel="0" collapsed="false">
      <c r="A52" s="0" t="s">
        <v>6</v>
      </c>
      <c r="B52" s="0" t="s">
        <v>167</v>
      </c>
      <c r="C52" s="0" t="s">
        <v>3332</v>
      </c>
    </row>
    <row r="53" customFormat="false" ht="15" hidden="false" customHeight="false" outlineLevel="0" collapsed="false">
      <c r="A53" s="0" t="s">
        <v>6</v>
      </c>
      <c r="B53" s="0" t="s">
        <v>169</v>
      </c>
      <c r="C53" s="0" t="s">
        <v>3330</v>
      </c>
      <c r="D53" s="0" t="n">
        <v>10</v>
      </c>
    </row>
    <row r="54" customFormat="false" ht="15" hidden="false" customHeight="false" outlineLevel="0" collapsed="false">
      <c r="A54" s="0" t="s">
        <v>6</v>
      </c>
      <c r="B54" s="0" t="s">
        <v>169</v>
      </c>
      <c r="C54" s="0" t="s">
        <v>3331</v>
      </c>
    </row>
    <row r="55" customFormat="false" ht="15" hidden="false" customHeight="false" outlineLevel="0" collapsed="false">
      <c r="A55" s="0" t="s">
        <v>6</v>
      </c>
      <c r="B55" s="0" t="s">
        <v>169</v>
      </c>
      <c r="C55" s="0" t="s">
        <v>3332</v>
      </c>
    </row>
    <row r="56" customFormat="false" ht="15" hidden="false" customHeight="false" outlineLevel="0" collapsed="false">
      <c r="A56" s="0" t="s">
        <v>6</v>
      </c>
      <c r="B56" s="0" t="s">
        <v>171</v>
      </c>
      <c r="C56" s="0" t="s">
        <v>3330</v>
      </c>
      <c r="D56" s="0" t="n">
        <v>0.1</v>
      </c>
    </row>
    <row r="57" customFormat="false" ht="15" hidden="false" customHeight="false" outlineLevel="0" collapsed="false">
      <c r="A57" s="0" t="s">
        <v>6</v>
      </c>
      <c r="B57" s="0" t="s">
        <v>171</v>
      </c>
      <c r="C57" s="0" t="s">
        <v>3331</v>
      </c>
    </row>
    <row r="58" customFormat="false" ht="15" hidden="false" customHeight="false" outlineLevel="0" collapsed="false">
      <c r="A58" s="0" t="s">
        <v>6</v>
      </c>
      <c r="B58" s="0" t="s">
        <v>171</v>
      </c>
      <c r="C58" s="0" t="s">
        <v>3332</v>
      </c>
    </row>
    <row r="59" customFormat="false" ht="15" hidden="false" customHeight="false" outlineLevel="0" collapsed="false">
      <c r="A59" s="0" t="s">
        <v>6</v>
      </c>
      <c r="B59" s="0" t="s">
        <v>174</v>
      </c>
      <c r="C59" s="0" t="s">
        <v>3330</v>
      </c>
      <c r="D59" s="0" t="n">
        <v>0.01</v>
      </c>
    </row>
    <row r="60" customFormat="false" ht="15" hidden="false" customHeight="false" outlineLevel="0" collapsed="false">
      <c r="A60" s="0" t="s">
        <v>6</v>
      </c>
      <c r="B60" s="0" t="s">
        <v>174</v>
      </c>
      <c r="C60" s="0" t="s">
        <v>3331</v>
      </c>
    </row>
    <row r="61" customFormat="false" ht="15" hidden="false" customHeight="false" outlineLevel="0" collapsed="false">
      <c r="A61" s="0" t="s">
        <v>6</v>
      </c>
      <c r="B61" s="0" t="s">
        <v>174</v>
      </c>
      <c r="C61" s="0" t="s">
        <v>3332</v>
      </c>
    </row>
    <row r="62" customFormat="false" ht="15" hidden="false" customHeight="false" outlineLevel="0" collapsed="false">
      <c r="A62" s="0" t="s">
        <v>6</v>
      </c>
      <c r="B62" s="0" t="s">
        <v>176</v>
      </c>
      <c r="C62" s="0" t="s">
        <v>3330</v>
      </c>
      <c r="D62" s="0" t="n">
        <v>0.5</v>
      </c>
    </row>
    <row r="63" customFormat="false" ht="15" hidden="false" customHeight="false" outlineLevel="0" collapsed="false">
      <c r="A63" s="0" t="s">
        <v>6</v>
      </c>
      <c r="B63" s="0" t="s">
        <v>176</v>
      </c>
      <c r="C63" s="0" t="s">
        <v>3331</v>
      </c>
    </row>
    <row r="64" customFormat="false" ht="15" hidden="false" customHeight="false" outlineLevel="0" collapsed="false">
      <c r="A64" s="0" t="s">
        <v>6</v>
      </c>
      <c r="B64" s="0" t="s">
        <v>176</v>
      </c>
      <c r="C64" s="0" t="s">
        <v>3332</v>
      </c>
    </row>
    <row r="65" customFormat="false" ht="15" hidden="false" customHeight="false" outlineLevel="0" collapsed="false">
      <c r="A65" s="0" t="s">
        <v>6</v>
      </c>
      <c r="B65" s="0" t="s">
        <v>178</v>
      </c>
      <c r="C65" s="0" t="s">
        <v>3330</v>
      </c>
      <c r="D65" s="0" t="s">
        <v>180</v>
      </c>
    </row>
    <row r="66" customFormat="false" ht="15" hidden="false" customHeight="false" outlineLevel="0" collapsed="false">
      <c r="A66" s="0" t="s">
        <v>6</v>
      </c>
      <c r="B66" s="0" t="s">
        <v>178</v>
      </c>
      <c r="C66" s="0" t="s">
        <v>3331</v>
      </c>
    </row>
    <row r="67" customFormat="false" ht="15" hidden="false" customHeight="false" outlineLevel="0" collapsed="false">
      <c r="A67" s="0" t="s">
        <v>6</v>
      </c>
      <c r="B67" s="0" t="s">
        <v>178</v>
      </c>
      <c r="C67" s="0" t="s">
        <v>3332</v>
      </c>
    </row>
    <row r="68" customFormat="false" ht="15" hidden="false" customHeight="false" outlineLevel="0" collapsed="false">
      <c r="A68" s="0" t="s">
        <v>6</v>
      </c>
      <c r="B68" s="0" t="s">
        <v>187</v>
      </c>
      <c r="C68" s="0" t="s">
        <v>3330</v>
      </c>
      <c r="D68" s="0" t="s">
        <v>189</v>
      </c>
    </row>
    <row r="69" customFormat="false" ht="15" hidden="false" customHeight="false" outlineLevel="0" collapsed="false">
      <c r="A69" s="0" t="s">
        <v>6</v>
      </c>
      <c r="B69" s="0" t="s">
        <v>187</v>
      </c>
      <c r="C69" s="0" t="s">
        <v>3331</v>
      </c>
    </row>
    <row r="70" customFormat="false" ht="15" hidden="false" customHeight="false" outlineLevel="0" collapsed="false">
      <c r="A70" s="0" t="s">
        <v>6</v>
      </c>
      <c r="B70" s="0" t="s">
        <v>187</v>
      </c>
      <c r="C70" s="0" t="s">
        <v>3332</v>
      </c>
    </row>
    <row r="71" customFormat="false" ht="15" hidden="false" customHeight="false" outlineLevel="0" collapsed="false">
      <c r="A71" s="0" t="s">
        <v>6</v>
      </c>
      <c r="B71" s="0" t="s">
        <v>191</v>
      </c>
      <c r="C71" s="0" t="s">
        <v>3330</v>
      </c>
      <c r="D71" s="0" t="s">
        <v>193</v>
      </c>
    </row>
    <row r="72" customFormat="false" ht="15" hidden="false" customHeight="false" outlineLevel="0" collapsed="false">
      <c r="A72" s="0" t="s">
        <v>6</v>
      </c>
      <c r="B72" s="0" t="s">
        <v>191</v>
      </c>
      <c r="C72" s="0" t="s">
        <v>3331</v>
      </c>
    </row>
    <row r="73" customFormat="false" ht="15" hidden="false" customHeight="false" outlineLevel="0" collapsed="false">
      <c r="A73" s="0" t="s">
        <v>6</v>
      </c>
      <c r="B73" s="0" t="s">
        <v>191</v>
      </c>
      <c r="C73" s="0" t="s">
        <v>3332</v>
      </c>
    </row>
    <row r="74" customFormat="false" ht="17.15" hidden="false" customHeight="false" outlineLevel="0" collapsed="false">
      <c r="A74" s="0" t="s">
        <v>6</v>
      </c>
      <c r="B74" s="0" t="s">
        <v>195</v>
      </c>
      <c r="C74" s="0" t="s">
        <v>3330</v>
      </c>
      <c r="D74" s="0" t="s">
        <v>3333</v>
      </c>
    </row>
    <row r="75" customFormat="false" ht="15" hidden="false" customHeight="false" outlineLevel="0" collapsed="false">
      <c r="A75" s="0" t="s">
        <v>6</v>
      </c>
      <c r="B75" s="0" t="s">
        <v>195</v>
      </c>
      <c r="C75" s="0" t="s">
        <v>3331</v>
      </c>
    </row>
    <row r="76" customFormat="false" ht="15" hidden="false" customHeight="false" outlineLevel="0" collapsed="false">
      <c r="A76" s="0" t="s">
        <v>6</v>
      </c>
      <c r="B76" s="0" t="s">
        <v>195</v>
      </c>
      <c r="C76" s="0" t="s">
        <v>3332</v>
      </c>
    </row>
    <row r="77" customFormat="false" ht="17.15" hidden="false" customHeight="false" outlineLevel="0" collapsed="false">
      <c r="A77" s="0" t="s">
        <v>6</v>
      </c>
      <c r="B77" s="0" t="s">
        <v>203</v>
      </c>
      <c r="C77" s="0" t="s">
        <v>3330</v>
      </c>
      <c r="D77" s="0" t="s">
        <v>3334</v>
      </c>
    </row>
    <row r="78" customFormat="false" ht="15" hidden="false" customHeight="false" outlineLevel="0" collapsed="false">
      <c r="A78" s="0" t="s">
        <v>6</v>
      </c>
      <c r="B78" s="0" t="s">
        <v>203</v>
      </c>
      <c r="C78" s="0" t="s">
        <v>3331</v>
      </c>
    </row>
    <row r="79" customFormat="false" ht="15" hidden="false" customHeight="false" outlineLevel="0" collapsed="false">
      <c r="A79" s="0" t="s">
        <v>6</v>
      </c>
      <c r="B79" s="0" t="s">
        <v>203</v>
      </c>
      <c r="C79" s="0" t="s">
        <v>3332</v>
      </c>
    </row>
    <row r="80" customFormat="false" ht="17.15" hidden="false" customHeight="false" outlineLevel="0" collapsed="false">
      <c r="A80" s="0" t="s">
        <v>6</v>
      </c>
      <c r="B80" s="0" t="s">
        <v>207</v>
      </c>
      <c r="C80" s="0" t="s">
        <v>3330</v>
      </c>
      <c r="D80" s="0" t="s">
        <v>3335</v>
      </c>
    </row>
    <row r="81" customFormat="false" ht="15" hidden="false" customHeight="false" outlineLevel="0" collapsed="false">
      <c r="A81" s="0" t="s">
        <v>6</v>
      </c>
      <c r="B81" s="0" t="s">
        <v>207</v>
      </c>
      <c r="C81" s="0" t="s">
        <v>3331</v>
      </c>
    </row>
    <row r="82" customFormat="false" ht="15" hidden="false" customHeight="false" outlineLevel="0" collapsed="false">
      <c r="A82" s="0" t="s">
        <v>6</v>
      </c>
      <c r="B82" s="0" t="s">
        <v>207</v>
      </c>
      <c r="C82" s="0" t="s">
        <v>3332</v>
      </c>
    </row>
    <row r="83" customFormat="false" ht="17.15" hidden="false" customHeight="false" outlineLevel="0" collapsed="false">
      <c r="A83" s="0" t="s">
        <v>6</v>
      </c>
      <c r="B83" s="0" t="s">
        <v>211</v>
      </c>
      <c r="C83" s="0" t="s">
        <v>3330</v>
      </c>
      <c r="D83" s="0" t="s">
        <v>3336</v>
      </c>
    </row>
    <row r="84" customFormat="false" ht="15" hidden="false" customHeight="false" outlineLevel="0" collapsed="false">
      <c r="A84" s="0" t="s">
        <v>6</v>
      </c>
      <c r="B84" s="0" t="s">
        <v>211</v>
      </c>
      <c r="C84" s="0" t="s">
        <v>3331</v>
      </c>
    </row>
    <row r="85" customFormat="false" ht="15" hidden="false" customHeight="false" outlineLevel="0" collapsed="false">
      <c r="A85" s="0" t="s">
        <v>6</v>
      </c>
      <c r="B85" s="0" t="s">
        <v>211</v>
      </c>
      <c r="C85" s="0" t="s">
        <v>3332</v>
      </c>
    </row>
    <row r="86" customFormat="false" ht="17.15" hidden="false" customHeight="false" outlineLevel="0" collapsed="false">
      <c r="A86" s="0" t="s">
        <v>6</v>
      </c>
      <c r="B86" s="0" t="s">
        <v>215</v>
      </c>
      <c r="C86" s="0" t="s">
        <v>3330</v>
      </c>
      <c r="D86" s="0" t="s">
        <v>3337</v>
      </c>
    </row>
    <row r="87" customFormat="false" ht="15" hidden="false" customHeight="false" outlineLevel="0" collapsed="false">
      <c r="A87" s="0" t="s">
        <v>6</v>
      </c>
      <c r="B87" s="0" t="s">
        <v>215</v>
      </c>
      <c r="C87" s="0" t="s">
        <v>3331</v>
      </c>
    </row>
    <row r="88" customFormat="false" ht="15" hidden="false" customHeight="false" outlineLevel="0" collapsed="false">
      <c r="A88" s="0" t="s">
        <v>6</v>
      </c>
      <c r="B88" s="0" t="s">
        <v>215</v>
      </c>
      <c r="C88" s="0" t="s">
        <v>3332</v>
      </c>
    </row>
    <row r="89" customFormat="false" ht="15" hidden="false" customHeight="false" outlineLevel="0" collapsed="false">
      <c r="A89" s="0" t="s">
        <v>6</v>
      </c>
      <c r="B89" s="0" t="s">
        <v>219</v>
      </c>
      <c r="C89" s="0" t="s">
        <v>3330</v>
      </c>
      <c r="D89" s="0" t="n">
        <v>0.1</v>
      </c>
    </row>
    <row r="90" customFormat="false" ht="15" hidden="false" customHeight="false" outlineLevel="0" collapsed="false">
      <c r="A90" s="0" t="s">
        <v>6</v>
      </c>
      <c r="B90" s="0" t="s">
        <v>219</v>
      </c>
      <c r="C90" s="0" t="s">
        <v>3331</v>
      </c>
    </row>
    <row r="91" customFormat="false" ht="15" hidden="false" customHeight="false" outlineLevel="0" collapsed="false">
      <c r="A91" s="0" t="s">
        <v>6</v>
      </c>
      <c r="B91" s="0" t="s">
        <v>219</v>
      </c>
      <c r="C91" s="0" t="s">
        <v>3332</v>
      </c>
    </row>
    <row r="92" customFormat="false" ht="15" hidden="false" customHeight="false" outlineLevel="0" collapsed="false">
      <c r="A92" s="0" t="s">
        <v>6</v>
      </c>
      <c r="B92" s="0" t="s">
        <v>226</v>
      </c>
      <c r="C92" s="0" t="s">
        <v>3330</v>
      </c>
      <c r="D92" s="0" t="n">
        <v>8</v>
      </c>
    </row>
    <row r="93" customFormat="false" ht="15" hidden="false" customHeight="false" outlineLevel="0" collapsed="false">
      <c r="A93" s="0" t="s">
        <v>6</v>
      </c>
      <c r="B93" s="0" t="s">
        <v>226</v>
      </c>
      <c r="C93" s="0" t="s">
        <v>3331</v>
      </c>
    </row>
    <row r="94" customFormat="false" ht="15" hidden="false" customHeight="false" outlineLevel="0" collapsed="false">
      <c r="A94" s="0" t="s">
        <v>6</v>
      </c>
      <c r="B94" s="0" t="s">
        <v>226</v>
      </c>
      <c r="C94" s="0" t="s">
        <v>3332</v>
      </c>
    </row>
    <row r="95" customFormat="false" ht="15" hidden="false" customHeight="false" outlineLevel="0" collapsed="false">
      <c r="A95" s="0" t="s">
        <v>6</v>
      </c>
      <c r="B95" s="0" t="s">
        <v>233</v>
      </c>
      <c r="C95" s="0" t="s">
        <v>3330</v>
      </c>
      <c r="D95" s="0" t="n">
        <v>20</v>
      </c>
    </row>
    <row r="96" customFormat="false" ht="15" hidden="false" customHeight="false" outlineLevel="0" collapsed="false">
      <c r="A96" s="0" t="s">
        <v>6</v>
      </c>
      <c r="B96" s="0" t="s">
        <v>233</v>
      </c>
      <c r="C96" s="0" t="s">
        <v>3331</v>
      </c>
    </row>
    <row r="97" customFormat="false" ht="15" hidden="false" customHeight="false" outlineLevel="0" collapsed="false">
      <c r="A97" s="0" t="s">
        <v>6</v>
      </c>
      <c r="B97" s="0" t="s">
        <v>233</v>
      </c>
      <c r="C97" s="0" t="s">
        <v>3332</v>
      </c>
    </row>
    <row r="98" customFormat="false" ht="15" hidden="false" customHeight="false" outlineLevel="0" collapsed="false">
      <c r="A98" s="0" t="s">
        <v>6</v>
      </c>
      <c r="B98" s="0" t="s">
        <v>235</v>
      </c>
      <c r="C98" s="0" t="s">
        <v>3330</v>
      </c>
      <c r="D98" s="0" t="n">
        <v>100</v>
      </c>
    </row>
    <row r="99" customFormat="false" ht="15" hidden="false" customHeight="false" outlineLevel="0" collapsed="false">
      <c r="A99" s="0" t="s">
        <v>6</v>
      </c>
      <c r="B99" s="0" t="s">
        <v>235</v>
      </c>
      <c r="C99" s="0" t="s">
        <v>3331</v>
      </c>
    </row>
    <row r="100" customFormat="false" ht="15" hidden="false" customHeight="false" outlineLevel="0" collapsed="false">
      <c r="A100" s="0" t="s">
        <v>6</v>
      </c>
      <c r="B100" s="0" t="s">
        <v>235</v>
      </c>
      <c r="C100" s="0" t="s">
        <v>3332</v>
      </c>
    </row>
    <row r="101" customFormat="false" ht="15" hidden="false" customHeight="false" outlineLevel="0" collapsed="false">
      <c r="A101" s="0" t="s">
        <v>6</v>
      </c>
      <c r="B101" s="0" t="s">
        <v>238</v>
      </c>
      <c r="C101" s="0" t="s">
        <v>3330</v>
      </c>
      <c r="D101" s="0" t="n">
        <v>200</v>
      </c>
    </row>
    <row r="102" customFormat="false" ht="15" hidden="false" customHeight="false" outlineLevel="0" collapsed="false">
      <c r="A102" s="0" t="s">
        <v>6</v>
      </c>
      <c r="B102" s="0" t="s">
        <v>238</v>
      </c>
      <c r="C102" s="0" t="s">
        <v>3331</v>
      </c>
    </row>
    <row r="103" customFormat="false" ht="15" hidden="false" customHeight="false" outlineLevel="0" collapsed="false">
      <c r="A103" s="0" t="s">
        <v>6</v>
      </c>
      <c r="B103" s="0" t="s">
        <v>238</v>
      </c>
      <c r="C103" s="0" t="s">
        <v>3332</v>
      </c>
    </row>
    <row r="104" customFormat="false" ht="15" hidden="false" customHeight="false" outlineLevel="0" collapsed="false">
      <c r="A104" s="0" t="s">
        <v>6</v>
      </c>
      <c r="B104" s="0" t="s">
        <v>240</v>
      </c>
      <c r="C104" s="0" t="s">
        <v>3330</v>
      </c>
    </row>
    <row r="105" customFormat="false" ht="15" hidden="false" customHeight="false" outlineLevel="0" collapsed="false">
      <c r="A105" s="0" t="s">
        <v>6</v>
      </c>
      <c r="B105" s="0" t="s">
        <v>240</v>
      </c>
      <c r="C105" s="0" t="s">
        <v>3331</v>
      </c>
      <c r="D105" s="0" t="n">
        <v>20</v>
      </c>
    </row>
    <row r="106" customFormat="false" ht="15" hidden="false" customHeight="false" outlineLevel="0" collapsed="false">
      <c r="A106" s="0" t="s">
        <v>6</v>
      </c>
      <c r="B106" s="0" t="s">
        <v>240</v>
      </c>
      <c r="C106" s="0" t="s">
        <v>3332</v>
      </c>
      <c r="D106" s="0" t="n">
        <v>25</v>
      </c>
    </row>
    <row r="107" customFormat="false" ht="15" hidden="false" customHeight="false" outlineLevel="0" collapsed="false">
      <c r="A107" s="0" t="s">
        <v>6</v>
      </c>
      <c r="B107" s="0" t="s">
        <v>244</v>
      </c>
      <c r="C107" s="0" t="s">
        <v>3330</v>
      </c>
      <c r="D107" s="0" t="n">
        <v>112</v>
      </c>
    </row>
    <row r="108" customFormat="false" ht="15" hidden="false" customHeight="false" outlineLevel="0" collapsed="false">
      <c r="A108" s="0" t="s">
        <v>6</v>
      </c>
      <c r="B108" s="0" t="s">
        <v>244</v>
      </c>
      <c r="C108" s="0" t="s">
        <v>3331</v>
      </c>
    </row>
    <row r="109" customFormat="false" ht="15" hidden="false" customHeight="false" outlineLevel="0" collapsed="false">
      <c r="A109" s="0" t="s">
        <v>6</v>
      </c>
      <c r="B109" s="0" t="s">
        <v>244</v>
      </c>
      <c r="C109" s="0" t="s">
        <v>3332</v>
      </c>
    </row>
    <row r="110" customFormat="false" ht="15" hidden="false" customHeight="false" outlineLevel="0" collapsed="false">
      <c r="A110" s="0" t="s">
        <v>6</v>
      </c>
      <c r="B110" s="0" t="s">
        <v>254</v>
      </c>
      <c r="C110" s="0" t="s">
        <v>3330</v>
      </c>
      <c r="D110" s="0" t="n">
        <v>9</v>
      </c>
    </row>
    <row r="111" customFormat="false" ht="15" hidden="false" customHeight="false" outlineLevel="0" collapsed="false">
      <c r="A111" s="0" t="s">
        <v>6</v>
      </c>
      <c r="B111" s="0" t="s">
        <v>254</v>
      </c>
      <c r="C111" s="0" t="s">
        <v>3331</v>
      </c>
    </row>
    <row r="112" customFormat="false" ht="15" hidden="false" customHeight="false" outlineLevel="0" collapsed="false">
      <c r="A112" s="0" t="s">
        <v>6</v>
      </c>
      <c r="B112" s="0" t="s">
        <v>254</v>
      </c>
      <c r="C112" s="0" t="s">
        <v>3332</v>
      </c>
    </row>
    <row r="113" customFormat="false" ht="15" hidden="false" customHeight="false" outlineLevel="0" collapsed="false">
      <c r="A113" s="0" t="s">
        <v>6</v>
      </c>
      <c r="B113" s="0" t="s">
        <v>258</v>
      </c>
      <c r="C113" s="0" t="s">
        <v>3330</v>
      </c>
      <c r="D113" s="0" t="n">
        <v>2.5</v>
      </c>
    </row>
    <row r="114" customFormat="false" ht="15" hidden="false" customHeight="false" outlineLevel="0" collapsed="false">
      <c r="A114" s="0" t="s">
        <v>6</v>
      </c>
      <c r="B114" s="0" t="s">
        <v>258</v>
      </c>
      <c r="C114" s="0" t="s">
        <v>3331</v>
      </c>
    </row>
    <row r="115" customFormat="false" ht="15" hidden="false" customHeight="false" outlineLevel="0" collapsed="false">
      <c r="A115" s="0" t="s">
        <v>6</v>
      </c>
      <c r="B115" s="0" t="s">
        <v>258</v>
      </c>
      <c r="C115" s="0" t="s">
        <v>3332</v>
      </c>
    </row>
    <row r="116" customFormat="false" ht="15" hidden="false" customHeight="false" outlineLevel="0" collapsed="false">
      <c r="A116" s="0" t="s">
        <v>6</v>
      </c>
      <c r="B116" s="0" t="s">
        <v>265</v>
      </c>
      <c r="C116" s="0" t="s">
        <v>3330</v>
      </c>
      <c r="D116" s="0" t="n">
        <v>11</v>
      </c>
    </row>
    <row r="117" customFormat="false" ht="15" hidden="false" customHeight="false" outlineLevel="0" collapsed="false">
      <c r="A117" s="0" t="s">
        <v>6</v>
      </c>
      <c r="B117" s="0" t="s">
        <v>265</v>
      </c>
      <c r="C117" s="0" t="s">
        <v>3331</v>
      </c>
    </row>
    <row r="118" customFormat="false" ht="15" hidden="false" customHeight="false" outlineLevel="0" collapsed="false">
      <c r="A118" s="0" t="s">
        <v>6</v>
      </c>
      <c r="B118" s="0" t="s">
        <v>265</v>
      </c>
      <c r="C118" s="0" t="s">
        <v>3332</v>
      </c>
    </row>
    <row r="119" customFormat="false" ht="15" hidden="false" customHeight="false" outlineLevel="0" collapsed="false">
      <c r="A119" s="0" t="s">
        <v>6</v>
      </c>
      <c r="B119" s="0" t="s">
        <v>267</v>
      </c>
      <c r="C119" s="0" t="s">
        <v>3330</v>
      </c>
      <c r="D119" s="0" t="n">
        <v>25</v>
      </c>
    </row>
    <row r="120" customFormat="false" ht="15" hidden="false" customHeight="false" outlineLevel="0" collapsed="false">
      <c r="A120" s="0" t="s">
        <v>6</v>
      </c>
      <c r="B120" s="0" t="s">
        <v>267</v>
      </c>
      <c r="C120" s="0" t="s">
        <v>3331</v>
      </c>
    </row>
    <row r="121" customFormat="false" ht="15" hidden="false" customHeight="false" outlineLevel="0" collapsed="false">
      <c r="A121" s="0" t="s">
        <v>6</v>
      </c>
      <c r="B121" s="0" t="s">
        <v>267</v>
      </c>
      <c r="C121" s="0" t="s">
        <v>3332</v>
      </c>
    </row>
    <row r="122" customFormat="false" ht="15" hidden="false" customHeight="false" outlineLevel="0" collapsed="false">
      <c r="A122" s="0" t="s">
        <v>6</v>
      </c>
      <c r="B122" s="0" t="s">
        <v>269</v>
      </c>
      <c r="C122" s="0" t="s">
        <v>3330</v>
      </c>
      <c r="D122" s="0" t="n">
        <v>53</v>
      </c>
    </row>
    <row r="123" customFormat="false" ht="15" hidden="false" customHeight="false" outlineLevel="0" collapsed="false">
      <c r="A123" s="0" t="s">
        <v>6</v>
      </c>
      <c r="B123" s="0" t="s">
        <v>269</v>
      </c>
      <c r="C123" s="0" t="s">
        <v>3331</v>
      </c>
    </row>
    <row r="124" customFormat="false" ht="15" hidden="false" customHeight="false" outlineLevel="0" collapsed="false">
      <c r="A124" s="0" t="s">
        <v>6</v>
      </c>
      <c r="B124" s="0" t="s">
        <v>269</v>
      </c>
      <c r="C124" s="0" t="s">
        <v>3332</v>
      </c>
    </row>
    <row r="125" customFormat="false" ht="15" hidden="false" customHeight="false" outlineLevel="0" collapsed="false">
      <c r="A125" s="0" t="s">
        <v>6</v>
      </c>
      <c r="B125" s="0" t="s">
        <v>271</v>
      </c>
      <c r="C125" s="0" t="s">
        <v>3330</v>
      </c>
      <c r="D125" s="0" t="n">
        <v>100</v>
      </c>
    </row>
    <row r="126" customFormat="false" ht="15" hidden="false" customHeight="false" outlineLevel="0" collapsed="false">
      <c r="A126" s="0" t="s">
        <v>6</v>
      </c>
      <c r="B126" s="0" t="s">
        <v>271</v>
      </c>
      <c r="C126" s="0" t="s">
        <v>3331</v>
      </c>
    </row>
    <row r="127" customFormat="false" ht="15" hidden="false" customHeight="false" outlineLevel="0" collapsed="false">
      <c r="A127" s="0" t="s">
        <v>6</v>
      </c>
      <c r="B127" s="0" t="s">
        <v>271</v>
      </c>
      <c r="C127" s="0" t="s">
        <v>3332</v>
      </c>
    </row>
    <row r="128" customFormat="false" ht="15" hidden="false" customHeight="false" outlineLevel="0" collapsed="false">
      <c r="A128" s="0" t="s">
        <v>6</v>
      </c>
      <c r="B128" s="0" t="s">
        <v>273</v>
      </c>
      <c r="C128" s="0" t="s">
        <v>3330</v>
      </c>
      <c r="D128" s="0" t="n">
        <v>36</v>
      </c>
    </row>
    <row r="129" customFormat="false" ht="15" hidden="false" customHeight="false" outlineLevel="0" collapsed="false">
      <c r="A129" s="0" t="s">
        <v>6</v>
      </c>
      <c r="B129" s="0" t="s">
        <v>273</v>
      </c>
      <c r="C129" s="0" t="s">
        <v>3331</v>
      </c>
    </row>
    <row r="130" customFormat="false" ht="15" hidden="false" customHeight="false" outlineLevel="0" collapsed="false">
      <c r="A130" s="0" t="s">
        <v>6</v>
      </c>
      <c r="B130" s="0" t="s">
        <v>273</v>
      </c>
      <c r="C130" s="0" t="s">
        <v>3332</v>
      </c>
    </row>
    <row r="131" customFormat="false" ht="15" hidden="false" customHeight="false" outlineLevel="0" collapsed="false">
      <c r="A131" s="0" t="s">
        <v>6</v>
      </c>
      <c r="B131" s="0" t="s">
        <v>280</v>
      </c>
      <c r="C131" s="0" t="s">
        <v>3330</v>
      </c>
      <c r="D131" s="0" t="n">
        <v>350</v>
      </c>
    </row>
    <row r="132" customFormat="false" ht="15" hidden="false" customHeight="false" outlineLevel="0" collapsed="false">
      <c r="A132" s="0" t="s">
        <v>6</v>
      </c>
      <c r="B132" s="0" t="s">
        <v>280</v>
      </c>
      <c r="C132" s="0" t="s">
        <v>3331</v>
      </c>
    </row>
    <row r="133" customFormat="false" ht="15" hidden="false" customHeight="false" outlineLevel="0" collapsed="false">
      <c r="A133" s="0" t="s">
        <v>6</v>
      </c>
      <c r="B133" s="0" t="s">
        <v>280</v>
      </c>
      <c r="C133" s="0" t="s">
        <v>3332</v>
      </c>
    </row>
    <row r="134" customFormat="false" ht="15" hidden="false" customHeight="false" outlineLevel="0" collapsed="false">
      <c r="A134" s="0" t="s">
        <v>6</v>
      </c>
      <c r="B134" s="0" t="s">
        <v>283</v>
      </c>
      <c r="C134" s="0" t="s">
        <v>3330</v>
      </c>
      <c r="D134" s="0" t="n">
        <v>840</v>
      </c>
    </row>
    <row r="135" customFormat="false" ht="15" hidden="false" customHeight="false" outlineLevel="0" collapsed="false">
      <c r="A135" s="0" t="s">
        <v>6</v>
      </c>
      <c r="B135" s="0" t="s">
        <v>283</v>
      </c>
      <c r="C135" s="0" t="s">
        <v>3331</v>
      </c>
    </row>
    <row r="136" customFormat="false" ht="15" hidden="false" customHeight="false" outlineLevel="0" collapsed="false">
      <c r="A136" s="0" t="s">
        <v>6</v>
      </c>
      <c r="B136" s="0" t="s">
        <v>283</v>
      </c>
      <c r="C136" s="0" t="s">
        <v>3332</v>
      </c>
    </row>
    <row r="137" customFormat="false" ht="15" hidden="false" customHeight="false" outlineLevel="0" collapsed="false">
      <c r="A137" s="0" t="s">
        <v>6</v>
      </c>
      <c r="B137" s="0" t="s">
        <v>285</v>
      </c>
      <c r="C137" s="0" t="s">
        <v>3330</v>
      </c>
      <c r="D137" s="0" t="n">
        <v>2750</v>
      </c>
    </row>
    <row r="138" customFormat="false" ht="15" hidden="false" customHeight="false" outlineLevel="0" collapsed="false">
      <c r="A138" s="0" t="s">
        <v>6</v>
      </c>
      <c r="B138" s="0" t="s">
        <v>285</v>
      </c>
      <c r="C138" s="0" t="s">
        <v>3331</v>
      </c>
    </row>
    <row r="139" customFormat="false" ht="15" hidden="false" customHeight="false" outlineLevel="0" collapsed="false">
      <c r="A139" s="0" t="s">
        <v>6</v>
      </c>
      <c r="B139" s="0" t="s">
        <v>285</v>
      </c>
      <c r="C139" s="0" t="s">
        <v>3332</v>
      </c>
    </row>
    <row r="140" customFormat="false" ht="15" hidden="false" customHeight="false" outlineLevel="0" collapsed="false">
      <c r="A140" s="0" t="s">
        <v>6</v>
      </c>
      <c r="B140" s="0" t="s">
        <v>290</v>
      </c>
      <c r="C140" s="0" t="s">
        <v>3330</v>
      </c>
      <c r="D140" s="0" t="n">
        <v>8.4</v>
      </c>
    </row>
    <row r="141" customFormat="false" ht="15" hidden="false" customHeight="false" outlineLevel="0" collapsed="false">
      <c r="A141" s="0" t="s">
        <v>6</v>
      </c>
      <c r="B141" s="0" t="s">
        <v>290</v>
      </c>
      <c r="C141" s="0" t="s">
        <v>3331</v>
      </c>
    </row>
    <row r="142" customFormat="false" ht="15" hidden="false" customHeight="false" outlineLevel="0" collapsed="false">
      <c r="A142" s="0" t="s">
        <v>6</v>
      </c>
      <c r="B142" s="0" t="s">
        <v>290</v>
      </c>
      <c r="C142" s="0" t="s">
        <v>3332</v>
      </c>
    </row>
    <row r="143" customFormat="false" ht="15" hidden="false" customHeight="false" outlineLevel="0" collapsed="false">
      <c r="A143" s="0" t="s">
        <v>6</v>
      </c>
      <c r="B143" s="0" t="s">
        <v>298</v>
      </c>
      <c r="C143" s="0" t="s">
        <v>3330</v>
      </c>
      <c r="D143" s="0" t="n">
        <v>3.9</v>
      </c>
    </row>
    <row r="144" customFormat="false" ht="15" hidden="false" customHeight="false" outlineLevel="0" collapsed="false">
      <c r="A144" s="0" t="s">
        <v>6</v>
      </c>
      <c r="B144" s="0" t="s">
        <v>298</v>
      </c>
      <c r="C144" s="0" t="s">
        <v>3331</v>
      </c>
    </row>
    <row r="145" customFormat="false" ht="15" hidden="false" customHeight="false" outlineLevel="0" collapsed="false">
      <c r="A145" s="0" t="s">
        <v>6</v>
      </c>
      <c r="B145" s="0" t="s">
        <v>298</v>
      </c>
      <c r="C145" s="0" t="s">
        <v>3332</v>
      </c>
    </row>
    <row r="146" customFormat="false" ht="15" hidden="false" customHeight="false" outlineLevel="0" collapsed="false">
      <c r="A146" s="0" t="s">
        <v>6</v>
      </c>
      <c r="B146" s="0" t="s">
        <v>304</v>
      </c>
      <c r="C146" s="0" t="s">
        <v>3330</v>
      </c>
      <c r="D146" s="0" t="n">
        <v>4.5</v>
      </c>
    </row>
    <row r="147" customFormat="false" ht="15" hidden="false" customHeight="false" outlineLevel="0" collapsed="false">
      <c r="A147" s="0" t="s">
        <v>6</v>
      </c>
      <c r="B147" s="0" t="s">
        <v>304</v>
      </c>
      <c r="C147" s="0" t="s">
        <v>3331</v>
      </c>
    </row>
    <row r="148" customFormat="false" ht="15" hidden="false" customHeight="false" outlineLevel="0" collapsed="false">
      <c r="A148" s="0" t="s">
        <v>6</v>
      </c>
      <c r="B148" s="0" t="s">
        <v>304</v>
      </c>
      <c r="C148" s="0" t="s">
        <v>3332</v>
      </c>
    </row>
    <row r="149" customFormat="false" ht="15" hidden="false" customHeight="false" outlineLevel="0" collapsed="false">
      <c r="A149" s="0" t="s">
        <v>6</v>
      </c>
      <c r="B149" s="0" t="s">
        <v>309</v>
      </c>
      <c r="C149" s="0" t="s">
        <v>3330</v>
      </c>
      <c r="D149" s="0" t="n">
        <v>14.1</v>
      </c>
    </row>
    <row r="150" customFormat="false" ht="15" hidden="false" customHeight="false" outlineLevel="0" collapsed="false">
      <c r="A150" s="0" t="s">
        <v>6</v>
      </c>
      <c r="B150" s="0" t="s">
        <v>309</v>
      </c>
      <c r="C150" s="0" t="s">
        <v>3331</v>
      </c>
    </row>
    <row r="151" customFormat="false" ht="15" hidden="false" customHeight="false" outlineLevel="0" collapsed="false">
      <c r="A151" s="0" t="s">
        <v>6</v>
      </c>
      <c r="B151" s="0" t="s">
        <v>309</v>
      </c>
      <c r="C151" s="0" t="s">
        <v>3332</v>
      </c>
    </row>
    <row r="152" customFormat="false" ht="15" hidden="false" customHeight="false" outlineLevel="0" collapsed="false">
      <c r="A152" s="0" t="s">
        <v>6</v>
      </c>
      <c r="B152" s="0" t="s">
        <v>316</v>
      </c>
      <c r="C152" s="0" t="s">
        <v>3330</v>
      </c>
      <c r="D152" s="0" t="n">
        <v>85</v>
      </c>
    </row>
    <row r="153" customFormat="false" ht="15" hidden="false" customHeight="false" outlineLevel="0" collapsed="false">
      <c r="A153" s="0" t="s">
        <v>6</v>
      </c>
      <c r="B153" s="0" t="s">
        <v>316</v>
      </c>
      <c r="C153" s="0" t="s">
        <v>3331</v>
      </c>
    </row>
    <row r="154" customFormat="false" ht="15" hidden="false" customHeight="false" outlineLevel="0" collapsed="false">
      <c r="A154" s="0" t="s">
        <v>6</v>
      </c>
      <c r="B154" s="0" t="s">
        <v>316</v>
      </c>
      <c r="C154" s="0" t="s">
        <v>3332</v>
      </c>
    </row>
    <row r="155" customFormat="false" ht="15" hidden="false" customHeight="false" outlineLevel="0" collapsed="false">
      <c r="A155" s="0" t="s">
        <v>6</v>
      </c>
      <c r="B155" s="0" t="s">
        <v>322</v>
      </c>
      <c r="C155" s="0" t="s">
        <v>3330</v>
      </c>
      <c r="D155" s="0" t="n">
        <v>-278</v>
      </c>
    </row>
    <row r="156" customFormat="false" ht="15" hidden="false" customHeight="false" outlineLevel="0" collapsed="false">
      <c r="A156" s="0" t="s">
        <v>6</v>
      </c>
      <c r="B156" s="0" t="s">
        <v>322</v>
      </c>
      <c r="C156" s="0" t="s">
        <v>3331</v>
      </c>
    </row>
    <row r="157" customFormat="false" ht="15" hidden="false" customHeight="false" outlineLevel="0" collapsed="false">
      <c r="A157" s="0" t="s">
        <v>6</v>
      </c>
      <c r="B157" s="0" t="s">
        <v>322</v>
      </c>
      <c r="C157" s="0" t="s">
        <v>3332</v>
      </c>
    </row>
    <row r="158" customFormat="false" ht="15" hidden="false" customHeight="false" outlineLevel="0" collapsed="false">
      <c r="A158" s="0" t="s">
        <v>6</v>
      </c>
      <c r="B158" s="0" t="s">
        <v>327</v>
      </c>
      <c r="C158" s="0" t="s">
        <v>3330</v>
      </c>
      <c r="D158" s="0" t="n">
        <v>856</v>
      </c>
    </row>
    <row r="159" customFormat="false" ht="15" hidden="false" customHeight="false" outlineLevel="0" collapsed="false">
      <c r="A159" s="0" t="s">
        <v>6</v>
      </c>
      <c r="B159" s="0" t="s">
        <v>327</v>
      </c>
      <c r="C159" s="0" t="s">
        <v>3331</v>
      </c>
      <c r="D159" s="0" t="n">
        <v>600</v>
      </c>
    </row>
    <row r="160" customFormat="false" ht="15" hidden="false" customHeight="false" outlineLevel="0" collapsed="false">
      <c r="A160" s="0" t="s">
        <v>6</v>
      </c>
      <c r="B160" s="0" t="s">
        <v>327</v>
      </c>
      <c r="C160" s="0" t="s">
        <v>3332</v>
      </c>
      <c r="D160" s="0" t="n">
        <v>856</v>
      </c>
    </row>
    <row r="161" customFormat="false" ht="15" hidden="false" customHeight="false" outlineLevel="0" collapsed="false">
      <c r="A161" s="0" t="s">
        <v>6</v>
      </c>
      <c r="B161" s="0" t="s">
        <v>334</v>
      </c>
      <c r="C161" s="0" t="s">
        <v>3330</v>
      </c>
      <c r="D161" s="0" t="n">
        <v>280</v>
      </c>
    </row>
    <row r="162" customFormat="false" ht="15" hidden="false" customHeight="false" outlineLevel="0" collapsed="false">
      <c r="A162" s="0" t="s">
        <v>6</v>
      </c>
      <c r="B162" s="0" t="s">
        <v>334</v>
      </c>
      <c r="C162" s="0" t="s">
        <v>3331</v>
      </c>
    </row>
    <row r="163" customFormat="false" ht="15" hidden="false" customHeight="false" outlineLevel="0" collapsed="false">
      <c r="A163" s="0" t="s">
        <v>6</v>
      </c>
      <c r="B163" s="0" t="s">
        <v>334</v>
      </c>
      <c r="C163" s="0" t="s">
        <v>3332</v>
      </c>
    </row>
    <row r="164" customFormat="false" ht="15" hidden="false" customHeight="false" outlineLevel="0" collapsed="false">
      <c r="A164" s="0" t="s">
        <v>6</v>
      </c>
      <c r="B164" s="0" t="s">
        <v>340</v>
      </c>
      <c r="C164" s="0" t="s">
        <v>3330</v>
      </c>
      <c r="D164" s="0" t="n">
        <v>250</v>
      </c>
    </row>
    <row r="165" customFormat="false" ht="15" hidden="false" customHeight="false" outlineLevel="0" collapsed="false">
      <c r="A165" s="0" t="s">
        <v>6</v>
      </c>
      <c r="B165" s="0" t="s">
        <v>340</v>
      </c>
      <c r="C165" s="0" t="s">
        <v>3331</v>
      </c>
    </row>
    <row r="166" customFormat="false" ht="15" hidden="false" customHeight="false" outlineLevel="0" collapsed="false">
      <c r="A166" s="0" t="s">
        <v>6</v>
      </c>
      <c r="B166" s="0" t="s">
        <v>340</v>
      </c>
      <c r="C166" s="0" t="s">
        <v>3332</v>
      </c>
    </row>
    <row r="167" customFormat="false" ht="15" hidden="false" customHeight="false" outlineLevel="0" collapsed="false">
      <c r="A167" s="0" t="s">
        <v>6</v>
      </c>
      <c r="B167" s="0" t="s">
        <v>346</v>
      </c>
      <c r="C167" s="0" t="s">
        <v>3330</v>
      </c>
      <c r="D167" s="0" t="n">
        <v>300</v>
      </c>
    </row>
    <row r="168" customFormat="false" ht="15" hidden="false" customHeight="false" outlineLevel="0" collapsed="false">
      <c r="A168" s="0" t="s">
        <v>6</v>
      </c>
      <c r="B168" s="0" t="s">
        <v>346</v>
      </c>
      <c r="C168" s="0" t="s">
        <v>3331</v>
      </c>
    </row>
    <row r="169" customFormat="false" ht="15" hidden="false" customHeight="false" outlineLevel="0" collapsed="false">
      <c r="A169" s="0" t="s">
        <v>6</v>
      </c>
      <c r="B169" s="0" t="s">
        <v>346</v>
      </c>
      <c r="C169" s="0" t="s">
        <v>3332</v>
      </c>
    </row>
    <row r="170" customFormat="false" ht="15" hidden="false" customHeight="false" outlineLevel="0" collapsed="false">
      <c r="A170" s="0" t="s">
        <v>6</v>
      </c>
      <c r="B170" s="0" t="s">
        <v>354</v>
      </c>
      <c r="C170" s="0" t="s">
        <v>3330</v>
      </c>
      <c r="D170" s="0" t="n">
        <v>2027</v>
      </c>
    </row>
    <row r="171" customFormat="false" ht="15" hidden="false" customHeight="false" outlineLevel="0" collapsed="false">
      <c r="A171" s="0" t="s">
        <v>6</v>
      </c>
      <c r="B171" s="0" t="s">
        <v>354</v>
      </c>
      <c r="C171" s="0" t="s">
        <v>3331</v>
      </c>
    </row>
    <row r="172" customFormat="false" ht="15" hidden="false" customHeight="false" outlineLevel="0" collapsed="false">
      <c r="A172" s="0" t="s">
        <v>6</v>
      </c>
      <c r="B172" s="0" t="s">
        <v>354</v>
      </c>
      <c r="C172" s="0" t="s">
        <v>3332</v>
      </c>
    </row>
    <row r="173" customFormat="false" ht="15" hidden="false" customHeight="false" outlineLevel="0" collapsed="false">
      <c r="A173" s="0" t="s">
        <v>6</v>
      </c>
      <c r="B173" s="0" t="s">
        <v>358</v>
      </c>
      <c r="C173" s="0" t="s">
        <v>3330</v>
      </c>
      <c r="D173" s="0" t="n">
        <v>2031</v>
      </c>
    </row>
    <row r="174" customFormat="false" ht="15" hidden="false" customHeight="false" outlineLevel="0" collapsed="false">
      <c r="A174" s="0" t="s">
        <v>6</v>
      </c>
      <c r="B174" s="0" t="s">
        <v>358</v>
      </c>
      <c r="C174" s="0" t="s">
        <v>3331</v>
      </c>
    </row>
    <row r="175" customFormat="false" ht="15" hidden="false" customHeight="false" outlineLevel="0" collapsed="false">
      <c r="A175" s="0" t="s">
        <v>6</v>
      </c>
      <c r="B175" s="0" t="s">
        <v>358</v>
      </c>
      <c r="C175" s="0" t="s">
        <v>3332</v>
      </c>
    </row>
    <row r="176" customFormat="false" ht="15" hidden="false" customHeight="false" outlineLevel="0" collapsed="false">
      <c r="A176" s="0" t="s">
        <v>6</v>
      </c>
      <c r="B176" s="0" t="s">
        <v>361</v>
      </c>
      <c r="C176" s="0" t="s">
        <v>3330</v>
      </c>
      <c r="D176" s="0" t="n">
        <v>4.5</v>
      </c>
    </row>
    <row r="177" customFormat="false" ht="15" hidden="false" customHeight="false" outlineLevel="0" collapsed="false">
      <c r="A177" s="0" t="s">
        <v>6</v>
      </c>
      <c r="B177" s="0" t="s">
        <v>361</v>
      </c>
      <c r="C177" s="0" t="s">
        <v>3331</v>
      </c>
    </row>
    <row r="178" customFormat="false" ht="15" hidden="false" customHeight="false" outlineLevel="0" collapsed="false">
      <c r="A178" s="0" t="s">
        <v>6</v>
      </c>
      <c r="B178" s="0" t="s">
        <v>361</v>
      </c>
      <c r="C178" s="0" t="s">
        <v>3332</v>
      </c>
    </row>
    <row r="179" customFormat="false" ht="15" hidden="false" customHeight="false" outlineLevel="0" collapsed="false">
      <c r="A179" s="0" t="s">
        <v>6</v>
      </c>
      <c r="B179" s="0" t="s">
        <v>366</v>
      </c>
      <c r="C179" s="0" t="s">
        <v>3330</v>
      </c>
      <c r="D179" s="0" t="n">
        <v>38</v>
      </c>
    </row>
    <row r="180" customFormat="false" ht="15" hidden="false" customHeight="false" outlineLevel="0" collapsed="false">
      <c r="A180" s="0" t="s">
        <v>6</v>
      </c>
      <c r="B180" s="0" t="s">
        <v>366</v>
      </c>
      <c r="C180" s="0" t="s">
        <v>3331</v>
      </c>
    </row>
    <row r="181" customFormat="false" ht="15" hidden="false" customHeight="false" outlineLevel="0" collapsed="false">
      <c r="A181" s="0" t="s">
        <v>6</v>
      </c>
      <c r="B181" s="0" t="s">
        <v>366</v>
      </c>
      <c r="C181" s="0" t="s">
        <v>3332</v>
      </c>
    </row>
    <row r="182" customFormat="false" ht="15" hidden="false" customHeight="false" outlineLevel="0" collapsed="false">
      <c r="A182" s="0" t="s">
        <v>6</v>
      </c>
      <c r="B182" s="0" t="s">
        <v>374</v>
      </c>
      <c r="C182" s="0" t="s">
        <v>3330</v>
      </c>
      <c r="D182" s="0" t="n">
        <v>2025</v>
      </c>
    </row>
    <row r="183" customFormat="false" ht="15" hidden="false" customHeight="false" outlineLevel="0" collapsed="false">
      <c r="A183" s="0" t="s">
        <v>6</v>
      </c>
      <c r="B183" s="0" t="s">
        <v>374</v>
      </c>
      <c r="C183" s="0" t="s">
        <v>3331</v>
      </c>
    </row>
    <row r="184" customFormat="false" ht="15" hidden="false" customHeight="false" outlineLevel="0" collapsed="false">
      <c r="A184" s="0" t="s">
        <v>6</v>
      </c>
      <c r="B184" s="0" t="s">
        <v>374</v>
      </c>
      <c r="C184" s="0" t="s">
        <v>3332</v>
      </c>
    </row>
    <row r="185" customFormat="false" ht="15" hidden="false" customHeight="false" outlineLevel="0" collapsed="false">
      <c r="A185" s="0" t="s">
        <v>6</v>
      </c>
      <c r="B185" s="0" t="s">
        <v>377</v>
      </c>
      <c r="C185" s="0" t="s">
        <v>3330</v>
      </c>
      <c r="D185" s="0" t="n">
        <v>2031</v>
      </c>
    </row>
    <row r="186" customFormat="false" ht="15" hidden="false" customHeight="false" outlineLevel="0" collapsed="false">
      <c r="A186" s="0" t="s">
        <v>6</v>
      </c>
      <c r="B186" s="0" t="s">
        <v>377</v>
      </c>
      <c r="C186" s="0" t="s">
        <v>3331</v>
      </c>
    </row>
    <row r="187" customFormat="false" ht="15" hidden="false" customHeight="false" outlineLevel="0" collapsed="false">
      <c r="A187" s="0" t="s">
        <v>6</v>
      </c>
      <c r="B187" s="0" t="s">
        <v>377</v>
      </c>
      <c r="C187" s="0" t="s">
        <v>3332</v>
      </c>
    </row>
    <row r="188" customFormat="false" ht="15" hidden="false" customHeight="false" outlineLevel="0" collapsed="false">
      <c r="A188" s="0" t="s">
        <v>6</v>
      </c>
      <c r="B188" s="0" t="s">
        <v>380</v>
      </c>
      <c r="C188" s="0" t="s">
        <v>3330</v>
      </c>
      <c r="D188" s="0" t="n">
        <v>100</v>
      </c>
    </row>
    <row r="189" customFormat="false" ht="15" hidden="false" customHeight="false" outlineLevel="0" collapsed="false">
      <c r="A189" s="0" t="s">
        <v>6</v>
      </c>
      <c r="B189" s="0" t="s">
        <v>380</v>
      </c>
      <c r="C189" s="0" t="s">
        <v>3331</v>
      </c>
    </row>
    <row r="190" customFormat="false" ht="15" hidden="false" customHeight="false" outlineLevel="0" collapsed="false">
      <c r="A190" s="0" t="s">
        <v>6</v>
      </c>
      <c r="B190" s="0" t="s">
        <v>380</v>
      </c>
      <c r="C190" s="0" t="s">
        <v>3332</v>
      </c>
    </row>
    <row r="191" customFormat="false" ht="15" hidden="false" customHeight="false" outlineLevel="0" collapsed="false">
      <c r="A191" s="0" t="s">
        <v>6</v>
      </c>
      <c r="B191" s="0" t="s">
        <v>385</v>
      </c>
      <c r="C191" s="0" t="s">
        <v>3330</v>
      </c>
      <c r="D191" s="0" t="n">
        <v>2026</v>
      </c>
    </row>
    <row r="192" customFormat="false" ht="15" hidden="false" customHeight="false" outlineLevel="0" collapsed="false">
      <c r="A192" s="0" t="s">
        <v>6</v>
      </c>
      <c r="B192" s="0" t="s">
        <v>385</v>
      </c>
      <c r="C192" s="0" t="s">
        <v>3331</v>
      </c>
    </row>
    <row r="193" customFormat="false" ht="15" hidden="false" customHeight="false" outlineLevel="0" collapsed="false">
      <c r="A193" s="0" t="s">
        <v>6</v>
      </c>
      <c r="B193" s="0" t="s">
        <v>385</v>
      </c>
      <c r="C193" s="0" t="s">
        <v>3332</v>
      </c>
    </row>
    <row r="194" customFormat="false" ht="15" hidden="false" customHeight="false" outlineLevel="0" collapsed="false">
      <c r="A194" s="0" t="s">
        <v>6</v>
      </c>
      <c r="B194" s="0" t="s">
        <v>387</v>
      </c>
      <c r="C194" s="0" t="s">
        <v>3330</v>
      </c>
      <c r="D194" s="0" t="n">
        <v>2033</v>
      </c>
    </row>
    <row r="195" customFormat="false" ht="15" hidden="false" customHeight="false" outlineLevel="0" collapsed="false">
      <c r="A195" s="0" t="s">
        <v>6</v>
      </c>
      <c r="B195" s="0" t="s">
        <v>387</v>
      </c>
      <c r="C195" s="0" t="s">
        <v>3331</v>
      </c>
    </row>
    <row r="196" customFormat="false" ht="15" hidden="false" customHeight="false" outlineLevel="0" collapsed="false">
      <c r="A196" s="0" t="s">
        <v>6</v>
      </c>
      <c r="B196" s="0" t="s">
        <v>387</v>
      </c>
      <c r="C196" s="0" t="s">
        <v>3332</v>
      </c>
    </row>
    <row r="197" customFormat="false" ht="15" hidden="false" customHeight="false" outlineLevel="0" collapsed="false">
      <c r="A197" s="0" t="s">
        <v>6</v>
      </c>
      <c r="B197" s="0" t="s">
        <v>390</v>
      </c>
      <c r="C197" s="0" t="s">
        <v>3330</v>
      </c>
      <c r="D197" s="0" t="n">
        <v>2</v>
      </c>
    </row>
    <row r="198" customFormat="false" ht="15" hidden="false" customHeight="false" outlineLevel="0" collapsed="false">
      <c r="A198" s="0" t="s">
        <v>6</v>
      </c>
      <c r="B198" s="0" t="s">
        <v>390</v>
      </c>
      <c r="C198" s="0" t="s">
        <v>3331</v>
      </c>
    </row>
    <row r="199" customFormat="false" ht="15" hidden="false" customHeight="false" outlineLevel="0" collapsed="false">
      <c r="A199" s="0" t="s">
        <v>6</v>
      </c>
      <c r="B199" s="0" t="s">
        <v>390</v>
      </c>
      <c r="C199" s="0" t="s">
        <v>3332</v>
      </c>
    </row>
    <row r="200" customFormat="false" ht="15" hidden="false" customHeight="false" outlineLevel="0" collapsed="false">
      <c r="A200" s="0" t="s">
        <v>6</v>
      </c>
      <c r="B200" s="0" t="s">
        <v>395</v>
      </c>
      <c r="C200" s="0" t="s">
        <v>3330</v>
      </c>
      <c r="D200" s="0" t="n">
        <v>22.4</v>
      </c>
    </row>
    <row r="201" customFormat="false" ht="15" hidden="false" customHeight="false" outlineLevel="0" collapsed="false">
      <c r="A201" s="0" t="s">
        <v>6</v>
      </c>
      <c r="B201" s="0" t="s">
        <v>395</v>
      </c>
      <c r="C201" s="0" t="s">
        <v>3331</v>
      </c>
    </row>
    <row r="202" customFormat="false" ht="15" hidden="false" customHeight="false" outlineLevel="0" collapsed="false">
      <c r="A202" s="0" t="s">
        <v>6</v>
      </c>
      <c r="B202" s="0" t="s">
        <v>395</v>
      </c>
      <c r="C202" s="0" t="s">
        <v>3332</v>
      </c>
    </row>
    <row r="203" customFormat="false" ht="15" hidden="false" customHeight="false" outlineLevel="0" collapsed="false">
      <c r="A203" s="0" t="s">
        <v>6</v>
      </c>
      <c r="B203" s="0" t="s">
        <v>402</v>
      </c>
      <c r="C203" s="0" t="s">
        <v>3330</v>
      </c>
      <c r="D203" s="0" t="n">
        <v>2025</v>
      </c>
    </row>
    <row r="204" customFormat="false" ht="15" hidden="false" customHeight="false" outlineLevel="0" collapsed="false">
      <c r="A204" s="0" t="s">
        <v>6</v>
      </c>
      <c r="B204" s="0" t="s">
        <v>402</v>
      </c>
      <c r="C204" s="0" t="s">
        <v>3331</v>
      </c>
    </row>
    <row r="205" customFormat="false" ht="15" hidden="false" customHeight="false" outlineLevel="0" collapsed="false">
      <c r="A205" s="0" t="s">
        <v>6</v>
      </c>
      <c r="B205" s="0" t="s">
        <v>402</v>
      </c>
      <c r="C205" s="0" t="s">
        <v>3332</v>
      </c>
    </row>
    <row r="206" customFormat="false" ht="15" hidden="false" customHeight="false" outlineLevel="0" collapsed="false">
      <c r="A206" s="0" t="s">
        <v>6</v>
      </c>
      <c r="B206" s="0" t="s">
        <v>405</v>
      </c>
      <c r="C206" s="0" t="s">
        <v>3330</v>
      </c>
      <c r="D206" s="0" t="n">
        <v>2029</v>
      </c>
    </row>
    <row r="207" customFormat="false" ht="15" hidden="false" customHeight="false" outlineLevel="0" collapsed="false">
      <c r="A207" s="0" t="s">
        <v>6</v>
      </c>
      <c r="B207" s="0" t="s">
        <v>405</v>
      </c>
      <c r="C207" s="0" t="s">
        <v>3331</v>
      </c>
    </row>
    <row r="208" customFormat="false" ht="15" hidden="false" customHeight="false" outlineLevel="0" collapsed="false">
      <c r="A208" s="0" t="s">
        <v>6</v>
      </c>
      <c r="B208" s="0" t="s">
        <v>405</v>
      </c>
      <c r="C208" s="0" t="s">
        <v>3332</v>
      </c>
    </row>
    <row r="209" customFormat="false" ht="15" hidden="false" customHeight="false" outlineLevel="0" collapsed="false">
      <c r="A209" s="0" t="s">
        <v>6</v>
      </c>
      <c r="B209" s="0" t="s">
        <v>407</v>
      </c>
      <c r="C209" s="0" t="s">
        <v>3330</v>
      </c>
      <c r="D209" s="0" t="n">
        <v>20</v>
      </c>
    </row>
    <row r="210" customFormat="false" ht="15" hidden="false" customHeight="false" outlineLevel="0" collapsed="false">
      <c r="A210" s="0" t="s">
        <v>6</v>
      </c>
      <c r="B210" s="0" t="s">
        <v>407</v>
      </c>
      <c r="C210" s="0" t="s">
        <v>3331</v>
      </c>
      <c r="D210" s="0" t="n">
        <v>20</v>
      </c>
    </row>
    <row r="211" customFormat="false" ht="15" hidden="false" customHeight="false" outlineLevel="0" collapsed="false">
      <c r="A211" s="0" t="s">
        <v>6</v>
      </c>
      <c r="B211" s="0" t="s">
        <v>407</v>
      </c>
      <c r="C211" s="0" t="s">
        <v>3332</v>
      </c>
    </row>
    <row r="212" customFormat="false" ht="15" hidden="false" customHeight="false" outlineLevel="0" collapsed="false">
      <c r="A212" s="0" t="s">
        <v>6</v>
      </c>
      <c r="B212" s="0" t="s">
        <v>415</v>
      </c>
      <c r="C212" s="0" t="s">
        <v>3330</v>
      </c>
      <c r="D212" s="0" t="n">
        <v>2026</v>
      </c>
    </row>
    <row r="213" customFormat="false" ht="15" hidden="false" customHeight="false" outlineLevel="0" collapsed="false">
      <c r="A213" s="0" t="s">
        <v>6</v>
      </c>
      <c r="B213" s="0" t="s">
        <v>415</v>
      </c>
      <c r="C213" s="0" t="s">
        <v>3331</v>
      </c>
    </row>
    <row r="214" customFormat="false" ht="15" hidden="false" customHeight="false" outlineLevel="0" collapsed="false">
      <c r="A214" s="0" t="s">
        <v>6</v>
      </c>
      <c r="B214" s="0" t="s">
        <v>415</v>
      </c>
      <c r="C214" s="0" t="s">
        <v>3332</v>
      </c>
    </row>
    <row r="215" customFormat="false" ht="15" hidden="false" customHeight="false" outlineLevel="0" collapsed="false">
      <c r="A215" s="0" t="s">
        <v>6</v>
      </c>
      <c r="B215" s="0" t="s">
        <v>418</v>
      </c>
      <c r="C215" s="0" t="s">
        <v>3330</v>
      </c>
      <c r="D215" s="0" t="n">
        <v>0.75</v>
      </c>
    </row>
    <row r="216" customFormat="false" ht="15" hidden="false" customHeight="false" outlineLevel="0" collapsed="false">
      <c r="A216" s="0" t="s">
        <v>6</v>
      </c>
      <c r="B216" s="0" t="s">
        <v>418</v>
      </c>
      <c r="C216" s="0" t="s">
        <v>3331</v>
      </c>
    </row>
    <row r="217" customFormat="false" ht="15" hidden="false" customHeight="false" outlineLevel="0" collapsed="false">
      <c r="A217" s="0" t="s">
        <v>6</v>
      </c>
      <c r="B217" s="0" t="s">
        <v>418</v>
      </c>
      <c r="C217" s="0" t="s">
        <v>3332</v>
      </c>
    </row>
    <row r="218" customFormat="false" ht="15" hidden="false" customHeight="false" outlineLevel="0" collapsed="false">
      <c r="A218" s="0" t="s">
        <v>6</v>
      </c>
      <c r="B218" s="0" t="s">
        <v>421</v>
      </c>
      <c r="C218" s="0" t="s">
        <v>3330</v>
      </c>
      <c r="D218" s="0" t="n">
        <v>750</v>
      </c>
    </row>
    <row r="219" customFormat="false" ht="15" hidden="false" customHeight="false" outlineLevel="0" collapsed="false">
      <c r="A219" s="0" t="s">
        <v>6</v>
      </c>
      <c r="B219" s="0" t="s">
        <v>421</v>
      </c>
      <c r="C219" s="0" t="s">
        <v>3331</v>
      </c>
    </row>
    <row r="220" customFormat="false" ht="15" hidden="false" customHeight="false" outlineLevel="0" collapsed="false">
      <c r="A220" s="0" t="s">
        <v>6</v>
      </c>
      <c r="B220" s="0" t="s">
        <v>421</v>
      </c>
      <c r="C220" s="0" t="s">
        <v>3332</v>
      </c>
    </row>
    <row r="221" customFormat="false" ht="15" hidden="false" customHeight="false" outlineLevel="0" collapsed="false">
      <c r="A221" s="0" t="s">
        <v>6</v>
      </c>
      <c r="B221" s="0" t="s">
        <v>427</v>
      </c>
      <c r="C221" s="0" t="s">
        <v>3330</v>
      </c>
      <c r="D221" s="0" t="n">
        <v>665</v>
      </c>
    </row>
    <row r="222" customFormat="false" ht="15" hidden="false" customHeight="false" outlineLevel="0" collapsed="false">
      <c r="A222" s="0" t="s">
        <v>6</v>
      </c>
      <c r="B222" s="0" t="s">
        <v>427</v>
      </c>
      <c r="C222" s="0" t="s">
        <v>3331</v>
      </c>
    </row>
    <row r="223" customFormat="false" ht="15" hidden="false" customHeight="false" outlineLevel="0" collapsed="false">
      <c r="A223" s="0" t="s">
        <v>6</v>
      </c>
      <c r="B223" s="0" t="s">
        <v>427</v>
      </c>
      <c r="C223" s="0" t="s">
        <v>3332</v>
      </c>
    </row>
    <row r="224" customFormat="false" ht="15" hidden="false" customHeight="false" outlineLevel="0" collapsed="false">
      <c r="A224" s="0" t="s">
        <v>6</v>
      </c>
      <c r="B224" s="0" t="s">
        <v>431</v>
      </c>
      <c r="C224" s="0" t="s">
        <v>3330</v>
      </c>
      <c r="D224" s="0" t="n">
        <v>50</v>
      </c>
    </row>
    <row r="225" customFormat="false" ht="15" hidden="false" customHeight="false" outlineLevel="0" collapsed="false">
      <c r="A225" s="0" t="s">
        <v>6</v>
      </c>
      <c r="B225" s="0" t="s">
        <v>431</v>
      </c>
      <c r="C225" s="0" t="s">
        <v>3331</v>
      </c>
    </row>
    <row r="226" customFormat="false" ht="15" hidden="false" customHeight="false" outlineLevel="0" collapsed="false">
      <c r="A226" s="0" t="s">
        <v>6</v>
      </c>
      <c r="B226" s="0" t="s">
        <v>431</v>
      </c>
      <c r="C226" s="0" t="s">
        <v>3332</v>
      </c>
    </row>
    <row r="227" customFormat="false" ht="15" hidden="false" customHeight="false" outlineLevel="0" collapsed="false">
      <c r="A227" s="0" t="s">
        <v>6</v>
      </c>
      <c r="B227" s="0" t="s">
        <v>435</v>
      </c>
      <c r="C227" s="0" t="s">
        <v>3330</v>
      </c>
      <c r="D227" s="0" t="n">
        <v>40</v>
      </c>
    </row>
    <row r="228" customFormat="false" ht="15" hidden="false" customHeight="false" outlineLevel="0" collapsed="false">
      <c r="A228" s="0" t="s">
        <v>6</v>
      </c>
      <c r="B228" s="0" t="s">
        <v>435</v>
      </c>
      <c r="C228" s="0" t="s">
        <v>3331</v>
      </c>
      <c r="D228" s="0" t="n">
        <v>35</v>
      </c>
    </row>
    <row r="229" customFormat="false" ht="15" hidden="false" customHeight="false" outlineLevel="0" collapsed="false">
      <c r="A229" s="0" t="s">
        <v>6</v>
      </c>
      <c r="B229" s="0" t="s">
        <v>435</v>
      </c>
      <c r="C229" s="0" t="s">
        <v>3332</v>
      </c>
      <c r="D229" s="0" t="n">
        <v>45</v>
      </c>
    </row>
    <row r="230" customFormat="false" ht="15" hidden="false" customHeight="false" outlineLevel="0" collapsed="false">
      <c r="A230" s="0" t="s">
        <v>6</v>
      </c>
      <c r="B230" s="0" t="s">
        <v>440</v>
      </c>
      <c r="C230" s="0" t="s">
        <v>3330</v>
      </c>
      <c r="D230" s="0" t="n">
        <v>122</v>
      </c>
    </row>
    <row r="231" customFormat="false" ht="15" hidden="false" customHeight="false" outlineLevel="0" collapsed="false">
      <c r="A231" s="0" t="s">
        <v>6</v>
      </c>
      <c r="B231" s="0" t="s">
        <v>440</v>
      </c>
      <c r="C231" s="0" t="s">
        <v>3331</v>
      </c>
    </row>
    <row r="232" customFormat="false" ht="15" hidden="false" customHeight="false" outlineLevel="0" collapsed="false">
      <c r="A232" s="0" t="s">
        <v>6</v>
      </c>
      <c r="B232" s="0" t="s">
        <v>440</v>
      </c>
      <c r="C232" s="0" t="s">
        <v>3332</v>
      </c>
    </row>
    <row r="233" customFormat="false" ht="15" hidden="false" customHeight="false" outlineLevel="0" collapsed="false">
      <c r="A233" s="0" t="s">
        <v>6</v>
      </c>
      <c r="B233" s="0" t="s">
        <v>447</v>
      </c>
      <c r="C233" s="0" t="s">
        <v>3330</v>
      </c>
      <c r="D233" s="0" t="n">
        <v>35</v>
      </c>
    </row>
    <row r="234" customFormat="false" ht="15" hidden="false" customHeight="false" outlineLevel="0" collapsed="false">
      <c r="A234" s="0" t="s">
        <v>6</v>
      </c>
      <c r="B234" s="0" t="s">
        <v>447</v>
      </c>
      <c r="C234" s="0" t="s">
        <v>3331</v>
      </c>
    </row>
    <row r="235" customFormat="false" ht="15" hidden="false" customHeight="false" outlineLevel="0" collapsed="false">
      <c r="A235" s="0" t="s">
        <v>6</v>
      </c>
      <c r="B235" s="0" t="s">
        <v>447</v>
      </c>
      <c r="C235" s="0" t="s">
        <v>3332</v>
      </c>
    </row>
    <row r="236" customFormat="false" ht="15" hidden="false" customHeight="false" outlineLevel="0" collapsed="false">
      <c r="A236" s="0" t="s">
        <v>6</v>
      </c>
      <c r="B236" s="0" t="s">
        <v>453</v>
      </c>
      <c r="C236" s="0" t="s">
        <v>3330</v>
      </c>
      <c r="D236" s="0" t="n">
        <v>250</v>
      </c>
    </row>
    <row r="237" customFormat="false" ht="15" hidden="false" customHeight="false" outlineLevel="0" collapsed="false">
      <c r="A237" s="0" t="s">
        <v>6</v>
      </c>
      <c r="B237" s="0" t="s">
        <v>453</v>
      </c>
      <c r="C237" s="0" t="s">
        <v>3331</v>
      </c>
    </row>
    <row r="238" customFormat="false" ht="15" hidden="false" customHeight="false" outlineLevel="0" collapsed="false">
      <c r="A238" s="0" t="s">
        <v>6</v>
      </c>
      <c r="B238" s="0" t="s">
        <v>453</v>
      </c>
      <c r="C238" s="0" t="s">
        <v>3332</v>
      </c>
    </row>
    <row r="239" customFormat="false" ht="15" hidden="false" customHeight="false" outlineLevel="0" collapsed="false">
      <c r="A239" s="0" t="s">
        <v>6</v>
      </c>
      <c r="B239" s="0" t="s">
        <v>458</v>
      </c>
      <c r="C239" s="0" t="s">
        <v>3330</v>
      </c>
      <c r="D239" s="0" t="n">
        <v>350</v>
      </c>
    </row>
    <row r="240" customFormat="false" ht="15" hidden="false" customHeight="false" outlineLevel="0" collapsed="false">
      <c r="A240" s="0" t="s">
        <v>6</v>
      </c>
      <c r="B240" s="0" t="s">
        <v>458</v>
      </c>
      <c r="C240" s="0" t="s">
        <v>3331</v>
      </c>
    </row>
    <row r="241" customFormat="false" ht="15" hidden="false" customHeight="false" outlineLevel="0" collapsed="false">
      <c r="A241" s="0" t="s">
        <v>6</v>
      </c>
      <c r="B241" s="0" t="s">
        <v>458</v>
      </c>
      <c r="C241" s="0" t="s">
        <v>3332</v>
      </c>
    </row>
    <row r="242" customFormat="false" ht="15" hidden="false" customHeight="false" outlineLevel="0" collapsed="false">
      <c r="A242" s="0" t="s">
        <v>6</v>
      </c>
      <c r="B242" s="0" t="s">
        <v>463</v>
      </c>
      <c r="C242" s="0" t="s">
        <v>3330</v>
      </c>
      <c r="D242" s="0" t="n">
        <v>3</v>
      </c>
    </row>
    <row r="243" customFormat="false" ht="15" hidden="false" customHeight="false" outlineLevel="0" collapsed="false">
      <c r="A243" s="0" t="s">
        <v>6</v>
      </c>
      <c r="B243" s="0" t="s">
        <v>463</v>
      </c>
      <c r="C243" s="0" t="s">
        <v>3331</v>
      </c>
    </row>
    <row r="244" customFormat="false" ht="15" hidden="false" customHeight="false" outlineLevel="0" collapsed="false">
      <c r="A244" s="0" t="s">
        <v>6</v>
      </c>
      <c r="B244" s="0" t="s">
        <v>463</v>
      </c>
      <c r="C244" s="0" t="s">
        <v>3332</v>
      </c>
    </row>
    <row r="245" customFormat="false" ht="15" hidden="false" customHeight="false" outlineLevel="0" collapsed="false">
      <c r="A245" s="0" t="s">
        <v>6</v>
      </c>
      <c r="B245" s="0" t="s">
        <v>468</v>
      </c>
      <c r="C245" s="0" t="s">
        <v>3330</v>
      </c>
      <c r="D245" s="0" t="n">
        <v>19.18</v>
      </c>
    </row>
    <row r="246" customFormat="false" ht="15" hidden="false" customHeight="false" outlineLevel="0" collapsed="false">
      <c r="A246" s="0" t="s">
        <v>6</v>
      </c>
      <c r="B246" s="0" t="s">
        <v>468</v>
      </c>
      <c r="C246" s="0" t="s">
        <v>3331</v>
      </c>
    </row>
    <row r="247" customFormat="false" ht="15" hidden="false" customHeight="false" outlineLevel="0" collapsed="false">
      <c r="A247" s="0" t="s">
        <v>6</v>
      </c>
      <c r="B247" s="0" t="s">
        <v>468</v>
      </c>
      <c r="C247" s="0" t="s">
        <v>3332</v>
      </c>
    </row>
    <row r="248" customFormat="false" ht="15" hidden="false" customHeight="false" outlineLevel="0" collapsed="false">
      <c r="A248" s="0" t="s">
        <v>6</v>
      </c>
      <c r="B248" s="0" t="s">
        <v>473</v>
      </c>
      <c r="C248" s="0" t="s">
        <v>3330</v>
      </c>
      <c r="D248" s="0" t="n">
        <v>0.2</v>
      </c>
    </row>
    <row r="249" customFormat="false" ht="15" hidden="false" customHeight="false" outlineLevel="0" collapsed="false">
      <c r="A249" s="0" t="s">
        <v>6</v>
      </c>
      <c r="B249" s="0" t="s">
        <v>473</v>
      </c>
      <c r="C249" s="0" t="s">
        <v>3331</v>
      </c>
    </row>
    <row r="250" customFormat="false" ht="15" hidden="false" customHeight="false" outlineLevel="0" collapsed="false">
      <c r="A250" s="0" t="s">
        <v>6</v>
      </c>
      <c r="B250" s="0" t="s">
        <v>473</v>
      </c>
      <c r="C250" s="0" t="s">
        <v>3332</v>
      </c>
    </row>
    <row r="251" customFormat="false" ht="15" hidden="false" customHeight="false" outlineLevel="0" collapsed="false">
      <c r="A251" s="0" t="s">
        <v>6</v>
      </c>
      <c r="B251" s="0" t="s">
        <v>480</v>
      </c>
      <c r="C251" s="0" t="s">
        <v>3330</v>
      </c>
      <c r="D251" s="0" t="n">
        <v>0.6</v>
      </c>
    </row>
    <row r="252" customFormat="false" ht="15" hidden="false" customHeight="false" outlineLevel="0" collapsed="false">
      <c r="A252" s="0" t="s">
        <v>6</v>
      </c>
      <c r="B252" s="0" t="s">
        <v>480</v>
      </c>
      <c r="C252" s="0" t="s">
        <v>3331</v>
      </c>
    </row>
    <row r="253" customFormat="false" ht="15" hidden="false" customHeight="false" outlineLevel="0" collapsed="false">
      <c r="A253" s="0" t="s">
        <v>6</v>
      </c>
      <c r="B253" s="0" t="s">
        <v>480</v>
      </c>
      <c r="C253" s="0" t="s">
        <v>3332</v>
      </c>
    </row>
    <row r="254" customFormat="false" ht="15" hidden="false" customHeight="false" outlineLevel="0" collapsed="false">
      <c r="A254" s="0" t="s">
        <v>6</v>
      </c>
      <c r="B254" s="0" t="s">
        <v>484</v>
      </c>
      <c r="C254" s="0" t="s">
        <v>3330</v>
      </c>
      <c r="D254" s="0" t="n">
        <v>1.9</v>
      </c>
    </row>
    <row r="255" customFormat="false" ht="15" hidden="false" customHeight="false" outlineLevel="0" collapsed="false">
      <c r="A255" s="0" t="s">
        <v>6</v>
      </c>
      <c r="B255" s="0" t="s">
        <v>484</v>
      </c>
      <c r="C255" s="0" t="s">
        <v>3331</v>
      </c>
    </row>
    <row r="256" customFormat="false" ht="15" hidden="false" customHeight="false" outlineLevel="0" collapsed="false">
      <c r="A256" s="0" t="s">
        <v>6</v>
      </c>
      <c r="B256" s="0" t="s">
        <v>484</v>
      </c>
      <c r="C256" s="0" t="s">
        <v>3332</v>
      </c>
    </row>
    <row r="257" customFormat="false" ht="15" hidden="false" customHeight="false" outlineLevel="0" collapsed="false">
      <c r="A257" s="0" t="s">
        <v>6</v>
      </c>
      <c r="B257" s="0" t="s">
        <v>489</v>
      </c>
      <c r="C257" s="0" t="s">
        <v>3330</v>
      </c>
      <c r="D257" s="0" t="n">
        <v>20</v>
      </c>
    </row>
    <row r="258" customFormat="false" ht="15" hidden="false" customHeight="false" outlineLevel="0" collapsed="false">
      <c r="A258" s="0" t="s">
        <v>6</v>
      </c>
      <c r="B258" s="0" t="s">
        <v>489</v>
      </c>
      <c r="C258" s="0" t="s">
        <v>3331</v>
      </c>
    </row>
    <row r="259" customFormat="false" ht="15" hidden="false" customHeight="false" outlineLevel="0" collapsed="false">
      <c r="A259" s="0" t="s">
        <v>6</v>
      </c>
      <c r="B259" s="0" t="s">
        <v>489</v>
      </c>
      <c r="C259" s="0" t="s">
        <v>3332</v>
      </c>
    </row>
    <row r="260" customFormat="false" ht="15" hidden="false" customHeight="false" outlineLevel="0" collapsed="false">
      <c r="A260" s="0" t="s">
        <v>6</v>
      </c>
      <c r="B260" s="0" t="s">
        <v>493</v>
      </c>
      <c r="C260" s="0" t="s">
        <v>3330</v>
      </c>
      <c r="D260" s="0" t="n">
        <v>900</v>
      </c>
    </row>
    <row r="261" customFormat="false" ht="15" hidden="false" customHeight="false" outlineLevel="0" collapsed="false">
      <c r="A261" s="0" t="s">
        <v>6</v>
      </c>
      <c r="B261" s="0" t="s">
        <v>493</v>
      </c>
      <c r="C261" s="0" t="s">
        <v>3331</v>
      </c>
    </row>
    <row r="262" customFormat="false" ht="15" hidden="false" customHeight="false" outlineLevel="0" collapsed="false">
      <c r="A262" s="0" t="s">
        <v>6</v>
      </c>
      <c r="B262" s="0" t="s">
        <v>493</v>
      </c>
      <c r="C262" s="0" t="s">
        <v>3332</v>
      </c>
    </row>
    <row r="263" customFormat="false" ht="15" hidden="false" customHeight="false" outlineLevel="0" collapsed="false">
      <c r="A263" s="0" t="s">
        <v>6</v>
      </c>
      <c r="B263" s="0" t="s">
        <v>500</v>
      </c>
      <c r="C263" s="0" t="s">
        <v>3330</v>
      </c>
      <c r="D263" s="0" t="n">
        <v>3</v>
      </c>
    </row>
    <row r="264" customFormat="false" ht="15" hidden="false" customHeight="false" outlineLevel="0" collapsed="false">
      <c r="A264" s="0" t="s">
        <v>6</v>
      </c>
      <c r="B264" s="0" t="s">
        <v>500</v>
      </c>
      <c r="C264" s="0" t="s">
        <v>3331</v>
      </c>
    </row>
    <row r="265" customFormat="false" ht="15" hidden="false" customHeight="false" outlineLevel="0" collapsed="false">
      <c r="A265" s="0" t="s">
        <v>6</v>
      </c>
      <c r="B265" s="0" t="s">
        <v>500</v>
      </c>
      <c r="C265" s="0" t="s">
        <v>3332</v>
      </c>
    </row>
    <row r="266" customFormat="false" ht="15" hidden="false" customHeight="false" outlineLevel="0" collapsed="false">
      <c r="A266" s="0" t="s">
        <v>6</v>
      </c>
      <c r="B266" s="0" t="s">
        <v>507</v>
      </c>
      <c r="C266" s="0" t="s">
        <v>3330</v>
      </c>
      <c r="D266" s="0" t="n">
        <v>35</v>
      </c>
    </row>
    <row r="267" customFormat="false" ht="15" hidden="false" customHeight="false" outlineLevel="0" collapsed="false">
      <c r="A267" s="0" t="s">
        <v>6</v>
      </c>
      <c r="B267" s="0" t="s">
        <v>507</v>
      </c>
      <c r="C267" s="0" t="s">
        <v>3331</v>
      </c>
    </row>
    <row r="268" customFormat="false" ht="15" hidden="false" customHeight="false" outlineLevel="0" collapsed="false">
      <c r="A268" s="0" t="s">
        <v>6</v>
      </c>
      <c r="B268" s="0" t="s">
        <v>507</v>
      </c>
      <c r="C268" s="0" t="s">
        <v>3332</v>
      </c>
    </row>
    <row r="269" customFormat="false" ht="15" hidden="false" customHeight="false" outlineLevel="0" collapsed="false">
      <c r="A269" s="0" t="s">
        <v>6</v>
      </c>
      <c r="B269" s="0" t="s">
        <v>514</v>
      </c>
      <c r="C269" s="0" t="s">
        <v>3330</v>
      </c>
      <c r="D269" s="0" t="n">
        <v>44</v>
      </c>
    </row>
    <row r="270" customFormat="false" ht="15" hidden="false" customHeight="false" outlineLevel="0" collapsed="false">
      <c r="A270" s="0" t="s">
        <v>6</v>
      </c>
      <c r="B270" s="0" t="s">
        <v>514</v>
      </c>
      <c r="C270" s="0" t="s">
        <v>3331</v>
      </c>
    </row>
    <row r="271" customFormat="false" ht="15" hidden="false" customHeight="false" outlineLevel="0" collapsed="false">
      <c r="A271" s="0" t="s">
        <v>6</v>
      </c>
      <c r="B271" s="0" t="s">
        <v>514</v>
      </c>
      <c r="C271" s="0" t="s">
        <v>3332</v>
      </c>
    </row>
    <row r="272" customFormat="false" ht="15" hidden="false" customHeight="false" outlineLevel="0" collapsed="false">
      <c r="A272" s="0" t="s">
        <v>6</v>
      </c>
      <c r="B272" s="0" t="s">
        <v>518</v>
      </c>
      <c r="C272" s="0" t="s">
        <v>3330</v>
      </c>
      <c r="D272" s="0" t="n">
        <v>9</v>
      </c>
    </row>
    <row r="273" customFormat="false" ht="15" hidden="false" customHeight="false" outlineLevel="0" collapsed="false">
      <c r="A273" s="0" t="s">
        <v>6</v>
      </c>
      <c r="B273" s="0" t="s">
        <v>518</v>
      </c>
      <c r="C273" s="0" t="s">
        <v>3331</v>
      </c>
      <c r="D273" s="0" t="n">
        <v>9</v>
      </c>
    </row>
    <row r="274" customFormat="false" ht="15" hidden="false" customHeight="false" outlineLevel="0" collapsed="false">
      <c r="A274" s="0" t="s">
        <v>6</v>
      </c>
      <c r="B274" s="0" t="s">
        <v>518</v>
      </c>
      <c r="C274" s="0" t="s">
        <v>3332</v>
      </c>
    </row>
    <row r="275" customFormat="false" ht="15" hidden="false" customHeight="false" outlineLevel="0" collapsed="false">
      <c r="A275" s="0" t="s">
        <v>6</v>
      </c>
      <c r="B275" s="0" t="s">
        <v>524</v>
      </c>
      <c r="C275" s="0" t="s">
        <v>3330</v>
      </c>
      <c r="D275" s="0" t="n">
        <v>10.59</v>
      </c>
    </row>
    <row r="276" customFormat="false" ht="15" hidden="false" customHeight="false" outlineLevel="0" collapsed="false">
      <c r="A276" s="0" t="s">
        <v>6</v>
      </c>
      <c r="B276" s="0" t="s">
        <v>524</v>
      </c>
      <c r="C276" s="0" t="s">
        <v>3331</v>
      </c>
    </row>
    <row r="277" customFormat="false" ht="15" hidden="false" customHeight="false" outlineLevel="0" collapsed="false">
      <c r="A277" s="0" t="s">
        <v>6</v>
      </c>
      <c r="B277" s="0" t="s">
        <v>524</v>
      </c>
      <c r="C277" s="0" t="s">
        <v>3332</v>
      </c>
    </row>
    <row r="278" customFormat="false" ht="15" hidden="false" customHeight="false" outlineLevel="0" collapsed="false">
      <c r="A278" s="0" t="s">
        <v>6</v>
      </c>
      <c r="B278" s="0" t="s">
        <v>531</v>
      </c>
      <c r="C278" s="0" t="s">
        <v>3330</v>
      </c>
      <c r="D278" s="0" t="n">
        <v>20</v>
      </c>
    </row>
    <row r="279" customFormat="false" ht="15" hidden="false" customHeight="false" outlineLevel="0" collapsed="false">
      <c r="A279" s="0" t="s">
        <v>6</v>
      </c>
      <c r="B279" s="0" t="s">
        <v>531</v>
      </c>
      <c r="C279" s="0" t="s">
        <v>3331</v>
      </c>
    </row>
    <row r="280" customFormat="false" ht="15" hidden="false" customHeight="false" outlineLevel="0" collapsed="false">
      <c r="A280" s="0" t="s">
        <v>6</v>
      </c>
      <c r="B280" s="0" t="s">
        <v>531</v>
      </c>
      <c r="C280" s="0" t="s">
        <v>3332</v>
      </c>
    </row>
    <row r="281" customFormat="false" ht="15" hidden="false" customHeight="false" outlineLevel="0" collapsed="false">
      <c r="A281" s="0" t="s">
        <v>6</v>
      </c>
      <c r="B281" s="0" t="s">
        <v>538</v>
      </c>
      <c r="C281" s="0" t="s">
        <v>3330</v>
      </c>
      <c r="D281" s="0" t="n">
        <v>2.5</v>
      </c>
    </row>
    <row r="282" customFormat="false" ht="15" hidden="false" customHeight="false" outlineLevel="0" collapsed="false">
      <c r="A282" s="0" t="s">
        <v>6</v>
      </c>
      <c r="B282" s="0" t="s">
        <v>538</v>
      </c>
      <c r="C282" s="0" t="s">
        <v>3331</v>
      </c>
    </row>
    <row r="283" customFormat="false" ht="15" hidden="false" customHeight="false" outlineLevel="0" collapsed="false">
      <c r="A283" s="0" t="s">
        <v>6</v>
      </c>
      <c r="B283" s="0" t="s">
        <v>538</v>
      </c>
      <c r="C283" s="0" t="s">
        <v>3332</v>
      </c>
    </row>
    <row r="284" customFormat="false" ht="15" hidden="false" customHeight="false" outlineLevel="0" collapsed="false">
      <c r="A284" s="0" t="s">
        <v>6</v>
      </c>
      <c r="B284" s="0" t="s">
        <v>546</v>
      </c>
      <c r="C284" s="0" t="s">
        <v>3330</v>
      </c>
      <c r="D284" s="0" t="n">
        <v>2</v>
      </c>
    </row>
    <row r="285" customFormat="false" ht="15" hidden="false" customHeight="false" outlineLevel="0" collapsed="false">
      <c r="A285" s="0" t="s">
        <v>6</v>
      </c>
      <c r="B285" s="0" t="s">
        <v>546</v>
      </c>
      <c r="C285" s="0" t="s">
        <v>3331</v>
      </c>
    </row>
    <row r="286" customFormat="false" ht="15" hidden="false" customHeight="false" outlineLevel="0" collapsed="false">
      <c r="A286" s="0" t="s">
        <v>6</v>
      </c>
      <c r="B286" s="0" t="s">
        <v>546</v>
      </c>
      <c r="C286" s="0" t="s">
        <v>3332</v>
      </c>
    </row>
    <row r="287" customFormat="false" ht="15" hidden="false" customHeight="false" outlineLevel="0" collapsed="false">
      <c r="A287" s="0" t="s">
        <v>6</v>
      </c>
      <c r="B287" s="0" t="s">
        <v>553</v>
      </c>
      <c r="C287" s="0" t="s">
        <v>3330</v>
      </c>
    </row>
    <row r="288" customFormat="false" ht="15" hidden="false" customHeight="false" outlineLevel="0" collapsed="false">
      <c r="A288" s="0" t="s">
        <v>6</v>
      </c>
      <c r="B288" s="0" t="s">
        <v>553</v>
      </c>
      <c r="C288" s="0" t="s">
        <v>3331</v>
      </c>
    </row>
    <row r="289" customFormat="false" ht="15" hidden="false" customHeight="false" outlineLevel="0" collapsed="false">
      <c r="A289" s="0" t="s">
        <v>6</v>
      </c>
      <c r="B289" s="0" t="s">
        <v>553</v>
      </c>
      <c r="C289" s="0" t="s">
        <v>3332</v>
      </c>
      <c r="D289" s="0" t="n">
        <v>0.01</v>
      </c>
    </row>
    <row r="290" customFormat="false" ht="15" hidden="false" customHeight="false" outlineLevel="0" collapsed="false">
      <c r="A290" s="0" t="s">
        <v>6</v>
      </c>
      <c r="B290" s="0" t="s">
        <v>557</v>
      </c>
      <c r="C290" s="0" t="s">
        <v>3330</v>
      </c>
      <c r="D290" s="0" t="n">
        <v>3</v>
      </c>
    </row>
    <row r="291" customFormat="false" ht="15" hidden="false" customHeight="false" outlineLevel="0" collapsed="false">
      <c r="A291" s="0" t="s">
        <v>6</v>
      </c>
      <c r="B291" s="0" t="s">
        <v>557</v>
      </c>
      <c r="C291" s="0" t="s">
        <v>3331</v>
      </c>
    </row>
    <row r="292" customFormat="false" ht="15" hidden="false" customHeight="false" outlineLevel="0" collapsed="false">
      <c r="A292" s="0" t="s">
        <v>6</v>
      </c>
      <c r="B292" s="0" t="s">
        <v>557</v>
      </c>
      <c r="C292" s="0" t="s">
        <v>3332</v>
      </c>
    </row>
    <row r="293" customFormat="false" ht="15" hidden="false" customHeight="false" outlineLevel="0" collapsed="false">
      <c r="A293" s="0" t="s">
        <v>6</v>
      </c>
      <c r="B293" s="0" t="s">
        <v>566</v>
      </c>
      <c r="C293" s="0" t="s">
        <v>3330</v>
      </c>
      <c r="D293" s="0" t="n">
        <v>2</v>
      </c>
    </row>
    <row r="294" customFormat="false" ht="15" hidden="false" customHeight="false" outlineLevel="0" collapsed="false">
      <c r="A294" s="0" t="s">
        <v>6</v>
      </c>
      <c r="B294" s="0" t="s">
        <v>566</v>
      </c>
      <c r="C294" s="0" t="s">
        <v>3331</v>
      </c>
    </row>
    <row r="295" customFormat="false" ht="15" hidden="false" customHeight="false" outlineLevel="0" collapsed="false">
      <c r="A295" s="0" t="s">
        <v>6</v>
      </c>
      <c r="B295" s="0" t="s">
        <v>566</v>
      </c>
      <c r="C295" s="0" t="s">
        <v>3332</v>
      </c>
    </row>
    <row r="296" customFormat="false" ht="15" hidden="false" customHeight="false" outlineLevel="0" collapsed="false">
      <c r="A296" s="0" t="s">
        <v>6</v>
      </c>
      <c r="B296" s="0" t="s">
        <v>570</v>
      </c>
      <c r="C296" s="0" t="s">
        <v>3330</v>
      </c>
      <c r="D296" s="0" t="n">
        <v>10</v>
      </c>
    </row>
    <row r="297" customFormat="false" ht="15" hidden="false" customHeight="false" outlineLevel="0" collapsed="false">
      <c r="A297" s="0" t="s">
        <v>6</v>
      </c>
      <c r="B297" s="0" t="s">
        <v>570</v>
      </c>
      <c r="C297" s="0" t="s">
        <v>3331</v>
      </c>
    </row>
    <row r="298" customFormat="false" ht="15" hidden="false" customHeight="false" outlineLevel="0" collapsed="false">
      <c r="A298" s="0" t="s">
        <v>6</v>
      </c>
      <c r="B298" s="0" t="s">
        <v>570</v>
      </c>
      <c r="C298" s="0" t="s">
        <v>3332</v>
      </c>
    </row>
    <row r="299" customFormat="false" ht="15" hidden="false" customHeight="false" outlineLevel="0" collapsed="false">
      <c r="A299" s="0" t="s">
        <v>6</v>
      </c>
      <c r="B299" s="0" t="s">
        <v>581</v>
      </c>
      <c r="C299" s="0" t="s">
        <v>3330</v>
      </c>
      <c r="D299" s="0" t="n">
        <v>100</v>
      </c>
    </row>
    <row r="300" customFormat="false" ht="15" hidden="false" customHeight="false" outlineLevel="0" collapsed="false">
      <c r="A300" s="0" t="s">
        <v>6</v>
      </c>
      <c r="B300" s="0" t="s">
        <v>581</v>
      </c>
      <c r="C300" s="0" t="s">
        <v>3331</v>
      </c>
    </row>
    <row r="301" customFormat="false" ht="15" hidden="false" customHeight="false" outlineLevel="0" collapsed="false">
      <c r="A301" s="0" t="s">
        <v>6</v>
      </c>
      <c r="B301" s="0" t="s">
        <v>581</v>
      </c>
      <c r="C301" s="0" t="s">
        <v>3332</v>
      </c>
    </row>
    <row r="302" customFormat="false" ht="15" hidden="false" customHeight="false" outlineLevel="0" collapsed="false">
      <c r="A302" s="0" t="s">
        <v>6</v>
      </c>
      <c r="B302" s="0" t="s">
        <v>584</v>
      </c>
      <c r="C302" s="0" t="s">
        <v>3330</v>
      </c>
      <c r="D302" s="0" t="n">
        <v>10</v>
      </c>
    </row>
    <row r="303" customFormat="false" ht="15" hidden="false" customHeight="false" outlineLevel="0" collapsed="false">
      <c r="A303" s="0" t="s">
        <v>6</v>
      </c>
      <c r="B303" s="0" t="s">
        <v>584</v>
      </c>
      <c r="C303" s="0" t="s">
        <v>3331</v>
      </c>
    </row>
    <row r="304" customFormat="false" ht="15" hidden="false" customHeight="false" outlineLevel="0" collapsed="false">
      <c r="A304" s="0" t="s">
        <v>6</v>
      </c>
      <c r="B304" s="0" t="s">
        <v>584</v>
      </c>
      <c r="C304" s="0" t="s">
        <v>3332</v>
      </c>
    </row>
    <row r="305" customFormat="false" ht="15" hidden="false" customHeight="false" outlineLevel="0" collapsed="false">
      <c r="A305" s="0" t="s">
        <v>6</v>
      </c>
      <c r="B305" s="0" t="s">
        <v>591</v>
      </c>
      <c r="C305" s="0" t="s">
        <v>3330</v>
      </c>
      <c r="D305" s="0" t="n">
        <v>6</v>
      </c>
    </row>
    <row r="306" customFormat="false" ht="15" hidden="false" customHeight="false" outlineLevel="0" collapsed="false">
      <c r="A306" s="0" t="s">
        <v>6</v>
      </c>
      <c r="B306" s="0" t="s">
        <v>591</v>
      </c>
      <c r="C306" s="0" t="s">
        <v>3331</v>
      </c>
    </row>
    <row r="307" customFormat="false" ht="15" hidden="false" customHeight="false" outlineLevel="0" collapsed="false">
      <c r="A307" s="0" t="s">
        <v>6</v>
      </c>
      <c r="B307" s="0" t="s">
        <v>591</v>
      </c>
      <c r="C307" s="0" t="s">
        <v>3332</v>
      </c>
    </row>
    <row r="308" customFormat="false" ht="15" hidden="false" customHeight="false" outlineLevel="0" collapsed="false">
      <c r="A308" s="0" t="s">
        <v>6</v>
      </c>
      <c r="B308" s="0" t="s">
        <v>598</v>
      </c>
      <c r="C308" s="0" t="s">
        <v>3330</v>
      </c>
      <c r="D308" s="0" t="n">
        <v>15</v>
      </c>
    </row>
    <row r="309" customFormat="false" ht="15" hidden="false" customHeight="false" outlineLevel="0" collapsed="false">
      <c r="A309" s="0" t="s">
        <v>6</v>
      </c>
      <c r="B309" s="0" t="s">
        <v>598</v>
      </c>
      <c r="C309" s="0" t="s">
        <v>3331</v>
      </c>
    </row>
    <row r="310" customFormat="false" ht="15" hidden="false" customHeight="false" outlineLevel="0" collapsed="false">
      <c r="A310" s="0" t="s">
        <v>6</v>
      </c>
      <c r="B310" s="0" t="s">
        <v>598</v>
      </c>
      <c r="C310" s="0" t="s">
        <v>3332</v>
      </c>
    </row>
    <row r="311" customFormat="false" ht="15" hidden="false" customHeight="false" outlineLevel="0" collapsed="false">
      <c r="A311" s="0" t="s">
        <v>6</v>
      </c>
      <c r="B311" s="0" t="s">
        <v>604</v>
      </c>
      <c r="C311" s="0" t="s">
        <v>3330</v>
      </c>
      <c r="D311" s="0" t="n">
        <v>30</v>
      </c>
    </row>
    <row r="312" customFormat="false" ht="15" hidden="false" customHeight="false" outlineLevel="0" collapsed="false">
      <c r="A312" s="0" t="s">
        <v>6</v>
      </c>
      <c r="B312" s="0" t="s">
        <v>604</v>
      </c>
      <c r="C312" s="0" t="s">
        <v>3331</v>
      </c>
    </row>
    <row r="313" customFormat="false" ht="15" hidden="false" customHeight="false" outlineLevel="0" collapsed="false">
      <c r="A313" s="0" t="s">
        <v>6</v>
      </c>
      <c r="B313" s="0" t="s">
        <v>604</v>
      </c>
      <c r="C313" s="0" t="s">
        <v>3332</v>
      </c>
    </row>
    <row r="314" customFormat="false" ht="15" hidden="false" customHeight="false" outlineLevel="0" collapsed="false">
      <c r="A314" s="0" t="s">
        <v>6</v>
      </c>
      <c r="B314" s="0" t="s">
        <v>606</v>
      </c>
      <c r="C314" s="0" t="s">
        <v>3330</v>
      </c>
      <c r="D314" s="0" t="n">
        <v>30</v>
      </c>
    </row>
    <row r="315" customFormat="false" ht="15" hidden="false" customHeight="false" outlineLevel="0" collapsed="false">
      <c r="A315" s="0" t="s">
        <v>6</v>
      </c>
      <c r="B315" s="0" t="s">
        <v>606</v>
      </c>
      <c r="C315" s="0" t="s">
        <v>3331</v>
      </c>
    </row>
    <row r="316" customFormat="false" ht="15" hidden="false" customHeight="false" outlineLevel="0" collapsed="false">
      <c r="A316" s="0" t="s">
        <v>6</v>
      </c>
      <c r="B316" s="0" t="s">
        <v>606</v>
      </c>
      <c r="C316" s="0" t="s">
        <v>3332</v>
      </c>
    </row>
    <row r="317" customFormat="false" ht="15" hidden="false" customHeight="false" outlineLevel="0" collapsed="false">
      <c r="A317" s="0" t="s">
        <v>6</v>
      </c>
      <c r="B317" s="0" t="s">
        <v>609</v>
      </c>
      <c r="C317" s="0" t="s">
        <v>3330</v>
      </c>
      <c r="D317" s="0" t="n">
        <v>12</v>
      </c>
    </row>
    <row r="318" customFormat="false" ht="15" hidden="false" customHeight="false" outlineLevel="0" collapsed="false">
      <c r="A318" s="0" t="s">
        <v>6</v>
      </c>
      <c r="B318" s="0" t="s">
        <v>609</v>
      </c>
      <c r="C318" s="0" t="s">
        <v>3331</v>
      </c>
    </row>
    <row r="319" customFormat="false" ht="15" hidden="false" customHeight="false" outlineLevel="0" collapsed="false">
      <c r="A319" s="0" t="s">
        <v>6</v>
      </c>
      <c r="B319" s="0" t="s">
        <v>609</v>
      </c>
      <c r="C319" s="0" t="s">
        <v>3332</v>
      </c>
    </row>
    <row r="320" customFormat="false" ht="15" hidden="false" customHeight="false" outlineLevel="0" collapsed="false">
      <c r="A320" s="0" t="s">
        <v>6</v>
      </c>
      <c r="B320" s="0" t="s">
        <v>612</v>
      </c>
      <c r="C320" s="0" t="s">
        <v>3330</v>
      </c>
      <c r="D320" s="0" t="n">
        <v>5</v>
      </c>
    </row>
    <row r="321" customFormat="false" ht="15" hidden="false" customHeight="false" outlineLevel="0" collapsed="false">
      <c r="A321" s="0" t="s">
        <v>6</v>
      </c>
      <c r="B321" s="0" t="s">
        <v>612</v>
      </c>
      <c r="C321" s="0" t="s">
        <v>3331</v>
      </c>
    </row>
    <row r="322" customFormat="false" ht="15" hidden="false" customHeight="false" outlineLevel="0" collapsed="false">
      <c r="A322" s="0" t="s">
        <v>6</v>
      </c>
      <c r="B322" s="0" t="s">
        <v>612</v>
      </c>
      <c r="C322" s="0" t="s">
        <v>3332</v>
      </c>
    </row>
    <row r="323" customFormat="false" ht="15" hidden="false" customHeight="false" outlineLevel="0" collapsed="false">
      <c r="A323" s="0" t="s">
        <v>6</v>
      </c>
      <c r="B323" s="0" t="s">
        <v>618</v>
      </c>
      <c r="C323" s="0" t="s">
        <v>3330</v>
      </c>
      <c r="D323" s="0" t="n">
        <v>30</v>
      </c>
    </row>
    <row r="324" customFormat="false" ht="15" hidden="false" customHeight="false" outlineLevel="0" collapsed="false">
      <c r="A324" s="0" t="s">
        <v>6</v>
      </c>
      <c r="B324" s="0" t="s">
        <v>618</v>
      </c>
      <c r="C324" s="0" t="s">
        <v>3331</v>
      </c>
    </row>
    <row r="325" customFormat="false" ht="15" hidden="false" customHeight="false" outlineLevel="0" collapsed="false">
      <c r="A325" s="0" t="s">
        <v>6</v>
      </c>
      <c r="B325" s="0" t="s">
        <v>618</v>
      </c>
      <c r="C325" s="0" t="s">
        <v>3332</v>
      </c>
    </row>
    <row r="326" customFormat="false" ht="15" hidden="false" customHeight="false" outlineLevel="0" collapsed="false">
      <c r="A326" s="0" t="s">
        <v>6</v>
      </c>
      <c r="B326" s="0" t="s">
        <v>621</v>
      </c>
      <c r="C326" s="0" t="s">
        <v>3330</v>
      </c>
      <c r="D326" s="0" t="n">
        <v>2.5</v>
      </c>
    </row>
    <row r="327" customFormat="false" ht="15" hidden="false" customHeight="false" outlineLevel="0" collapsed="false">
      <c r="A327" s="0" t="s">
        <v>6</v>
      </c>
      <c r="B327" s="0" t="s">
        <v>621</v>
      </c>
      <c r="C327" s="0" t="s">
        <v>3331</v>
      </c>
    </row>
    <row r="328" customFormat="false" ht="15" hidden="false" customHeight="false" outlineLevel="0" collapsed="false">
      <c r="A328" s="0" t="s">
        <v>6</v>
      </c>
      <c r="B328" s="0" t="s">
        <v>621</v>
      </c>
      <c r="C328" s="0" t="s">
        <v>3332</v>
      </c>
    </row>
    <row r="329" customFormat="false" ht="15" hidden="false" customHeight="false" outlineLevel="0" collapsed="false">
      <c r="A329" s="0" t="s">
        <v>6</v>
      </c>
      <c r="B329" s="0" t="s">
        <v>624</v>
      </c>
      <c r="C329" s="0" t="s">
        <v>3330</v>
      </c>
      <c r="D329" s="0" t="n">
        <v>15</v>
      </c>
    </row>
    <row r="330" customFormat="false" ht="15" hidden="false" customHeight="false" outlineLevel="0" collapsed="false">
      <c r="A330" s="0" t="s">
        <v>6</v>
      </c>
      <c r="B330" s="0" t="s">
        <v>624</v>
      </c>
      <c r="C330" s="0" t="s">
        <v>3331</v>
      </c>
    </row>
    <row r="331" customFormat="false" ht="15" hidden="false" customHeight="false" outlineLevel="0" collapsed="false">
      <c r="A331" s="0" t="s">
        <v>6</v>
      </c>
      <c r="B331" s="0" t="s">
        <v>624</v>
      </c>
      <c r="C331" s="0" t="s">
        <v>3332</v>
      </c>
    </row>
    <row r="332" customFormat="false" ht="15" hidden="false" customHeight="false" outlineLevel="0" collapsed="false">
      <c r="A332" s="0" t="s">
        <v>6</v>
      </c>
      <c r="B332" s="0" t="s">
        <v>627</v>
      </c>
      <c r="C332" s="0" t="s">
        <v>3330</v>
      </c>
      <c r="D332" s="0" t="n">
        <v>1</v>
      </c>
    </row>
    <row r="333" customFormat="false" ht="15" hidden="false" customHeight="false" outlineLevel="0" collapsed="false">
      <c r="A333" s="0" t="s">
        <v>6</v>
      </c>
      <c r="B333" s="0" t="s">
        <v>627</v>
      </c>
      <c r="C333" s="0" t="s">
        <v>3331</v>
      </c>
    </row>
    <row r="334" customFormat="false" ht="15" hidden="false" customHeight="false" outlineLevel="0" collapsed="false">
      <c r="A334" s="0" t="s">
        <v>6</v>
      </c>
      <c r="B334" s="0" t="s">
        <v>627</v>
      </c>
      <c r="C334" s="0" t="s">
        <v>3332</v>
      </c>
    </row>
    <row r="335" customFormat="false" ht="15" hidden="false" customHeight="false" outlineLevel="0" collapsed="false">
      <c r="A335" s="0" t="s">
        <v>6</v>
      </c>
      <c r="B335" s="0" t="s">
        <v>630</v>
      </c>
      <c r="C335" s="0" t="s">
        <v>3330</v>
      </c>
      <c r="D335" s="0" t="n">
        <v>6</v>
      </c>
    </row>
    <row r="336" customFormat="false" ht="15" hidden="false" customHeight="false" outlineLevel="0" collapsed="false">
      <c r="A336" s="0" t="s">
        <v>6</v>
      </c>
      <c r="B336" s="0" t="s">
        <v>630</v>
      </c>
      <c r="C336" s="0" t="s">
        <v>3331</v>
      </c>
    </row>
    <row r="337" customFormat="false" ht="15" hidden="false" customHeight="false" outlineLevel="0" collapsed="false">
      <c r="A337" s="0" t="s">
        <v>6</v>
      </c>
      <c r="B337" s="0" t="s">
        <v>630</v>
      </c>
      <c r="C337" s="0" t="s">
        <v>3332</v>
      </c>
    </row>
    <row r="338" customFormat="false" ht="15" hidden="false" customHeight="false" outlineLevel="0" collapsed="false">
      <c r="A338" s="0" t="s">
        <v>6</v>
      </c>
      <c r="B338" s="0" t="s">
        <v>633</v>
      </c>
      <c r="C338" s="0" t="s">
        <v>3330</v>
      </c>
      <c r="D338" s="0" t="n">
        <v>2</v>
      </c>
    </row>
    <row r="339" customFormat="false" ht="15" hidden="false" customHeight="false" outlineLevel="0" collapsed="false">
      <c r="A339" s="0" t="s">
        <v>6</v>
      </c>
      <c r="B339" s="0" t="s">
        <v>633</v>
      </c>
      <c r="C339" s="0" t="s">
        <v>3331</v>
      </c>
    </row>
    <row r="340" customFormat="false" ht="15" hidden="false" customHeight="false" outlineLevel="0" collapsed="false">
      <c r="A340" s="0" t="s">
        <v>6</v>
      </c>
      <c r="B340" s="0" t="s">
        <v>633</v>
      </c>
      <c r="C340" s="0" t="s">
        <v>3332</v>
      </c>
    </row>
    <row r="341" customFormat="false" ht="15" hidden="false" customHeight="false" outlineLevel="0" collapsed="false">
      <c r="A341" s="0" t="s">
        <v>6</v>
      </c>
      <c r="B341" s="0" t="s">
        <v>636</v>
      </c>
      <c r="C341" s="0" t="s">
        <v>3330</v>
      </c>
      <c r="D341" s="0" t="n">
        <v>12</v>
      </c>
    </row>
    <row r="342" customFormat="false" ht="15" hidden="false" customHeight="false" outlineLevel="0" collapsed="false">
      <c r="A342" s="0" t="s">
        <v>6</v>
      </c>
      <c r="B342" s="0" t="s">
        <v>636</v>
      </c>
      <c r="C342" s="0" t="s">
        <v>3331</v>
      </c>
    </row>
    <row r="343" customFormat="false" ht="15" hidden="false" customHeight="false" outlineLevel="0" collapsed="false">
      <c r="A343" s="0" t="s">
        <v>6</v>
      </c>
      <c r="B343" s="0" t="s">
        <v>636</v>
      </c>
      <c r="C343" s="0" t="s">
        <v>3332</v>
      </c>
    </row>
    <row r="344" customFormat="false" ht="15" hidden="false" customHeight="false" outlineLevel="0" collapsed="false">
      <c r="A344" s="0" t="s">
        <v>6</v>
      </c>
      <c r="B344" s="0" t="s">
        <v>639</v>
      </c>
      <c r="C344" s="0" t="s">
        <v>3330</v>
      </c>
      <c r="D344" s="0" t="n">
        <v>0.2</v>
      </c>
    </row>
    <row r="345" customFormat="false" ht="15" hidden="false" customHeight="false" outlineLevel="0" collapsed="false">
      <c r="A345" s="0" t="s">
        <v>6</v>
      </c>
      <c r="B345" s="0" t="s">
        <v>639</v>
      </c>
      <c r="C345" s="0" t="s">
        <v>3331</v>
      </c>
    </row>
    <row r="346" customFormat="false" ht="15" hidden="false" customHeight="false" outlineLevel="0" collapsed="false">
      <c r="A346" s="0" t="s">
        <v>6</v>
      </c>
      <c r="B346" s="0" t="s">
        <v>639</v>
      </c>
      <c r="C346" s="0" t="s">
        <v>3332</v>
      </c>
    </row>
    <row r="347" customFormat="false" ht="15" hidden="false" customHeight="false" outlineLevel="0" collapsed="false">
      <c r="A347" s="0" t="s">
        <v>6</v>
      </c>
      <c r="B347" s="0" t="s">
        <v>642</v>
      </c>
      <c r="C347" s="0" t="s">
        <v>3330</v>
      </c>
      <c r="D347" s="0" t="n">
        <v>1.2</v>
      </c>
    </row>
    <row r="348" customFormat="false" ht="15" hidden="false" customHeight="false" outlineLevel="0" collapsed="false">
      <c r="A348" s="0" t="s">
        <v>6</v>
      </c>
      <c r="B348" s="0" t="s">
        <v>642</v>
      </c>
      <c r="C348" s="0" t="s">
        <v>3331</v>
      </c>
    </row>
    <row r="349" customFormat="false" ht="15" hidden="false" customHeight="false" outlineLevel="0" collapsed="false">
      <c r="A349" s="0" t="s">
        <v>6</v>
      </c>
      <c r="B349" s="0" t="s">
        <v>642</v>
      </c>
      <c r="C349" s="0" t="s">
        <v>3332</v>
      </c>
    </row>
    <row r="350" customFormat="false" ht="15" hidden="false" customHeight="false" outlineLevel="0" collapsed="false">
      <c r="A350" s="0" t="s">
        <v>6</v>
      </c>
      <c r="B350" s="0" t="s">
        <v>645</v>
      </c>
      <c r="C350" s="0" t="s">
        <v>3330</v>
      </c>
      <c r="D350" s="0" t="n">
        <v>4</v>
      </c>
    </row>
    <row r="351" customFormat="false" ht="15" hidden="false" customHeight="false" outlineLevel="0" collapsed="false">
      <c r="A351" s="0" t="s">
        <v>6</v>
      </c>
      <c r="B351" s="0" t="s">
        <v>645</v>
      </c>
      <c r="C351" s="0" t="s">
        <v>3331</v>
      </c>
    </row>
    <row r="352" customFormat="false" ht="15" hidden="false" customHeight="false" outlineLevel="0" collapsed="false">
      <c r="A352" s="0" t="s">
        <v>6</v>
      </c>
      <c r="B352" s="0" t="s">
        <v>645</v>
      </c>
      <c r="C352" s="0" t="s">
        <v>3332</v>
      </c>
    </row>
    <row r="353" customFormat="false" ht="15" hidden="false" customHeight="false" outlineLevel="0" collapsed="false">
      <c r="A353" s="0" t="s">
        <v>6</v>
      </c>
      <c r="B353" s="0" t="s">
        <v>648</v>
      </c>
      <c r="C353" s="0" t="s">
        <v>3330</v>
      </c>
      <c r="D353" s="0" t="n">
        <v>20</v>
      </c>
    </row>
    <row r="354" customFormat="false" ht="15" hidden="false" customHeight="false" outlineLevel="0" collapsed="false">
      <c r="A354" s="0" t="s">
        <v>6</v>
      </c>
      <c r="B354" s="0" t="s">
        <v>648</v>
      </c>
      <c r="C354" s="0" t="s">
        <v>3331</v>
      </c>
    </row>
    <row r="355" customFormat="false" ht="15" hidden="false" customHeight="false" outlineLevel="0" collapsed="false">
      <c r="A355" s="0" t="s">
        <v>6</v>
      </c>
      <c r="B355" s="0" t="s">
        <v>648</v>
      </c>
      <c r="C355" s="0" t="s">
        <v>3332</v>
      </c>
    </row>
    <row r="356" customFormat="false" ht="15" hidden="false" customHeight="false" outlineLevel="0" collapsed="false">
      <c r="A356" s="0" t="s">
        <v>6</v>
      </c>
      <c r="B356" s="0" t="s">
        <v>651</v>
      </c>
      <c r="C356" s="0" t="s">
        <v>3330</v>
      </c>
      <c r="D356" s="0" t="n">
        <v>46233</v>
      </c>
    </row>
    <row r="357" customFormat="false" ht="15" hidden="false" customHeight="false" outlineLevel="0" collapsed="false">
      <c r="A357" s="0" t="s">
        <v>6</v>
      </c>
      <c r="B357" s="0" t="s">
        <v>651</v>
      </c>
      <c r="C357" s="0" t="s">
        <v>3331</v>
      </c>
    </row>
    <row r="358" customFormat="false" ht="15" hidden="false" customHeight="false" outlineLevel="0" collapsed="false">
      <c r="A358" s="0" t="s">
        <v>6</v>
      </c>
      <c r="B358" s="0" t="s">
        <v>651</v>
      </c>
      <c r="C358" s="0" t="s">
        <v>3332</v>
      </c>
    </row>
    <row r="359" customFormat="false" ht="15" hidden="false" customHeight="false" outlineLevel="0" collapsed="false">
      <c r="A359" s="0" t="s">
        <v>6</v>
      </c>
      <c r="B359" s="0" t="s">
        <v>657</v>
      </c>
      <c r="C359" s="0" t="s">
        <v>3330</v>
      </c>
      <c r="D359" s="0" t="n">
        <v>46256</v>
      </c>
    </row>
    <row r="360" customFormat="false" ht="15" hidden="false" customHeight="false" outlineLevel="0" collapsed="false">
      <c r="A360" s="0" t="s">
        <v>6</v>
      </c>
      <c r="B360" s="0" t="s">
        <v>657</v>
      </c>
      <c r="C360" s="0" t="s">
        <v>3331</v>
      </c>
    </row>
    <row r="361" customFormat="false" ht="15" hidden="false" customHeight="false" outlineLevel="0" collapsed="false">
      <c r="A361" s="0" t="s">
        <v>6</v>
      </c>
      <c r="B361" s="0" t="s">
        <v>657</v>
      </c>
      <c r="C361" s="0" t="s">
        <v>3332</v>
      </c>
    </row>
    <row r="362" customFormat="false" ht="15" hidden="false" customHeight="false" outlineLevel="0" collapsed="false">
      <c r="A362" s="0" t="s">
        <v>6</v>
      </c>
      <c r="B362" s="0" t="s">
        <v>660</v>
      </c>
      <c r="C362" s="0" t="s">
        <v>3330</v>
      </c>
      <c r="D362" s="0" t="n">
        <v>46268</v>
      </c>
    </row>
    <row r="363" customFormat="false" ht="15" hidden="false" customHeight="false" outlineLevel="0" collapsed="false">
      <c r="A363" s="0" t="s">
        <v>6</v>
      </c>
      <c r="B363" s="0" t="s">
        <v>660</v>
      </c>
      <c r="C363" s="0" t="s">
        <v>3331</v>
      </c>
    </row>
    <row r="364" customFormat="false" ht="15" hidden="false" customHeight="false" outlineLevel="0" collapsed="false">
      <c r="A364" s="0" t="s">
        <v>6</v>
      </c>
      <c r="B364" s="0" t="s">
        <v>660</v>
      </c>
      <c r="C364" s="0" t="s">
        <v>3332</v>
      </c>
    </row>
    <row r="365" customFormat="false" ht="15" hidden="false" customHeight="false" outlineLevel="0" collapsed="false">
      <c r="A365" s="0" t="s">
        <v>6</v>
      </c>
      <c r="B365" s="0" t="s">
        <v>663</v>
      </c>
      <c r="C365" s="0" t="s">
        <v>3330</v>
      </c>
      <c r="D365" s="0" t="n">
        <v>46287</v>
      </c>
    </row>
    <row r="366" customFormat="false" ht="15" hidden="false" customHeight="false" outlineLevel="0" collapsed="false">
      <c r="A366" s="0" t="s">
        <v>6</v>
      </c>
      <c r="B366" s="0" t="s">
        <v>663</v>
      </c>
      <c r="C366" s="0" t="s">
        <v>3331</v>
      </c>
    </row>
    <row r="367" customFormat="false" ht="15" hidden="false" customHeight="false" outlineLevel="0" collapsed="false">
      <c r="A367" s="0" t="s">
        <v>6</v>
      </c>
      <c r="B367" s="0" t="s">
        <v>663</v>
      </c>
      <c r="C367" s="0" t="s">
        <v>3332</v>
      </c>
    </row>
    <row r="368" customFormat="false" ht="15" hidden="false" customHeight="false" outlineLevel="0" collapsed="false">
      <c r="A368" s="0" t="s">
        <v>10</v>
      </c>
      <c r="B368" s="0" t="s">
        <v>885</v>
      </c>
      <c r="C368" s="0" t="s">
        <v>3332</v>
      </c>
      <c r="D368" s="0" t="n">
        <v>2025</v>
      </c>
    </row>
    <row r="369" customFormat="false" ht="15" hidden="false" customHeight="false" outlineLevel="0" collapsed="false">
      <c r="A369" s="0" t="s">
        <v>10</v>
      </c>
      <c r="B369" s="0" t="s">
        <v>885</v>
      </c>
      <c r="C369" s="0" t="s">
        <v>3338</v>
      </c>
    </row>
    <row r="370" customFormat="false" ht="15" hidden="false" customHeight="false" outlineLevel="0" collapsed="false">
      <c r="A370" s="0" t="s">
        <v>10</v>
      </c>
      <c r="B370" s="0" t="s">
        <v>885</v>
      </c>
      <c r="C370" s="0" t="s">
        <v>3339</v>
      </c>
    </row>
    <row r="371" customFormat="false" ht="15" hidden="false" customHeight="false" outlineLevel="0" collapsed="false">
      <c r="A371" s="0" t="s">
        <v>10</v>
      </c>
      <c r="B371" s="0" t="s">
        <v>890</v>
      </c>
      <c r="C371" s="0" t="s">
        <v>3332</v>
      </c>
      <c r="D371" s="0" t="n">
        <v>2025</v>
      </c>
    </row>
    <row r="372" customFormat="false" ht="15" hidden="false" customHeight="false" outlineLevel="0" collapsed="false">
      <c r="A372" s="0" t="s">
        <v>10</v>
      </c>
      <c r="B372" s="0" t="s">
        <v>890</v>
      </c>
      <c r="C372" s="0" t="s">
        <v>3338</v>
      </c>
    </row>
    <row r="373" customFormat="false" ht="15" hidden="false" customHeight="false" outlineLevel="0" collapsed="false">
      <c r="A373" s="0" t="s">
        <v>10</v>
      </c>
      <c r="B373" s="0" t="s">
        <v>890</v>
      </c>
      <c r="C373" s="0" t="s">
        <v>3339</v>
      </c>
    </row>
    <row r="374" customFormat="false" ht="15" hidden="false" customHeight="false" outlineLevel="0" collapsed="false">
      <c r="A374" s="0" t="s">
        <v>10</v>
      </c>
      <c r="B374" s="0" t="s">
        <v>894</v>
      </c>
      <c r="C374" s="0" t="s">
        <v>3332</v>
      </c>
      <c r="D374" s="0" t="n">
        <v>2026</v>
      </c>
    </row>
    <row r="375" customFormat="false" ht="15" hidden="false" customHeight="false" outlineLevel="0" collapsed="false">
      <c r="A375" s="0" t="s">
        <v>10</v>
      </c>
      <c r="B375" s="0" t="s">
        <v>894</v>
      </c>
      <c r="C375" s="0" t="s">
        <v>3338</v>
      </c>
    </row>
    <row r="376" customFormat="false" ht="15" hidden="false" customHeight="false" outlineLevel="0" collapsed="false">
      <c r="A376" s="0" t="s">
        <v>10</v>
      </c>
      <c r="B376" s="0" t="s">
        <v>894</v>
      </c>
      <c r="C376" s="0" t="s">
        <v>3339</v>
      </c>
    </row>
    <row r="377" customFormat="false" ht="15" hidden="false" customHeight="false" outlineLevel="0" collapsed="false">
      <c r="A377" s="0" t="s">
        <v>10</v>
      </c>
      <c r="B377" s="0" t="s">
        <v>897</v>
      </c>
      <c r="C377" s="0" t="s">
        <v>3332</v>
      </c>
      <c r="D377" s="0" t="n">
        <v>2027</v>
      </c>
    </row>
    <row r="378" customFormat="false" ht="15" hidden="false" customHeight="false" outlineLevel="0" collapsed="false">
      <c r="A378" s="0" t="s">
        <v>10</v>
      </c>
      <c r="B378" s="0" t="s">
        <v>897</v>
      </c>
      <c r="C378" s="0" t="s">
        <v>3338</v>
      </c>
    </row>
    <row r="379" customFormat="false" ht="15" hidden="false" customHeight="false" outlineLevel="0" collapsed="false">
      <c r="A379" s="0" t="s">
        <v>10</v>
      </c>
      <c r="B379" s="0" t="s">
        <v>897</v>
      </c>
      <c r="C379" s="0" t="s">
        <v>3339</v>
      </c>
    </row>
    <row r="380" customFormat="false" ht="15" hidden="false" customHeight="false" outlineLevel="0" collapsed="false">
      <c r="A380" s="0" t="s">
        <v>10</v>
      </c>
      <c r="B380" s="0" t="s">
        <v>900</v>
      </c>
      <c r="C380" s="0" t="s">
        <v>3332</v>
      </c>
      <c r="D380" s="0" t="n">
        <v>2025</v>
      </c>
    </row>
    <row r="381" customFormat="false" ht="15" hidden="false" customHeight="false" outlineLevel="0" collapsed="false">
      <c r="A381" s="0" t="s">
        <v>10</v>
      </c>
      <c r="B381" s="0" t="s">
        <v>900</v>
      </c>
      <c r="C381" s="0" t="s">
        <v>3338</v>
      </c>
    </row>
    <row r="382" customFormat="false" ht="15" hidden="false" customHeight="false" outlineLevel="0" collapsed="false">
      <c r="A382" s="0" t="s">
        <v>10</v>
      </c>
      <c r="B382" s="0" t="s">
        <v>900</v>
      </c>
      <c r="C382" s="0" t="s">
        <v>3339</v>
      </c>
    </row>
    <row r="383" customFormat="false" ht="15" hidden="false" customHeight="false" outlineLevel="0" collapsed="false">
      <c r="A383" s="0" t="s">
        <v>10</v>
      </c>
      <c r="B383" s="0" t="s">
        <v>906</v>
      </c>
      <c r="C383" s="0" t="s">
        <v>3332</v>
      </c>
      <c r="D383" s="0" t="n">
        <v>2026</v>
      </c>
    </row>
    <row r="384" customFormat="false" ht="15" hidden="false" customHeight="false" outlineLevel="0" collapsed="false">
      <c r="A384" s="0" t="s">
        <v>10</v>
      </c>
      <c r="B384" s="0" t="s">
        <v>906</v>
      </c>
      <c r="C384" s="0" t="s">
        <v>3338</v>
      </c>
    </row>
    <row r="385" customFormat="false" ht="15" hidden="false" customHeight="false" outlineLevel="0" collapsed="false">
      <c r="A385" s="0" t="s">
        <v>10</v>
      </c>
      <c r="B385" s="0" t="s">
        <v>906</v>
      </c>
      <c r="C385" s="0" t="s">
        <v>3339</v>
      </c>
    </row>
    <row r="386" customFormat="false" ht="15" hidden="false" customHeight="false" outlineLevel="0" collapsed="false">
      <c r="A386" s="0" t="s">
        <v>10</v>
      </c>
      <c r="B386" s="0" t="s">
        <v>909</v>
      </c>
      <c r="C386" s="0" t="s">
        <v>3332</v>
      </c>
      <c r="D386" s="0" t="n">
        <v>2027</v>
      </c>
    </row>
    <row r="387" customFormat="false" ht="15" hidden="false" customHeight="false" outlineLevel="0" collapsed="false">
      <c r="A387" s="0" t="s">
        <v>10</v>
      </c>
      <c r="B387" s="0" t="s">
        <v>909</v>
      </c>
      <c r="C387" s="0" t="s">
        <v>3338</v>
      </c>
    </row>
    <row r="388" customFormat="false" ht="15" hidden="false" customHeight="false" outlineLevel="0" collapsed="false">
      <c r="A388" s="0" t="s">
        <v>10</v>
      </c>
      <c r="B388" s="0" t="s">
        <v>909</v>
      </c>
      <c r="C388" s="0" t="s">
        <v>3339</v>
      </c>
    </row>
    <row r="389" customFormat="false" ht="15" hidden="false" customHeight="false" outlineLevel="0" collapsed="false">
      <c r="A389" s="0" t="s">
        <v>10</v>
      </c>
      <c r="B389" s="0" t="s">
        <v>912</v>
      </c>
      <c r="C389" s="0" t="s">
        <v>3332</v>
      </c>
      <c r="D389" s="0" t="n">
        <v>2028</v>
      </c>
    </row>
    <row r="390" customFormat="false" ht="15" hidden="false" customHeight="false" outlineLevel="0" collapsed="false">
      <c r="A390" s="0" t="s">
        <v>10</v>
      </c>
      <c r="B390" s="0" t="s">
        <v>912</v>
      </c>
      <c r="C390" s="0" t="s">
        <v>3338</v>
      </c>
    </row>
    <row r="391" customFormat="false" ht="15" hidden="false" customHeight="false" outlineLevel="0" collapsed="false">
      <c r="A391" s="0" t="s">
        <v>10</v>
      </c>
      <c r="B391" s="0" t="s">
        <v>912</v>
      </c>
      <c r="C391" s="0" t="s">
        <v>3339</v>
      </c>
    </row>
    <row r="392" customFormat="false" ht="15" hidden="false" customHeight="false" outlineLevel="0" collapsed="false">
      <c r="A392" s="0" t="s">
        <v>10</v>
      </c>
      <c r="B392" s="0" t="s">
        <v>915</v>
      </c>
      <c r="C392" s="0" t="s">
        <v>3332</v>
      </c>
      <c r="D392" s="0" t="n">
        <v>2029</v>
      </c>
    </row>
    <row r="393" customFormat="false" ht="15" hidden="false" customHeight="false" outlineLevel="0" collapsed="false">
      <c r="A393" s="0" t="s">
        <v>10</v>
      </c>
      <c r="B393" s="0" t="s">
        <v>915</v>
      </c>
      <c r="C393" s="0" t="s">
        <v>3338</v>
      </c>
    </row>
    <row r="394" customFormat="false" ht="15" hidden="false" customHeight="false" outlineLevel="0" collapsed="false">
      <c r="A394" s="0" t="s">
        <v>10</v>
      </c>
      <c r="B394" s="0" t="s">
        <v>915</v>
      </c>
      <c r="C394" s="0" t="s">
        <v>3339</v>
      </c>
    </row>
    <row r="395" customFormat="false" ht="15" hidden="false" customHeight="false" outlineLevel="0" collapsed="false">
      <c r="A395" s="0" t="s">
        <v>10</v>
      </c>
      <c r="B395" s="0" t="s">
        <v>918</v>
      </c>
      <c r="C395" s="0" t="s">
        <v>3332</v>
      </c>
      <c r="D395" s="0" t="n">
        <v>2030</v>
      </c>
    </row>
    <row r="396" customFormat="false" ht="15" hidden="false" customHeight="false" outlineLevel="0" collapsed="false">
      <c r="A396" s="0" t="s">
        <v>10</v>
      </c>
      <c r="B396" s="0" t="s">
        <v>918</v>
      </c>
      <c r="C396" s="0" t="s">
        <v>3338</v>
      </c>
    </row>
    <row r="397" customFormat="false" ht="15" hidden="false" customHeight="false" outlineLevel="0" collapsed="false">
      <c r="A397" s="0" t="s">
        <v>10</v>
      </c>
      <c r="B397" s="0" t="s">
        <v>918</v>
      </c>
      <c r="C397" s="0" t="s">
        <v>3339</v>
      </c>
    </row>
    <row r="398" customFormat="false" ht="15" hidden="false" customHeight="false" outlineLevel="0" collapsed="false">
      <c r="A398" s="0" t="s">
        <v>10</v>
      </c>
      <c r="B398" s="0" t="s">
        <v>921</v>
      </c>
      <c r="C398" s="0" t="s">
        <v>3332</v>
      </c>
      <c r="D398" s="0" t="n">
        <v>2026</v>
      </c>
    </row>
    <row r="399" customFormat="false" ht="15" hidden="false" customHeight="false" outlineLevel="0" collapsed="false">
      <c r="A399" s="0" t="s">
        <v>10</v>
      </c>
      <c r="B399" s="0" t="s">
        <v>921</v>
      </c>
      <c r="C399" s="0" t="s">
        <v>3338</v>
      </c>
    </row>
    <row r="400" customFormat="false" ht="15" hidden="false" customHeight="false" outlineLevel="0" collapsed="false">
      <c r="A400" s="0" t="s">
        <v>10</v>
      </c>
      <c r="B400" s="0" t="s">
        <v>921</v>
      </c>
      <c r="C400" s="0" t="s">
        <v>3339</v>
      </c>
    </row>
    <row r="401" customFormat="false" ht="15" hidden="false" customHeight="false" outlineLevel="0" collapsed="false">
      <c r="A401" s="0" t="s">
        <v>10</v>
      </c>
      <c r="B401" s="0" t="s">
        <v>927</v>
      </c>
      <c r="C401" s="0" t="s">
        <v>3332</v>
      </c>
      <c r="D401" s="0" t="n">
        <v>0</v>
      </c>
    </row>
    <row r="402" customFormat="false" ht="15" hidden="false" customHeight="false" outlineLevel="0" collapsed="false">
      <c r="A402" s="0" t="s">
        <v>10</v>
      </c>
      <c r="B402" s="0" t="s">
        <v>927</v>
      </c>
      <c r="C402" s="0" t="s">
        <v>3338</v>
      </c>
    </row>
    <row r="403" customFormat="false" ht="15" hidden="false" customHeight="false" outlineLevel="0" collapsed="false">
      <c r="A403" s="0" t="s">
        <v>10</v>
      </c>
      <c r="B403" s="0" t="s">
        <v>927</v>
      </c>
      <c r="C403" s="0" t="s">
        <v>3339</v>
      </c>
    </row>
    <row r="404" customFormat="false" ht="15" hidden="false" customHeight="false" outlineLevel="0" collapsed="false">
      <c r="A404" s="0" t="s">
        <v>10</v>
      </c>
      <c r="B404" s="0" t="s">
        <v>932</v>
      </c>
      <c r="C404" s="0" t="s">
        <v>3332</v>
      </c>
      <c r="D404" s="0" t="n">
        <v>0.3</v>
      </c>
    </row>
    <row r="405" customFormat="false" ht="15" hidden="false" customHeight="false" outlineLevel="0" collapsed="false">
      <c r="A405" s="0" t="s">
        <v>10</v>
      </c>
      <c r="B405" s="0" t="s">
        <v>932</v>
      </c>
      <c r="C405" s="0" t="s">
        <v>3338</v>
      </c>
    </row>
    <row r="406" customFormat="false" ht="15" hidden="false" customHeight="false" outlineLevel="0" collapsed="false">
      <c r="A406" s="0" t="s">
        <v>10</v>
      </c>
      <c r="B406" s="0" t="s">
        <v>932</v>
      </c>
      <c r="C406" s="0" t="s">
        <v>3339</v>
      </c>
    </row>
    <row r="407" customFormat="false" ht="15" hidden="false" customHeight="false" outlineLevel="0" collapsed="false">
      <c r="A407" s="0" t="s">
        <v>10</v>
      </c>
      <c r="B407" s="0" t="s">
        <v>935</v>
      </c>
      <c r="C407" s="0" t="s">
        <v>3332</v>
      </c>
      <c r="D407" s="0" t="n">
        <v>0.8</v>
      </c>
    </row>
    <row r="408" customFormat="false" ht="15" hidden="false" customHeight="false" outlineLevel="0" collapsed="false">
      <c r="A408" s="0" t="s">
        <v>10</v>
      </c>
      <c r="B408" s="0" t="s">
        <v>935</v>
      </c>
      <c r="C408" s="0" t="s">
        <v>3338</v>
      </c>
    </row>
    <row r="409" customFormat="false" ht="15" hidden="false" customHeight="false" outlineLevel="0" collapsed="false">
      <c r="A409" s="0" t="s">
        <v>10</v>
      </c>
      <c r="B409" s="0" t="s">
        <v>935</v>
      </c>
      <c r="C409" s="0" t="s">
        <v>3339</v>
      </c>
    </row>
    <row r="410" customFormat="false" ht="15" hidden="false" customHeight="false" outlineLevel="0" collapsed="false">
      <c r="A410" s="0" t="s">
        <v>10</v>
      </c>
      <c r="B410" s="0" t="s">
        <v>937</v>
      </c>
      <c r="C410" s="0" t="s">
        <v>3332</v>
      </c>
      <c r="D410" s="0" t="n">
        <v>2.5</v>
      </c>
    </row>
    <row r="411" customFormat="false" ht="15" hidden="false" customHeight="false" outlineLevel="0" collapsed="false">
      <c r="A411" s="0" t="s">
        <v>10</v>
      </c>
      <c r="B411" s="0" t="s">
        <v>937</v>
      </c>
      <c r="C411" s="0" t="s">
        <v>3338</v>
      </c>
      <c r="D411" s="0" t="n">
        <v>1.5</v>
      </c>
    </row>
    <row r="412" customFormat="false" ht="15" hidden="false" customHeight="false" outlineLevel="0" collapsed="false">
      <c r="A412" s="0" t="s">
        <v>10</v>
      </c>
      <c r="B412" s="0" t="s">
        <v>937</v>
      </c>
      <c r="C412" s="0" t="s">
        <v>3339</v>
      </c>
      <c r="D412" s="0" t="n">
        <v>4</v>
      </c>
    </row>
    <row r="413" customFormat="false" ht="15" hidden="false" customHeight="false" outlineLevel="0" collapsed="false">
      <c r="A413" s="0" t="s">
        <v>10</v>
      </c>
      <c r="B413" s="0" t="s">
        <v>942</v>
      </c>
      <c r="C413" s="0" t="s">
        <v>3332</v>
      </c>
      <c r="D413" s="0" t="n">
        <v>1.5</v>
      </c>
    </row>
    <row r="414" customFormat="false" ht="15" hidden="false" customHeight="false" outlineLevel="0" collapsed="false">
      <c r="A414" s="0" t="s">
        <v>10</v>
      </c>
      <c r="B414" s="0" t="s">
        <v>942</v>
      </c>
      <c r="C414" s="0" t="s">
        <v>3338</v>
      </c>
      <c r="D414" s="0" t="n">
        <v>1</v>
      </c>
    </row>
    <row r="415" customFormat="false" ht="15" hidden="false" customHeight="false" outlineLevel="0" collapsed="false">
      <c r="A415" s="0" t="s">
        <v>10</v>
      </c>
      <c r="B415" s="0" t="s">
        <v>942</v>
      </c>
      <c r="C415" s="0" t="s">
        <v>3339</v>
      </c>
      <c r="D415" s="0" t="n">
        <v>2.5</v>
      </c>
    </row>
    <row r="416" customFormat="false" ht="15" hidden="false" customHeight="false" outlineLevel="0" collapsed="false">
      <c r="A416" s="0" t="s">
        <v>10</v>
      </c>
      <c r="B416" s="0" t="s">
        <v>945</v>
      </c>
      <c r="C416" s="0" t="s">
        <v>3332</v>
      </c>
      <c r="D416" s="0" t="n">
        <v>0.2</v>
      </c>
    </row>
    <row r="417" customFormat="false" ht="15" hidden="false" customHeight="false" outlineLevel="0" collapsed="false">
      <c r="A417" s="0" t="s">
        <v>10</v>
      </c>
      <c r="B417" s="0" t="s">
        <v>945</v>
      </c>
      <c r="C417" s="0" t="s">
        <v>3338</v>
      </c>
      <c r="D417" s="0" t="n">
        <v>0.1</v>
      </c>
    </row>
    <row r="418" customFormat="false" ht="15" hidden="false" customHeight="false" outlineLevel="0" collapsed="false">
      <c r="A418" s="0" t="s">
        <v>10</v>
      </c>
      <c r="B418" s="0" t="s">
        <v>945</v>
      </c>
      <c r="C418" s="0" t="s">
        <v>3339</v>
      </c>
      <c r="D418" s="0" t="n">
        <v>0.4</v>
      </c>
    </row>
    <row r="419" customFormat="false" ht="15" hidden="false" customHeight="false" outlineLevel="0" collapsed="false">
      <c r="A419" s="0" t="s">
        <v>10</v>
      </c>
      <c r="B419" s="0" t="s">
        <v>948</v>
      </c>
      <c r="C419" s="0" t="s">
        <v>3332</v>
      </c>
      <c r="D419" s="0" t="n">
        <v>14</v>
      </c>
    </row>
    <row r="420" customFormat="false" ht="15" hidden="false" customHeight="false" outlineLevel="0" collapsed="false">
      <c r="A420" s="0" t="s">
        <v>10</v>
      </c>
      <c r="B420" s="0" t="s">
        <v>948</v>
      </c>
      <c r="C420" s="0" t="s">
        <v>3338</v>
      </c>
      <c r="D420" s="0" t="n">
        <v>8</v>
      </c>
    </row>
    <row r="421" customFormat="false" ht="15" hidden="false" customHeight="false" outlineLevel="0" collapsed="false">
      <c r="A421" s="0" t="s">
        <v>10</v>
      </c>
      <c r="B421" s="0" t="s">
        <v>948</v>
      </c>
      <c r="C421" s="0" t="s">
        <v>3339</v>
      </c>
      <c r="D421" s="0" t="n">
        <v>20</v>
      </c>
    </row>
    <row r="422" customFormat="false" ht="15" hidden="false" customHeight="false" outlineLevel="0" collapsed="false">
      <c r="A422" s="0" t="s">
        <v>10</v>
      </c>
      <c r="B422" s="0" t="s">
        <v>951</v>
      </c>
      <c r="C422" s="0" t="s">
        <v>3332</v>
      </c>
      <c r="D422" s="0" t="n">
        <v>8</v>
      </c>
    </row>
    <row r="423" customFormat="false" ht="15" hidden="false" customHeight="false" outlineLevel="0" collapsed="false">
      <c r="A423" s="0" t="s">
        <v>10</v>
      </c>
      <c r="B423" s="0" t="s">
        <v>951</v>
      </c>
      <c r="C423" s="0" t="s">
        <v>3338</v>
      </c>
      <c r="D423" s="0" t="n">
        <v>5</v>
      </c>
    </row>
    <row r="424" customFormat="false" ht="15" hidden="false" customHeight="false" outlineLevel="0" collapsed="false">
      <c r="A424" s="0" t="s">
        <v>10</v>
      </c>
      <c r="B424" s="0" t="s">
        <v>951</v>
      </c>
      <c r="C424" s="0" t="s">
        <v>3339</v>
      </c>
      <c r="D424" s="0" t="n">
        <v>10</v>
      </c>
    </row>
    <row r="425" customFormat="false" ht="15" hidden="false" customHeight="false" outlineLevel="0" collapsed="false">
      <c r="A425" s="0" t="s">
        <v>10</v>
      </c>
      <c r="B425" s="0" t="s">
        <v>954</v>
      </c>
      <c r="C425" s="0" t="s">
        <v>3332</v>
      </c>
      <c r="D425" s="0" t="n">
        <v>1</v>
      </c>
    </row>
    <row r="426" customFormat="false" ht="15" hidden="false" customHeight="false" outlineLevel="0" collapsed="false">
      <c r="A426" s="0" t="s">
        <v>10</v>
      </c>
      <c r="B426" s="0" t="s">
        <v>954</v>
      </c>
      <c r="C426" s="0" t="s">
        <v>3338</v>
      </c>
      <c r="D426" s="0" t="n">
        <v>0.5</v>
      </c>
    </row>
    <row r="427" customFormat="false" ht="15" hidden="false" customHeight="false" outlineLevel="0" collapsed="false">
      <c r="A427" s="0" t="s">
        <v>10</v>
      </c>
      <c r="B427" s="0" t="s">
        <v>954</v>
      </c>
      <c r="C427" s="0" t="s">
        <v>3339</v>
      </c>
      <c r="D427" s="0" t="n">
        <v>2</v>
      </c>
    </row>
    <row r="428" customFormat="false" ht="15" hidden="false" customHeight="false" outlineLevel="0" collapsed="false">
      <c r="A428" s="0" t="s">
        <v>10</v>
      </c>
      <c r="B428" s="0" t="s">
        <v>957</v>
      </c>
      <c r="C428" s="0" t="s">
        <v>3332</v>
      </c>
      <c r="D428" s="0" t="n">
        <v>-0.3</v>
      </c>
    </row>
    <row r="429" customFormat="false" ht="15" hidden="false" customHeight="false" outlineLevel="0" collapsed="false">
      <c r="A429" s="0" t="s">
        <v>10</v>
      </c>
      <c r="B429" s="0" t="s">
        <v>957</v>
      </c>
      <c r="C429" s="0" t="s">
        <v>3338</v>
      </c>
      <c r="D429" s="0" t="n">
        <v>-0.45</v>
      </c>
    </row>
    <row r="430" customFormat="false" ht="15" hidden="false" customHeight="false" outlineLevel="0" collapsed="false">
      <c r="A430" s="0" t="s">
        <v>10</v>
      </c>
      <c r="B430" s="0" t="s">
        <v>957</v>
      </c>
      <c r="C430" s="0" t="s">
        <v>3339</v>
      </c>
      <c r="D430" s="0" t="n">
        <v>-0.15</v>
      </c>
    </row>
    <row r="431" customFormat="false" ht="15" hidden="false" customHeight="false" outlineLevel="0" collapsed="false">
      <c r="A431" s="0" t="s">
        <v>10</v>
      </c>
      <c r="B431" s="0" t="s">
        <v>963</v>
      </c>
      <c r="C431" s="0" t="s">
        <v>3332</v>
      </c>
      <c r="D431" s="0" t="n">
        <v>-0.4</v>
      </c>
    </row>
    <row r="432" customFormat="false" ht="15" hidden="false" customHeight="false" outlineLevel="0" collapsed="false">
      <c r="A432" s="0" t="s">
        <v>10</v>
      </c>
      <c r="B432" s="0" t="s">
        <v>963</v>
      </c>
      <c r="C432" s="0" t="s">
        <v>3338</v>
      </c>
      <c r="D432" s="0" t="n">
        <v>-0.6</v>
      </c>
    </row>
    <row r="433" customFormat="false" ht="15" hidden="false" customHeight="false" outlineLevel="0" collapsed="false">
      <c r="A433" s="0" t="s">
        <v>10</v>
      </c>
      <c r="B433" s="0" t="s">
        <v>963</v>
      </c>
      <c r="C433" s="0" t="s">
        <v>3339</v>
      </c>
      <c r="D433" s="0" t="n">
        <v>-0.2</v>
      </c>
    </row>
    <row r="434" customFormat="false" ht="15" hidden="false" customHeight="false" outlineLevel="0" collapsed="false">
      <c r="A434" s="0" t="s">
        <v>10</v>
      </c>
      <c r="B434" s="0" t="s">
        <v>966</v>
      </c>
      <c r="C434" s="0" t="s">
        <v>3332</v>
      </c>
      <c r="D434" s="0" t="n">
        <v>-0.4</v>
      </c>
    </row>
    <row r="435" customFormat="false" ht="15" hidden="false" customHeight="false" outlineLevel="0" collapsed="false">
      <c r="A435" s="0" t="s">
        <v>10</v>
      </c>
      <c r="B435" s="0" t="s">
        <v>966</v>
      </c>
      <c r="C435" s="0" t="s">
        <v>3338</v>
      </c>
      <c r="D435" s="0" t="n">
        <v>-0.6</v>
      </c>
    </row>
    <row r="436" customFormat="false" ht="15" hidden="false" customHeight="false" outlineLevel="0" collapsed="false">
      <c r="A436" s="0" t="s">
        <v>10</v>
      </c>
      <c r="B436" s="0" t="s">
        <v>966</v>
      </c>
      <c r="C436" s="0" t="s">
        <v>3339</v>
      </c>
      <c r="D436" s="0" t="n">
        <v>-0.2</v>
      </c>
    </row>
    <row r="437" customFormat="false" ht="15" hidden="false" customHeight="false" outlineLevel="0" collapsed="false">
      <c r="A437" s="0" t="s">
        <v>10</v>
      </c>
      <c r="B437" s="0" t="s">
        <v>969</v>
      </c>
      <c r="C437" s="0" t="s">
        <v>3332</v>
      </c>
      <c r="D437" s="0" t="n">
        <v>0.4</v>
      </c>
    </row>
    <row r="438" customFormat="false" ht="15" hidden="false" customHeight="false" outlineLevel="0" collapsed="false">
      <c r="A438" s="0" t="s">
        <v>10</v>
      </c>
      <c r="B438" s="0" t="s">
        <v>969</v>
      </c>
      <c r="C438" s="0" t="s">
        <v>3338</v>
      </c>
      <c r="D438" s="0" t="n">
        <v>0.25</v>
      </c>
    </row>
    <row r="439" customFormat="false" ht="15" hidden="false" customHeight="false" outlineLevel="0" collapsed="false">
      <c r="A439" s="0" t="s">
        <v>10</v>
      </c>
      <c r="B439" s="0" t="s">
        <v>969</v>
      </c>
      <c r="C439" s="0" t="s">
        <v>3339</v>
      </c>
      <c r="D439" s="0" t="n">
        <v>0.5</v>
      </c>
    </row>
    <row r="440" customFormat="false" ht="15" hidden="false" customHeight="false" outlineLevel="0" collapsed="false">
      <c r="A440" s="0" t="s">
        <v>10</v>
      </c>
      <c r="B440" s="0" t="s">
        <v>974</v>
      </c>
      <c r="C440" s="0" t="s">
        <v>3332</v>
      </c>
      <c r="D440" s="0" t="n">
        <v>0.15</v>
      </c>
    </row>
    <row r="441" customFormat="false" ht="15" hidden="false" customHeight="false" outlineLevel="0" collapsed="false">
      <c r="A441" s="0" t="s">
        <v>10</v>
      </c>
      <c r="B441" s="0" t="s">
        <v>974</v>
      </c>
      <c r="C441" s="0" t="s">
        <v>3338</v>
      </c>
      <c r="D441" s="0" t="n">
        <v>0.08</v>
      </c>
    </row>
    <row r="442" customFormat="false" ht="15" hidden="false" customHeight="false" outlineLevel="0" collapsed="false">
      <c r="A442" s="0" t="s">
        <v>10</v>
      </c>
      <c r="B442" s="0" t="s">
        <v>974</v>
      </c>
      <c r="C442" s="0" t="s">
        <v>3339</v>
      </c>
      <c r="D442" s="0" t="n">
        <v>0.25</v>
      </c>
    </row>
    <row r="443" customFormat="false" ht="15" hidden="false" customHeight="false" outlineLevel="0" collapsed="false">
      <c r="A443" s="0" t="s">
        <v>10</v>
      </c>
      <c r="B443" s="0" t="s">
        <v>976</v>
      </c>
      <c r="C443" s="0" t="s">
        <v>3332</v>
      </c>
      <c r="D443" s="0" t="n">
        <v>0.4</v>
      </c>
    </row>
    <row r="444" customFormat="false" ht="15" hidden="false" customHeight="false" outlineLevel="0" collapsed="false">
      <c r="A444" s="0" t="s">
        <v>10</v>
      </c>
      <c r="B444" s="0" t="s">
        <v>976</v>
      </c>
      <c r="C444" s="0" t="s">
        <v>3338</v>
      </c>
      <c r="D444" s="0" t="n">
        <v>0.3</v>
      </c>
    </row>
    <row r="445" customFormat="false" ht="15" hidden="false" customHeight="false" outlineLevel="0" collapsed="false">
      <c r="A445" s="0" t="s">
        <v>10</v>
      </c>
      <c r="B445" s="0" t="s">
        <v>976</v>
      </c>
      <c r="C445" s="0" t="s">
        <v>3339</v>
      </c>
      <c r="D445" s="0" t="n">
        <v>0.5</v>
      </c>
    </row>
    <row r="446" customFormat="false" ht="15" hidden="false" customHeight="false" outlineLevel="0" collapsed="false">
      <c r="A446" s="0" t="s">
        <v>10</v>
      </c>
      <c r="B446" s="0" t="s">
        <v>979</v>
      </c>
      <c r="C446" s="0" t="s">
        <v>3332</v>
      </c>
      <c r="D446" s="0" t="n">
        <v>0.45</v>
      </c>
    </row>
    <row r="447" customFormat="false" ht="15" hidden="false" customHeight="false" outlineLevel="0" collapsed="false">
      <c r="A447" s="0" t="s">
        <v>10</v>
      </c>
      <c r="B447" s="0" t="s">
        <v>979</v>
      </c>
      <c r="C447" s="0" t="s">
        <v>3338</v>
      </c>
      <c r="D447" s="0" t="n">
        <v>0.35</v>
      </c>
    </row>
    <row r="448" customFormat="false" ht="15" hidden="false" customHeight="false" outlineLevel="0" collapsed="false">
      <c r="A448" s="0" t="s">
        <v>10</v>
      </c>
      <c r="B448" s="0" t="s">
        <v>979</v>
      </c>
      <c r="C448" s="0" t="s">
        <v>3339</v>
      </c>
      <c r="D448" s="0" t="n">
        <v>0.55</v>
      </c>
    </row>
    <row r="449" customFormat="false" ht="15" hidden="false" customHeight="false" outlineLevel="0" collapsed="false">
      <c r="A449" s="0" t="s">
        <v>10</v>
      </c>
      <c r="B449" s="0" t="s">
        <v>980</v>
      </c>
      <c r="C449" s="0" t="s">
        <v>3332</v>
      </c>
      <c r="D449" s="0" t="n">
        <v>0.2</v>
      </c>
    </row>
    <row r="450" customFormat="false" ht="15" hidden="false" customHeight="false" outlineLevel="0" collapsed="false">
      <c r="A450" s="0" t="s">
        <v>10</v>
      </c>
      <c r="B450" s="0" t="s">
        <v>980</v>
      </c>
      <c r="C450" s="0" t="s">
        <v>3338</v>
      </c>
      <c r="D450" s="0" t="n">
        <v>0.1</v>
      </c>
    </row>
    <row r="451" customFormat="false" ht="15" hidden="false" customHeight="false" outlineLevel="0" collapsed="false">
      <c r="A451" s="0" t="s">
        <v>10</v>
      </c>
      <c r="B451" s="0" t="s">
        <v>980</v>
      </c>
      <c r="C451" s="0" t="s">
        <v>3339</v>
      </c>
      <c r="D451" s="0" t="n">
        <v>0.35</v>
      </c>
    </row>
    <row r="452" customFormat="false" ht="15" hidden="false" customHeight="false" outlineLevel="0" collapsed="false">
      <c r="A452" s="0" t="s">
        <v>10</v>
      </c>
      <c r="B452" s="0" t="s">
        <v>983</v>
      </c>
      <c r="C452" s="0" t="s">
        <v>3332</v>
      </c>
      <c r="D452" s="0" t="n">
        <v>0.55</v>
      </c>
    </row>
    <row r="453" customFormat="false" ht="15" hidden="false" customHeight="false" outlineLevel="0" collapsed="false">
      <c r="A453" s="0" t="s">
        <v>10</v>
      </c>
      <c r="B453" s="0" t="s">
        <v>983</v>
      </c>
      <c r="C453" s="0" t="s">
        <v>3338</v>
      </c>
      <c r="D453" s="0" t="n">
        <v>0.3</v>
      </c>
    </row>
    <row r="454" customFormat="false" ht="15" hidden="false" customHeight="false" outlineLevel="0" collapsed="false">
      <c r="A454" s="0" t="s">
        <v>10</v>
      </c>
      <c r="B454" s="0" t="s">
        <v>983</v>
      </c>
      <c r="C454" s="0" t="s">
        <v>3339</v>
      </c>
      <c r="D454" s="0" t="n">
        <v>0.75</v>
      </c>
    </row>
    <row r="455" customFormat="false" ht="15" hidden="false" customHeight="false" outlineLevel="0" collapsed="false">
      <c r="A455" s="0" t="s">
        <v>10</v>
      </c>
      <c r="B455" s="0" t="s">
        <v>986</v>
      </c>
      <c r="C455" s="0" t="s">
        <v>3332</v>
      </c>
      <c r="D455" s="0" t="n">
        <v>0.2</v>
      </c>
    </row>
    <row r="456" customFormat="false" ht="15" hidden="false" customHeight="false" outlineLevel="0" collapsed="false">
      <c r="A456" s="0" t="s">
        <v>10</v>
      </c>
      <c r="B456" s="0" t="s">
        <v>986</v>
      </c>
      <c r="C456" s="0" t="s">
        <v>3338</v>
      </c>
      <c r="D456" s="0" t="n">
        <v>0.1</v>
      </c>
    </row>
    <row r="457" customFormat="false" ht="15" hidden="false" customHeight="false" outlineLevel="0" collapsed="false">
      <c r="A457" s="0" t="s">
        <v>10</v>
      </c>
      <c r="B457" s="0" t="s">
        <v>986</v>
      </c>
      <c r="C457" s="0" t="s">
        <v>3339</v>
      </c>
      <c r="D457" s="0" t="n">
        <v>0.3</v>
      </c>
    </row>
    <row r="458" customFormat="false" ht="15" hidden="false" customHeight="false" outlineLevel="0" collapsed="false">
      <c r="A458" s="0" t="s">
        <v>10</v>
      </c>
      <c r="B458" s="0" t="s">
        <v>989</v>
      </c>
      <c r="C458" s="0" t="s">
        <v>3332</v>
      </c>
      <c r="D458" s="0" t="n">
        <v>10</v>
      </c>
    </row>
    <row r="459" customFormat="false" ht="15" hidden="false" customHeight="false" outlineLevel="0" collapsed="false">
      <c r="A459" s="0" t="s">
        <v>10</v>
      </c>
      <c r="B459" s="0" t="s">
        <v>989</v>
      </c>
      <c r="C459" s="0" t="s">
        <v>3338</v>
      </c>
      <c r="D459" s="0" t="n">
        <v>5</v>
      </c>
    </row>
    <row r="460" customFormat="false" ht="15" hidden="false" customHeight="false" outlineLevel="0" collapsed="false">
      <c r="A460" s="0" t="s">
        <v>10</v>
      </c>
      <c r="B460" s="0" t="s">
        <v>989</v>
      </c>
      <c r="C460" s="0" t="s">
        <v>3339</v>
      </c>
      <c r="D460" s="0" t="n">
        <v>30</v>
      </c>
    </row>
    <row r="461" customFormat="false" ht="15" hidden="false" customHeight="false" outlineLevel="0" collapsed="false">
      <c r="A461" s="0" t="s">
        <v>10</v>
      </c>
      <c r="B461" s="0" t="s">
        <v>994</v>
      </c>
      <c r="C461" s="0" t="s">
        <v>3332</v>
      </c>
      <c r="D461" s="0" t="n">
        <v>0</v>
      </c>
    </row>
    <row r="462" customFormat="false" ht="15" hidden="false" customHeight="false" outlineLevel="0" collapsed="false">
      <c r="A462" s="0" t="s">
        <v>10</v>
      </c>
      <c r="B462" s="0" t="s">
        <v>994</v>
      </c>
      <c r="C462" s="0" t="s">
        <v>3338</v>
      </c>
    </row>
    <row r="463" customFormat="false" ht="15" hidden="false" customHeight="false" outlineLevel="0" collapsed="false">
      <c r="A463" s="0" t="s">
        <v>10</v>
      </c>
      <c r="B463" s="0" t="s">
        <v>994</v>
      </c>
      <c r="C463" s="0" t="s">
        <v>3339</v>
      </c>
    </row>
    <row r="464" customFormat="false" ht="15" hidden="false" customHeight="false" outlineLevel="0" collapsed="false">
      <c r="A464" s="0" t="s">
        <v>10</v>
      </c>
      <c r="B464" s="0" t="s">
        <v>998</v>
      </c>
      <c r="C464" s="0" t="s">
        <v>3332</v>
      </c>
      <c r="D464" s="0" t="n">
        <v>1.34</v>
      </c>
    </row>
    <row r="465" customFormat="false" ht="15" hidden="false" customHeight="false" outlineLevel="0" collapsed="false">
      <c r="A465" s="0" t="s">
        <v>10</v>
      </c>
      <c r="B465" s="0" t="s">
        <v>998</v>
      </c>
      <c r="C465" s="0" t="s">
        <v>3338</v>
      </c>
    </row>
    <row r="466" customFormat="false" ht="15" hidden="false" customHeight="false" outlineLevel="0" collapsed="false">
      <c r="A466" s="0" t="s">
        <v>10</v>
      </c>
      <c r="B466" s="0" t="s">
        <v>998</v>
      </c>
      <c r="C466" s="0" t="s">
        <v>3339</v>
      </c>
    </row>
    <row r="467" customFormat="false" ht="15" hidden="false" customHeight="false" outlineLevel="0" collapsed="false">
      <c r="A467" s="0" t="s">
        <v>10</v>
      </c>
      <c r="B467" s="0" t="s">
        <v>999</v>
      </c>
      <c r="C467" s="0" t="s">
        <v>3332</v>
      </c>
      <c r="D467" s="0" t="n">
        <v>0.45</v>
      </c>
    </row>
    <row r="468" customFormat="false" ht="15" hidden="false" customHeight="false" outlineLevel="0" collapsed="false">
      <c r="A468" s="0" t="s">
        <v>10</v>
      </c>
      <c r="B468" s="0" t="s">
        <v>999</v>
      </c>
      <c r="C468" s="0" t="s">
        <v>3338</v>
      </c>
    </row>
    <row r="469" customFormat="false" ht="15" hidden="false" customHeight="false" outlineLevel="0" collapsed="false">
      <c r="A469" s="0" t="s">
        <v>10</v>
      </c>
      <c r="B469" s="0" t="s">
        <v>999</v>
      </c>
      <c r="C469" s="0" t="s">
        <v>3339</v>
      </c>
    </row>
    <row r="470" customFormat="false" ht="15" hidden="false" customHeight="false" outlineLevel="0" collapsed="false">
      <c r="A470" s="0" t="s">
        <v>10</v>
      </c>
      <c r="B470" s="0" t="s">
        <v>1001</v>
      </c>
      <c r="C470" s="0" t="s">
        <v>3332</v>
      </c>
      <c r="D470" s="0" t="n">
        <v>0.35</v>
      </c>
    </row>
    <row r="471" customFormat="false" ht="15" hidden="false" customHeight="false" outlineLevel="0" collapsed="false">
      <c r="A471" s="0" t="s">
        <v>10</v>
      </c>
      <c r="B471" s="0" t="s">
        <v>1001</v>
      </c>
      <c r="C471" s="0" t="s">
        <v>3338</v>
      </c>
    </row>
    <row r="472" customFormat="false" ht="15" hidden="false" customHeight="false" outlineLevel="0" collapsed="false">
      <c r="A472" s="0" t="s">
        <v>10</v>
      </c>
      <c r="B472" s="0" t="s">
        <v>1001</v>
      </c>
      <c r="C472" s="0" t="s">
        <v>3339</v>
      </c>
    </row>
    <row r="473" customFormat="false" ht="15" hidden="false" customHeight="false" outlineLevel="0" collapsed="false">
      <c r="A473" s="0" t="s">
        <v>10</v>
      </c>
      <c r="B473" s="0" t="s">
        <v>1003</v>
      </c>
      <c r="C473" s="0" t="s">
        <v>3332</v>
      </c>
      <c r="D473" s="0" t="n">
        <v>0.25</v>
      </c>
    </row>
    <row r="474" customFormat="false" ht="15" hidden="false" customHeight="false" outlineLevel="0" collapsed="false">
      <c r="A474" s="0" t="s">
        <v>10</v>
      </c>
      <c r="B474" s="0" t="s">
        <v>1003</v>
      </c>
      <c r="C474" s="0" t="s">
        <v>3338</v>
      </c>
    </row>
    <row r="475" customFormat="false" ht="15" hidden="false" customHeight="false" outlineLevel="0" collapsed="false">
      <c r="A475" s="0" t="s">
        <v>10</v>
      </c>
      <c r="B475" s="0" t="s">
        <v>1003</v>
      </c>
      <c r="C475" s="0" t="s">
        <v>3339</v>
      </c>
    </row>
    <row r="476" customFormat="false" ht="15" hidden="false" customHeight="false" outlineLevel="0" collapsed="false">
      <c r="A476" s="0" t="s">
        <v>10</v>
      </c>
      <c r="B476" s="0" t="s">
        <v>1005</v>
      </c>
      <c r="C476" s="0" t="s">
        <v>3332</v>
      </c>
      <c r="D476" s="0" t="n">
        <v>0.2</v>
      </c>
    </row>
    <row r="477" customFormat="false" ht="15" hidden="false" customHeight="false" outlineLevel="0" collapsed="false">
      <c r="A477" s="0" t="s">
        <v>10</v>
      </c>
      <c r="B477" s="0" t="s">
        <v>1005</v>
      </c>
      <c r="C477" s="0" t="s">
        <v>3338</v>
      </c>
    </row>
    <row r="478" customFormat="false" ht="15" hidden="false" customHeight="false" outlineLevel="0" collapsed="false">
      <c r="A478" s="0" t="s">
        <v>10</v>
      </c>
      <c r="B478" s="0" t="s">
        <v>1005</v>
      </c>
      <c r="C478" s="0" t="s">
        <v>3339</v>
      </c>
    </row>
    <row r="479" customFormat="false" ht="15" hidden="false" customHeight="false" outlineLevel="0" collapsed="false">
      <c r="A479" s="0" t="s">
        <v>10</v>
      </c>
      <c r="B479" s="0" t="s">
        <v>1007</v>
      </c>
      <c r="C479" s="0" t="s">
        <v>3332</v>
      </c>
      <c r="D479" s="0" t="n">
        <v>0.5</v>
      </c>
    </row>
    <row r="480" customFormat="false" ht="15" hidden="false" customHeight="false" outlineLevel="0" collapsed="false">
      <c r="A480" s="0" t="s">
        <v>10</v>
      </c>
      <c r="B480" s="0" t="s">
        <v>1007</v>
      </c>
      <c r="C480" s="0" t="s">
        <v>3338</v>
      </c>
    </row>
    <row r="481" customFormat="false" ht="15" hidden="false" customHeight="false" outlineLevel="0" collapsed="false">
      <c r="A481" s="0" t="s">
        <v>10</v>
      </c>
      <c r="B481" s="0" t="s">
        <v>1007</v>
      </c>
      <c r="C481" s="0" t="s">
        <v>3339</v>
      </c>
    </row>
    <row r="482" customFormat="false" ht="15" hidden="false" customHeight="false" outlineLevel="0" collapsed="false">
      <c r="A482" s="0" t="s">
        <v>10</v>
      </c>
      <c r="B482" s="0" t="s">
        <v>1010</v>
      </c>
      <c r="C482" s="0" t="s">
        <v>3332</v>
      </c>
      <c r="D482" s="0" t="n">
        <v>1.5</v>
      </c>
    </row>
    <row r="483" customFormat="false" ht="15" hidden="false" customHeight="false" outlineLevel="0" collapsed="false">
      <c r="A483" s="0" t="s">
        <v>10</v>
      </c>
      <c r="B483" s="0" t="s">
        <v>1010</v>
      </c>
      <c r="C483" s="0" t="s">
        <v>3338</v>
      </c>
    </row>
    <row r="484" customFormat="false" ht="15" hidden="false" customHeight="false" outlineLevel="0" collapsed="false">
      <c r="A484" s="0" t="s">
        <v>10</v>
      </c>
      <c r="B484" s="0" t="s">
        <v>1010</v>
      </c>
      <c r="C484" s="0" t="s">
        <v>3339</v>
      </c>
    </row>
    <row r="485" customFormat="false" ht="15" hidden="false" customHeight="false" outlineLevel="0" collapsed="false">
      <c r="A485" s="0" t="s">
        <v>10</v>
      </c>
      <c r="B485" s="0" t="s">
        <v>1012</v>
      </c>
      <c r="C485" s="0" t="s">
        <v>3332</v>
      </c>
      <c r="D485" s="0" t="n">
        <v>0</v>
      </c>
    </row>
    <row r="486" customFormat="false" ht="15" hidden="false" customHeight="false" outlineLevel="0" collapsed="false">
      <c r="A486" s="0" t="s">
        <v>10</v>
      </c>
      <c r="B486" s="0" t="s">
        <v>1012</v>
      </c>
      <c r="C486" s="0" t="s">
        <v>3338</v>
      </c>
    </row>
    <row r="487" customFormat="false" ht="15" hidden="false" customHeight="false" outlineLevel="0" collapsed="false">
      <c r="A487" s="0" t="s">
        <v>10</v>
      </c>
      <c r="B487" s="0" t="s">
        <v>1012</v>
      </c>
      <c r="C487" s="0" t="s">
        <v>3339</v>
      </c>
    </row>
    <row r="488" customFormat="false" ht="15" hidden="false" customHeight="false" outlineLevel="0" collapsed="false">
      <c r="A488" s="0" t="s">
        <v>10</v>
      </c>
      <c r="B488" s="0" t="s">
        <v>1015</v>
      </c>
      <c r="C488" s="0" t="s">
        <v>3332</v>
      </c>
      <c r="D488" s="0" t="n">
        <v>0.2</v>
      </c>
    </row>
    <row r="489" customFormat="false" ht="15" hidden="false" customHeight="false" outlineLevel="0" collapsed="false">
      <c r="A489" s="0" t="s">
        <v>10</v>
      </c>
      <c r="B489" s="0" t="s">
        <v>1015</v>
      </c>
      <c r="C489" s="0" t="s">
        <v>3338</v>
      </c>
    </row>
    <row r="490" customFormat="false" ht="15" hidden="false" customHeight="false" outlineLevel="0" collapsed="false">
      <c r="A490" s="0" t="s">
        <v>10</v>
      </c>
      <c r="B490" s="0" t="s">
        <v>1015</v>
      </c>
      <c r="C490" s="0" t="s">
        <v>3339</v>
      </c>
    </row>
    <row r="491" customFormat="false" ht="15" hidden="false" customHeight="false" outlineLevel="0" collapsed="false">
      <c r="A491" s="0" t="s">
        <v>10</v>
      </c>
      <c r="B491" s="0" t="s">
        <v>1016</v>
      </c>
      <c r="C491" s="0" t="s">
        <v>3332</v>
      </c>
      <c r="D491" s="0" t="n">
        <v>0.15</v>
      </c>
    </row>
    <row r="492" customFormat="false" ht="15" hidden="false" customHeight="false" outlineLevel="0" collapsed="false">
      <c r="A492" s="0" t="s">
        <v>10</v>
      </c>
      <c r="B492" s="0" t="s">
        <v>1016</v>
      </c>
      <c r="C492" s="0" t="s">
        <v>3338</v>
      </c>
    </row>
    <row r="493" customFormat="false" ht="15" hidden="false" customHeight="false" outlineLevel="0" collapsed="false">
      <c r="A493" s="0" t="s">
        <v>10</v>
      </c>
      <c r="B493" s="0" t="s">
        <v>1016</v>
      </c>
      <c r="C493" s="0" t="s">
        <v>3339</v>
      </c>
    </row>
    <row r="494" customFormat="false" ht="15" hidden="false" customHeight="false" outlineLevel="0" collapsed="false">
      <c r="A494" s="0" t="s">
        <v>10</v>
      </c>
      <c r="B494" s="0" t="s">
        <v>1017</v>
      </c>
      <c r="C494" s="0" t="s">
        <v>3332</v>
      </c>
      <c r="D494" s="0" t="n">
        <v>0.12</v>
      </c>
    </row>
    <row r="495" customFormat="false" ht="15" hidden="false" customHeight="false" outlineLevel="0" collapsed="false">
      <c r="A495" s="0" t="s">
        <v>10</v>
      </c>
      <c r="B495" s="0" t="s">
        <v>1017</v>
      </c>
      <c r="C495" s="0" t="s">
        <v>3338</v>
      </c>
    </row>
    <row r="496" customFormat="false" ht="15" hidden="false" customHeight="false" outlineLevel="0" collapsed="false">
      <c r="A496" s="0" t="s">
        <v>10</v>
      </c>
      <c r="B496" s="0" t="s">
        <v>1017</v>
      </c>
      <c r="C496" s="0" t="s">
        <v>3339</v>
      </c>
    </row>
    <row r="497" customFormat="false" ht="15" hidden="false" customHeight="false" outlineLevel="0" collapsed="false">
      <c r="A497" s="0" t="s">
        <v>10</v>
      </c>
      <c r="B497" s="0" t="s">
        <v>1018</v>
      </c>
      <c r="C497" s="0" t="s">
        <v>3332</v>
      </c>
      <c r="D497" s="0" t="n">
        <v>0.1</v>
      </c>
    </row>
    <row r="498" customFormat="false" ht="15" hidden="false" customHeight="false" outlineLevel="0" collapsed="false">
      <c r="A498" s="0" t="s">
        <v>10</v>
      </c>
      <c r="B498" s="0" t="s">
        <v>1018</v>
      </c>
      <c r="C498" s="0" t="s">
        <v>3338</v>
      </c>
    </row>
    <row r="499" customFormat="false" ht="15" hidden="false" customHeight="false" outlineLevel="0" collapsed="false">
      <c r="A499" s="0" t="s">
        <v>10</v>
      </c>
      <c r="B499" s="0" t="s">
        <v>1018</v>
      </c>
      <c r="C499" s="0" t="s">
        <v>3339</v>
      </c>
    </row>
    <row r="500" customFormat="false" ht="15" hidden="false" customHeight="false" outlineLevel="0" collapsed="false">
      <c r="A500" s="0" t="s">
        <v>10</v>
      </c>
      <c r="B500" s="0" t="s">
        <v>1019</v>
      </c>
      <c r="C500" s="0" t="s">
        <v>3332</v>
      </c>
      <c r="D500" s="0" t="n">
        <v>0.08</v>
      </c>
    </row>
    <row r="501" customFormat="false" ht="15" hidden="false" customHeight="false" outlineLevel="0" collapsed="false">
      <c r="A501" s="0" t="s">
        <v>10</v>
      </c>
      <c r="B501" s="0" t="s">
        <v>1019</v>
      </c>
      <c r="C501" s="0" t="s">
        <v>3338</v>
      </c>
    </row>
    <row r="502" customFormat="false" ht="15" hidden="false" customHeight="false" outlineLevel="0" collapsed="false">
      <c r="A502" s="0" t="s">
        <v>10</v>
      </c>
      <c r="B502" s="0" t="s">
        <v>1019</v>
      </c>
      <c r="C502" s="0" t="s">
        <v>3339</v>
      </c>
    </row>
    <row r="503" customFormat="false" ht="15" hidden="false" customHeight="false" outlineLevel="0" collapsed="false">
      <c r="A503" s="0" t="s">
        <v>10</v>
      </c>
      <c r="B503" s="0" t="s">
        <v>1020</v>
      </c>
      <c r="C503" s="0" t="s">
        <v>3332</v>
      </c>
      <c r="D503" s="0" t="n">
        <v>0.5</v>
      </c>
    </row>
    <row r="504" customFormat="false" ht="15" hidden="false" customHeight="false" outlineLevel="0" collapsed="false">
      <c r="A504" s="0" t="s">
        <v>10</v>
      </c>
      <c r="B504" s="0" t="s">
        <v>1020</v>
      </c>
      <c r="C504" s="0" t="s">
        <v>3338</v>
      </c>
    </row>
    <row r="505" customFormat="false" ht="15" hidden="false" customHeight="false" outlineLevel="0" collapsed="false">
      <c r="A505" s="0" t="s">
        <v>10</v>
      </c>
      <c r="B505" s="0" t="s">
        <v>1020</v>
      </c>
      <c r="C505" s="0" t="s">
        <v>3339</v>
      </c>
    </row>
    <row r="506" customFormat="false" ht="15" hidden="false" customHeight="false" outlineLevel="0" collapsed="false">
      <c r="A506" s="0" t="s">
        <v>10</v>
      </c>
      <c r="B506" s="0" t="s">
        <v>1022</v>
      </c>
      <c r="C506" s="0" t="s">
        <v>3332</v>
      </c>
      <c r="D506" s="0" t="n">
        <v>1.5</v>
      </c>
    </row>
    <row r="507" customFormat="false" ht="15" hidden="false" customHeight="false" outlineLevel="0" collapsed="false">
      <c r="A507" s="0" t="s">
        <v>10</v>
      </c>
      <c r="B507" s="0" t="s">
        <v>1022</v>
      </c>
      <c r="C507" s="0" t="s">
        <v>3338</v>
      </c>
    </row>
    <row r="508" customFormat="false" ht="15" hidden="false" customHeight="false" outlineLevel="0" collapsed="false">
      <c r="A508" s="0" t="s">
        <v>10</v>
      </c>
      <c r="B508" s="0" t="s">
        <v>1022</v>
      </c>
      <c r="C508" s="0" t="s">
        <v>3339</v>
      </c>
    </row>
    <row r="509" customFormat="false" ht="15" hidden="false" customHeight="false" outlineLevel="0" collapsed="false">
      <c r="A509" s="0" t="s">
        <v>10</v>
      </c>
      <c r="B509" s="0" t="s">
        <v>1024</v>
      </c>
      <c r="C509" s="0" t="s">
        <v>3332</v>
      </c>
      <c r="D509" s="0" t="n">
        <v>-0.7</v>
      </c>
    </row>
    <row r="510" customFormat="false" ht="15" hidden="false" customHeight="false" outlineLevel="0" collapsed="false">
      <c r="A510" s="0" t="s">
        <v>10</v>
      </c>
      <c r="B510" s="0" t="s">
        <v>1024</v>
      </c>
      <c r="C510" s="0" t="s">
        <v>3338</v>
      </c>
      <c r="D510" s="0" t="n">
        <v>-1.05</v>
      </c>
    </row>
    <row r="511" customFormat="false" ht="15" hidden="false" customHeight="false" outlineLevel="0" collapsed="false">
      <c r="A511" s="0" t="s">
        <v>10</v>
      </c>
      <c r="B511" s="0" t="s">
        <v>1024</v>
      </c>
      <c r="C511" s="0" t="s">
        <v>3339</v>
      </c>
      <c r="D511" s="0" t="n">
        <v>-0.35</v>
      </c>
    </row>
    <row r="512" customFormat="false" ht="15" hidden="false" customHeight="false" outlineLevel="0" collapsed="false">
      <c r="A512" s="0" t="s">
        <v>10</v>
      </c>
      <c r="B512" s="0" t="s">
        <v>1029</v>
      </c>
      <c r="C512" s="0" t="s">
        <v>3332</v>
      </c>
      <c r="D512" s="0" t="n">
        <v>-0.3</v>
      </c>
    </row>
    <row r="513" customFormat="false" ht="15" hidden="false" customHeight="false" outlineLevel="0" collapsed="false">
      <c r="A513" s="0" t="s">
        <v>10</v>
      </c>
      <c r="B513" s="0" t="s">
        <v>1029</v>
      </c>
      <c r="C513" s="0" t="s">
        <v>3338</v>
      </c>
      <c r="D513" s="0" t="n">
        <v>-0.45</v>
      </c>
    </row>
    <row r="514" customFormat="false" ht="15" hidden="false" customHeight="false" outlineLevel="0" collapsed="false">
      <c r="A514" s="0" t="s">
        <v>10</v>
      </c>
      <c r="B514" s="0" t="s">
        <v>1029</v>
      </c>
      <c r="C514" s="0" t="s">
        <v>3339</v>
      </c>
      <c r="D514" s="0" t="n">
        <v>-0.15</v>
      </c>
    </row>
    <row r="515" customFormat="false" ht="15" hidden="false" customHeight="false" outlineLevel="0" collapsed="false">
      <c r="A515" s="0" t="s">
        <v>10</v>
      </c>
      <c r="B515" s="0" t="s">
        <v>1032</v>
      </c>
      <c r="C515" s="0" t="s">
        <v>3332</v>
      </c>
      <c r="D515" s="0" t="s">
        <v>1035</v>
      </c>
    </row>
    <row r="516" customFormat="false" ht="15" hidden="false" customHeight="false" outlineLevel="0" collapsed="false">
      <c r="A516" s="0" t="s">
        <v>10</v>
      </c>
      <c r="B516" s="0" t="s">
        <v>1032</v>
      </c>
      <c r="C516" s="0" t="s">
        <v>3338</v>
      </c>
    </row>
    <row r="517" customFormat="false" ht="15" hidden="false" customHeight="false" outlineLevel="0" collapsed="false">
      <c r="A517" s="0" t="s">
        <v>10</v>
      </c>
      <c r="B517" s="0" t="s">
        <v>1032</v>
      </c>
      <c r="C517" s="0" t="s">
        <v>3339</v>
      </c>
    </row>
    <row r="518" customFormat="false" ht="15" hidden="false" customHeight="false" outlineLevel="0" collapsed="false">
      <c r="A518" s="0" t="s">
        <v>10</v>
      </c>
      <c r="B518" s="0" t="s">
        <v>1039</v>
      </c>
      <c r="C518" s="0" t="s">
        <v>3332</v>
      </c>
      <c r="D518" s="0" t="s">
        <v>1042</v>
      </c>
    </row>
    <row r="519" customFormat="false" ht="15" hidden="false" customHeight="false" outlineLevel="0" collapsed="false">
      <c r="A519" s="0" t="s">
        <v>10</v>
      </c>
      <c r="B519" s="0" t="s">
        <v>1039</v>
      </c>
      <c r="C519" s="0" t="s">
        <v>3338</v>
      </c>
    </row>
    <row r="520" customFormat="false" ht="15" hidden="false" customHeight="false" outlineLevel="0" collapsed="false">
      <c r="A520" s="0" t="s">
        <v>10</v>
      </c>
      <c r="B520" s="0" t="s">
        <v>1039</v>
      </c>
      <c r="C520" s="0" t="s">
        <v>3339</v>
      </c>
    </row>
    <row r="521" customFormat="false" ht="15" hidden="false" customHeight="false" outlineLevel="0" collapsed="false">
      <c r="A521" s="0" t="s">
        <v>10</v>
      </c>
      <c r="B521" s="0" t="s">
        <v>1045</v>
      </c>
      <c r="C521" s="0" t="s">
        <v>3332</v>
      </c>
      <c r="D521" s="0" t="s">
        <v>1042</v>
      </c>
    </row>
    <row r="522" customFormat="false" ht="15" hidden="false" customHeight="false" outlineLevel="0" collapsed="false">
      <c r="A522" s="0" t="s">
        <v>10</v>
      </c>
      <c r="B522" s="0" t="s">
        <v>1045</v>
      </c>
      <c r="C522" s="0" t="s">
        <v>3338</v>
      </c>
    </row>
    <row r="523" customFormat="false" ht="15" hidden="false" customHeight="false" outlineLevel="0" collapsed="false">
      <c r="A523" s="0" t="s">
        <v>10</v>
      </c>
      <c r="B523" s="0" t="s">
        <v>1045</v>
      </c>
      <c r="C523" s="0" t="s">
        <v>3339</v>
      </c>
    </row>
    <row r="524" customFormat="false" ht="15" hidden="false" customHeight="false" outlineLevel="0" collapsed="false">
      <c r="A524" s="0" t="s">
        <v>10</v>
      </c>
      <c r="B524" s="0" t="s">
        <v>1048</v>
      </c>
      <c r="C524" s="0" t="s">
        <v>3332</v>
      </c>
      <c r="D524" s="0" t="s">
        <v>1051</v>
      </c>
    </row>
    <row r="525" customFormat="false" ht="15" hidden="false" customHeight="false" outlineLevel="0" collapsed="false">
      <c r="A525" s="0" t="s">
        <v>10</v>
      </c>
      <c r="B525" s="0" t="s">
        <v>1048</v>
      </c>
      <c r="C525" s="0" t="s">
        <v>3338</v>
      </c>
    </row>
    <row r="526" customFormat="false" ht="15" hidden="false" customHeight="false" outlineLevel="0" collapsed="false">
      <c r="A526" s="0" t="s">
        <v>10</v>
      </c>
      <c r="B526" s="0" t="s">
        <v>1048</v>
      </c>
      <c r="C526" s="0" t="s">
        <v>3339</v>
      </c>
    </row>
    <row r="527" customFormat="false" ht="15" hidden="false" customHeight="false" outlineLevel="0" collapsed="false">
      <c r="A527" s="0" t="s">
        <v>10</v>
      </c>
      <c r="B527" s="0" t="s">
        <v>1052</v>
      </c>
      <c r="C527" s="0" t="s">
        <v>3332</v>
      </c>
      <c r="D527" s="0" t="s">
        <v>1055</v>
      </c>
    </row>
    <row r="528" customFormat="false" ht="15" hidden="false" customHeight="false" outlineLevel="0" collapsed="false">
      <c r="A528" s="0" t="s">
        <v>10</v>
      </c>
      <c r="B528" s="0" t="s">
        <v>1052</v>
      </c>
      <c r="C528" s="0" t="s">
        <v>3338</v>
      </c>
    </row>
    <row r="529" customFormat="false" ht="15" hidden="false" customHeight="false" outlineLevel="0" collapsed="false">
      <c r="A529" s="0" t="s">
        <v>10</v>
      </c>
      <c r="B529" s="0" t="s">
        <v>1052</v>
      </c>
      <c r="C529" s="0" t="s">
        <v>3339</v>
      </c>
    </row>
    <row r="530" customFormat="false" ht="15" hidden="false" customHeight="false" outlineLevel="0" collapsed="false">
      <c r="A530" s="0" t="s">
        <v>10</v>
      </c>
      <c r="B530" s="0" t="s">
        <v>1056</v>
      </c>
      <c r="C530" s="0" t="s">
        <v>3332</v>
      </c>
      <c r="D530" s="0" t="s">
        <v>1051</v>
      </c>
    </row>
    <row r="531" customFormat="false" ht="15" hidden="false" customHeight="false" outlineLevel="0" collapsed="false">
      <c r="A531" s="0" t="s">
        <v>10</v>
      </c>
      <c r="B531" s="0" t="s">
        <v>1056</v>
      </c>
      <c r="C531" s="0" t="s">
        <v>3338</v>
      </c>
    </row>
    <row r="532" customFormat="false" ht="15" hidden="false" customHeight="false" outlineLevel="0" collapsed="false">
      <c r="A532" s="0" t="s">
        <v>10</v>
      </c>
      <c r="B532" s="0" t="s">
        <v>1056</v>
      </c>
      <c r="C532" s="0" t="s">
        <v>3339</v>
      </c>
    </row>
    <row r="533" customFormat="false" ht="15" hidden="false" customHeight="false" outlineLevel="0" collapsed="false">
      <c r="A533" s="0" t="s">
        <v>10</v>
      </c>
      <c r="B533" s="0" t="s">
        <v>1059</v>
      </c>
      <c r="C533" s="0" t="s">
        <v>3332</v>
      </c>
      <c r="D533" s="0" t="n">
        <v>600</v>
      </c>
    </row>
    <row r="534" customFormat="false" ht="15" hidden="false" customHeight="false" outlineLevel="0" collapsed="false">
      <c r="A534" s="0" t="s">
        <v>10</v>
      </c>
      <c r="B534" s="0" t="s">
        <v>1059</v>
      </c>
      <c r="C534" s="0" t="s">
        <v>3338</v>
      </c>
    </row>
    <row r="535" customFormat="false" ht="15" hidden="false" customHeight="false" outlineLevel="0" collapsed="false">
      <c r="A535" s="0" t="s">
        <v>10</v>
      </c>
      <c r="B535" s="0" t="s">
        <v>1059</v>
      </c>
      <c r="C535" s="0" t="s">
        <v>3339</v>
      </c>
    </row>
    <row r="536" customFormat="false" ht="15" hidden="false" customHeight="false" outlineLevel="0" collapsed="false">
      <c r="A536" s="0" t="s">
        <v>10</v>
      </c>
      <c r="B536" s="0" t="s">
        <v>1063</v>
      </c>
      <c r="C536" s="0" t="s">
        <v>3332</v>
      </c>
      <c r="D536" s="0" t="n">
        <v>1250</v>
      </c>
    </row>
    <row r="537" customFormat="false" ht="15" hidden="false" customHeight="false" outlineLevel="0" collapsed="false">
      <c r="A537" s="0" t="s">
        <v>10</v>
      </c>
      <c r="B537" s="0" t="s">
        <v>1063</v>
      </c>
      <c r="C537" s="0" t="s">
        <v>3338</v>
      </c>
    </row>
    <row r="538" customFormat="false" ht="15" hidden="false" customHeight="false" outlineLevel="0" collapsed="false">
      <c r="A538" s="0" t="s">
        <v>10</v>
      </c>
      <c r="B538" s="0" t="s">
        <v>1063</v>
      </c>
      <c r="C538" s="0" t="s">
        <v>3339</v>
      </c>
    </row>
    <row r="539" customFormat="false" ht="15" hidden="false" customHeight="false" outlineLevel="0" collapsed="false">
      <c r="A539" s="0" t="s">
        <v>10</v>
      </c>
      <c r="B539" s="0" t="s">
        <v>1065</v>
      </c>
      <c r="C539" s="0" t="s">
        <v>3332</v>
      </c>
      <c r="D539" s="0" t="n">
        <v>1500</v>
      </c>
    </row>
    <row r="540" customFormat="false" ht="15" hidden="false" customHeight="false" outlineLevel="0" collapsed="false">
      <c r="A540" s="0" t="s">
        <v>10</v>
      </c>
      <c r="B540" s="0" t="s">
        <v>1065</v>
      </c>
      <c r="C540" s="0" t="s">
        <v>3338</v>
      </c>
    </row>
    <row r="541" customFormat="false" ht="15" hidden="false" customHeight="false" outlineLevel="0" collapsed="false">
      <c r="A541" s="0" t="s">
        <v>10</v>
      </c>
      <c r="B541" s="0" t="s">
        <v>1065</v>
      </c>
      <c r="C541" s="0" t="s">
        <v>3339</v>
      </c>
    </row>
    <row r="542" customFormat="false" ht="15" hidden="false" customHeight="false" outlineLevel="0" collapsed="false">
      <c r="A542" s="0" t="s">
        <v>10</v>
      </c>
      <c r="B542" s="0" t="s">
        <v>1066</v>
      </c>
      <c r="C542" s="0" t="s">
        <v>3332</v>
      </c>
      <c r="D542" s="0" t="n">
        <v>1700</v>
      </c>
    </row>
    <row r="543" customFormat="false" ht="15" hidden="false" customHeight="false" outlineLevel="0" collapsed="false">
      <c r="A543" s="0" t="s">
        <v>10</v>
      </c>
      <c r="B543" s="0" t="s">
        <v>1066</v>
      </c>
      <c r="C543" s="0" t="s">
        <v>3338</v>
      </c>
    </row>
    <row r="544" customFormat="false" ht="15" hidden="false" customHeight="false" outlineLevel="0" collapsed="false">
      <c r="A544" s="0" t="s">
        <v>10</v>
      </c>
      <c r="B544" s="0" t="s">
        <v>1066</v>
      </c>
      <c r="C544" s="0" t="s">
        <v>3339</v>
      </c>
    </row>
    <row r="545" customFormat="false" ht="15" hidden="false" customHeight="false" outlineLevel="0" collapsed="false">
      <c r="A545" s="0" t="s">
        <v>10</v>
      </c>
      <c r="B545" s="0" t="s">
        <v>1067</v>
      </c>
      <c r="C545" s="0" t="s">
        <v>3332</v>
      </c>
      <c r="D545" s="0" t="n">
        <v>1850</v>
      </c>
    </row>
    <row r="546" customFormat="false" ht="15" hidden="false" customHeight="false" outlineLevel="0" collapsed="false">
      <c r="A546" s="0" t="s">
        <v>10</v>
      </c>
      <c r="B546" s="0" t="s">
        <v>1067</v>
      </c>
      <c r="C546" s="0" t="s">
        <v>3338</v>
      </c>
    </row>
    <row r="547" customFormat="false" ht="15" hidden="false" customHeight="false" outlineLevel="0" collapsed="false">
      <c r="A547" s="0" t="s">
        <v>10</v>
      </c>
      <c r="B547" s="0" t="s">
        <v>1067</v>
      </c>
      <c r="C547" s="0" t="s">
        <v>3339</v>
      </c>
    </row>
    <row r="548" customFormat="false" ht="15" hidden="false" customHeight="false" outlineLevel="0" collapsed="false">
      <c r="A548" s="0" t="s">
        <v>10</v>
      </c>
      <c r="B548" s="0" t="s">
        <v>1068</v>
      </c>
      <c r="C548" s="0" t="s">
        <v>3332</v>
      </c>
      <c r="D548" s="0" t="n">
        <v>0.8</v>
      </c>
    </row>
    <row r="549" customFormat="false" ht="15" hidden="false" customHeight="false" outlineLevel="0" collapsed="false">
      <c r="A549" s="0" t="s">
        <v>10</v>
      </c>
      <c r="B549" s="0" t="s">
        <v>1068</v>
      </c>
      <c r="C549" s="0" t="s">
        <v>3338</v>
      </c>
    </row>
    <row r="550" customFormat="false" ht="15" hidden="false" customHeight="false" outlineLevel="0" collapsed="false">
      <c r="A550" s="0" t="s">
        <v>10</v>
      </c>
      <c r="B550" s="0" t="s">
        <v>1068</v>
      </c>
      <c r="C550" s="0" t="s">
        <v>3339</v>
      </c>
    </row>
    <row r="551" customFormat="false" ht="15" hidden="false" customHeight="false" outlineLevel="0" collapsed="false">
      <c r="A551" s="0" t="s">
        <v>10</v>
      </c>
      <c r="B551" s="0" t="s">
        <v>1071</v>
      </c>
      <c r="C551" s="0" t="s">
        <v>3332</v>
      </c>
      <c r="D551" s="0" t="n">
        <v>1.2</v>
      </c>
    </row>
    <row r="552" customFormat="false" ht="15" hidden="false" customHeight="false" outlineLevel="0" collapsed="false">
      <c r="A552" s="0" t="s">
        <v>10</v>
      </c>
      <c r="B552" s="0" t="s">
        <v>1071</v>
      </c>
      <c r="C552" s="0" t="s">
        <v>3338</v>
      </c>
    </row>
    <row r="553" customFormat="false" ht="15" hidden="false" customHeight="false" outlineLevel="0" collapsed="false">
      <c r="A553" s="0" t="s">
        <v>10</v>
      </c>
      <c r="B553" s="0" t="s">
        <v>1071</v>
      </c>
      <c r="C553" s="0" t="s">
        <v>3339</v>
      </c>
    </row>
    <row r="554" customFormat="false" ht="15" hidden="false" customHeight="false" outlineLevel="0" collapsed="false">
      <c r="A554" s="0" t="s">
        <v>10</v>
      </c>
      <c r="B554" s="0" t="s">
        <v>1073</v>
      </c>
      <c r="C554" s="0" t="s">
        <v>3332</v>
      </c>
      <c r="D554" s="0" t="n">
        <v>2</v>
      </c>
    </row>
    <row r="555" customFormat="false" ht="15" hidden="false" customHeight="false" outlineLevel="0" collapsed="false">
      <c r="A555" s="0" t="s">
        <v>10</v>
      </c>
      <c r="B555" s="0" t="s">
        <v>1073</v>
      </c>
      <c r="C555" s="0" t="s">
        <v>3338</v>
      </c>
    </row>
    <row r="556" customFormat="false" ht="15" hidden="false" customHeight="false" outlineLevel="0" collapsed="false">
      <c r="A556" s="0" t="s">
        <v>10</v>
      </c>
      <c r="B556" s="0" t="s">
        <v>1073</v>
      </c>
      <c r="C556" s="0" t="s">
        <v>3339</v>
      </c>
    </row>
    <row r="557" customFormat="false" ht="15" hidden="false" customHeight="false" outlineLevel="0" collapsed="false">
      <c r="A557" s="0" t="s">
        <v>10</v>
      </c>
      <c r="B557" s="0" t="s">
        <v>1076</v>
      </c>
      <c r="C557" s="0" t="s">
        <v>3332</v>
      </c>
      <c r="D557" s="0" t="n">
        <v>10</v>
      </c>
    </row>
    <row r="558" customFormat="false" ht="15" hidden="false" customHeight="false" outlineLevel="0" collapsed="false">
      <c r="A558" s="0" t="s">
        <v>10</v>
      </c>
      <c r="B558" s="0" t="s">
        <v>1076</v>
      </c>
      <c r="C558" s="0" t="s">
        <v>3338</v>
      </c>
    </row>
    <row r="559" customFormat="false" ht="15" hidden="false" customHeight="false" outlineLevel="0" collapsed="false">
      <c r="A559" s="0" t="s">
        <v>10</v>
      </c>
      <c r="B559" s="0" t="s">
        <v>1076</v>
      </c>
      <c r="C559" s="0" t="s">
        <v>3339</v>
      </c>
    </row>
    <row r="560" customFormat="false" ht="15" hidden="false" customHeight="false" outlineLevel="0" collapsed="false">
      <c r="A560" s="0" t="s">
        <v>10</v>
      </c>
      <c r="B560" s="0" t="s">
        <v>1077</v>
      </c>
      <c r="C560" s="0" t="s">
        <v>3332</v>
      </c>
      <c r="D560" s="0" t="n">
        <v>22</v>
      </c>
    </row>
    <row r="561" customFormat="false" ht="15" hidden="false" customHeight="false" outlineLevel="0" collapsed="false">
      <c r="A561" s="0" t="s">
        <v>10</v>
      </c>
      <c r="B561" s="0" t="s">
        <v>1077</v>
      </c>
      <c r="C561" s="0" t="s">
        <v>3338</v>
      </c>
    </row>
    <row r="562" customFormat="false" ht="15" hidden="false" customHeight="false" outlineLevel="0" collapsed="false">
      <c r="A562" s="0" t="s">
        <v>10</v>
      </c>
      <c r="B562" s="0" t="s">
        <v>1077</v>
      </c>
      <c r="C562" s="0" t="s">
        <v>3339</v>
      </c>
    </row>
    <row r="563" customFormat="false" ht="15" hidden="false" customHeight="false" outlineLevel="0" collapsed="false">
      <c r="A563" s="0" t="s">
        <v>10</v>
      </c>
      <c r="B563" s="0" t="s">
        <v>1078</v>
      </c>
      <c r="C563" s="0" t="s">
        <v>3332</v>
      </c>
      <c r="D563" s="0" t="n">
        <v>35</v>
      </c>
    </row>
    <row r="564" customFormat="false" ht="15" hidden="false" customHeight="false" outlineLevel="0" collapsed="false">
      <c r="A564" s="0" t="s">
        <v>10</v>
      </c>
      <c r="B564" s="0" t="s">
        <v>1078</v>
      </c>
      <c r="C564" s="0" t="s">
        <v>3338</v>
      </c>
    </row>
    <row r="565" customFormat="false" ht="15" hidden="false" customHeight="false" outlineLevel="0" collapsed="false">
      <c r="A565" s="0" t="s">
        <v>10</v>
      </c>
      <c r="B565" s="0" t="s">
        <v>1078</v>
      </c>
      <c r="C565" s="0" t="s">
        <v>3339</v>
      </c>
    </row>
    <row r="566" customFormat="false" ht="15" hidden="false" customHeight="false" outlineLevel="0" collapsed="false">
      <c r="A566" s="0" t="s">
        <v>10</v>
      </c>
      <c r="B566" s="0" t="s">
        <v>1079</v>
      </c>
      <c r="C566" s="0" t="s">
        <v>3332</v>
      </c>
      <c r="D566" s="0" t="n">
        <v>45</v>
      </c>
    </row>
    <row r="567" customFormat="false" ht="15" hidden="false" customHeight="false" outlineLevel="0" collapsed="false">
      <c r="A567" s="0" t="s">
        <v>10</v>
      </c>
      <c r="B567" s="0" t="s">
        <v>1079</v>
      </c>
      <c r="C567" s="0" t="s">
        <v>3338</v>
      </c>
    </row>
    <row r="568" customFormat="false" ht="15" hidden="false" customHeight="false" outlineLevel="0" collapsed="false">
      <c r="A568" s="0" t="s">
        <v>10</v>
      </c>
      <c r="B568" s="0" t="s">
        <v>1079</v>
      </c>
      <c r="C568" s="0" t="s">
        <v>3339</v>
      </c>
    </row>
    <row r="569" customFormat="false" ht="15" hidden="false" customHeight="false" outlineLevel="0" collapsed="false">
      <c r="A569" s="0" t="s">
        <v>10</v>
      </c>
      <c r="B569" s="0" t="s">
        <v>1080</v>
      </c>
      <c r="C569" s="0" t="s">
        <v>3332</v>
      </c>
      <c r="D569" s="0" t="n">
        <v>55</v>
      </c>
    </row>
    <row r="570" customFormat="false" ht="15" hidden="false" customHeight="false" outlineLevel="0" collapsed="false">
      <c r="A570" s="0" t="s">
        <v>10</v>
      </c>
      <c r="B570" s="0" t="s">
        <v>1080</v>
      </c>
      <c r="C570" s="0" t="s">
        <v>3338</v>
      </c>
    </row>
    <row r="571" customFormat="false" ht="15" hidden="false" customHeight="false" outlineLevel="0" collapsed="false">
      <c r="A571" s="0" t="s">
        <v>10</v>
      </c>
      <c r="B571" s="0" t="s">
        <v>1080</v>
      </c>
      <c r="C571" s="0" t="s">
        <v>3339</v>
      </c>
    </row>
    <row r="572" customFormat="false" ht="15" hidden="false" customHeight="false" outlineLevel="0" collapsed="false">
      <c r="A572" s="0" t="s">
        <v>10</v>
      </c>
      <c r="B572" s="0" t="s">
        <v>1081</v>
      </c>
      <c r="C572" s="0" t="s">
        <v>3332</v>
      </c>
      <c r="D572" s="0" t="n">
        <v>0.6</v>
      </c>
    </row>
    <row r="573" customFormat="false" ht="15" hidden="false" customHeight="false" outlineLevel="0" collapsed="false">
      <c r="A573" s="0" t="s">
        <v>10</v>
      </c>
      <c r="B573" s="0" t="s">
        <v>1081</v>
      </c>
      <c r="C573" s="0" t="s">
        <v>3338</v>
      </c>
    </row>
    <row r="574" customFormat="false" ht="15" hidden="false" customHeight="false" outlineLevel="0" collapsed="false">
      <c r="A574" s="0" t="s">
        <v>10</v>
      </c>
      <c r="B574" s="0" t="s">
        <v>1081</v>
      </c>
      <c r="C574" s="0" t="s">
        <v>3339</v>
      </c>
    </row>
    <row r="575" customFormat="false" ht="15" hidden="false" customHeight="false" outlineLevel="0" collapsed="false">
      <c r="A575" s="0" t="s">
        <v>10</v>
      </c>
      <c r="B575" s="0" t="s">
        <v>1083</v>
      </c>
      <c r="C575" s="0" t="s">
        <v>3332</v>
      </c>
      <c r="D575" s="0" t="n">
        <v>1.5</v>
      </c>
    </row>
    <row r="576" customFormat="false" ht="15" hidden="false" customHeight="false" outlineLevel="0" collapsed="false">
      <c r="A576" s="0" t="s">
        <v>10</v>
      </c>
      <c r="B576" s="0" t="s">
        <v>1083</v>
      </c>
      <c r="C576" s="0" t="s">
        <v>3338</v>
      </c>
    </row>
    <row r="577" customFormat="false" ht="15" hidden="false" customHeight="false" outlineLevel="0" collapsed="false">
      <c r="A577" s="0" t="s">
        <v>10</v>
      </c>
      <c r="B577" s="0" t="s">
        <v>1083</v>
      </c>
      <c r="C577" s="0" t="s">
        <v>3339</v>
      </c>
    </row>
    <row r="578" customFormat="false" ht="15" hidden="false" customHeight="false" outlineLevel="0" collapsed="false">
      <c r="A578" s="0" t="s">
        <v>10</v>
      </c>
      <c r="B578" s="0" t="s">
        <v>1085</v>
      </c>
      <c r="C578" s="0" t="s">
        <v>3332</v>
      </c>
      <c r="D578" s="0" t="n">
        <v>46</v>
      </c>
    </row>
    <row r="579" customFormat="false" ht="15" hidden="false" customHeight="false" outlineLevel="0" collapsed="false">
      <c r="A579" s="0" t="s">
        <v>10</v>
      </c>
      <c r="B579" s="0" t="s">
        <v>1085</v>
      </c>
      <c r="C579" s="0" t="s">
        <v>3338</v>
      </c>
    </row>
    <row r="580" customFormat="false" ht="15" hidden="false" customHeight="false" outlineLevel="0" collapsed="false">
      <c r="A580" s="0" t="s">
        <v>10</v>
      </c>
      <c r="B580" s="0" t="s">
        <v>1085</v>
      </c>
      <c r="C580" s="0" t="s">
        <v>3339</v>
      </c>
    </row>
    <row r="581" customFormat="false" ht="15" hidden="false" customHeight="false" outlineLevel="0" collapsed="false">
      <c r="A581" s="0" t="s">
        <v>10</v>
      </c>
      <c r="B581" s="0" t="s">
        <v>1088</v>
      </c>
      <c r="C581" s="0" t="s">
        <v>3332</v>
      </c>
      <c r="D581" s="0" t="n">
        <v>52</v>
      </c>
    </row>
    <row r="582" customFormat="false" ht="15" hidden="false" customHeight="false" outlineLevel="0" collapsed="false">
      <c r="A582" s="0" t="s">
        <v>10</v>
      </c>
      <c r="B582" s="0" t="s">
        <v>1088</v>
      </c>
      <c r="C582" s="0" t="s">
        <v>3338</v>
      </c>
    </row>
    <row r="583" customFormat="false" ht="15" hidden="false" customHeight="false" outlineLevel="0" collapsed="false">
      <c r="A583" s="0" t="s">
        <v>10</v>
      </c>
      <c r="B583" s="0" t="s">
        <v>1088</v>
      </c>
      <c r="C583" s="0" t="s">
        <v>3339</v>
      </c>
    </row>
    <row r="584" customFormat="false" ht="15" hidden="false" customHeight="false" outlineLevel="0" collapsed="false">
      <c r="A584" s="0" t="s">
        <v>10</v>
      </c>
      <c r="B584" s="0" t="s">
        <v>1089</v>
      </c>
      <c r="C584" s="0" t="s">
        <v>3332</v>
      </c>
      <c r="D584" s="0" t="n">
        <v>57</v>
      </c>
    </row>
    <row r="585" customFormat="false" ht="15" hidden="false" customHeight="false" outlineLevel="0" collapsed="false">
      <c r="A585" s="0" t="s">
        <v>10</v>
      </c>
      <c r="B585" s="0" t="s">
        <v>1089</v>
      </c>
      <c r="C585" s="0" t="s">
        <v>3338</v>
      </c>
    </row>
    <row r="586" customFormat="false" ht="15" hidden="false" customHeight="false" outlineLevel="0" collapsed="false">
      <c r="A586" s="0" t="s">
        <v>10</v>
      </c>
      <c r="B586" s="0" t="s">
        <v>1089</v>
      </c>
      <c r="C586" s="0" t="s">
        <v>3339</v>
      </c>
    </row>
    <row r="587" customFormat="false" ht="15" hidden="false" customHeight="false" outlineLevel="0" collapsed="false">
      <c r="A587" s="0" t="s">
        <v>10</v>
      </c>
      <c r="B587" s="0" t="s">
        <v>1090</v>
      </c>
      <c r="C587" s="0" t="s">
        <v>3332</v>
      </c>
      <c r="D587" s="0" t="n">
        <v>61</v>
      </c>
    </row>
    <row r="588" customFormat="false" ht="15" hidden="false" customHeight="false" outlineLevel="0" collapsed="false">
      <c r="A588" s="0" t="s">
        <v>10</v>
      </c>
      <c r="B588" s="0" t="s">
        <v>1090</v>
      </c>
      <c r="C588" s="0" t="s">
        <v>3338</v>
      </c>
    </row>
    <row r="589" customFormat="false" ht="15" hidden="false" customHeight="false" outlineLevel="0" collapsed="false">
      <c r="A589" s="0" t="s">
        <v>10</v>
      </c>
      <c r="B589" s="0" t="s">
        <v>1090</v>
      </c>
      <c r="C589" s="0" t="s">
        <v>3339</v>
      </c>
    </row>
    <row r="590" customFormat="false" ht="15" hidden="false" customHeight="false" outlineLevel="0" collapsed="false">
      <c r="A590" s="0" t="s">
        <v>10</v>
      </c>
      <c r="B590" s="0" t="s">
        <v>1091</v>
      </c>
      <c r="C590" s="0" t="s">
        <v>3332</v>
      </c>
      <c r="D590" s="0" t="n">
        <v>64</v>
      </c>
    </row>
    <row r="591" customFormat="false" ht="15" hidden="false" customHeight="false" outlineLevel="0" collapsed="false">
      <c r="A591" s="0" t="s">
        <v>10</v>
      </c>
      <c r="B591" s="0" t="s">
        <v>1091</v>
      </c>
      <c r="C591" s="0" t="s">
        <v>3338</v>
      </c>
    </row>
    <row r="592" customFormat="false" ht="15" hidden="false" customHeight="false" outlineLevel="0" collapsed="false">
      <c r="A592" s="0" t="s">
        <v>10</v>
      </c>
      <c r="B592" s="0" t="s">
        <v>1091</v>
      </c>
      <c r="C592" s="0" t="s">
        <v>3339</v>
      </c>
    </row>
    <row r="593" customFormat="false" ht="15" hidden="false" customHeight="false" outlineLevel="0" collapsed="false">
      <c r="A593" s="0" t="s">
        <v>10</v>
      </c>
      <c r="B593" s="0" t="s">
        <v>1092</v>
      </c>
      <c r="C593" s="0" t="s">
        <v>3332</v>
      </c>
      <c r="D593" s="0" t="n">
        <v>0.85</v>
      </c>
    </row>
    <row r="594" customFormat="false" ht="15" hidden="false" customHeight="false" outlineLevel="0" collapsed="false">
      <c r="A594" s="0" t="s">
        <v>10</v>
      </c>
      <c r="B594" s="0" t="s">
        <v>1092</v>
      </c>
      <c r="C594" s="0" t="s">
        <v>3338</v>
      </c>
    </row>
    <row r="595" customFormat="false" ht="15" hidden="false" customHeight="false" outlineLevel="0" collapsed="false">
      <c r="A595" s="0" t="s">
        <v>10</v>
      </c>
      <c r="B595" s="0" t="s">
        <v>1092</v>
      </c>
      <c r="C595" s="0" t="s">
        <v>3339</v>
      </c>
    </row>
    <row r="596" customFormat="false" ht="15" hidden="false" customHeight="false" outlineLevel="0" collapsed="false">
      <c r="A596" s="0" t="s">
        <v>10</v>
      </c>
      <c r="B596" s="0" t="s">
        <v>1094</v>
      </c>
      <c r="C596" s="0" t="s">
        <v>3332</v>
      </c>
      <c r="D596" s="0" t="n">
        <v>1.15</v>
      </c>
    </row>
    <row r="597" customFormat="false" ht="15" hidden="false" customHeight="false" outlineLevel="0" collapsed="false">
      <c r="A597" s="0" t="s">
        <v>10</v>
      </c>
      <c r="B597" s="0" t="s">
        <v>1094</v>
      </c>
      <c r="C597" s="0" t="s">
        <v>3338</v>
      </c>
    </row>
    <row r="598" customFormat="false" ht="15" hidden="false" customHeight="false" outlineLevel="0" collapsed="false">
      <c r="A598" s="0" t="s">
        <v>10</v>
      </c>
      <c r="B598" s="0" t="s">
        <v>1094</v>
      </c>
      <c r="C598" s="0" t="s">
        <v>3339</v>
      </c>
    </row>
    <row r="599" customFormat="false" ht="15" hidden="false" customHeight="false" outlineLevel="0" collapsed="false">
      <c r="A599" s="0" t="s">
        <v>10</v>
      </c>
      <c r="B599" s="0" t="s">
        <v>1096</v>
      </c>
      <c r="C599" s="0" t="s">
        <v>3332</v>
      </c>
      <c r="D599" s="0" t="n">
        <v>3</v>
      </c>
    </row>
    <row r="600" customFormat="false" ht="15" hidden="false" customHeight="false" outlineLevel="0" collapsed="false">
      <c r="A600" s="0" t="s">
        <v>10</v>
      </c>
      <c r="B600" s="0" t="s">
        <v>1096</v>
      </c>
      <c r="C600" s="0" t="s">
        <v>3338</v>
      </c>
    </row>
    <row r="601" customFormat="false" ht="15" hidden="false" customHeight="false" outlineLevel="0" collapsed="false">
      <c r="A601" s="0" t="s">
        <v>10</v>
      </c>
      <c r="B601" s="0" t="s">
        <v>1096</v>
      </c>
      <c r="C601" s="0" t="s">
        <v>3339</v>
      </c>
    </row>
    <row r="602" customFormat="false" ht="15" hidden="false" customHeight="false" outlineLevel="0" collapsed="false">
      <c r="A602" s="0" t="s">
        <v>10</v>
      </c>
      <c r="B602" s="0" t="s">
        <v>1099</v>
      </c>
      <c r="C602" s="0" t="s">
        <v>3332</v>
      </c>
      <c r="D602" s="0" t="n">
        <v>14</v>
      </c>
    </row>
    <row r="603" customFormat="false" ht="15" hidden="false" customHeight="false" outlineLevel="0" collapsed="false">
      <c r="A603" s="0" t="s">
        <v>10</v>
      </c>
      <c r="B603" s="0" t="s">
        <v>1099</v>
      </c>
      <c r="C603" s="0" t="s">
        <v>3338</v>
      </c>
    </row>
    <row r="604" customFormat="false" ht="15" hidden="false" customHeight="false" outlineLevel="0" collapsed="false">
      <c r="A604" s="0" t="s">
        <v>10</v>
      </c>
      <c r="B604" s="0" t="s">
        <v>1099</v>
      </c>
      <c r="C604" s="0" t="s">
        <v>3339</v>
      </c>
    </row>
    <row r="605" customFormat="false" ht="15" hidden="false" customHeight="false" outlineLevel="0" collapsed="false">
      <c r="A605" s="0" t="s">
        <v>10</v>
      </c>
      <c r="B605" s="0" t="s">
        <v>1100</v>
      </c>
      <c r="C605" s="0" t="s">
        <v>3332</v>
      </c>
      <c r="D605" s="0" t="n">
        <v>26</v>
      </c>
    </row>
    <row r="606" customFormat="false" ht="15" hidden="false" customHeight="false" outlineLevel="0" collapsed="false">
      <c r="A606" s="0" t="s">
        <v>10</v>
      </c>
      <c r="B606" s="0" t="s">
        <v>1100</v>
      </c>
      <c r="C606" s="0" t="s">
        <v>3338</v>
      </c>
    </row>
    <row r="607" customFormat="false" ht="15" hidden="false" customHeight="false" outlineLevel="0" collapsed="false">
      <c r="A607" s="0" t="s">
        <v>10</v>
      </c>
      <c r="B607" s="0" t="s">
        <v>1100</v>
      </c>
      <c r="C607" s="0" t="s">
        <v>3339</v>
      </c>
    </row>
    <row r="608" customFormat="false" ht="15" hidden="false" customHeight="false" outlineLevel="0" collapsed="false">
      <c r="A608" s="0" t="s">
        <v>10</v>
      </c>
      <c r="B608" s="0" t="s">
        <v>1101</v>
      </c>
      <c r="C608" s="0" t="s">
        <v>3332</v>
      </c>
      <c r="D608" s="0" t="n">
        <v>38</v>
      </c>
    </row>
    <row r="609" customFormat="false" ht="15" hidden="false" customHeight="false" outlineLevel="0" collapsed="false">
      <c r="A609" s="0" t="s">
        <v>10</v>
      </c>
      <c r="B609" s="0" t="s">
        <v>1101</v>
      </c>
      <c r="C609" s="0" t="s">
        <v>3338</v>
      </c>
    </row>
    <row r="610" customFormat="false" ht="15" hidden="false" customHeight="false" outlineLevel="0" collapsed="false">
      <c r="A610" s="0" t="s">
        <v>10</v>
      </c>
      <c r="B610" s="0" t="s">
        <v>1101</v>
      </c>
      <c r="C610" s="0" t="s">
        <v>3339</v>
      </c>
    </row>
    <row r="611" customFormat="false" ht="15" hidden="false" customHeight="false" outlineLevel="0" collapsed="false">
      <c r="A611" s="0" t="s">
        <v>10</v>
      </c>
      <c r="B611" s="0" t="s">
        <v>1102</v>
      </c>
      <c r="C611" s="0" t="s">
        <v>3332</v>
      </c>
      <c r="D611" s="0" t="n">
        <v>48</v>
      </c>
    </row>
    <row r="612" customFormat="false" ht="15" hidden="false" customHeight="false" outlineLevel="0" collapsed="false">
      <c r="A612" s="0" t="s">
        <v>10</v>
      </c>
      <c r="B612" s="0" t="s">
        <v>1102</v>
      </c>
      <c r="C612" s="0" t="s">
        <v>3338</v>
      </c>
    </row>
    <row r="613" customFormat="false" ht="15" hidden="false" customHeight="false" outlineLevel="0" collapsed="false">
      <c r="A613" s="0" t="s">
        <v>10</v>
      </c>
      <c r="B613" s="0" t="s">
        <v>1102</v>
      </c>
      <c r="C613" s="0" t="s">
        <v>3339</v>
      </c>
    </row>
    <row r="614" customFormat="false" ht="15" hidden="false" customHeight="false" outlineLevel="0" collapsed="false">
      <c r="A614" s="0" t="s">
        <v>10</v>
      </c>
      <c r="B614" s="0" t="s">
        <v>1103</v>
      </c>
      <c r="C614" s="0" t="s">
        <v>3332</v>
      </c>
      <c r="D614" s="0" t="n">
        <v>56</v>
      </c>
    </row>
    <row r="615" customFormat="false" ht="15" hidden="false" customHeight="false" outlineLevel="0" collapsed="false">
      <c r="A615" s="0" t="s">
        <v>10</v>
      </c>
      <c r="B615" s="0" t="s">
        <v>1103</v>
      </c>
      <c r="C615" s="0" t="s">
        <v>3338</v>
      </c>
    </row>
    <row r="616" customFormat="false" ht="15" hidden="false" customHeight="false" outlineLevel="0" collapsed="false">
      <c r="A616" s="0" t="s">
        <v>10</v>
      </c>
      <c r="B616" s="0" t="s">
        <v>1103</v>
      </c>
      <c r="C616" s="0" t="s">
        <v>3339</v>
      </c>
    </row>
    <row r="617" customFormat="false" ht="15" hidden="false" customHeight="false" outlineLevel="0" collapsed="false">
      <c r="A617" s="0" t="s">
        <v>10</v>
      </c>
      <c r="B617" s="0" t="s">
        <v>1104</v>
      </c>
      <c r="C617" s="0" t="s">
        <v>3332</v>
      </c>
      <c r="D617" s="0" t="n">
        <v>0.7</v>
      </c>
    </row>
    <row r="618" customFormat="false" ht="15" hidden="false" customHeight="false" outlineLevel="0" collapsed="false">
      <c r="A618" s="0" t="s">
        <v>10</v>
      </c>
      <c r="B618" s="0" t="s">
        <v>1104</v>
      </c>
      <c r="C618" s="0" t="s">
        <v>3338</v>
      </c>
    </row>
    <row r="619" customFormat="false" ht="15" hidden="false" customHeight="false" outlineLevel="0" collapsed="false">
      <c r="A619" s="0" t="s">
        <v>10</v>
      </c>
      <c r="B619" s="0" t="s">
        <v>1104</v>
      </c>
      <c r="C619" s="0" t="s">
        <v>3339</v>
      </c>
    </row>
    <row r="620" customFormat="false" ht="15" hidden="false" customHeight="false" outlineLevel="0" collapsed="false">
      <c r="A620" s="0" t="s">
        <v>10</v>
      </c>
      <c r="B620" s="0" t="s">
        <v>1106</v>
      </c>
      <c r="C620" s="0" t="s">
        <v>3332</v>
      </c>
      <c r="D620" s="0" t="n">
        <v>1.3</v>
      </c>
    </row>
    <row r="621" customFormat="false" ht="15" hidden="false" customHeight="false" outlineLevel="0" collapsed="false">
      <c r="A621" s="0" t="s">
        <v>10</v>
      </c>
      <c r="B621" s="0" t="s">
        <v>1106</v>
      </c>
      <c r="C621" s="0" t="s">
        <v>3338</v>
      </c>
    </row>
    <row r="622" customFormat="false" ht="15" hidden="false" customHeight="false" outlineLevel="0" collapsed="false">
      <c r="A622" s="0" t="s">
        <v>10</v>
      </c>
      <c r="B622" s="0" t="s">
        <v>1106</v>
      </c>
      <c r="C622" s="0" t="s">
        <v>3339</v>
      </c>
    </row>
    <row r="623" customFormat="false" ht="15" hidden="false" customHeight="false" outlineLevel="0" collapsed="false">
      <c r="A623" s="0" t="s">
        <v>10</v>
      </c>
      <c r="B623" s="0" t="s">
        <v>1108</v>
      </c>
      <c r="C623" s="0" t="s">
        <v>3332</v>
      </c>
      <c r="D623" s="0" t="n">
        <v>6</v>
      </c>
    </row>
    <row r="624" customFormat="false" ht="15" hidden="false" customHeight="false" outlineLevel="0" collapsed="false">
      <c r="A624" s="0" t="s">
        <v>10</v>
      </c>
      <c r="B624" s="0" t="s">
        <v>1108</v>
      </c>
      <c r="C624" s="0" t="s">
        <v>3338</v>
      </c>
      <c r="D624" s="0" t="n">
        <v>4</v>
      </c>
    </row>
    <row r="625" customFormat="false" ht="15" hidden="false" customHeight="false" outlineLevel="0" collapsed="false">
      <c r="A625" s="0" t="s">
        <v>10</v>
      </c>
      <c r="B625" s="0" t="s">
        <v>1108</v>
      </c>
      <c r="C625" s="0" t="s">
        <v>3339</v>
      </c>
      <c r="D625" s="0" t="n">
        <v>8</v>
      </c>
    </row>
    <row r="626" customFormat="false" ht="15" hidden="false" customHeight="false" outlineLevel="0" collapsed="false">
      <c r="A626" s="0" t="s">
        <v>10</v>
      </c>
      <c r="B626" s="0" t="s">
        <v>1112</v>
      </c>
      <c r="C626" s="0" t="s">
        <v>3332</v>
      </c>
      <c r="D626" s="0" t="n">
        <v>19.5</v>
      </c>
    </row>
    <row r="627" customFormat="false" ht="15" hidden="false" customHeight="false" outlineLevel="0" collapsed="false">
      <c r="A627" s="0" t="s">
        <v>10</v>
      </c>
      <c r="B627" s="0" t="s">
        <v>1112</v>
      </c>
      <c r="C627" s="0" t="s">
        <v>3338</v>
      </c>
      <c r="D627" s="0" t="n">
        <v>18</v>
      </c>
    </row>
    <row r="628" customFormat="false" ht="15" hidden="false" customHeight="false" outlineLevel="0" collapsed="false">
      <c r="A628" s="0" t="s">
        <v>10</v>
      </c>
      <c r="B628" s="0" t="s">
        <v>1112</v>
      </c>
      <c r="C628" s="0" t="s">
        <v>3339</v>
      </c>
      <c r="D628" s="0" t="n">
        <v>20</v>
      </c>
    </row>
    <row r="629" customFormat="false" ht="15" hidden="false" customHeight="false" outlineLevel="0" collapsed="false">
      <c r="A629" s="0" t="s">
        <v>10</v>
      </c>
      <c r="B629" s="0" t="s">
        <v>1115</v>
      </c>
      <c r="C629" s="0" t="s">
        <v>3332</v>
      </c>
      <c r="D629" s="0" t="n">
        <v>19</v>
      </c>
    </row>
    <row r="630" customFormat="false" ht="15" hidden="false" customHeight="false" outlineLevel="0" collapsed="false">
      <c r="A630" s="0" t="s">
        <v>10</v>
      </c>
      <c r="B630" s="0" t="s">
        <v>1115</v>
      </c>
      <c r="C630" s="0" t="s">
        <v>3338</v>
      </c>
      <c r="D630" s="0" t="n">
        <v>17</v>
      </c>
    </row>
    <row r="631" customFormat="false" ht="15" hidden="false" customHeight="false" outlineLevel="0" collapsed="false">
      <c r="A631" s="0" t="s">
        <v>10</v>
      </c>
      <c r="B631" s="0" t="s">
        <v>1115</v>
      </c>
      <c r="C631" s="0" t="s">
        <v>3339</v>
      </c>
      <c r="D631" s="0" t="n">
        <v>20</v>
      </c>
    </row>
    <row r="632" customFormat="false" ht="15" hidden="false" customHeight="false" outlineLevel="0" collapsed="false">
      <c r="A632" s="0" t="s">
        <v>10</v>
      </c>
      <c r="B632" s="0" t="s">
        <v>1117</v>
      </c>
      <c r="C632" s="0" t="s">
        <v>3332</v>
      </c>
      <c r="D632" s="0" t="n">
        <v>200</v>
      </c>
    </row>
    <row r="633" customFormat="false" ht="15" hidden="false" customHeight="false" outlineLevel="0" collapsed="false">
      <c r="A633" s="0" t="s">
        <v>10</v>
      </c>
      <c r="B633" s="0" t="s">
        <v>1117</v>
      </c>
      <c r="C633" s="0" t="s">
        <v>3338</v>
      </c>
      <c r="D633" s="0" t="n">
        <v>200</v>
      </c>
    </row>
    <row r="634" customFormat="false" ht="15" hidden="false" customHeight="false" outlineLevel="0" collapsed="false">
      <c r="A634" s="0" t="s">
        <v>10</v>
      </c>
      <c r="B634" s="0" t="s">
        <v>1117</v>
      </c>
      <c r="C634" s="0" t="s">
        <v>3339</v>
      </c>
      <c r="D634" s="0" t="n">
        <v>200</v>
      </c>
    </row>
    <row r="635" customFormat="false" ht="15" hidden="false" customHeight="false" outlineLevel="0" collapsed="false">
      <c r="A635" s="0" t="s">
        <v>10</v>
      </c>
      <c r="B635" s="0" t="s">
        <v>1120</v>
      </c>
      <c r="C635" s="0" t="s">
        <v>3332</v>
      </c>
      <c r="D635" s="0" t="n">
        <v>150</v>
      </c>
    </row>
    <row r="636" customFormat="false" ht="15" hidden="false" customHeight="false" outlineLevel="0" collapsed="false">
      <c r="A636" s="0" t="s">
        <v>10</v>
      </c>
      <c r="B636" s="0" t="s">
        <v>1120</v>
      </c>
      <c r="C636" s="0" t="s">
        <v>3338</v>
      </c>
      <c r="D636" s="0" t="n">
        <v>120</v>
      </c>
    </row>
    <row r="637" customFormat="false" ht="15" hidden="false" customHeight="false" outlineLevel="0" collapsed="false">
      <c r="A637" s="0" t="s">
        <v>10</v>
      </c>
      <c r="B637" s="0" t="s">
        <v>1120</v>
      </c>
      <c r="C637" s="0" t="s">
        <v>3339</v>
      </c>
      <c r="D637" s="0" t="n">
        <v>190</v>
      </c>
    </row>
    <row r="638" customFormat="false" ht="15" hidden="false" customHeight="false" outlineLevel="0" collapsed="false">
      <c r="A638" s="0" t="s">
        <v>10</v>
      </c>
      <c r="B638" s="0" t="s">
        <v>1121</v>
      </c>
      <c r="C638" s="0" t="s">
        <v>3332</v>
      </c>
      <c r="D638" s="0" t="n">
        <v>30</v>
      </c>
    </row>
    <row r="639" customFormat="false" ht="15" hidden="false" customHeight="false" outlineLevel="0" collapsed="false">
      <c r="A639" s="0" t="s">
        <v>10</v>
      </c>
      <c r="B639" s="0" t="s">
        <v>1121</v>
      </c>
      <c r="C639" s="0" t="s">
        <v>3338</v>
      </c>
      <c r="D639" s="0" t="n">
        <v>22</v>
      </c>
    </row>
    <row r="640" customFormat="false" ht="15" hidden="false" customHeight="false" outlineLevel="0" collapsed="false">
      <c r="A640" s="0" t="s">
        <v>10</v>
      </c>
      <c r="B640" s="0" t="s">
        <v>1121</v>
      </c>
      <c r="C640" s="0" t="s">
        <v>3339</v>
      </c>
      <c r="D640" s="0" t="n">
        <v>45</v>
      </c>
    </row>
    <row r="641" customFormat="false" ht="15" hidden="false" customHeight="false" outlineLevel="0" collapsed="false">
      <c r="A641" s="0" t="s">
        <v>10</v>
      </c>
      <c r="B641" s="0" t="s">
        <v>1124</v>
      </c>
      <c r="C641" s="0" t="s">
        <v>3332</v>
      </c>
      <c r="D641" s="0" t="n">
        <v>1.7</v>
      </c>
    </row>
    <row r="642" customFormat="false" ht="15" hidden="false" customHeight="false" outlineLevel="0" collapsed="false">
      <c r="A642" s="0" t="s">
        <v>10</v>
      </c>
      <c r="B642" s="0" t="s">
        <v>1124</v>
      </c>
      <c r="C642" s="0" t="s">
        <v>3338</v>
      </c>
    </row>
    <row r="643" customFormat="false" ht="15" hidden="false" customHeight="false" outlineLevel="0" collapsed="false">
      <c r="A643" s="0" t="s">
        <v>10</v>
      </c>
      <c r="B643" s="0" t="s">
        <v>1124</v>
      </c>
      <c r="C643" s="0" t="s">
        <v>3339</v>
      </c>
    </row>
    <row r="644" customFormat="false" ht="15" hidden="false" customHeight="false" outlineLevel="0" collapsed="false">
      <c r="A644" s="0" t="s">
        <v>10</v>
      </c>
      <c r="B644" s="0" t="s">
        <v>1129</v>
      </c>
      <c r="C644" s="0" t="s">
        <v>3332</v>
      </c>
      <c r="D644" s="0" t="n">
        <v>1.7</v>
      </c>
    </row>
    <row r="645" customFormat="false" ht="15" hidden="false" customHeight="false" outlineLevel="0" collapsed="false">
      <c r="A645" s="0" t="s">
        <v>10</v>
      </c>
      <c r="B645" s="0" t="s">
        <v>1129</v>
      </c>
      <c r="C645" s="0" t="s">
        <v>3338</v>
      </c>
    </row>
    <row r="646" customFormat="false" ht="15" hidden="false" customHeight="false" outlineLevel="0" collapsed="false">
      <c r="A646" s="0" t="s">
        <v>10</v>
      </c>
      <c r="B646" s="0" t="s">
        <v>1129</v>
      </c>
      <c r="C646" s="0" t="s">
        <v>3339</v>
      </c>
    </row>
    <row r="647" customFormat="false" ht="15" hidden="false" customHeight="false" outlineLevel="0" collapsed="false">
      <c r="A647" s="0" t="s">
        <v>10</v>
      </c>
      <c r="B647" s="0" t="s">
        <v>1130</v>
      </c>
      <c r="C647" s="0" t="s">
        <v>3332</v>
      </c>
      <c r="D647" s="0" t="n">
        <v>5.3</v>
      </c>
    </row>
    <row r="648" customFormat="false" ht="15" hidden="false" customHeight="false" outlineLevel="0" collapsed="false">
      <c r="A648" s="0" t="s">
        <v>10</v>
      </c>
      <c r="B648" s="0" t="s">
        <v>1130</v>
      </c>
      <c r="C648" s="0" t="s">
        <v>3338</v>
      </c>
    </row>
    <row r="649" customFormat="false" ht="15" hidden="false" customHeight="false" outlineLevel="0" collapsed="false">
      <c r="A649" s="0" t="s">
        <v>10</v>
      </c>
      <c r="B649" s="0" t="s">
        <v>1130</v>
      </c>
      <c r="C649" s="0" t="s">
        <v>3339</v>
      </c>
    </row>
    <row r="650" customFormat="false" ht="15" hidden="false" customHeight="false" outlineLevel="0" collapsed="false">
      <c r="A650" s="0" t="s">
        <v>10</v>
      </c>
      <c r="B650" s="0" t="s">
        <v>1133</v>
      </c>
      <c r="C650" s="0" t="s">
        <v>3332</v>
      </c>
      <c r="D650" s="0" t="n">
        <v>5.7</v>
      </c>
    </row>
    <row r="651" customFormat="false" ht="15" hidden="false" customHeight="false" outlineLevel="0" collapsed="false">
      <c r="A651" s="0" t="s">
        <v>10</v>
      </c>
      <c r="B651" s="0" t="s">
        <v>1133</v>
      </c>
      <c r="C651" s="0" t="s">
        <v>3338</v>
      </c>
    </row>
    <row r="652" customFormat="false" ht="15" hidden="false" customHeight="false" outlineLevel="0" collapsed="false">
      <c r="A652" s="0" t="s">
        <v>10</v>
      </c>
      <c r="B652" s="0" t="s">
        <v>1133</v>
      </c>
      <c r="C652" s="0" t="s">
        <v>3339</v>
      </c>
    </row>
    <row r="653" customFormat="false" ht="15" hidden="false" customHeight="false" outlineLevel="0" collapsed="false">
      <c r="A653" s="0" t="s">
        <v>10</v>
      </c>
      <c r="B653" s="0" t="s">
        <v>1134</v>
      </c>
      <c r="C653" s="0" t="s">
        <v>3332</v>
      </c>
      <c r="D653" s="0" t="n">
        <v>13.4</v>
      </c>
    </row>
    <row r="654" customFormat="false" ht="15" hidden="false" customHeight="false" outlineLevel="0" collapsed="false">
      <c r="A654" s="0" t="s">
        <v>10</v>
      </c>
      <c r="B654" s="0" t="s">
        <v>1134</v>
      </c>
      <c r="C654" s="0" t="s">
        <v>3338</v>
      </c>
    </row>
    <row r="655" customFormat="false" ht="15" hidden="false" customHeight="false" outlineLevel="0" collapsed="false">
      <c r="A655" s="0" t="s">
        <v>10</v>
      </c>
      <c r="B655" s="0" t="s">
        <v>1134</v>
      </c>
      <c r="C655" s="0" t="s">
        <v>3339</v>
      </c>
    </row>
    <row r="656" customFormat="false" ht="15" hidden="false" customHeight="false" outlineLevel="0" collapsed="false">
      <c r="A656" s="0" t="s">
        <v>10</v>
      </c>
      <c r="B656" s="0" t="s">
        <v>1137</v>
      </c>
      <c r="C656" s="0" t="s">
        <v>3332</v>
      </c>
      <c r="D656" s="0" t="n">
        <v>17.9</v>
      </c>
    </row>
    <row r="657" customFormat="false" ht="15" hidden="false" customHeight="false" outlineLevel="0" collapsed="false">
      <c r="A657" s="0" t="s">
        <v>10</v>
      </c>
      <c r="B657" s="0" t="s">
        <v>1137</v>
      </c>
      <c r="C657" s="0" t="s">
        <v>3338</v>
      </c>
    </row>
    <row r="658" customFormat="false" ht="15" hidden="false" customHeight="false" outlineLevel="0" collapsed="false">
      <c r="A658" s="0" t="s">
        <v>10</v>
      </c>
      <c r="B658" s="0" t="s">
        <v>1137</v>
      </c>
      <c r="C658" s="0" t="s">
        <v>3339</v>
      </c>
    </row>
    <row r="659" customFormat="false" ht="15" hidden="false" customHeight="false" outlineLevel="0" collapsed="false">
      <c r="A659" s="0" t="s">
        <v>10</v>
      </c>
      <c r="B659" s="0" t="s">
        <v>1138</v>
      </c>
      <c r="C659" s="0" t="s">
        <v>3332</v>
      </c>
      <c r="D659" s="0" t="n">
        <v>41</v>
      </c>
    </row>
    <row r="660" customFormat="false" ht="15" hidden="false" customHeight="false" outlineLevel="0" collapsed="false">
      <c r="A660" s="0" t="s">
        <v>10</v>
      </c>
      <c r="B660" s="0" t="s">
        <v>1138</v>
      </c>
      <c r="C660" s="0" t="s">
        <v>3338</v>
      </c>
    </row>
    <row r="661" customFormat="false" ht="15" hidden="false" customHeight="false" outlineLevel="0" collapsed="false">
      <c r="A661" s="0" t="s">
        <v>10</v>
      </c>
      <c r="B661" s="0" t="s">
        <v>1138</v>
      </c>
      <c r="C661" s="0" t="s">
        <v>3339</v>
      </c>
    </row>
    <row r="662" customFormat="false" ht="15" hidden="false" customHeight="false" outlineLevel="0" collapsed="false">
      <c r="A662" s="0" t="s">
        <v>10</v>
      </c>
      <c r="B662" s="0" t="s">
        <v>1141</v>
      </c>
      <c r="C662" s="0" t="s">
        <v>3332</v>
      </c>
      <c r="D662" s="0" t="n">
        <v>51.4</v>
      </c>
    </row>
    <row r="663" customFormat="false" ht="15" hidden="false" customHeight="false" outlineLevel="0" collapsed="false">
      <c r="A663" s="0" t="s">
        <v>10</v>
      </c>
      <c r="B663" s="0" t="s">
        <v>1141</v>
      </c>
      <c r="C663" s="0" t="s">
        <v>3338</v>
      </c>
    </row>
    <row r="664" customFormat="false" ht="15" hidden="false" customHeight="false" outlineLevel="0" collapsed="false">
      <c r="A664" s="0" t="s">
        <v>10</v>
      </c>
      <c r="B664" s="0" t="s">
        <v>1141</v>
      </c>
      <c r="C664" s="0" t="s">
        <v>3339</v>
      </c>
    </row>
    <row r="665" customFormat="false" ht="15" hidden="false" customHeight="false" outlineLevel="0" collapsed="false">
      <c r="A665" s="0" t="s">
        <v>10</v>
      </c>
      <c r="B665" s="0" t="s">
        <v>1142</v>
      </c>
      <c r="C665" s="0" t="s">
        <v>3332</v>
      </c>
      <c r="D665" s="0" t="n">
        <v>10.7</v>
      </c>
    </row>
    <row r="666" customFormat="false" ht="15" hidden="false" customHeight="false" outlineLevel="0" collapsed="false">
      <c r="A666" s="0" t="s">
        <v>10</v>
      </c>
      <c r="B666" s="0" t="s">
        <v>1142</v>
      </c>
      <c r="C666" s="0" t="s">
        <v>3338</v>
      </c>
    </row>
    <row r="667" customFormat="false" ht="15" hidden="false" customHeight="false" outlineLevel="0" collapsed="false">
      <c r="A667" s="0" t="s">
        <v>10</v>
      </c>
      <c r="B667" s="0" t="s">
        <v>1142</v>
      </c>
      <c r="C667" s="0" t="s">
        <v>3339</v>
      </c>
    </row>
    <row r="668" customFormat="false" ht="15" hidden="false" customHeight="false" outlineLevel="0" collapsed="false">
      <c r="A668" s="0" t="s">
        <v>10</v>
      </c>
      <c r="B668" s="0" t="s">
        <v>1145</v>
      </c>
      <c r="C668" s="0" t="s">
        <v>3332</v>
      </c>
      <c r="D668" s="0" t="n">
        <v>14.3</v>
      </c>
    </row>
    <row r="669" customFormat="false" ht="15" hidden="false" customHeight="false" outlineLevel="0" collapsed="false">
      <c r="A669" s="0" t="s">
        <v>10</v>
      </c>
      <c r="B669" s="0" t="s">
        <v>1145</v>
      </c>
      <c r="C669" s="0" t="s">
        <v>3338</v>
      </c>
    </row>
    <row r="670" customFormat="false" ht="15" hidden="false" customHeight="false" outlineLevel="0" collapsed="false">
      <c r="A670" s="0" t="s">
        <v>10</v>
      </c>
      <c r="B670" s="0" t="s">
        <v>1145</v>
      </c>
      <c r="C670" s="0" t="s">
        <v>3339</v>
      </c>
    </row>
    <row r="671" customFormat="false" ht="15" hidden="false" customHeight="false" outlineLevel="0" collapsed="false">
      <c r="A671" s="0" t="s">
        <v>10</v>
      </c>
      <c r="B671" s="0" t="s">
        <v>1146</v>
      </c>
      <c r="C671" s="0" t="s">
        <v>3332</v>
      </c>
      <c r="D671" s="0" t="n">
        <v>2</v>
      </c>
    </row>
    <row r="672" customFormat="false" ht="15" hidden="false" customHeight="false" outlineLevel="0" collapsed="false">
      <c r="A672" s="0" t="s">
        <v>10</v>
      </c>
      <c r="B672" s="0" t="s">
        <v>1146</v>
      </c>
      <c r="C672" s="0" t="s">
        <v>3338</v>
      </c>
    </row>
    <row r="673" customFormat="false" ht="15" hidden="false" customHeight="false" outlineLevel="0" collapsed="false">
      <c r="A673" s="0" t="s">
        <v>10</v>
      </c>
      <c r="B673" s="0" t="s">
        <v>1146</v>
      </c>
      <c r="C673" s="0" t="s">
        <v>3339</v>
      </c>
    </row>
    <row r="674" customFormat="false" ht="15" hidden="false" customHeight="false" outlineLevel="0" collapsed="false">
      <c r="A674" s="0" t="s">
        <v>10</v>
      </c>
      <c r="B674" s="0" t="s">
        <v>1149</v>
      </c>
      <c r="C674" s="0" t="s">
        <v>3332</v>
      </c>
      <c r="D674" s="0" t="n">
        <v>2.94</v>
      </c>
    </row>
    <row r="675" customFormat="false" ht="15" hidden="false" customHeight="false" outlineLevel="0" collapsed="false">
      <c r="A675" s="0" t="s">
        <v>10</v>
      </c>
      <c r="B675" s="0" t="s">
        <v>1149</v>
      </c>
      <c r="C675" s="0" t="s">
        <v>3338</v>
      </c>
    </row>
    <row r="676" customFormat="false" ht="15" hidden="false" customHeight="false" outlineLevel="0" collapsed="false">
      <c r="A676" s="0" t="s">
        <v>10</v>
      </c>
      <c r="B676" s="0" t="s">
        <v>1149</v>
      </c>
      <c r="C676" s="0" t="s">
        <v>3339</v>
      </c>
    </row>
    <row r="677" customFormat="false" ht="15" hidden="false" customHeight="false" outlineLevel="0" collapsed="false">
      <c r="A677" s="0" t="s">
        <v>10</v>
      </c>
      <c r="B677" s="0" t="s">
        <v>1150</v>
      </c>
      <c r="C677" s="0" t="s">
        <v>3332</v>
      </c>
      <c r="D677" s="0" t="n">
        <v>3</v>
      </c>
    </row>
    <row r="678" customFormat="false" ht="15" hidden="false" customHeight="false" outlineLevel="0" collapsed="false">
      <c r="A678" s="0" t="s">
        <v>10</v>
      </c>
      <c r="B678" s="0" t="s">
        <v>1150</v>
      </c>
      <c r="C678" s="0" t="s">
        <v>3338</v>
      </c>
    </row>
    <row r="679" customFormat="false" ht="15" hidden="false" customHeight="false" outlineLevel="0" collapsed="false">
      <c r="A679" s="0" t="s">
        <v>10</v>
      </c>
      <c r="B679" s="0" t="s">
        <v>1150</v>
      </c>
      <c r="C679" s="0" t="s">
        <v>3339</v>
      </c>
    </row>
    <row r="680" customFormat="false" ht="15" hidden="false" customHeight="false" outlineLevel="0" collapsed="false">
      <c r="A680" s="0" t="s">
        <v>10</v>
      </c>
      <c r="B680" s="0" t="s">
        <v>1153</v>
      </c>
      <c r="C680" s="0" t="s">
        <v>3332</v>
      </c>
      <c r="D680" s="0" t="n">
        <v>4.39</v>
      </c>
    </row>
    <row r="681" customFormat="false" ht="15" hidden="false" customHeight="false" outlineLevel="0" collapsed="false">
      <c r="A681" s="0" t="s">
        <v>10</v>
      </c>
      <c r="B681" s="0" t="s">
        <v>1153</v>
      </c>
      <c r="C681" s="0" t="s">
        <v>3338</v>
      </c>
    </row>
    <row r="682" customFormat="false" ht="15" hidden="false" customHeight="false" outlineLevel="0" collapsed="false">
      <c r="A682" s="0" t="s">
        <v>10</v>
      </c>
      <c r="B682" s="0" t="s">
        <v>1153</v>
      </c>
      <c r="C682" s="0" t="s">
        <v>3339</v>
      </c>
    </row>
    <row r="683" customFormat="false" ht="15" hidden="false" customHeight="false" outlineLevel="0" collapsed="false">
      <c r="A683" s="0" t="s">
        <v>10</v>
      </c>
      <c r="B683" s="0" t="s">
        <v>1154</v>
      </c>
      <c r="C683" s="0" t="s">
        <v>3332</v>
      </c>
      <c r="D683" s="0" t="n">
        <v>4</v>
      </c>
    </row>
    <row r="684" customFormat="false" ht="15" hidden="false" customHeight="false" outlineLevel="0" collapsed="false">
      <c r="A684" s="0" t="s">
        <v>10</v>
      </c>
      <c r="B684" s="0" t="s">
        <v>1154</v>
      </c>
      <c r="C684" s="0" t="s">
        <v>3338</v>
      </c>
    </row>
    <row r="685" customFormat="false" ht="15" hidden="false" customHeight="false" outlineLevel="0" collapsed="false">
      <c r="A685" s="0" t="s">
        <v>10</v>
      </c>
      <c r="B685" s="0" t="s">
        <v>1154</v>
      </c>
      <c r="C685" s="0" t="s">
        <v>3339</v>
      </c>
    </row>
    <row r="686" customFormat="false" ht="15" hidden="false" customHeight="false" outlineLevel="0" collapsed="false">
      <c r="A686" s="0" t="s">
        <v>10</v>
      </c>
      <c r="B686" s="0" t="s">
        <v>1157</v>
      </c>
      <c r="C686" s="0" t="s">
        <v>3332</v>
      </c>
      <c r="D686" s="0" t="n">
        <v>6.15</v>
      </c>
    </row>
    <row r="687" customFormat="false" ht="15" hidden="false" customHeight="false" outlineLevel="0" collapsed="false">
      <c r="A687" s="0" t="s">
        <v>10</v>
      </c>
      <c r="B687" s="0" t="s">
        <v>1157</v>
      </c>
      <c r="C687" s="0" t="s">
        <v>3338</v>
      </c>
    </row>
    <row r="688" customFormat="false" ht="15" hidden="false" customHeight="false" outlineLevel="0" collapsed="false">
      <c r="A688" s="0" t="s">
        <v>10</v>
      </c>
      <c r="B688" s="0" t="s">
        <v>1157</v>
      </c>
      <c r="C688" s="0" t="s">
        <v>3339</v>
      </c>
    </row>
    <row r="689" customFormat="false" ht="15" hidden="false" customHeight="false" outlineLevel="0" collapsed="false">
      <c r="A689" s="0" t="s">
        <v>10</v>
      </c>
      <c r="B689" s="0" t="s">
        <v>1158</v>
      </c>
      <c r="C689" s="0" t="s">
        <v>3332</v>
      </c>
      <c r="D689" s="0" t="n">
        <v>10</v>
      </c>
    </row>
    <row r="690" customFormat="false" ht="15" hidden="false" customHeight="false" outlineLevel="0" collapsed="false">
      <c r="A690" s="0" t="s">
        <v>10</v>
      </c>
      <c r="B690" s="0" t="s">
        <v>1158</v>
      </c>
      <c r="C690" s="0" t="s">
        <v>3338</v>
      </c>
    </row>
    <row r="691" customFormat="false" ht="15" hidden="false" customHeight="false" outlineLevel="0" collapsed="false">
      <c r="A691" s="0" t="s">
        <v>10</v>
      </c>
      <c r="B691" s="0" t="s">
        <v>1158</v>
      </c>
      <c r="C691" s="0" t="s">
        <v>3339</v>
      </c>
    </row>
    <row r="692" customFormat="false" ht="15" hidden="false" customHeight="false" outlineLevel="0" collapsed="false">
      <c r="A692" s="0" t="s">
        <v>10</v>
      </c>
      <c r="B692" s="0" t="s">
        <v>1161</v>
      </c>
      <c r="C692" s="0" t="s">
        <v>3332</v>
      </c>
      <c r="D692" s="0" t="n">
        <v>15.6</v>
      </c>
    </row>
    <row r="693" customFormat="false" ht="15" hidden="false" customHeight="false" outlineLevel="0" collapsed="false">
      <c r="A693" s="0" t="s">
        <v>10</v>
      </c>
      <c r="B693" s="0" t="s">
        <v>1161</v>
      </c>
      <c r="C693" s="0" t="s">
        <v>3338</v>
      </c>
    </row>
    <row r="694" customFormat="false" ht="15" hidden="false" customHeight="false" outlineLevel="0" collapsed="false">
      <c r="A694" s="0" t="s">
        <v>10</v>
      </c>
      <c r="B694" s="0" t="s">
        <v>1161</v>
      </c>
      <c r="C694" s="0" t="s">
        <v>3339</v>
      </c>
    </row>
    <row r="695" customFormat="false" ht="15" hidden="false" customHeight="false" outlineLevel="0" collapsed="false">
      <c r="A695" s="0" t="s">
        <v>10</v>
      </c>
      <c r="B695" s="0" t="s">
        <v>1162</v>
      </c>
      <c r="C695" s="0" t="s">
        <v>3332</v>
      </c>
      <c r="D695" s="0" t="n">
        <v>4</v>
      </c>
    </row>
    <row r="696" customFormat="false" ht="15" hidden="false" customHeight="false" outlineLevel="0" collapsed="false">
      <c r="A696" s="0" t="s">
        <v>10</v>
      </c>
      <c r="B696" s="0" t="s">
        <v>1162</v>
      </c>
      <c r="C696" s="0" t="s">
        <v>3338</v>
      </c>
    </row>
    <row r="697" customFormat="false" ht="15" hidden="false" customHeight="false" outlineLevel="0" collapsed="false">
      <c r="A697" s="0" t="s">
        <v>10</v>
      </c>
      <c r="B697" s="0" t="s">
        <v>1162</v>
      </c>
      <c r="C697" s="0" t="s">
        <v>3339</v>
      </c>
    </row>
    <row r="698" customFormat="false" ht="15" hidden="false" customHeight="false" outlineLevel="0" collapsed="false">
      <c r="A698" s="0" t="s">
        <v>10</v>
      </c>
      <c r="B698" s="0" t="s">
        <v>1165</v>
      </c>
      <c r="C698" s="0" t="s">
        <v>3332</v>
      </c>
      <c r="D698" s="0" t="n">
        <v>5.94</v>
      </c>
    </row>
    <row r="699" customFormat="false" ht="15" hidden="false" customHeight="false" outlineLevel="0" collapsed="false">
      <c r="A699" s="0" t="s">
        <v>10</v>
      </c>
      <c r="B699" s="0" t="s">
        <v>1165</v>
      </c>
      <c r="C699" s="0" t="s">
        <v>3338</v>
      </c>
    </row>
    <row r="700" customFormat="false" ht="15" hidden="false" customHeight="false" outlineLevel="0" collapsed="false">
      <c r="A700" s="0" t="s">
        <v>10</v>
      </c>
      <c r="B700" s="0" t="s">
        <v>1165</v>
      </c>
      <c r="C700" s="0" t="s">
        <v>3339</v>
      </c>
    </row>
    <row r="701" customFormat="false" ht="15" hidden="false" customHeight="false" outlineLevel="0" collapsed="false">
      <c r="A701" s="0" t="s">
        <v>10</v>
      </c>
      <c r="B701" s="0" t="s">
        <v>1166</v>
      </c>
      <c r="C701" s="0" t="s">
        <v>3332</v>
      </c>
      <c r="D701" s="0" t="n">
        <v>0.1</v>
      </c>
    </row>
    <row r="702" customFormat="false" ht="15" hidden="false" customHeight="false" outlineLevel="0" collapsed="false">
      <c r="A702" s="0" t="s">
        <v>10</v>
      </c>
      <c r="B702" s="0" t="s">
        <v>1166</v>
      </c>
      <c r="C702" s="0" t="s">
        <v>3338</v>
      </c>
      <c r="D702" s="0" t="n">
        <v>0.05</v>
      </c>
    </row>
    <row r="703" customFormat="false" ht="15" hidden="false" customHeight="false" outlineLevel="0" collapsed="false">
      <c r="A703" s="0" t="s">
        <v>10</v>
      </c>
      <c r="B703" s="0" t="s">
        <v>1166</v>
      </c>
      <c r="C703" s="0" t="s">
        <v>3339</v>
      </c>
      <c r="D703" s="0" t="n">
        <v>0.2</v>
      </c>
    </row>
    <row r="704" customFormat="false" ht="15" hidden="false" customHeight="false" outlineLevel="0" collapsed="false">
      <c r="A704" s="0" t="s">
        <v>10</v>
      </c>
      <c r="B704" s="0" t="s">
        <v>1169</v>
      </c>
      <c r="C704" s="0" t="s">
        <v>3332</v>
      </c>
      <c r="D704" s="0" t="n">
        <v>0.15</v>
      </c>
    </row>
    <row r="705" customFormat="false" ht="15" hidden="false" customHeight="false" outlineLevel="0" collapsed="false">
      <c r="A705" s="0" t="s">
        <v>10</v>
      </c>
      <c r="B705" s="0" t="s">
        <v>1169</v>
      </c>
      <c r="C705" s="0" t="s">
        <v>3338</v>
      </c>
      <c r="D705" s="0" t="n">
        <v>0.1</v>
      </c>
    </row>
    <row r="706" customFormat="false" ht="15" hidden="false" customHeight="false" outlineLevel="0" collapsed="false">
      <c r="A706" s="0" t="s">
        <v>10</v>
      </c>
      <c r="B706" s="0" t="s">
        <v>1169</v>
      </c>
      <c r="C706" s="0" t="s">
        <v>3339</v>
      </c>
      <c r="D706" s="0" t="n">
        <v>0.25</v>
      </c>
    </row>
    <row r="707" customFormat="false" ht="15" hidden="false" customHeight="false" outlineLevel="0" collapsed="false">
      <c r="A707" s="0" t="s">
        <v>10</v>
      </c>
      <c r="B707" s="0" t="s">
        <v>1173</v>
      </c>
      <c r="C707" s="0" t="s">
        <v>3332</v>
      </c>
      <c r="D707" s="0" t="n">
        <v>0</v>
      </c>
    </row>
    <row r="708" customFormat="false" ht="15" hidden="false" customHeight="false" outlineLevel="0" collapsed="false">
      <c r="A708" s="0" t="s">
        <v>10</v>
      </c>
      <c r="B708" s="0" t="s">
        <v>1173</v>
      </c>
      <c r="C708" s="0" t="s">
        <v>3338</v>
      </c>
      <c r="D708" s="0" t="n">
        <v>0</v>
      </c>
    </row>
    <row r="709" customFormat="false" ht="15" hidden="false" customHeight="false" outlineLevel="0" collapsed="false">
      <c r="A709" s="0" t="s">
        <v>10</v>
      </c>
      <c r="B709" s="0" t="s">
        <v>1173</v>
      </c>
      <c r="C709" s="0" t="s">
        <v>3339</v>
      </c>
      <c r="D709" s="0" t="n">
        <v>0</v>
      </c>
    </row>
    <row r="710" customFormat="false" ht="15" hidden="false" customHeight="false" outlineLevel="0" collapsed="false">
      <c r="A710" s="0" t="s">
        <v>10</v>
      </c>
      <c r="B710" s="0" t="s">
        <v>1178</v>
      </c>
      <c r="C710" s="0" t="s">
        <v>3332</v>
      </c>
      <c r="D710" s="0" t="n">
        <v>0.25</v>
      </c>
    </row>
    <row r="711" customFormat="false" ht="15" hidden="false" customHeight="false" outlineLevel="0" collapsed="false">
      <c r="A711" s="0" t="s">
        <v>10</v>
      </c>
      <c r="B711" s="0" t="s">
        <v>1178</v>
      </c>
      <c r="C711" s="0" t="s">
        <v>3338</v>
      </c>
      <c r="D711" s="0" t="n">
        <v>0.15</v>
      </c>
    </row>
    <row r="712" customFormat="false" ht="15" hidden="false" customHeight="false" outlineLevel="0" collapsed="false">
      <c r="A712" s="0" t="s">
        <v>10</v>
      </c>
      <c r="B712" s="0" t="s">
        <v>1178</v>
      </c>
      <c r="C712" s="0" t="s">
        <v>3339</v>
      </c>
      <c r="D712" s="0" t="n">
        <v>0.35</v>
      </c>
    </row>
    <row r="713" customFormat="false" ht="15" hidden="false" customHeight="false" outlineLevel="0" collapsed="false">
      <c r="A713" s="0" t="s">
        <v>10</v>
      </c>
      <c r="B713" s="0" t="s">
        <v>1179</v>
      </c>
      <c r="C713" s="0" t="s">
        <v>3332</v>
      </c>
      <c r="D713" s="0" t="n">
        <v>0.35</v>
      </c>
    </row>
    <row r="714" customFormat="false" ht="15" hidden="false" customHeight="false" outlineLevel="0" collapsed="false">
      <c r="A714" s="0" t="s">
        <v>10</v>
      </c>
      <c r="B714" s="0" t="s">
        <v>1179</v>
      </c>
      <c r="C714" s="0" t="s">
        <v>3338</v>
      </c>
      <c r="D714" s="0" t="n">
        <v>0.25</v>
      </c>
    </row>
    <row r="715" customFormat="false" ht="15" hidden="false" customHeight="false" outlineLevel="0" collapsed="false">
      <c r="A715" s="0" t="s">
        <v>10</v>
      </c>
      <c r="B715" s="0" t="s">
        <v>1179</v>
      </c>
      <c r="C715" s="0" t="s">
        <v>3339</v>
      </c>
      <c r="D715" s="0" t="n">
        <v>0.5</v>
      </c>
    </row>
    <row r="716" customFormat="false" ht="15" hidden="false" customHeight="false" outlineLevel="0" collapsed="false">
      <c r="A716" s="0" t="s">
        <v>10</v>
      </c>
      <c r="B716" s="0" t="s">
        <v>1180</v>
      </c>
      <c r="C716" s="0" t="s">
        <v>3332</v>
      </c>
      <c r="D716" s="0" t="n">
        <v>0.4</v>
      </c>
    </row>
    <row r="717" customFormat="false" ht="15" hidden="false" customHeight="false" outlineLevel="0" collapsed="false">
      <c r="A717" s="0" t="s">
        <v>10</v>
      </c>
      <c r="B717" s="0" t="s">
        <v>1180</v>
      </c>
      <c r="C717" s="0" t="s">
        <v>3338</v>
      </c>
      <c r="D717" s="0" t="n">
        <v>0.3</v>
      </c>
    </row>
    <row r="718" customFormat="false" ht="15" hidden="false" customHeight="false" outlineLevel="0" collapsed="false">
      <c r="A718" s="0" t="s">
        <v>10</v>
      </c>
      <c r="B718" s="0" t="s">
        <v>1180</v>
      </c>
      <c r="C718" s="0" t="s">
        <v>3339</v>
      </c>
      <c r="D718" s="0" t="n">
        <v>0.6</v>
      </c>
    </row>
    <row r="719" customFormat="false" ht="15" hidden="false" customHeight="false" outlineLevel="0" collapsed="false">
      <c r="A719" s="0" t="s">
        <v>10</v>
      </c>
      <c r="B719" s="0" t="s">
        <v>1181</v>
      </c>
      <c r="C719" s="0" t="s">
        <v>3332</v>
      </c>
      <c r="D719" s="0" t="n">
        <v>0.45</v>
      </c>
    </row>
    <row r="720" customFormat="false" ht="15" hidden="false" customHeight="false" outlineLevel="0" collapsed="false">
      <c r="A720" s="0" t="s">
        <v>10</v>
      </c>
      <c r="B720" s="0" t="s">
        <v>1181</v>
      </c>
      <c r="C720" s="0" t="s">
        <v>3338</v>
      </c>
      <c r="D720" s="0" t="n">
        <v>0.3</v>
      </c>
    </row>
    <row r="721" customFormat="false" ht="15" hidden="false" customHeight="false" outlineLevel="0" collapsed="false">
      <c r="A721" s="0" t="s">
        <v>10</v>
      </c>
      <c r="B721" s="0" t="s">
        <v>1181</v>
      </c>
      <c r="C721" s="0" t="s">
        <v>3339</v>
      </c>
      <c r="D721" s="0" t="n">
        <v>0.65</v>
      </c>
    </row>
    <row r="722" customFormat="false" ht="15" hidden="false" customHeight="false" outlineLevel="0" collapsed="false">
      <c r="A722" s="0" t="s">
        <v>10</v>
      </c>
      <c r="B722" s="0" t="s">
        <v>1182</v>
      </c>
      <c r="C722" s="0" t="s">
        <v>3332</v>
      </c>
      <c r="D722" s="0" t="n">
        <v>0.5</v>
      </c>
    </row>
    <row r="723" customFormat="false" ht="15" hidden="false" customHeight="false" outlineLevel="0" collapsed="false">
      <c r="A723" s="0" t="s">
        <v>10</v>
      </c>
      <c r="B723" s="0" t="s">
        <v>1182</v>
      </c>
      <c r="C723" s="0" t="s">
        <v>3338</v>
      </c>
      <c r="D723" s="0" t="n">
        <v>0.35</v>
      </c>
    </row>
    <row r="724" customFormat="false" ht="15" hidden="false" customHeight="false" outlineLevel="0" collapsed="false">
      <c r="A724" s="0" t="s">
        <v>10</v>
      </c>
      <c r="B724" s="0" t="s">
        <v>1182</v>
      </c>
      <c r="C724" s="0" t="s">
        <v>3339</v>
      </c>
      <c r="D724" s="0" t="n">
        <v>0.7</v>
      </c>
    </row>
    <row r="725" customFormat="false" ht="15" hidden="false" customHeight="false" outlineLevel="0" collapsed="false">
      <c r="A725" s="0" t="s">
        <v>10</v>
      </c>
      <c r="B725" s="0" t="s">
        <v>1183</v>
      </c>
      <c r="C725" s="0" t="s">
        <v>3332</v>
      </c>
      <c r="D725" s="0" t="n">
        <v>0</v>
      </c>
    </row>
    <row r="726" customFormat="false" ht="15" hidden="false" customHeight="false" outlineLevel="0" collapsed="false">
      <c r="A726" s="0" t="s">
        <v>10</v>
      </c>
      <c r="B726" s="0" t="s">
        <v>1183</v>
      </c>
      <c r="C726" s="0" t="s">
        <v>3338</v>
      </c>
      <c r="D726" s="0" t="n">
        <v>0</v>
      </c>
    </row>
    <row r="727" customFormat="false" ht="15" hidden="false" customHeight="false" outlineLevel="0" collapsed="false">
      <c r="A727" s="0" t="s">
        <v>10</v>
      </c>
      <c r="B727" s="0" t="s">
        <v>1183</v>
      </c>
      <c r="C727" s="0" t="s">
        <v>3339</v>
      </c>
      <c r="D727" s="0" t="n">
        <v>0</v>
      </c>
    </row>
    <row r="728" customFormat="false" ht="15" hidden="false" customHeight="false" outlineLevel="0" collapsed="false">
      <c r="A728" s="0" t="s">
        <v>10</v>
      </c>
      <c r="B728" s="0" t="s">
        <v>1188</v>
      </c>
      <c r="C728" s="0" t="s">
        <v>3332</v>
      </c>
      <c r="D728" s="0" t="n">
        <v>3</v>
      </c>
    </row>
    <row r="729" customFormat="false" ht="15" hidden="false" customHeight="false" outlineLevel="0" collapsed="false">
      <c r="A729" s="0" t="s">
        <v>10</v>
      </c>
      <c r="B729" s="0" t="s">
        <v>1188</v>
      </c>
      <c r="C729" s="0" t="s">
        <v>3338</v>
      </c>
      <c r="D729" s="0" t="n">
        <v>1.5</v>
      </c>
    </row>
    <row r="730" customFormat="false" ht="15" hidden="false" customHeight="false" outlineLevel="0" collapsed="false">
      <c r="A730" s="0" t="s">
        <v>10</v>
      </c>
      <c r="B730" s="0" t="s">
        <v>1188</v>
      </c>
      <c r="C730" s="0" t="s">
        <v>3339</v>
      </c>
      <c r="D730" s="0" t="n">
        <v>5</v>
      </c>
    </row>
    <row r="731" customFormat="false" ht="15" hidden="false" customHeight="false" outlineLevel="0" collapsed="false">
      <c r="A731" s="0" t="s">
        <v>10</v>
      </c>
      <c r="B731" s="0" t="s">
        <v>1189</v>
      </c>
      <c r="C731" s="0" t="s">
        <v>3332</v>
      </c>
      <c r="D731" s="0" t="n">
        <v>4</v>
      </c>
    </row>
    <row r="732" customFormat="false" ht="15" hidden="false" customHeight="false" outlineLevel="0" collapsed="false">
      <c r="A732" s="0" t="s">
        <v>10</v>
      </c>
      <c r="B732" s="0" t="s">
        <v>1189</v>
      </c>
      <c r="C732" s="0" t="s">
        <v>3338</v>
      </c>
      <c r="D732" s="0" t="n">
        <v>2</v>
      </c>
    </row>
    <row r="733" customFormat="false" ht="15" hidden="false" customHeight="false" outlineLevel="0" collapsed="false">
      <c r="A733" s="0" t="s">
        <v>10</v>
      </c>
      <c r="B733" s="0" t="s">
        <v>1189</v>
      </c>
      <c r="C733" s="0" t="s">
        <v>3339</v>
      </c>
      <c r="D733" s="0" t="n">
        <v>6</v>
      </c>
    </row>
    <row r="734" customFormat="false" ht="15" hidden="false" customHeight="false" outlineLevel="0" collapsed="false">
      <c r="A734" s="0" t="s">
        <v>10</v>
      </c>
      <c r="B734" s="0" t="s">
        <v>1190</v>
      </c>
      <c r="C734" s="0" t="s">
        <v>3332</v>
      </c>
      <c r="D734" s="0" t="n">
        <v>4.5</v>
      </c>
    </row>
    <row r="735" customFormat="false" ht="15" hidden="false" customHeight="false" outlineLevel="0" collapsed="false">
      <c r="A735" s="0" t="s">
        <v>10</v>
      </c>
      <c r="B735" s="0" t="s">
        <v>1190</v>
      </c>
      <c r="C735" s="0" t="s">
        <v>3338</v>
      </c>
      <c r="D735" s="0" t="n">
        <v>2.5</v>
      </c>
    </row>
    <row r="736" customFormat="false" ht="15" hidden="false" customHeight="false" outlineLevel="0" collapsed="false">
      <c r="A736" s="0" t="s">
        <v>10</v>
      </c>
      <c r="B736" s="0" t="s">
        <v>1190</v>
      </c>
      <c r="C736" s="0" t="s">
        <v>3339</v>
      </c>
      <c r="D736" s="0" t="n">
        <v>7.5</v>
      </c>
    </row>
    <row r="737" customFormat="false" ht="15" hidden="false" customHeight="false" outlineLevel="0" collapsed="false">
      <c r="A737" s="0" t="s">
        <v>10</v>
      </c>
      <c r="B737" s="0" t="s">
        <v>1191</v>
      </c>
      <c r="C737" s="0" t="s">
        <v>3332</v>
      </c>
      <c r="D737" s="0" t="n">
        <v>5</v>
      </c>
    </row>
    <row r="738" customFormat="false" ht="15" hidden="false" customHeight="false" outlineLevel="0" collapsed="false">
      <c r="A738" s="0" t="s">
        <v>10</v>
      </c>
      <c r="B738" s="0" t="s">
        <v>1191</v>
      </c>
      <c r="C738" s="0" t="s">
        <v>3338</v>
      </c>
      <c r="D738" s="0" t="n">
        <v>3</v>
      </c>
    </row>
    <row r="739" customFormat="false" ht="15" hidden="false" customHeight="false" outlineLevel="0" collapsed="false">
      <c r="A739" s="0" t="s">
        <v>10</v>
      </c>
      <c r="B739" s="0" t="s">
        <v>1191</v>
      </c>
      <c r="C739" s="0" t="s">
        <v>3339</v>
      </c>
      <c r="D739" s="0" t="n">
        <v>9</v>
      </c>
    </row>
    <row r="740" customFormat="false" ht="15" hidden="false" customHeight="false" outlineLevel="0" collapsed="false">
      <c r="A740" s="0" t="s">
        <v>10</v>
      </c>
      <c r="B740" s="0" t="s">
        <v>1192</v>
      </c>
      <c r="C740" s="0" t="s">
        <v>3332</v>
      </c>
      <c r="D740" s="0" t="n">
        <v>5.5</v>
      </c>
    </row>
    <row r="741" customFormat="false" ht="15" hidden="false" customHeight="false" outlineLevel="0" collapsed="false">
      <c r="A741" s="0" t="s">
        <v>10</v>
      </c>
      <c r="B741" s="0" t="s">
        <v>1192</v>
      </c>
      <c r="C741" s="0" t="s">
        <v>3338</v>
      </c>
      <c r="D741" s="0" t="n">
        <v>3.5</v>
      </c>
    </row>
    <row r="742" customFormat="false" ht="15" hidden="false" customHeight="false" outlineLevel="0" collapsed="false">
      <c r="A742" s="0" t="s">
        <v>10</v>
      </c>
      <c r="B742" s="0" t="s">
        <v>1192</v>
      </c>
      <c r="C742" s="0" t="s">
        <v>3339</v>
      </c>
      <c r="D742" s="0" t="n">
        <v>11</v>
      </c>
    </row>
    <row r="743" customFormat="false" ht="15" hidden="false" customHeight="false" outlineLevel="0" collapsed="false">
      <c r="A743" s="0" t="s">
        <v>10</v>
      </c>
      <c r="B743" s="0" t="s">
        <v>1193</v>
      </c>
      <c r="C743" s="0" t="s">
        <v>3332</v>
      </c>
      <c r="D743" s="0" t="n">
        <v>0</v>
      </c>
    </row>
    <row r="744" customFormat="false" ht="15" hidden="false" customHeight="false" outlineLevel="0" collapsed="false">
      <c r="A744" s="0" t="s">
        <v>10</v>
      </c>
      <c r="B744" s="0" t="s">
        <v>1193</v>
      </c>
      <c r="C744" s="0" t="s">
        <v>3338</v>
      </c>
    </row>
    <row r="745" customFormat="false" ht="15" hidden="false" customHeight="false" outlineLevel="0" collapsed="false">
      <c r="A745" s="0" t="s">
        <v>10</v>
      </c>
      <c r="B745" s="0" t="s">
        <v>1193</v>
      </c>
      <c r="C745" s="0" t="s">
        <v>3339</v>
      </c>
    </row>
    <row r="746" customFormat="false" ht="15" hidden="false" customHeight="false" outlineLevel="0" collapsed="false">
      <c r="A746" s="0" t="s">
        <v>10</v>
      </c>
      <c r="B746" s="0" t="s">
        <v>1197</v>
      </c>
      <c r="C746" s="0" t="s">
        <v>3332</v>
      </c>
      <c r="D746" s="0" t="n">
        <v>-0.35</v>
      </c>
    </row>
    <row r="747" customFormat="false" ht="15" hidden="false" customHeight="false" outlineLevel="0" collapsed="false">
      <c r="A747" s="0" t="s">
        <v>10</v>
      </c>
      <c r="B747" s="0" t="s">
        <v>1197</v>
      </c>
      <c r="C747" s="0" t="s">
        <v>3338</v>
      </c>
    </row>
    <row r="748" customFormat="false" ht="15" hidden="false" customHeight="false" outlineLevel="0" collapsed="false">
      <c r="A748" s="0" t="s">
        <v>10</v>
      </c>
      <c r="B748" s="0" t="s">
        <v>1197</v>
      </c>
      <c r="C748" s="0" t="s">
        <v>3339</v>
      </c>
    </row>
    <row r="749" customFormat="false" ht="15" hidden="false" customHeight="false" outlineLevel="0" collapsed="false">
      <c r="A749" s="0" t="s">
        <v>10</v>
      </c>
      <c r="B749" s="0" t="s">
        <v>1201</v>
      </c>
      <c r="C749" s="0" t="s">
        <v>3332</v>
      </c>
      <c r="D749" s="0" t="n">
        <v>-0.15</v>
      </c>
    </row>
    <row r="750" customFormat="false" ht="15" hidden="false" customHeight="false" outlineLevel="0" collapsed="false">
      <c r="A750" s="0" t="s">
        <v>10</v>
      </c>
      <c r="B750" s="0" t="s">
        <v>1201</v>
      </c>
      <c r="C750" s="0" t="s">
        <v>3338</v>
      </c>
    </row>
    <row r="751" customFormat="false" ht="15" hidden="false" customHeight="false" outlineLevel="0" collapsed="false">
      <c r="A751" s="0" t="s">
        <v>10</v>
      </c>
      <c r="B751" s="0" t="s">
        <v>1201</v>
      </c>
      <c r="C751" s="0" t="s">
        <v>3339</v>
      </c>
    </row>
    <row r="752" customFormat="false" ht="15" hidden="false" customHeight="false" outlineLevel="0" collapsed="false">
      <c r="A752" s="0" t="s">
        <v>10</v>
      </c>
      <c r="B752" s="0" t="s">
        <v>1204</v>
      </c>
      <c r="C752" s="0" t="s">
        <v>3332</v>
      </c>
      <c r="D752" s="0" t="n">
        <v>0.25</v>
      </c>
    </row>
    <row r="753" customFormat="false" ht="15" hidden="false" customHeight="false" outlineLevel="0" collapsed="false">
      <c r="A753" s="0" t="s">
        <v>10</v>
      </c>
      <c r="B753" s="0" t="s">
        <v>1204</v>
      </c>
      <c r="C753" s="0" t="s">
        <v>3338</v>
      </c>
    </row>
    <row r="754" customFormat="false" ht="15" hidden="false" customHeight="false" outlineLevel="0" collapsed="false">
      <c r="A754" s="0" t="s">
        <v>10</v>
      </c>
      <c r="B754" s="0" t="s">
        <v>1204</v>
      </c>
      <c r="C754" s="0" t="s">
        <v>3339</v>
      </c>
    </row>
    <row r="755" customFormat="false" ht="15" hidden="false" customHeight="false" outlineLevel="0" collapsed="false">
      <c r="A755" s="0" t="s">
        <v>10</v>
      </c>
      <c r="B755" s="0" t="s">
        <v>1207</v>
      </c>
      <c r="C755" s="0" t="s">
        <v>3332</v>
      </c>
      <c r="D755" s="0" t="n">
        <v>-0.45</v>
      </c>
    </row>
    <row r="756" customFormat="false" ht="15" hidden="false" customHeight="false" outlineLevel="0" collapsed="false">
      <c r="A756" s="0" t="s">
        <v>10</v>
      </c>
      <c r="B756" s="0" t="s">
        <v>1207</v>
      </c>
      <c r="C756" s="0" t="s">
        <v>3338</v>
      </c>
    </row>
    <row r="757" customFormat="false" ht="15" hidden="false" customHeight="false" outlineLevel="0" collapsed="false">
      <c r="A757" s="0" t="s">
        <v>10</v>
      </c>
      <c r="B757" s="0" t="s">
        <v>1207</v>
      </c>
      <c r="C757" s="0" t="s">
        <v>3339</v>
      </c>
    </row>
    <row r="758" customFormat="false" ht="15" hidden="false" customHeight="false" outlineLevel="0" collapsed="false">
      <c r="A758" s="0" t="s">
        <v>10</v>
      </c>
      <c r="B758" s="0" t="s">
        <v>1210</v>
      </c>
      <c r="C758" s="0" t="s">
        <v>3332</v>
      </c>
      <c r="D758" s="0" t="n">
        <v>-0.6</v>
      </c>
    </row>
    <row r="759" customFormat="false" ht="15" hidden="false" customHeight="false" outlineLevel="0" collapsed="false">
      <c r="A759" s="0" t="s">
        <v>10</v>
      </c>
      <c r="B759" s="0" t="s">
        <v>1210</v>
      </c>
      <c r="C759" s="0" t="s">
        <v>3338</v>
      </c>
    </row>
    <row r="760" customFormat="false" ht="15" hidden="false" customHeight="false" outlineLevel="0" collapsed="false">
      <c r="A760" s="0" t="s">
        <v>10</v>
      </c>
      <c r="B760" s="0" t="s">
        <v>1210</v>
      </c>
      <c r="C760" s="0" t="s">
        <v>3339</v>
      </c>
    </row>
    <row r="761" customFormat="false" ht="15" hidden="false" customHeight="false" outlineLevel="0" collapsed="false">
      <c r="A761" s="0" t="s">
        <v>10</v>
      </c>
      <c r="B761" s="0" t="s">
        <v>1213</v>
      </c>
      <c r="C761" s="0" t="s">
        <v>3332</v>
      </c>
      <c r="D761" s="0" t="n">
        <v>-0.6</v>
      </c>
    </row>
    <row r="762" customFormat="false" ht="15" hidden="false" customHeight="false" outlineLevel="0" collapsed="false">
      <c r="A762" s="0" t="s">
        <v>10</v>
      </c>
      <c r="B762" s="0" t="s">
        <v>1213</v>
      </c>
      <c r="C762" s="0" t="s">
        <v>3338</v>
      </c>
    </row>
    <row r="763" customFormat="false" ht="15" hidden="false" customHeight="false" outlineLevel="0" collapsed="false">
      <c r="A763" s="0" t="s">
        <v>10</v>
      </c>
      <c r="B763" s="0" t="s">
        <v>1213</v>
      </c>
      <c r="C763" s="0" t="s">
        <v>3339</v>
      </c>
    </row>
    <row r="764" customFormat="false" ht="15" hidden="false" customHeight="false" outlineLevel="0" collapsed="false">
      <c r="A764" s="0" t="s">
        <v>10</v>
      </c>
      <c r="B764" s="0" t="s">
        <v>1216</v>
      </c>
      <c r="C764" s="0" t="s">
        <v>3332</v>
      </c>
      <c r="D764" s="0" t="n">
        <v>-0.7</v>
      </c>
    </row>
    <row r="765" customFormat="false" ht="15" hidden="false" customHeight="false" outlineLevel="0" collapsed="false">
      <c r="A765" s="0" t="s">
        <v>10</v>
      </c>
      <c r="B765" s="0" t="s">
        <v>1216</v>
      </c>
      <c r="C765" s="0" t="s">
        <v>3338</v>
      </c>
    </row>
    <row r="766" customFormat="false" ht="15" hidden="false" customHeight="false" outlineLevel="0" collapsed="false">
      <c r="A766" s="0" t="s">
        <v>10</v>
      </c>
      <c r="B766" s="0" t="s">
        <v>1216</v>
      </c>
      <c r="C766" s="0" t="s">
        <v>3339</v>
      </c>
    </row>
    <row r="767" customFormat="false" ht="15" hidden="false" customHeight="false" outlineLevel="0" collapsed="false">
      <c r="A767" s="0" t="s">
        <v>10</v>
      </c>
      <c r="B767" s="0" t="s">
        <v>1219</v>
      </c>
      <c r="C767" s="0" t="s">
        <v>3332</v>
      </c>
      <c r="D767" s="0" t="n">
        <v>-0.3</v>
      </c>
    </row>
    <row r="768" customFormat="false" ht="15" hidden="false" customHeight="false" outlineLevel="0" collapsed="false">
      <c r="A768" s="0" t="s">
        <v>10</v>
      </c>
      <c r="B768" s="0" t="s">
        <v>1219</v>
      </c>
      <c r="C768" s="0" t="s">
        <v>3338</v>
      </c>
    </row>
    <row r="769" customFormat="false" ht="15" hidden="false" customHeight="false" outlineLevel="0" collapsed="false">
      <c r="A769" s="0" t="s">
        <v>10</v>
      </c>
      <c r="B769" s="0" t="s">
        <v>1219</v>
      </c>
      <c r="C769" s="0" t="s">
        <v>3339</v>
      </c>
    </row>
    <row r="770" customFormat="false" ht="15" hidden="false" customHeight="false" outlineLevel="0" collapsed="false">
      <c r="A770" s="0" t="s">
        <v>10</v>
      </c>
      <c r="B770" s="0" t="s">
        <v>1222</v>
      </c>
      <c r="C770" s="0" t="s">
        <v>3332</v>
      </c>
      <c r="D770" s="0" t="n">
        <v>0.15</v>
      </c>
    </row>
    <row r="771" customFormat="false" ht="15" hidden="false" customHeight="false" outlineLevel="0" collapsed="false">
      <c r="A771" s="0" t="s">
        <v>10</v>
      </c>
      <c r="B771" s="0" t="s">
        <v>1222</v>
      </c>
      <c r="C771" s="0" t="s">
        <v>3338</v>
      </c>
    </row>
    <row r="772" customFormat="false" ht="15" hidden="false" customHeight="false" outlineLevel="0" collapsed="false">
      <c r="A772" s="0" t="s">
        <v>10</v>
      </c>
      <c r="B772" s="0" t="s">
        <v>1222</v>
      </c>
      <c r="C772" s="0" t="s">
        <v>3339</v>
      </c>
    </row>
    <row r="773" customFormat="false" ht="15" hidden="false" customHeight="false" outlineLevel="0" collapsed="false">
      <c r="A773" s="0" t="s">
        <v>10</v>
      </c>
      <c r="B773" s="0" t="s">
        <v>1225</v>
      </c>
      <c r="C773" s="0" t="s">
        <v>3332</v>
      </c>
      <c r="D773" s="0" t="n">
        <v>-0.3</v>
      </c>
    </row>
    <row r="774" customFormat="false" ht="15" hidden="false" customHeight="false" outlineLevel="0" collapsed="false">
      <c r="A774" s="0" t="s">
        <v>10</v>
      </c>
      <c r="B774" s="0" t="s">
        <v>1225</v>
      </c>
      <c r="C774" s="0" t="s">
        <v>3338</v>
      </c>
    </row>
    <row r="775" customFormat="false" ht="15" hidden="false" customHeight="false" outlineLevel="0" collapsed="false">
      <c r="A775" s="0" t="s">
        <v>10</v>
      </c>
      <c r="B775" s="0" t="s">
        <v>1225</v>
      </c>
      <c r="C775" s="0" t="s">
        <v>3339</v>
      </c>
    </row>
    <row r="776" customFormat="false" ht="15" hidden="false" customHeight="false" outlineLevel="0" collapsed="false">
      <c r="A776" s="0" t="s">
        <v>10</v>
      </c>
      <c r="B776" s="0" t="s">
        <v>1228</v>
      </c>
      <c r="C776" s="0" t="s">
        <v>3332</v>
      </c>
      <c r="D776" s="0" t="n">
        <v>-0.4</v>
      </c>
    </row>
    <row r="777" customFormat="false" ht="15" hidden="false" customHeight="false" outlineLevel="0" collapsed="false">
      <c r="A777" s="0" t="s">
        <v>10</v>
      </c>
      <c r="B777" s="0" t="s">
        <v>1228</v>
      </c>
      <c r="C777" s="0" t="s">
        <v>3338</v>
      </c>
    </row>
    <row r="778" customFormat="false" ht="15" hidden="false" customHeight="false" outlineLevel="0" collapsed="false">
      <c r="A778" s="0" t="s">
        <v>10</v>
      </c>
      <c r="B778" s="0" t="s">
        <v>1228</v>
      </c>
      <c r="C778" s="0" t="s">
        <v>3339</v>
      </c>
    </row>
    <row r="779" customFormat="false" ht="15" hidden="false" customHeight="false" outlineLevel="0" collapsed="false">
      <c r="A779" s="0" t="s">
        <v>10</v>
      </c>
      <c r="B779" s="0" t="s">
        <v>1231</v>
      </c>
      <c r="C779" s="0" t="s">
        <v>3332</v>
      </c>
      <c r="D779" s="0" t="n">
        <v>-0.4</v>
      </c>
    </row>
    <row r="780" customFormat="false" ht="15" hidden="false" customHeight="false" outlineLevel="0" collapsed="false">
      <c r="A780" s="0" t="s">
        <v>10</v>
      </c>
      <c r="B780" s="0" t="s">
        <v>1231</v>
      </c>
      <c r="C780" s="0" t="s">
        <v>3338</v>
      </c>
    </row>
    <row r="781" customFormat="false" ht="15" hidden="false" customHeight="false" outlineLevel="0" collapsed="false">
      <c r="A781" s="0" t="s">
        <v>10</v>
      </c>
      <c r="B781" s="0" t="s">
        <v>1231</v>
      </c>
      <c r="C781" s="0" t="s">
        <v>3339</v>
      </c>
    </row>
    <row r="782" customFormat="false" ht="15" hidden="false" customHeight="false" outlineLevel="0" collapsed="false">
      <c r="A782" s="0" t="s">
        <v>10</v>
      </c>
      <c r="B782" s="0" t="s">
        <v>1234</v>
      </c>
      <c r="C782" s="0" t="s">
        <v>3332</v>
      </c>
      <c r="D782" s="0" t="n">
        <v>-1.05</v>
      </c>
    </row>
    <row r="783" customFormat="false" ht="15" hidden="false" customHeight="false" outlineLevel="0" collapsed="false">
      <c r="A783" s="0" t="s">
        <v>10</v>
      </c>
      <c r="B783" s="0" t="s">
        <v>1234</v>
      </c>
      <c r="C783" s="0" t="s">
        <v>3338</v>
      </c>
    </row>
    <row r="784" customFormat="false" ht="15" hidden="false" customHeight="false" outlineLevel="0" collapsed="false">
      <c r="A784" s="0" t="s">
        <v>10</v>
      </c>
      <c r="B784" s="0" t="s">
        <v>1234</v>
      </c>
      <c r="C784" s="0" t="s">
        <v>3339</v>
      </c>
    </row>
    <row r="785" customFormat="false" ht="15" hidden="false" customHeight="false" outlineLevel="0" collapsed="false">
      <c r="A785" s="0" t="s">
        <v>10</v>
      </c>
      <c r="B785" s="0" t="s">
        <v>1237</v>
      </c>
      <c r="C785" s="0" t="s">
        <v>3332</v>
      </c>
      <c r="D785" s="0" t="n">
        <v>-0.45</v>
      </c>
    </row>
    <row r="786" customFormat="false" ht="15" hidden="false" customHeight="false" outlineLevel="0" collapsed="false">
      <c r="A786" s="0" t="s">
        <v>10</v>
      </c>
      <c r="B786" s="0" t="s">
        <v>1237</v>
      </c>
      <c r="C786" s="0" t="s">
        <v>3338</v>
      </c>
    </row>
    <row r="787" customFormat="false" ht="15" hidden="false" customHeight="false" outlineLevel="0" collapsed="false">
      <c r="A787" s="0" t="s">
        <v>10</v>
      </c>
      <c r="B787" s="0" t="s">
        <v>1237</v>
      </c>
      <c r="C787" s="0" t="s">
        <v>3339</v>
      </c>
    </row>
    <row r="788" customFormat="false" ht="15" hidden="false" customHeight="false" outlineLevel="0" collapsed="false">
      <c r="A788" s="0" t="s">
        <v>10</v>
      </c>
      <c r="B788" s="0" t="s">
        <v>1240</v>
      </c>
      <c r="C788" s="0" t="s">
        <v>3332</v>
      </c>
      <c r="D788" s="0" t="n">
        <v>0.1</v>
      </c>
    </row>
    <row r="789" customFormat="false" ht="15" hidden="false" customHeight="false" outlineLevel="0" collapsed="false">
      <c r="A789" s="0" t="s">
        <v>10</v>
      </c>
      <c r="B789" s="0" t="s">
        <v>1240</v>
      </c>
      <c r="C789" s="0" t="s">
        <v>3338</v>
      </c>
    </row>
    <row r="790" customFormat="false" ht="15" hidden="false" customHeight="false" outlineLevel="0" collapsed="false">
      <c r="A790" s="0" t="s">
        <v>10</v>
      </c>
      <c r="B790" s="0" t="s">
        <v>1240</v>
      </c>
      <c r="C790" s="0" t="s">
        <v>3339</v>
      </c>
    </row>
    <row r="791" customFormat="false" ht="15" hidden="false" customHeight="false" outlineLevel="0" collapsed="false">
      <c r="A791" s="0" t="s">
        <v>10</v>
      </c>
      <c r="B791" s="0" t="s">
        <v>1243</v>
      </c>
      <c r="C791" s="0" t="s">
        <v>3332</v>
      </c>
      <c r="D791" s="0" t="n">
        <v>-0.3</v>
      </c>
    </row>
    <row r="792" customFormat="false" ht="15" hidden="false" customHeight="false" outlineLevel="0" collapsed="false">
      <c r="A792" s="0" t="s">
        <v>10</v>
      </c>
      <c r="B792" s="0" t="s">
        <v>1243</v>
      </c>
      <c r="C792" s="0" t="s">
        <v>3338</v>
      </c>
    </row>
    <row r="793" customFormat="false" ht="15" hidden="false" customHeight="false" outlineLevel="0" collapsed="false">
      <c r="A793" s="0" t="s">
        <v>10</v>
      </c>
      <c r="B793" s="0" t="s">
        <v>1243</v>
      </c>
      <c r="C793" s="0" t="s">
        <v>3339</v>
      </c>
    </row>
    <row r="794" customFormat="false" ht="15" hidden="false" customHeight="false" outlineLevel="0" collapsed="false">
      <c r="A794" s="0" t="s">
        <v>10</v>
      </c>
      <c r="B794" s="0" t="s">
        <v>1246</v>
      </c>
      <c r="C794" s="0" t="s">
        <v>3332</v>
      </c>
      <c r="D794" s="0" t="n">
        <v>-0.4</v>
      </c>
    </row>
    <row r="795" customFormat="false" ht="15" hidden="false" customHeight="false" outlineLevel="0" collapsed="false">
      <c r="A795" s="0" t="s">
        <v>10</v>
      </c>
      <c r="B795" s="0" t="s">
        <v>1246</v>
      </c>
      <c r="C795" s="0" t="s">
        <v>3338</v>
      </c>
    </row>
    <row r="796" customFormat="false" ht="15" hidden="false" customHeight="false" outlineLevel="0" collapsed="false">
      <c r="A796" s="0" t="s">
        <v>10</v>
      </c>
      <c r="B796" s="0" t="s">
        <v>1246</v>
      </c>
      <c r="C796" s="0" t="s">
        <v>3339</v>
      </c>
    </row>
    <row r="797" customFormat="false" ht="15" hidden="false" customHeight="false" outlineLevel="0" collapsed="false">
      <c r="A797" s="0" t="s">
        <v>10</v>
      </c>
      <c r="B797" s="0" t="s">
        <v>1249</v>
      </c>
      <c r="C797" s="0" t="s">
        <v>3332</v>
      </c>
      <c r="D797" s="0" t="n">
        <v>-0.4</v>
      </c>
    </row>
    <row r="798" customFormat="false" ht="15" hidden="false" customHeight="false" outlineLevel="0" collapsed="false">
      <c r="A798" s="0" t="s">
        <v>10</v>
      </c>
      <c r="B798" s="0" t="s">
        <v>1249</v>
      </c>
      <c r="C798" s="0" t="s">
        <v>3338</v>
      </c>
    </row>
    <row r="799" customFormat="false" ht="15" hidden="false" customHeight="false" outlineLevel="0" collapsed="false">
      <c r="A799" s="0" t="s">
        <v>10</v>
      </c>
      <c r="B799" s="0" t="s">
        <v>1249</v>
      </c>
      <c r="C799" s="0" t="s">
        <v>3339</v>
      </c>
    </row>
    <row r="800" customFormat="false" ht="15" hidden="false" customHeight="false" outlineLevel="0" collapsed="false">
      <c r="A800" s="0" t="s">
        <v>10</v>
      </c>
      <c r="B800" s="0" t="s">
        <v>1252</v>
      </c>
      <c r="C800" s="0" t="s">
        <v>3332</v>
      </c>
      <c r="D800" s="0" t="n">
        <v>0.9</v>
      </c>
    </row>
    <row r="801" customFormat="false" ht="15" hidden="false" customHeight="false" outlineLevel="0" collapsed="false">
      <c r="A801" s="0" t="s">
        <v>10</v>
      </c>
      <c r="B801" s="0" t="s">
        <v>1252</v>
      </c>
      <c r="C801" s="0" t="s">
        <v>3338</v>
      </c>
    </row>
    <row r="802" customFormat="false" ht="15" hidden="false" customHeight="false" outlineLevel="0" collapsed="false">
      <c r="A802" s="0" t="s">
        <v>10</v>
      </c>
      <c r="B802" s="0" t="s">
        <v>1252</v>
      </c>
      <c r="C802" s="0" t="s">
        <v>3339</v>
      </c>
    </row>
    <row r="803" customFormat="false" ht="15" hidden="false" customHeight="false" outlineLevel="0" collapsed="false">
      <c r="A803" s="0" t="s">
        <v>10</v>
      </c>
      <c r="B803" s="0" t="s">
        <v>1257</v>
      </c>
      <c r="C803" s="0" t="s">
        <v>3332</v>
      </c>
      <c r="D803" s="0" t="n">
        <v>0.1</v>
      </c>
    </row>
    <row r="804" customFormat="false" ht="15" hidden="false" customHeight="false" outlineLevel="0" collapsed="false">
      <c r="A804" s="0" t="s">
        <v>10</v>
      </c>
      <c r="B804" s="0" t="s">
        <v>1257</v>
      </c>
      <c r="C804" s="0" t="s">
        <v>3338</v>
      </c>
    </row>
    <row r="805" customFormat="false" ht="15" hidden="false" customHeight="false" outlineLevel="0" collapsed="false">
      <c r="A805" s="0" t="s">
        <v>10</v>
      </c>
      <c r="B805" s="0" t="s">
        <v>1257</v>
      </c>
      <c r="C805" s="0" t="s">
        <v>3339</v>
      </c>
    </row>
    <row r="806" customFormat="false" ht="15" hidden="false" customHeight="false" outlineLevel="0" collapsed="false">
      <c r="A806" s="0" t="s">
        <v>10</v>
      </c>
      <c r="B806" s="0" t="s">
        <v>1259</v>
      </c>
      <c r="C806" s="0" t="s">
        <v>3332</v>
      </c>
      <c r="D806" s="0" t="n">
        <v>0</v>
      </c>
    </row>
    <row r="807" customFormat="false" ht="15" hidden="false" customHeight="false" outlineLevel="0" collapsed="false">
      <c r="A807" s="0" t="s">
        <v>10</v>
      </c>
      <c r="B807" s="0" t="s">
        <v>1259</v>
      </c>
      <c r="C807" s="0" t="s">
        <v>3338</v>
      </c>
    </row>
    <row r="808" customFormat="false" ht="15" hidden="false" customHeight="false" outlineLevel="0" collapsed="false">
      <c r="A808" s="0" t="s">
        <v>10</v>
      </c>
      <c r="B808" s="0" t="s">
        <v>1259</v>
      </c>
      <c r="C808" s="0" t="s">
        <v>3339</v>
      </c>
    </row>
    <row r="809" customFormat="false" ht="15" hidden="false" customHeight="false" outlineLevel="0" collapsed="false">
      <c r="A809" s="0" t="s">
        <v>10</v>
      </c>
      <c r="B809" s="0" t="s">
        <v>1261</v>
      </c>
      <c r="C809" s="0" t="s">
        <v>3332</v>
      </c>
      <c r="D809" s="0" t="n">
        <v>0.25</v>
      </c>
    </row>
    <row r="810" customFormat="false" ht="15" hidden="false" customHeight="false" outlineLevel="0" collapsed="false">
      <c r="A810" s="0" t="s">
        <v>10</v>
      </c>
      <c r="B810" s="0" t="s">
        <v>1261</v>
      </c>
      <c r="C810" s="0" t="s">
        <v>3338</v>
      </c>
    </row>
    <row r="811" customFormat="false" ht="15" hidden="false" customHeight="false" outlineLevel="0" collapsed="false">
      <c r="A811" s="0" t="s">
        <v>10</v>
      </c>
      <c r="B811" s="0" t="s">
        <v>1261</v>
      </c>
      <c r="C811" s="0" t="s">
        <v>3339</v>
      </c>
    </row>
    <row r="812" customFormat="false" ht="15" hidden="false" customHeight="false" outlineLevel="0" collapsed="false">
      <c r="A812" s="0" t="s">
        <v>10</v>
      </c>
      <c r="B812" s="0" t="s">
        <v>1263</v>
      </c>
      <c r="C812" s="0" t="s">
        <v>3332</v>
      </c>
      <c r="D812" s="0" t="n">
        <v>0.4</v>
      </c>
    </row>
    <row r="813" customFormat="false" ht="15" hidden="false" customHeight="false" outlineLevel="0" collapsed="false">
      <c r="A813" s="0" t="s">
        <v>10</v>
      </c>
      <c r="B813" s="0" t="s">
        <v>1263</v>
      </c>
      <c r="C813" s="0" t="s">
        <v>3338</v>
      </c>
    </row>
    <row r="814" customFormat="false" ht="15" hidden="false" customHeight="false" outlineLevel="0" collapsed="false">
      <c r="A814" s="0" t="s">
        <v>10</v>
      </c>
      <c r="B814" s="0" t="s">
        <v>1263</v>
      </c>
      <c r="C814" s="0" t="s">
        <v>3339</v>
      </c>
    </row>
    <row r="815" customFormat="false" ht="15" hidden="false" customHeight="false" outlineLevel="0" collapsed="false">
      <c r="A815" s="0" t="s">
        <v>10</v>
      </c>
      <c r="B815" s="0" t="s">
        <v>1265</v>
      </c>
      <c r="C815" s="0" t="s">
        <v>3332</v>
      </c>
      <c r="D815" s="0" t="n">
        <v>0.85</v>
      </c>
    </row>
    <row r="816" customFormat="false" ht="15" hidden="false" customHeight="false" outlineLevel="0" collapsed="false">
      <c r="A816" s="0" t="s">
        <v>10</v>
      </c>
      <c r="B816" s="0" t="s">
        <v>1265</v>
      </c>
      <c r="C816" s="0" t="s">
        <v>3338</v>
      </c>
    </row>
    <row r="817" customFormat="false" ht="15" hidden="false" customHeight="false" outlineLevel="0" collapsed="false">
      <c r="A817" s="0" t="s">
        <v>10</v>
      </c>
      <c r="B817" s="0" t="s">
        <v>1265</v>
      </c>
      <c r="C817" s="0" t="s">
        <v>3339</v>
      </c>
    </row>
    <row r="818" customFormat="false" ht="15" hidden="false" customHeight="false" outlineLevel="0" collapsed="false">
      <c r="A818" s="0" t="s">
        <v>10</v>
      </c>
      <c r="B818" s="0" t="s">
        <v>1268</v>
      </c>
      <c r="C818" s="0" t="s">
        <v>3332</v>
      </c>
      <c r="D818" s="0" t="n">
        <v>0.15</v>
      </c>
    </row>
    <row r="819" customFormat="false" ht="15" hidden="false" customHeight="false" outlineLevel="0" collapsed="false">
      <c r="A819" s="0" t="s">
        <v>10</v>
      </c>
      <c r="B819" s="0" t="s">
        <v>1268</v>
      </c>
      <c r="C819" s="0" t="s">
        <v>3338</v>
      </c>
    </row>
    <row r="820" customFormat="false" ht="15" hidden="false" customHeight="false" outlineLevel="0" collapsed="false">
      <c r="A820" s="0" t="s">
        <v>10</v>
      </c>
      <c r="B820" s="0" t="s">
        <v>1268</v>
      </c>
      <c r="C820" s="0" t="s">
        <v>3339</v>
      </c>
    </row>
    <row r="821" customFormat="false" ht="15" hidden="false" customHeight="false" outlineLevel="0" collapsed="false">
      <c r="A821" s="0" t="s">
        <v>10</v>
      </c>
      <c r="B821" s="0" t="s">
        <v>1269</v>
      </c>
      <c r="C821" s="0" t="s">
        <v>3332</v>
      </c>
      <c r="D821" s="0" t="n">
        <v>0</v>
      </c>
    </row>
    <row r="822" customFormat="false" ht="15" hidden="false" customHeight="false" outlineLevel="0" collapsed="false">
      <c r="A822" s="0" t="s">
        <v>10</v>
      </c>
      <c r="B822" s="0" t="s">
        <v>1269</v>
      </c>
      <c r="C822" s="0" t="s">
        <v>3338</v>
      </c>
    </row>
    <row r="823" customFormat="false" ht="15" hidden="false" customHeight="false" outlineLevel="0" collapsed="false">
      <c r="A823" s="0" t="s">
        <v>10</v>
      </c>
      <c r="B823" s="0" t="s">
        <v>1269</v>
      </c>
      <c r="C823" s="0" t="s">
        <v>3339</v>
      </c>
    </row>
    <row r="824" customFormat="false" ht="15" hidden="false" customHeight="false" outlineLevel="0" collapsed="false">
      <c r="A824" s="0" t="s">
        <v>10</v>
      </c>
      <c r="B824" s="0" t="s">
        <v>1270</v>
      </c>
      <c r="C824" s="0" t="s">
        <v>3332</v>
      </c>
      <c r="D824" s="0" t="n">
        <v>0.25</v>
      </c>
    </row>
    <row r="825" customFormat="false" ht="15" hidden="false" customHeight="false" outlineLevel="0" collapsed="false">
      <c r="A825" s="0" t="s">
        <v>10</v>
      </c>
      <c r="B825" s="0" t="s">
        <v>1270</v>
      </c>
      <c r="C825" s="0" t="s">
        <v>3338</v>
      </c>
    </row>
    <row r="826" customFormat="false" ht="15" hidden="false" customHeight="false" outlineLevel="0" collapsed="false">
      <c r="A826" s="0" t="s">
        <v>10</v>
      </c>
      <c r="B826" s="0" t="s">
        <v>1270</v>
      </c>
      <c r="C826" s="0" t="s">
        <v>3339</v>
      </c>
    </row>
    <row r="827" customFormat="false" ht="15" hidden="false" customHeight="false" outlineLevel="0" collapsed="false">
      <c r="A827" s="0" t="s">
        <v>10</v>
      </c>
      <c r="B827" s="0" t="s">
        <v>1271</v>
      </c>
      <c r="C827" s="0" t="s">
        <v>3332</v>
      </c>
      <c r="D827" s="0" t="n">
        <v>0.4</v>
      </c>
    </row>
    <row r="828" customFormat="false" ht="15" hidden="false" customHeight="false" outlineLevel="0" collapsed="false">
      <c r="A828" s="0" t="s">
        <v>10</v>
      </c>
      <c r="B828" s="0" t="s">
        <v>1271</v>
      </c>
      <c r="C828" s="0" t="s">
        <v>3338</v>
      </c>
    </row>
    <row r="829" customFormat="false" ht="15" hidden="false" customHeight="false" outlineLevel="0" collapsed="false">
      <c r="A829" s="0" t="s">
        <v>10</v>
      </c>
      <c r="B829" s="0" t="s">
        <v>1271</v>
      </c>
      <c r="C829" s="0" t="s">
        <v>3339</v>
      </c>
    </row>
    <row r="830" customFormat="false" ht="15" hidden="false" customHeight="false" outlineLevel="0" collapsed="false">
      <c r="A830" s="0" t="s">
        <v>10</v>
      </c>
      <c r="B830" s="0" t="s">
        <v>1272</v>
      </c>
      <c r="C830" s="0" t="s">
        <v>3332</v>
      </c>
      <c r="D830" s="0" t="n">
        <v>0.35</v>
      </c>
    </row>
    <row r="831" customFormat="false" ht="15" hidden="false" customHeight="false" outlineLevel="0" collapsed="false">
      <c r="A831" s="0" t="s">
        <v>10</v>
      </c>
      <c r="B831" s="0" t="s">
        <v>1272</v>
      </c>
      <c r="C831" s="0" t="s">
        <v>3338</v>
      </c>
    </row>
    <row r="832" customFormat="false" ht="15" hidden="false" customHeight="false" outlineLevel="0" collapsed="false">
      <c r="A832" s="0" t="s">
        <v>10</v>
      </c>
      <c r="B832" s="0" t="s">
        <v>1272</v>
      </c>
      <c r="C832" s="0" t="s">
        <v>3339</v>
      </c>
    </row>
    <row r="833" customFormat="false" ht="15" hidden="false" customHeight="false" outlineLevel="0" collapsed="false">
      <c r="A833" s="0" t="s">
        <v>10</v>
      </c>
      <c r="B833" s="0" t="s">
        <v>1275</v>
      </c>
      <c r="C833" s="0" t="s">
        <v>3332</v>
      </c>
      <c r="D833" s="0" t="n">
        <v>0.6</v>
      </c>
    </row>
    <row r="834" customFormat="false" ht="15" hidden="false" customHeight="false" outlineLevel="0" collapsed="false">
      <c r="A834" s="0" t="s">
        <v>10</v>
      </c>
      <c r="B834" s="0" t="s">
        <v>1275</v>
      </c>
      <c r="C834" s="0" t="s">
        <v>3338</v>
      </c>
    </row>
    <row r="835" customFormat="false" ht="15" hidden="false" customHeight="false" outlineLevel="0" collapsed="false">
      <c r="A835" s="0" t="s">
        <v>10</v>
      </c>
      <c r="B835" s="0" t="s">
        <v>1275</v>
      </c>
      <c r="C835" s="0" t="s">
        <v>3339</v>
      </c>
    </row>
    <row r="836" customFormat="false" ht="15" hidden="false" customHeight="false" outlineLevel="0" collapsed="false">
      <c r="A836" s="0" t="s">
        <v>10</v>
      </c>
      <c r="B836" s="0" t="s">
        <v>1276</v>
      </c>
      <c r="C836" s="0" t="s">
        <v>3332</v>
      </c>
      <c r="D836" s="0" t="n">
        <v>0.05</v>
      </c>
    </row>
    <row r="837" customFormat="false" ht="15" hidden="false" customHeight="false" outlineLevel="0" collapsed="false">
      <c r="A837" s="0" t="s">
        <v>10</v>
      </c>
      <c r="B837" s="0" t="s">
        <v>1276</v>
      </c>
      <c r="C837" s="0" t="s">
        <v>3338</v>
      </c>
    </row>
    <row r="838" customFormat="false" ht="15" hidden="false" customHeight="false" outlineLevel="0" collapsed="false">
      <c r="A838" s="0" t="s">
        <v>10</v>
      </c>
      <c r="B838" s="0" t="s">
        <v>1276</v>
      </c>
      <c r="C838" s="0" t="s">
        <v>3339</v>
      </c>
    </row>
    <row r="839" customFormat="false" ht="15" hidden="false" customHeight="false" outlineLevel="0" collapsed="false">
      <c r="A839" s="0" t="s">
        <v>10</v>
      </c>
      <c r="B839" s="0" t="s">
        <v>1277</v>
      </c>
      <c r="C839" s="0" t="s">
        <v>3332</v>
      </c>
      <c r="D839" s="0" t="n">
        <v>0.4</v>
      </c>
    </row>
    <row r="840" customFormat="false" ht="15" hidden="false" customHeight="false" outlineLevel="0" collapsed="false">
      <c r="A840" s="0" t="s">
        <v>10</v>
      </c>
      <c r="B840" s="0" t="s">
        <v>1277</v>
      </c>
      <c r="C840" s="0" t="s">
        <v>3338</v>
      </c>
    </row>
    <row r="841" customFormat="false" ht="15" hidden="false" customHeight="false" outlineLevel="0" collapsed="false">
      <c r="A841" s="0" t="s">
        <v>10</v>
      </c>
      <c r="B841" s="0" t="s">
        <v>1277</v>
      </c>
      <c r="C841" s="0" t="s">
        <v>3339</v>
      </c>
    </row>
    <row r="842" customFormat="false" ht="15" hidden="false" customHeight="false" outlineLevel="0" collapsed="false">
      <c r="A842" s="0" t="s">
        <v>10</v>
      </c>
      <c r="B842" s="0" t="s">
        <v>1278</v>
      </c>
      <c r="C842" s="0" t="s">
        <v>3332</v>
      </c>
      <c r="D842" s="0" t="n">
        <v>0.5</v>
      </c>
    </row>
    <row r="843" customFormat="false" ht="15" hidden="false" customHeight="false" outlineLevel="0" collapsed="false">
      <c r="A843" s="0" t="s">
        <v>10</v>
      </c>
      <c r="B843" s="0" t="s">
        <v>1278</v>
      </c>
      <c r="C843" s="0" t="s">
        <v>3338</v>
      </c>
    </row>
    <row r="844" customFormat="false" ht="15" hidden="false" customHeight="false" outlineLevel="0" collapsed="false">
      <c r="A844" s="0" t="s">
        <v>10</v>
      </c>
      <c r="B844" s="0" t="s">
        <v>1278</v>
      </c>
      <c r="C844" s="0" t="s">
        <v>3339</v>
      </c>
    </row>
    <row r="845" customFormat="false" ht="15" hidden="false" customHeight="false" outlineLevel="0" collapsed="false">
      <c r="A845" s="0" t="s">
        <v>10</v>
      </c>
      <c r="B845" s="0" t="s">
        <v>1279</v>
      </c>
      <c r="C845" s="0" t="s">
        <v>3332</v>
      </c>
      <c r="D845" s="0" t="n">
        <v>0.1</v>
      </c>
    </row>
    <row r="846" customFormat="false" ht="15" hidden="false" customHeight="false" outlineLevel="0" collapsed="false">
      <c r="A846" s="0" t="s">
        <v>10</v>
      </c>
      <c r="B846" s="0" t="s">
        <v>1279</v>
      </c>
      <c r="C846" s="0" t="s">
        <v>3338</v>
      </c>
    </row>
    <row r="847" customFormat="false" ht="15" hidden="false" customHeight="false" outlineLevel="0" collapsed="false">
      <c r="A847" s="0" t="s">
        <v>10</v>
      </c>
      <c r="B847" s="0" t="s">
        <v>1279</v>
      </c>
      <c r="C847" s="0" t="s">
        <v>3339</v>
      </c>
    </row>
    <row r="848" customFormat="false" ht="15" hidden="false" customHeight="false" outlineLevel="0" collapsed="false">
      <c r="A848" s="0" t="s">
        <v>10</v>
      </c>
      <c r="B848" s="0" t="s">
        <v>1282</v>
      </c>
      <c r="C848" s="0" t="s">
        <v>3332</v>
      </c>
      <c r="D848" s="0" t="n">
        <v>0.5</v>
      </c>
    </row>
    <row r="849" customFormat="false" ht="15" hidden="false" customHeight="false" outlineLevel="0" collapsed="false">
      <c r="A849" s="0" t="s">
        <v>10</v>
      </c>
      <c r="B849" s="0" t="s">
        <v>1282</v>
      </c>
      <c r="C849" s="0" t="s">
        <v>3338</v>
      </c>
    </row>
    <row r="850" customFormat="false" ht="15" hidden="false" customHeight="false" outlineLevel="0" collapsed="false">
      <c r="A850" s="0" t="s">
        <v>10</v>
      </c>
      <c r="B850" s="0" t="s">
        <v>1282</v>
      </c>
      <c r="C850" s="0" t="s">
        <v>3339</v>
      </c>
    </row>
    <row r="851" customFormat="false" ht="15" hidden="false" customHeight="false" outlineLevel="0" collapsed="false">
      <c r="A851" s="0" t="s">
        <v>10</v>
      </c>
      <c r="B851" s="0" t="s">
        <v>1283</v>
      </c>
      <c r="C851" s="0" t="s">
        <v>3332</v>
      </c>
      <c r="D851" s="0" t="n">
        <v>0.4</v>
      </c>
    </row>
    <row r="852" customFormat="false" ht="15" hidden="false" customHeight="false" outlineLevel="0" collapsed="false">
      <c r="A852" s="0" t="s">
        <v>10</v>
      </c>
      <c r="B852" s="0" t="s">
        <v>1283</v>
      </c>
      <c r="C852" s="0" t="s">
        <v>3338</v>
      </c>
    </row>
    <row r="853" customFormat="false" ht="15" hidden="false" customHeight="false" outlineLevel="0" collapsed="false">
      <c r="A853" s="0" t="s">
        <v>10</v>
      </c>
      <c r="B853" s="0" t="s">
        <v>1283</v>
      </c>
      <c r="C853" s="0" t="s">
        <v>3339</v>
      </c>
    </row>
    <row r="854" customFormat="false" ht="15" hidden="false" customHeight="false" outlineLevel="0" collapsed="false">
      <c r="A854" s="0" t="s">
        <v>10</v>
      </c>
      <c r="B854" s="0" t="s">
        <v>1284</v>
      </c>
      <c r="C854" s="0" t="s">
        <v>3332</v>
      </c>
      <c r="D854" s="0" t="n">
        <v>0.5</v>
      </c>
    </row>
    <row r="855" customFormat="false" ht="15" hidden="false" customHeight="false" outlineLevel="0" collapsed="false">
      <c r="A855" s="0" t="s">
        <v>10</v>
      </c>
      <c r="B855" s="0" t="s">
        <v>1284</v>
      </c>
      <c r="C855" s="0" t="s">
        <v>3338</v>
      </c>
    </row>
    <row r="856" customFormat="false" ht="15" hidden="false" customHeight="false" outlineLevel="0" collapsed="false">
      <c r="A856" s="0" t="s">
        <v>10</v>
      </c>
      <c r="B856" s="0" t="s">
        <v>1284</v>
      </c>
      <c r="C856" s="0" t="s">
        <v>3339</v>
      </c>
    </row>
    <row r="857" customFormat="false" ht="15" hidden="false" customHeight="false" outlineLevel="0" collapsed="false">
      <c r="A857" s="0" t="s">
        <v>10</v>
      </c>
      <c r="B857" s="0" t="s">
        <v>1285</v>
      </c>
      <c r="C857" s="0" t="s">
        <v>3332</v>
      </c>
      <c r="D857" s="0" t="n">
        <v>0.6</v>
      </c>
    </row>
    <row r="858" customFormat="false" ht="15" hidden="false" customHeight="false" outlineLevel="0" collapsed="false">
      <c r="A858" s="0" t="s">
        <v>10</v>
      </c>
      <c r="B858" s="0" t="s">
        <v>1285</v>
      </c>
      <c r="C858" s="0" t="s">
        <v>3338</v>
      </c>
    </row>
    <row r="859" customFormat="false" ht="15" hidden="false" customHeight="false" outlineLevel="0" collapsed="false">
      <c r="A859" s="0" t="s">
        <v>10</v>
      </c>
      <c r="B859" s="0" t="s">
        <v>1285</v>
      </c>
      <c r="C859" s="0" t="s">
        <v>3339</v>
      </c>
    </row>
    <row r="860" customFormat="false" ht="15" hidden="false" customHeight="false" outlineLevel="0" collapsed="false">
      <c r="A860" s="0" t="s">
        <v>10</v>
      </c>
      <c r="B860" s="0" t="s">
        <v>1286</v>
      </c>
      <c r="C860" s="0" t="s">
        <v>3332</v>
      </c>
      <c r="D860" s="0" t="n">
        <v>0.3</v>
      </c>
    </row>
    <row r="861" customFormat="false" ht="15" hidden="false" customHeight="false" outlineLevel="0" collapsed="false">
      <c r="A861" s="0" t="s">
        <v>10</v>
      </c>
      <c r="B861" s="0" t="s">
        <v>1286</v>
      </c>
      <c r="C861" s="0" t="s">
        <v>3338</v>
      </c>
    </row>
    <row r="862" customFormat="false" ht="15" hidden="false" customHeight="false" outlineLevel="0" collapsed="false">
      <c r="A862" s="0" t="s">
        <v>10</v>
      </c>
      <c r="B862" s="0" t="s">
        <v>1286</v>
      </c>
      <c r="C862" s="0" t="s">
        <v>3339</v>
      </c>
    </row>
    <row r="863" customFormat="false" ht="15" hidden="false" customHeight="false" outlineLevel="0" collapsed="false">
      <c r="A863" s="0" t="s">
        <v>10</v>
      </c>
      <c r="B863" s="0" t="s">
        <v>1289</v>
      </c>
      <c r="C863" s="0" t="s">
        <v>3332</v>
      </c>
      <c r="D863" s="0" t="n">
        <v>0.65</v>
      </c>
    </row>
    <row r="864" customFormat="false" ht="15" hidden="false" customHeight="false" outlineLevel="0" collapsed="false">
      <c r="A864" s="0" t="s">
        <v>10</v>
      </c>
      <c r="B864" s="0" t="s">
        <v>1289</v>
      </c>
      <c r="C864" s="0" t="s">
        <v>3338</v>
      </c>
    </row>
    <row r="865" customFormat="false" ht="15" hidden="false" customHeight="false" outlineLevel="0" collapsed="false">
      <c r="A865" s="0" t="s">
        <v>10</v>
      </c>
      <c r="B865" s="0" t="s">
        <v>1289</v>
      </c>
      <c r="C865" s="0" t="s">
        <v>3339</v>
      </c>
    </row>
    <row r="866" customFormat="false" ht="15" hidden="false" customHeight="false" outlineLevel="0" collapsed="false">
      <c r="A866" s="0" t="s">
        <v>10</v>
      </c>
      <c r="B866" s="0" t="s">
        <v>1290</v>
      </c>
      <c r="C866" s="0" t="s">
        <v>3332</v>
      </c>
      <c r="D866" s="0" t="n">
        <v>0.05</v>
      </c>
    </row>
    <row r="867" customFormat="false" ht="15" hidden="false" customHeight="false" outlineLevel="0" collapsed="false">
      <c r="A867" s="0" t="s">
        <v>10</v>
      </c>
      <c r="B867" s="0" t="s">
        <v>1290</v>
      </c>
      <c r="C867" s="0" t="s">
        <v>3338</v>
      </c>
    </row>
    <row r="868" customFormat="false" ht="15" hidden="false" customHeight="false" outlineLevel="0" collapsed="false">
      <c r="A868" s="0" t="s">
        <v>10</v>
      </c>
      <c r="B868" s="0" t="s">
        <v>1290</v>
      </c>
      <c r="C868" s="0" t="s">
        <v>3339</v>
      </c>
    </row>
    <row r="869" customFormat="false" ht="15" hidden="false" customHeight="false" outlineLevel="0" collapsed="false">
      <c r="A869" s="0" t="s">
        <v>10</v>
      </c>
      <c r="B869" s="0" t="s">
        <v>1291</v>
      </c>
      <c r="C869" s="0" t="s">
        <v>3332</v>
      </c>
      <c r="D869" s="0" t="n">
        <v>0.35</v>
      </c>
    </row>
    <row r="870" customFormat="false" ht="15" hidden="false" customHeight="false" outlineLevel="0" collapsed="false">
      <c r="A870" s="0" t="s">
        <v>10</v>
      </c>
      <c r="B870" s="0" t="s">
        <v>1291</v>
      </c>
      <c r="C870" s="0" t="s">
        <v>3338</v>
      </c>
    </row>
    <row r="871" customFormat="false" ht="15" hidden="false" customHeight="false" outlineLevel="0" collapsed="false">
      <c r="A871" s="0" t="s">
        <v>10</v>
      </c>
      <c r="B871" s="0" t="s">
        <v>1291</v>
      </c>
      <c r="C871" s="0" t="s">
        <v>3339</v>
      </c>
    </row>
    <row r="872" customFormat="false" ht="15" hidden="false" customHeight="false" outlineLevel="0" collapsed="false">
      <c r="A872" s="0" t="s">
        <v>10</v>
      </c>
      <c r="B872" s="0" t="s">
        <v>1292</v>
      </c>
      <c r="C872" s="0" t="s">
        <v>3332</v>
      </c>
      <c r="D872" s="0" t="n">
        <v>0.55</v>
      </c>
    </row>
    <row r="873" customFormat="false" ht="15" hidden="false" customHeight="false" outlineLevel="0" collapsed="false">
      <c r="A873" s="0" t="s">
        <v>10</v>
      </c>
      <c r="B873" s="0" t="s">
        <v>1292</v>
      </c>
      <c r="C873" s="0" t="s">
        <v>3338</v>
      </c>
    </row>
    <row r="874" customFormat="false" ht="15" hidden="false" customHeight="false" outlineLevel="0" collapsed="false">
      <c r="A874" s="0" t="s">
        <v>10</v>
      </c>
      <c r="B874" s="0" t="s">
        <v>1292</v>
      </c>
      <c r="C874" s="0" t="s">
        <v>3339</v>
      </c>
    </row>
    <row r="875" customFormat="false" ht="15" hidden="false" customHeight="false" outlineLevel="0" collapsed="false">
      <c r="A875" s="0" t="s">
        <v>10</v>
      </c>
      <c r="B875" s="0" t="s">
        <v>1293</v>
      </c>
      <c r="C875" s="0" t="s">
        <v>3332</v>
      </c>
      <c r="D875" s="0" t="n">
        <v>0.5</v>
      </c>
    </row>
    <row r="876" customFormat="false" ht="15" hidden="false" customHeight="false" outlineLevel="0" collapsed="false">
      <c r="A876" s="0" t="s">
        <v>10</v>
      </c>
      <c r="B876" s="0" t="s">
        <v>1293</v>
      </c>
      <c r="C876" s="0" t="s">
        <v>3338</v>
      </c>
      <c r="D876" s="0" t="n">
        <v>0.3</v>
      </c>
    </row>
    <row r="877" customFormat="false" ht="15" hidden="false" customHeight="false" outlineLevel="0" collapsed="false">
      <c r="A877" s="0" t="s">
        <v>10</v>
      </c>
      <c r="B877" s="0" t="s">
        <v>1293</v>
      </c>
      <c r="C877" s="0" t="s">
        <v>3339</v>
      </c>
      <c r="D877" s="0" t="n">
        <v>0.65</v>
      </c>
    </row>
    <row r="878" customFormat="false" ht="15" hidden="false" customHeight="false" outlineLevel="0" collapsed="false">
      <c r="A878" s="0" t="s">
        <v>10</v>
      </c>
      <c r="B878" s="0" t="s">
        <v>1297</v>
      </c>
      <c r="C878" s="0" t="s">
        <v>3332</v>
      </c>
      <c r="D878" s="0" t="s">
        <v>1300</v>
      </c>
    </row>
    <row r="879" customFormat="false" ht="15" hidden="false" customHeight="false" outlineLevel="0" collapsed="false">
      <c r="A879" s="0" t="s">
        <v>10</v>
      </c>
      <c r="B879" s="0" t="s">
        <v>1297</v>
      </c>
      <c r="C879" s="0" t="s">
        <v>3338</v>
      </c>
    </row>
    <row r="880" customFormat="false" ht="15" hidden="false" customHeight="false" outlineLevel="0" collapsed="false">
      <c r="A880" s="0" t="s">
        <v>10</v>
      </c>
      <c r="B880" s="0" t="s">
        <v>1297</v>
      </c>
      <c r="C880" s="0" t="s">
        <v>3339</v>
      </c>
    </row>
    <row r="881" customFormat="false" ht="15" hidden="false" customHeight="false" outlineLevel="0" collapsed="false">
      <c r="A881" s="0" t="s">
        <v>10</v>
      </c>
      <c r="B881" s="0" t="s">
        <v>1304</v>
      </c>
      <c r="C881" s="0" t="s">
        <v>3332</v>
      </c>
      <c r="D881" s="0" t="n">
        <v>2025</v>
      </c>
    </row>
    <row r="882" customFormat="false" ht="15" hidden="false" customHeight="false" outlineLevel="0" collapsed="false">
      <c r="A882" s="0" t="s">
        <v>10</v>
      </c>
      <c r="B882" s="0" t="s">
        <v>1304</v>
      </c>
      <c r="C882" s="0" t="s">
        <v>3338</v>
      </c>
      <c r="D882" s="0" t="n">
        <v>2025</v>
      </c>
    </row>
    <row r="883" customFormat="false" ht="15" hidden="false" customHeight="false" outlineLevel="0" collapsed="false">
      <c r="A883" s="0" t="s">
        <v>10</v>
      </c>
      <c r="B883" s="0" t="s">
        <v>1304</v>
      </c>
      <c r="C883" s="0" t="s">
        <v>3339</v>
      </c>
      <c r="D883" s="0" t="n">
        <v>2026</v>
      </c>
    </row>
    <row r="884" customFormat="false" ht="15" hidden="false" customHeight="false" outlineLevel="0" collapsed="false">
      <c r="A884" s="0" t="s">
        <v>10</v>
      </c>
      <c r="B884" s="0" t="s">
        <v>1308</v>
      </c>
      <c r="C884" s="0" t="s">
        <v>3332</v>
      </c>
      <c r="D884" s="0" t="n">
        <v>2030</v>
      </c>
    </row>
    <row r="885" customFormat="false" ht="15" hidden="false" customHeight="false" outlineLevel="0" collapsed="false">
      <c r="A885" s="0" t="s">
        <v>10</v>
      </c>
      <c r="B885" s="0" t="s">
        <v>1308</v>
      </c>
      <c r="C885" s="0" t="s">
        <v>3338</v>
      </c>
      <c r="D885" s="0" t="n">
        <v>2029</v>
      </c>
    </row>
    <row r="886" customFormat="false" ht="15" hidden="false" customHeight="false" outlineLevel="0" collapsed="false">
      <c r="A886" s="0" t="s">
        <v>10</v>
      </c>
      <c r="B886" s="0" t="s">
        <v>1308</v>
      </c>
      <c r="C886" s="0" t="s">
        <v>3339</v>
      </c>
      <c r="D886" s="0" t="n">
        <v>2032</v>
      </c>
    </row>
    <row r="887" customFormat="false" ht="15" hidden="false" customHeight="false" outlineLevel="0" collapsed="false">
      <c r="A887" s="0" t="s">
        <v>10</v>
      </c>
      <c r="B887" s="0" t="s">
        <v>1312</v>
      </c>
      <c r="C887" s="0" t="s">
        <v>3332</v>
      </c>
      <c r="D887" s="0" t="n">
        <v>20</v>
      </c>
    </row>
    <row r="888" customFormat="false" ht="15" hidden="false" customHeight="false" outlineLevel="0" collapsed="false">
      <c r="A888" s="0" t="s">
        <v>10</v>
      </c>
      <c r="B888" s="0" t="s">
        <v>1312</v>
      </c>
      <c r="C888" s="0" t="s">
        <v>3338</v>
      </c>
      <c r="D888" s="0" t="n">
        <v>20</v>
      </c>
    </row>
    <row r="889" customFormat="false" ht="15" hidden="false" customHeight="false" outlineLevel="0" collapsed="false">
      <c r="A889" s="0" t="s">
        <v>10</v>
      </c>
      <c r="B889" s="0" t="s">
        <v>1312</v>
      </c>
      <c r="C889" s="0" t="s">
        <v>3339</v>
      </c>
      <c r="D889" s="0" t="n">
        <v>25</v>
      </c>
    </row>
    <row r="890" customFormat="false" ht="15" hidden="false" customHeight="false" outlineLevel="0" collapsed="false">
      <c r="A890" s="0" t="s">
        <v>10</v>
      </c>
      <c r="B890" s="0" t="s">
        <v>1315</v>
      </c>
      <c r="C890" s="0" t="s">
        <v>3332</v>
      </c>
      <c r="D890" s="0" t="n">
        <v>2031</v>
      </c>
    </row>
    <row r="891" customFormat="false" ht="15" hidden="false" customHeight="false" outlineLevel="0" collapsed="false">
      <c r="A891" s="0" t="s">
        <v>10</v>
      </c>
      <c r="B891" s="0" t="s">
        <v>1315</v>
      </c>
      <c r="C891" s="0" t="s">
        <v>3338</v>
      </c>
      <c r="D891" s="0" t="n">
        <v>2029</v>
      </c>
    </row>
    <row r="892" customFormat="false" ht="15" hidden="false" customHeight="false" outlineLevel="0" collapsed="false">
      <c r="A892" s="0" t="s">
        <v>10</v>
      </c>
      <c r="B892" s="0" t="s">
        <v>1315</v>
      </c>
      <c r="C892" s="0" t="s">
        <v>3339</v>
      </c>
      <c r="D892" s="0" t="n">
        <v>2032</v>
      </c>
    </row>
    <row r="893" customFormat="false" ht="15" hidden="false" customHeight="false" outlineLevel="0" collapsed="false">
      <c r="A893" s="0" t="s">
        <v>10</v>
      </c>
      <c r="B893" s="0" t="s">
        <v>1318</v>
      </c>
      <c r="C893" s="0" t="s">
        <v>3332</v>
      </c>
      <c r="D893" s="0" t="n">
        <v>0</v>
      </c>
    </row>
    <row r="894" customFormat="false" ht="15" hidden="false" customHeight="false" outlineLevel="0" collapsed="false">
      <c r="A894" s="0" t="s">
        <v>10</v>
      </c>
      <c r="B894" s="0" t="s">
        <v>1318</v>
      </c>
      <c r="C894" s="0" t="s">
        <v>3338</v>
      </c>
    </row>
    <row r="895" customFormat="false" ht="15" hidden="false" customHeight="false" outlineLevel="0" collapsed="false">
      <c r="A895" s="0" t="s">
        <v>10</v>
      </c>
      <c r="B895" s="0" t="s">
        <v>1318</v>
      </c>
      <c r="C895" s="0" t="s">
        <v>3339</v>
      </c>
    </row>
    <row r="896" customFormat="false" ht="15" hidden="false" customHeight="false" outlineLevel="0" collapsed="false">
      <c r="A896" s="0" t="s">
        <v>10</v>
      </c>
      <c r="B896" s="0" t="s">
        <v>1321</v>
      </c>
      <c r="C896" s="0" t="s">
        <v>3332</v>
      </c>
      <c r="D896" s="0" t="n">
        <v>20</v>
      </c>
    </row>
    <row r="897" customFormat="false" ht="15" hidden="false" customHeight="false" outlineLevel="0" collapsed="false">
      <c r="A897" s="0" t="s">
        <v>10</v>
      </c>
      <c r="B897" s="0" t="s">
        <v>1321</v>
      </c>
      <c r="C897" s="0" t="s">
        <v>3338</v>
      </c>
    </row>
    <row r="898" customFormat="false" ht="15" hidden="false" customHeight="false" outlineLevel="0" collapsed="false">
      <c r="A898" s="0" t="s">
        <v>10</v>
      </c>
      <c r="B898" s="0" t="s">
        <v>1321</v>
      </c>
      <c r="C898" s="0" t="s">
        <v>3339</v>
      </c>
    </row>
    <row r="899" customFormat="false" ht="15" hidden="false" customHeight="false" outlineLevel="0" collapsed="false">
      <c r="A899" s="0" t="s">
        <v>10</v>
      </c>
      <c r="B899" s="0" t="s">
        <v>1323</v>
      </c>
      <c r="C899" s="0" t="s">
        <v>3332</v>
      </c>
      <c r="D899" s="0" t="n">
        <v>30</v>
      </c>
    </row>
    <row r="900" customFormat="false" ht="15" hidden="false" customHeight="false" outlineLevel="0" collapsed="false">
      <c r="A900" s="0" t="s">
        <v>10</v>
      </c>
      <c r="B900" s="0" t="s">
        <v>1323</v>
      </c>
      <c r="C900" s="0" t="s">
        <v>3338</v>
      </c>
    </row>
    <row r="901" customFormat="false" ht="15" hidden="false" customHeight="false" outlineLevel="0" collapsed="false">
      <c r="A901" s="0" t="s">
        <v>10</v>
      </c>
      <c r="B901" s="0" t="s">
        <v>1323</v>
      </c>
      <c r="C901" s="0" t="s">
        <v>3339</v>
      </c>
    </row>
    <row r="902" customFormat="false" ht="15" hidden="false" customHeight="false" outlineLevel="0" collapsed="false">
      <c r="A902" s="0" t="s">
        <v>10</v>
      </c>
      <c r="B902" s="0" t="s">
        <v>1324</v>
      </c>
      <c r="C902" s="0" t="s">
        <v>3332</v>
      </c>
      <c r="D902" s="0" t="n">
        <v>45</v>
      </c>
    </row>
    <row r="903" customFormat="false" ht="15" hidden="false" customHeight="false" outlineLevel="0" collapsed="false">
      <c r="A903" s="0" t="s">
        <v>10</v>
      </c>
      <c r="B903" s="0" t="s">
        <v>1324</v>
      </c>
      <c r="C903" s="0" t="s">
        <v>3338</v>
      </c>
    </row>
    <row r="904" customFormat="false" ht="15" hidden="false" customHeight="false" outlineLevel="0" collapsed="false">
      <c r="A904" s="0" t="s">
        <v>10</v>
      </c>
      <c r="B904" s="0" t="s">
        <v>1324</v>
      </c>
      <c r="C904" s="0" t="s">
        <v>3339</v>
      </c>
    </row>
    <row r="905" customFormat="false" ht="15" hidden="false" customHeight="false" outlineLevel="0" collapsed="false">
      <c r="A905" s="0" t="s">
        <v>10</v>
      </c>
      <c r="B905" s="0" t="s">
        <v>1325</v>
      </c>
      <c r="C905" s="0" t="s">
        <v>3332</v>
      </c>
      <c r="D905" s="0" t="n">
        <v>60</v>
      </c>
    </row>
    <row r="906" customFormat="false" ht="15" hidden="false" customHeight="false" outlineLevel="0" collapsed="false">
      <c r="A906" s="0" t="s">
        <v>10</v>
      </c>
      <c r="B906" s="0" t="s">
        <v>1325</v>
      </c>
      <c r="C906" s="0" t="s">
        <v>3338</v>
      </c>
    </row>
    <row r="907" customFormat="false" ht="15" hidden="false" customHeight="false" outlineLevel="0" collapsed="false">
      <c r="A907" s="0" t="s">
        <v>10</v>
      </c>
      <c r="B907" s="0" t="s">
        <v>1325</v>
      </c>
      <c r="C907" s="0" t="s">
        <v>3339</v>
      </c>
    </row>
    <row r="908" customFormat="false" ht="15" hidden="false" customHeight="false" outlineLevel="0" collapsed="false">
      <c r="A908" s="0" t="s">
        <v>10</v>
      </c>
      <c r="B908" s="0" t="s">
        <v>1326</v>
      </c>
      <c r="C908" s="0" t="s">
        <v>3332</v>
      </c>
      <c r="D908" s="0" t="n">
        <v>70</v>
      </c>
    </row>
    <row r="909" customFormat="false" ht="15" hidden="false" customHeight="false" outlineLevel="0" collapsed="false">
      <c r="A909" s="0" t="s">
        <v>10</v>
      </c>
      <c r="B909" s="0" t="s">
        <v>1326</v>
      </c>
      <c r="C909" s="0" t="s">
        <v>3338</v>
      </c>
    </row>
    <row r="910" customFormat="false" ht="15" hidden="false" customHeight="false" outlineLevel="0" collapsed="false">
      <c r="A910" s="0" t="s">
        <v>10</v>
      </c>
      <c r="B910" s="0" t="s">
        <v>1326</v>
      </c>
      <c r="C910" s="0" t="s">
        <v>3339</v>
      </c>
    </row>
    <row r="911" customFormat="false" ht="15" hidden="false" customHeight="false" outlineLevel="0" collapsed="false">
      <c r="A911" s="0" t="s">
        <v>10</v>
      </c>
      <c r="B911" s="0" t="s">
        <v>1327</v>
      </c>
      <c r="C911" s="0" t="s">
        <v>3332</v>
      </c>
      <c r="D911" s="0" t="n">
        <v>0.6</v>
      </c>
    </row>
    <row r="912" customFormat="false" ht="15" hidden="false" customHeight="false" outlineLevel="0" collapsed="false">
      <c r="A912" s="0" t="s">
        <v>10</v>
      </c>
      <c r="B912" s="0" t="s">
        <v>1327</v>
      </c>
      <c r="C912" s="0" t="s">
        <v>3338</v>
      </c>
    </row>
    <row r="913" customFormat="false" ht="15" hidden="false" customHeight="false" outlineLevel="0" collapsed="false">
      <c r="A913" s="0" t="s">
        <v>10</v>
      </c>
      <c r="B913" s="0" t="s">
        <v>1327</v>
      </c>
      <c r="C913" s="0" t="s">
        <v>3339</v>
      </c>
    </row>
    <row r="914" customFormat="false" ht="15" hidden="false" customHeight="false" outlineLevel="0" collapsed="false">
      <c r="A914" s="0" t="s">
        <v>10</v>
      </c>
      <c r="B914" s="0" t="s">
        <v>1329</v>
      </c>
      <c r="C914" s="0" t="s">
        <v>3332</v>
      </c>
      <c r="D914" s="0" t="n">
        <v>1.5</v>
      </c>
    </row>
    <row r="915" customFormat="false" ht="15" hidden="false" customHeight="false" outlineLevel="0" collapsed="false">
      <c r="A915" s="0" t="s">
        <v>10</v>
      </c>
      <c r="B915" s="0" t="s">
        <v>1329</v>
      </c>
      <c r="C915" s="0" t="s">
        <v>3338</v>
      </c>
    </row>
    <row r="916" customFormat="false" ht="15" hidden="false" customHeight="false" outlineLevel="0" collapsed="false">
      <c r="A916" s="0" t="s">
        <v>10</v>
      </c>
      <c r="B916" s="0" t="s">
        <v>1329</v>
      </c>
      <c r="C916" s="0" t="s">
        <v>3339</v>
      </c>
    </row>
    <row r="917" customFormat="false" ht="15" hidden="false" customHeight="false" outlineLevel="0" collapsed="false">
      <c r="A917" s="0" t="s">
        <v>10</v>
      </c>
      <c r="B917" s="0" t="s">
        <v>1331</v>
      </c>
      <c r="C917" s="0" t="s">
        <v>3332</v>
      </c>
      <c r="D917" s="0" t="n">
        <v>0</v>
      </c>
    </row>
    <row r="918" customFormat="false" ht="15" hidden="false" customHeight="false" outlineLevel="0" collapsed="false">
      <c r="A918" s="0" t="s">
        <v>10</v>
      </c>
      <c r="B918" s="0" t="s">
        <v>1331</v>
      </c>
      <c r="C918" s="0" t="s">
        <v>3338</v>
      </c>
      <c r="D918" s="0" t="n">
        <v>0</v>
      </c>
    </row>
    <row r="919" customFormat="false" ht="15" hidden="false" customHeight="false" outlineLevel="0" collapsed="false">
      <c r="A919" s="0" t="s">
        <v>10</v>
      </c>
      <c r="B919" s="0" t="s">
        <v>1331</v>
      </c>
      <c r="C919" s="0" t="s">
        <v>3339</v>
      </c>
      <c r="D919" s="0" t="n">
        <v>0.3</v>
      </c>
    </row>
    <row r="920" customFormat="false" ht="15" hidden="false" customHeight="false" outlineLevel="0" collapsed="false">
      <c r="A920" s="0" t="s">
        <v>10</v>
      </c>
      <c r="B920" s="0" t="s">
        <v>1336</v>
      </c>
      <c r="C920" s="0" t="s">
        <v>3332</v>
      </c>
      <c r="D920" s="0" t="n">
        <v>0.33</v>
      </c>
    </row>
    <row r="921" customFormat="false" ht="15" hidden="false" customHeight="false" outlineLevel="0" collapsed="false">
      <c r="A921" s="0" t="s">
        <v>10</v>
      </c>
      <c r="B921" s="0" t="s">
        <v>1336</v>
      </c>
      <c r="C921" s="0" t="s">
        <v>3338</v>
      </c>
    </row>
    <row r="922" customFormat="false" ht="15" hidden="false" customHeight="false" outlineLevel="0" collapsed="false">
      <c r="A922" s="0" t="s">
        <v>10</v>
      </c>
      <c r="B922" s="0" t="s">
        <v>1336</v>
      </c>
      <c r="C922" s="0" t="s">
        <v>3339</v>
      </c>
    </row>
    <row r="923" customFormat="false" ht="15" hidden="false" customHeight="false" outlineLevel="0" collapsed="false">
      <c r="A923" s="0" t="s">
        <v>10</v>
      </c>
      <c r="B923" s="0" t="s">
        <v>1341</v>
      </c>
      <c r="C923" s="0" t="s">
        <v>3332</v>
      </c>
      <c r="D923" s="0" t="n">
        <v>0.265</v>
      </c>
    </row>
    <row r="924" customFormat="false" ht="15" hidden="false" customHeight="false" outlineLevel="0" collapsed="false">
      <c r="A924" s="0" t="s">
        <v>10</v>
      </c>
      <c r="B924" s="0" t="s">
        <v>1341</v>
      </c>
      <c r="C924" s="0" t="s">
        <v>3338</v>
      </c>
    </row>
    <row r="925" customFormat="false" ht="15" hidden="false" customHeight="false" outlineLevel="0" collapsed="false">
      <c r="A925" s="0" t="s">
        <v>10</v>
      </c>
      <c r="B925" s="0" t="s">
        <v>1341</v>
      </c>
      <c r="C925" s="0" t="s">
        <v>3339</v>
      </c>
    </row>
    <row r="926" customFormat="false" ht="15" hidden="false" customHeight="false" outlineLevel="0" collapsed="false">
      <c r="A926" s="0" t="s">
        <v>10</v>
      </c>
      <c r="B926" s="0" t="s">
        <v>1342</v>
      </c>
      <c r="C926" s="0" t="s">
        <v>3332</v>
      </c>
      <c r="D926" s="0" t="n">
        <v>0.22</v>
      </c>
    </row>
    <row r="927" customFormat="false" ht="15" hidden="false" customHeight="false" outlineLevel="0" collapsed="false">
      <c r="A927" s="0" t="s">
        <v>10</v>
      </c>
      <c r="B927" s="0" t="s">
        <v>1342</v>
      </c>
      <c r="C927" s="0" t="s">
        <v>3338</v>
      </c>
    </row>
    <row r="928" customFormat="false" ht="15" hidden="false" customHeight="false" outlineLevel="0" collapsed="false">
      <c r="A928" s="0" t="s">
        <v>10</v>
      </c>
      <c r="B928" s="0" t="s">
        <v>1342</v>
      </c>
      <c r="C928" s="0" t="s">
        <v>3339</v>
      </c>
    </row>
    <row r="929" customFormat="false" ht="15" hidden="false" customHeight="false" outlineLevel="0" collapsed="false">
      <c r="A929" s="0" t="s">
        <v>10</v>
      </c>
      <c r="B929" s="0" t="s">
        <v>1343</v>
      </c>
      <c r="C929" s="0" t="s">
        <v>3332</v>
      </c>
      <c r="D929" s="0" t="n">
        <v>0.18</v>
      </c>
    </row>
    <row r="930" customFormat="false" ht="15" hidden="false" customHeight="false" outlineLevel="0" collapsed="false">
      <c r="A930" s="0" t="s">
        <v>10</v>
      </c>
      <c r="B930" s="0" t="s">
        <v>1343</v>
      </c>
      <c r="C930" s="0" t="s">
        <v>3338</v>
      </c>
    </row>
    <row r="931" customFormat="false" ht="15" hidden="false" customHeight="false" outlineLevel="0" collapsed="false">
      <c r="A931" s="0" t="s">
        <v>10</v>
      </c>
      <c r="B931" s="0" t="s">
        <v>1343</v>
      </c>
      <c r="C931" s="0" t="s">
        <v>3339</v>
      </c>
    </row>
    <row r="932" customFormat="false" ht="15" hidden="false" customHeight="false" outlineLevel="0" collapsed="false">
      <c r="A932" s="0" t="s">
        <v>10</v>
      </c>
      <c r="B932" s="0" t="s">
        <v>1344</v>
      </c>
      <c r="C932" s="0" t="s">
        <v>3332</v>
      </c>
      <c r="D932" s="0" t="n">
        <v>0.14</v>
      </c>
    </row>
    <row r="933" customFormat="false" ht="15" hidden="false" customHeight="false" outlineLevel="0" collapsed="false">
      <c r="A933" s="0" t="s">
        <v>10</v>
      </c>
      <c r="B933" s="0" t="s">
        <v>1344</v>
      </c>
      <c r="C933" s="0" t="s">
        <v>3338</v>
      </c>
    </row>
    <row r="934" customFormat="false" ht="15" hidden="false" customHeight="false" outlineLevel="0" collapsed="false">
      <c r="A934" s="0" t="s">
        <v>10</v>
      </c>
      <c r="B934" s="0" t="s">
        <v>1344</v>
      </c>
      <c r="C934" s="0" t="s">
        <v>3339</v>
      </c>
    </row>
    <row r="935" customFormat="false" ht="15" hidden="false" customHeight="false" outlineLevel="0" collapsed="false">
      <c r="A935" s="0" t="s">
        <v>10</v>
      </c>
      <c r="B935" s="0" t="s">
        <v>1345</v>
      </c>
      <c r="C935" s="0" t="s">
        <v>3332</v>
      </c>
      <c r="D935" s="0" t="n">
        <v>0.8</v>
      </c>
    </row>
    <row r="936" customFormat="false" ht="15" hidden="false" customHeight="false" outlineLevel="0" collapsed="false">
      <c r="A936" s="0" t="s">
        <v>10</v>
      </c>
      <c r="B936" s="0" t="s">
        <v>1345</v>
      </c>
      <c r="C936" s="0" t="s">
        <v>3338</v>
      </c>
    </row>
    <row r="937" customFormat="false" ht="15" hidden="false" customHeight="false" outlineLevel="0" collapsed="false">
      <c r="A937" s="0" t="s">
        <v>10</v>
      </c>
      <c r="B937" s="0" t="s">
        <v>1345</v>
      </c>
      <c r="C937" s="0" t="s">
        <v>3339</v>
      </c>
    </row>
    <row r="938" customFormat="false" ht="15" hidden="false" customHeight="false" outlineLevel="0" collapsed="false">
      <c r="A938" s="0" t="s">
        <v>10</v>
      </c>
      <c r="B938" s="0" t="s">
        <v>1348</v>
      </c>
      <c r="C938" s="0" t="s">
        <v>3332</v>
      </c>
      <c r="D938" s="0" t="n">
        <v>1.3</v>
      </c>
    </row>
    <row r="939" customFormat="false" ht="15" hidden="false" customHeight="false" outlineLevel="0" collapsed="false">
      <c r="A939" s="0" t="s">
        <v>10</v>
      </c>
      <c r="B939" s="0" t="s">
        <v>1348</v>
      </c>
      <c r="C939" s="0" t="s">
        <v>3338</v>
      </c>
    </row>
    <row r="940" customFormat="false" ht="15" hidden="false" customHeight="false" outlineLevel="0" collapsed="false">
      <c r="A940" s="0" t="s">
        <v>10</v>
      </c>
      <c r="B940" s="0" t="s">
        <v>1348</v>
      </c>
      <c r="C940" s="0" t="s">
        <v>3339</v>
      </c>
    </row>
    <row r="941" customFormat="false" ht="15" hidden="false" customHeight="false" outlineLevel="0" collapsed="false">
      <c r="A941" s="0" t="s">
        <v>10</v>
      </c>
      <c r="B941" s="0" t="s">
        <v>1350</v>
      </c>
      <c r="C941" s="0" t="s">
        <v>3332</v>
      </c>
      <c r="D941" s="0" t="n">
        <v>10</v>
      </c>
    </row>
    <row r="942" customFormat="false" ht="15" hidden="false" customHeight="false" outlineLevel="0" collapsed="false">
      <c r="A942" s="0" t="s">
        <v>10</v>
      </c>
      <c r="B942" s="0" t="s">
        <v>1350</v>
      </c>
      <c r="C942" s="0" t="s">
        <v>3338</v>
      </c>
      <c r="D942" s="0" t="n">
        <v>5</v>
      </c>
    </row>
    <row r="943" customFormat="false" ht="15" hidden="false" customHeight="false" outlineLevel="0" collapsed="false">
      <c r="A943" s="0" t="s">
        <v>10</v>
      </c>
      <c r="B943" s="0" t="s">
        <v>1350</v>
      </c>
      <c r="C943" s="0" t="s">
        <v>3339</v>
      </c>
      <c r="D943" s="0" t="n">
        <v>20</v>
      </c>
    </row>
    <row r="944" customFormat="false" ht="15" hidden="false" customHeight="false" outlineLevel="0" collapsed="false">
      <c r="A944" s="0" t="s">
        <v>10</v>
      </c>
      <c r="B944" s="0" t="s">
        <v>1354</v>
      </c>
      <c r="C944" s="0" t="s">
        <v>3332</v>
      </c>
      <c r="D944" s="0" t="n">
        <v>0.6</v>
      </c>
    </row>
    <row r="945" customFormat="false" ht="15" hidden="false" customHeight="false" outlineLevel="0" collapsed="false">
      <c r="A945" s="0" t="s">
        <v>10</v>
      </c>
      <c r="B945" s="0" t="s">
        <v>1354</v>
      </c>
      <c r="C945" s="0" t="s">
        <v>3338</v>
      </c>
      <c r="D945" s="0" t="n">
        <v>0.4</v>
      </c>
    </row>
    <row r="946" customFormat="false" ht="15" hidden="false" customHeight="false" outlineLevel="0" collapsed="false">
      <c r="A946" s="0" t="s">
        <v>10</v>
      </c>
      <c r="B946" s="0" t="s">
        <v>1354</v>
      </c>
      <c r="C946" s="0" t="s">
        <v>3339</v>
      </c>
      <c r="D946" s="0" t="n">
        <v>1</v>
      </c>
    </row>
    <row r="947" customFormat="false" ht="15" hidden="false" customHeight="false" outlineLevel="0" collapsed="false">
      <c r="A947" s="0" t="s">
        <v>10</v>
      </c>
      <c r="B947" s="0" t="s">
        <v>1359</v>
      </c>
      <c r="C947" s="0" t="s">
        <v>3332</v>
      </c>
      <c r="D947" s="0" t="n">
        <v>0.6</v>
      </c>
    </row>
    <row r="948" customFormat="false" ht="15" hidden="false" customHeight="false" outlineLevel="0" collapsed="false">
      <c r="A948" s="0" t="s">
        <v>10</v>
      </c>
      <c r="B948" s="0" t="s">
        <v>1359</v>
      </c>
      <c r="C948" s="0" t="s">
        <v>3338</v>
      </c>
    </row>
    <row r="949" customFormat="false" ht="15" hidden="false" customHeight="false" outlineLevel="0" collapsed="false">
      <c r="A949" s="0" t="s">
        <v>10</v>
      </c>
      <c r="B949" s="0" t="s">
        <v>1359</v>
      </c>
      <c r="C949" s="0" t="s">
        <v>3339</v>
      </c>
    </row>
    <row r="950" customFormat="false" ht="15" hidden="false" customHeight="false" outlineLevel="0" collapsed="false">
      <c r="A950" s="0" t="s">
        <v>10</v>
      </c>
      <c r="B950" s="0" t="s">
        <v>1364</v>
      </c>
      <c r="C950" s="0" t="s">
        <v>3332</v>
      </c>
      <c r="D950" s="0" t="n">
        <v>0.35</v>
      </c>
    </row>
    <row r="951" customFormat="false" ht="15" hidden="false" customHeight="false" outlineLevel="0" collapsed="false">
      <c r="A951" s="0" t="s">
        <v>10</v>
      </c>
      <c r="B951" s="0" t="s">
        <v>1364</v>
      </c>
      <c r="C951" s="0" t="s">
        <v>3338</v>
      </c>
    </row>
    <row r="952" customFormat="false" ht="15" hidden="false" customHeight="false" outlineLevel="0" collapsed="false">
      <c r="A952" s="0" t="s">
        <v>10</v>
      </c>
      <c r="B952" s="0" t="s">
        <v>1364</v>
      </c>
      <c r="C952" s="0" t="s">
        <v>3339</v>
      </c>
    </row>
    <row r="953" customFormat="false" ht="15" hidden="false" customHeight="false" outlineLevel="0" collapsed="false">
      <c r="A953" s="0" t="s">
        <v>10</v>
      </c>
      <c r="B953" s="0" t="s">
        <v>1365</v>
      </c>
      <c r="C953" s="0" t="s">
        <v>3332</v>
      </c>
      <c r="D953" s="0" t="n">
        <v>0.15</v>
      </c>
    </row>
    <row r="954" customFormat="false" ht="15" hidden="false" customHeight="false" outlineLevel="0" collapsed="false">
      <c r="A954" s="0" t="s">
        <v>10</v>
      </c>
      <c r="B954" s="0" t="s">
        <v>1365</v>
      </c>
      <c r="C954" s="0" t="s">
        <v>3338</v>
      </c>
    </row>
    <row r="955" customFormat="false" ht="15" hidden="false" customHeight="false" outlineLevel="0" collapsed="false">
      <c r="A955" s="0" t="s">
        <v>10</v>
      </c>
      <c r="B955" s="0" t="s">
        <v>1365</v>
      </c>
      <c r="C955" s="0" t="s">
        <v>3339</v>
      </c>
    </row>
    <row r="956" customFormat="false" ht="15" hidden="false" customHeight="false" outlineLevel="0" collapsed="false">
      <c r="A956" s="0" t="s">
        <v>10</v>
      </c>
      <c r="B956" s="0" t="s">
        <v>1366</v>
      </c>
      <c r="C956" s="0" t="s">
        <v>3332</v>
      </c>
      <c r="D956" s="0" t="n">
        <v>0.05</v>
      </c>
    </row>
    <row r="957" customFormat="false" ht="15" hidden="false" customHeight="false" outlineLevel="0" collapsed="false">
      <c r="A957" s="0" t="s">
        <v>10</v>
      </c>
      <c r="B957" s="0" t="s">
        <v>1366</v>
      </c>
      <c r="C957" s="0" t="s">
        <v>3338</v>
      </c>
    </row>
    <row r="958" customFormat="false" ht="15" hidden="false" customHeight="false" outlineLevel="0" collapsed="false">
      <c r="A958" s="0" t="s">
        <v>10</v>
      </c>
      <c r="B958" s="0" t="s">
        <v>1366</v>
      </c>
      <c r="C958" s="0" t="s">
        <v>3339</v>
      </c>
    </row>
    <row r="959" customFormat="false" ht="15" hidden="false" customHeight="false" outlineLevel="0" collapsed="false">
      <c r="A959" s="0" t="s">
        <v>10</v>
      </c>
      <c r="B959" s="0" t="s">
        <v>1367</v>
      </c>
      <c r="C959" s="0" t="s">
        <v>3332</v>
      </c>
      <c r="D959" s="0" t="n">
        <v>0</v>
      </c>
    </row>
    <row r="960" customFormat="false" ht="15" hidden="false" customHeight="false" outlineLevel="0" collapsed="false">
      <c r="A960" s="0" t="s">
        <v>10</v>
      </c>
      <c r="B960" s="0" t="s">
        <v>1367</v>
      </c>
      <c r="C960" s="0" t="s">
        <v>3338</v>
      </c>
    </row>
    <row r="961" customFormat="false" ht="15" hidden="false" customHeight="false" outlineLevel="0" collapsed="false">
      <c r="A961" s="0" t="s">
        <v>10</v>
      </c>
      <c r="B961" s="0" t="s">
        <v>1367</v>
      </c>
      <c r="C961" s="0" t="s">
        <v>3339</v>
      </c>
    </row>
    <row r="962" customFormat="false" ht="15" hidden="false" customHeight="false" outlineLevel="0" collapsed="false">
      <c r="A962" s="0" t="s">
        <v>10</v>
      </c>
      <c r="B962" s="0" t="s">
        <v>1368</v>
      </c>
      <c r="C962" s="0" t="s">
        <v>3332</v>
      </c>
      <c r="D962" s="0" t="n">
        <v>0</v>
      </c>
    </row>
    <row r="963" customFormat="false" ht="15" hidden="false" customHeight="false" outlineLevel="0" collapsed="false">
      <c r="A963" s="0" t="s">
        <v>10</v>
      </c>
      <c r="B963" s="0" t="s">
        <v>1368</v>
      </c>
      <c r="C963" s="0" t="s">
        <v>3338</v>
      </c>
    </row>
    <row r="964" customFormat="false" ht="15" hidden="false" customHeight="false" outlineLevel="0" collapsed="false">
      <c r="A964" s="0" t="s">
        <v>10</v>
      </c>
      <c r="B964" s="0" t="s">
        <v>1368</v>
      </c>
      <c r="C964" s="0" t="s">
        <v>3339</v>
      </c>
    </row>
    <row r="965" customFormat="false" ht="15" hidden="false" customHeight="false" outlineLevel="0" collapsed="false">
      <c r="A965" s="0" t="s">
        <v>10</v>
      </c>
      <c r="B965" s="0" t="s">
        <v>1369</v>
      </c>
      <c r="C965" s="0" t="s">
        <v>3332</v>
      </c>
      <c r="D965" s="0" t="n">
        <v>0.4</v>
      </c>
    </row>
    <row r="966" customFormat="false" ht="15" hidden="false" customHeight="false" outlineLevel="0" collapsed="false">
      <c r="A966" s="0" t="s">
        <v>10</v>
      </c>
      <c r="B966" s="0" t="s">
        <v>1369</v>
      </c>
      <c r="C966" s="0" t="s">
        <v>3338</v>
      </c>
    </row>
    <row r="967" customFormat="false" ht="15" hidden="false" customHeight="false" outlineLevel="0" collapsed="false">
      <c r="A967" s="0" t="s">
        <v>10</v>
      </c>
      <c r="B967" s="0" t="s">
        <v>1369</v>
      </c>
      <c r="C967" s="0" t="s">
        <v>3339</v>
      </c>
    </row>
    <row r="968" customFormat="false" ht="15" hidden="false" customHeight="false" outlineLevel="0" collapsed="false">
      <c r="A968" s="0" t="s">
        <v>10</v>
      </c>
      <c r="B968" s="0" t="s">
        <v>1373</v>
      </c>
      <c r="C968" s="0" t="s">
        <v>3332</v>
      </c>
      <c r="D968" s="0" t="n">
        <v>0.55</v>
      </c>
    </row>
    <row r="969" customFormat="false" ht="15" hidden="false" customHeight="false" outlineLevel="0" collapsed="false">
      <c r="A969" s="0" t="s">
        <v>10</v>
      </c>
      <c r="B969" s="0" t="s">
        <v>1373</v>
      </c>
      <c r="C969" s="0" t="s">
        <v>3338</v>
      </c>
    </row>
    <row r="970" customFormat="false" ht="15" hidden="false" customHeight="false" outlineLevel="0" collapsed="false">
      <c r="A970" s="0" t="s">
        <v>10</v>
      </c>
      <c r="B970" s="0" t="s">
        <v>1373</v>
      </c>
      <c r="C970" s="0" t="s">
        <v>3339</v>
      </c>
    </row>
    <row r="971" customFormat="false" ht="15" hidden="false" customHeight="false" outlineLevel="0" collapsed="false">
      <c r="A971" s="0" t="s">
        <v>10</v>
      </c>
      <c r="B971" s="0" t="s">
        <v>1374</v>
      </c>
      <c r="C971" s="0" t="s">
        <v>3332</v>
      </c>
      <c r="D971" s="0" t="n">
        <v>0.45</v>
      </c>
    </row>
    <row r="972" customFormat="false" ht="15" hidden="false" customHeight="false" outlineLevel="0" collapsed="false">
      <c r="A972" s="0" t="s">
        <v>10</v>
      </c>
      <c r="B972" s="0" t="s">
        <v>1374</v>
      </c>
      <c r="C972" s="0" t="s">
        <v>3338</v>
      </c>
    </row>
    <row r="973" customFormat="false" ht="15" hidden="false" customHeight="false" outlineLevel="0" collapsed="false">
      <c r="A973" s="0" t="s">
        <v>10</v>
      </c>
      <c r="B973" s="0" t="s">
        <v>1374</v>
      </c>
      <c r="C973" s="0" t="s">
        <v>3339</v>
      </c>
    </row>
    <row r="974" customFormat="false" ht="15" hidden="false" customHeight="false" outlineLevel="0" collapsed="false">
      <c r="A974" s="0" t="s">
        <v>10</v>
      </c>
      <c r="B974" s="0" t="s">
        <v>1375</v>
      </c>
      <c r="C974" s="0" t="s">
        <v>3332</v>
      </c>
      <c r="D974" s="0" t="n">
        <v>0.3</v>
      </c>
    </row>
    <row r="975" customFormat="false" ht="15" hidden="false" customHeight="false" outlineLevel="0" collapsed="false">
      <c r="A975" s="0" t="s">
        <v>10</v>
      </c>
      <c r="B975" s="0" t="s">
        <v>1375</v>
      </c>
      <c r="C975" s="0" t="s">
        <v>3338</v>
      </c>
    </row>
    <row r="976" customFormat="false" ht="15" hidden="false" customHeight="false" outlineLevel="0" collapsed="false">
      <c r="A976" s="0" t="s">
        <v>10</v>
      </c>
      <c r="B976" s="0" t="s">
        <v>1375</v>
      </c>
      <c r="C976" s="0" t="s">
        <v>3339</v>
      </c>
    </row>
    <row r="977" customFormat="false" ht="15" hidden="false" customHeight="false" outlineLevel="0" collapsed="false">
      <c r="A977" s="0" t="s">
        <v>10</v>
      </c>
      <c r="B977" s="0" t="s">
        <v>1376</v>
      </c>
      <c r="C977" s="0" t="s">
        <v>3332</v>
      </c>
      <c r="D977" s="0" t="n">
        <v>0.2</v>
      </c>
    </row>
    <row r="978" customFormat="false" ht="15" hidden="false" customHeight="false" outlineLevel="0" collapsed="false">
      <c r="A978" s="0" t="s">
        <v>10</v>
      </c>
      <c r="B978" s="0" t="s">
        <v>1376</v>
      </c>
      <c r="C978" s="0" t="s">
        <v>3338</v>
      </c>
    </row>
    <row r="979" customFormat="false" ht="15" hidden="false" customHeight="false" outlineLevel="0" collapsed="false">
      <c r="A979" s="0" t="s">
        <v>10</v>
      </c>
      <c r="B979" s="0" t="s">
        <v>1376</v>
      </c>
      <c r="C979" s="0" t="s">
        <v>3339</v>
      </c>
    </row>
    <row r="980" customFormat="false" ht="15" hidden="false" customHeight="false" outlineLevel="0" collapsed="false">
      <c r="A980" s="0" t="s">
        <v>10</v>
      </c>
      <c r="B980" s="0" t="s">
        <v>1377</v>
      </c>
      <c r="C980" s="0" t="s">
        <v>3332</v>
      </c>
      <c r="D980" s="0" t="n">
        <v>0.1</v>
      </c>
    </row>
    <row r="981" customFormat="false" ht="15" hidden="false" customHeight="false" outlineLevel="0" collapsed="false">
      <c r="A981" s="0" t="s">
        <v>10</v>
      </c>
      <c r="B981" s="0" t="s">
        <v>1377</v>
      </c>
      <c r="C981" s="0" t="s">
        <v>3338</v>
      </c>
    </row>
    <row r="982" customFormat="false" ht="15" hidden="false" customHeight="false" outlineLevel="0" collapsed="false">
      <c r="A982" s="0" t="s">
        <v>10</v>
      </c>
      <c r="B982" s="0" t="s">
        <v>1377</v>
      </c>
      <c r="C982" s="0" t="s">
        <v>3339</v>
      </c>
    </row>
    <row r="983" customFormat="false" ht="15" hidden="false" customHeight="false" outlineLevel="0" collapsed="false">
      <c r="A983" s="0" t="s">
        <v>10</v>
      </c>
      <c r="B983" s="0" t="s">
        <v>1378</v>
      </c>
      <c r="C983" s="0" t="s">
        <v>3332</v>
      </c>
      <c r="D983" s="0" t="n">
        <v>0</v>
      </c>
    </row>
    <row r="984" customFormat="false" ht="15" hidden="false" customHeight="false" outlineLevel="0" collapsed="false">
      <c r="A984" s="0" t="s">
        <v>10</v>
      </c>
      <c r="B984" s="0" t="s">
        <v>1378</v>
      </c>
      <c r="C984" s="0" t="s">
        <v>3338</v>
      </c>
    </row>
    <row r="985" customFormat="false" ht="15" hidden="false" customHeight="false" outlineLevel="0" collapsed="false">
      <c r="A985" s="0" t="s">
        <v>10</v>
      </c>
      <c r="B985" s="0" t="s">
        <v>1378</v>
      </c>
      <c r="C985" s="0" t="s">
        <v>3339</v>
      </c>
    </row>
    <row r="986" customFormat="false" ht="15" hidden="false" customHeight="false" outlineLevel="0" collapsed="false">
      <c r="A986" s="0" t="s">
        <v>10</v>
      </c>
      <c r="B986" s="0" t="s">
        <v>1381</v>
      </c>
      <c r="C986" s="0" t="s">
        <v>3332</v>
      </c>
      <c r="D986" s="0" t="n">
        <v>0.05</v>
      </c>
    </row>
    <row r="987" customFormat="false" ht="15" hidden="false" customHeight="false" outlineLevel="0" collapsed="false">
      <c r="A987" s="0" t="s">
        <v>10</v>
      </c>
      <c r="B987" s="0" t="s">
        <v>1381</v>
      </c>
      <c r="C987" s="0" t="s">
        <v>3338</v>
      </c>
    </row>
    <row r="988" customFormat="false" ht="15" hidden="false" customHeight="false" outlineLevel="0" collapsed="false">
      <c r="A988" s="0" t="s">
        <v>10</v>
      </c>
      <c r="B988" s="0" t="s">
        <v>1381</v>
      </c>
      <c r="C988" s="0" t="s">
        <v>3339</v>
      </c>
    </row>
    <row r="989" customFormat="false" ht="15" hidden="false" customHeight="false" outlineLevel="0" collapsed="false">
      <c r="A989" s="0" t="s">
        <v>10</v>
      </c>
      <c r="B989" s="0" t="s">
        <v>1382</v>
      </c>
      <c r="C989" s="0" t="s">
        <v>3332</v>
      </c>
      <c r="D989" s="0" t="n">
        <v>0.3</v>
      </c>
    </row>
    <row r="990" customFormat="false" ht="15" hidden="false" customHeight="false" outlineLevel="0" collapsed="false">
      <c r="A990" s="0" t="s">
        <v>10</v>
      </c>
      <c r="B990" s="0" t="s">
        <v>1382</v>
      </c>
      <c r="C990" s="0" t="s">
        <v>3338</v>
      </c>
    </row>
    <row r="991" customFormat="false" ht="15" hidden="false" customHeight="false" outlineLevel="0" collapsed="false">
      <c r="A991" s="0" t="s">
        <v>10</v>
      </c>
      <c r="B991" s="0" t="s">
        <v>1382</v>
      </c>
      <c r="C991" s="0" t="s">
        <v>3339</v>
      </c>
    </row>
    <row r="992" customFormat="false" ht="15" hidden="false" customHeight="false" outlineLevel="0" collapsed="false">
      <c r="A992" s="0" t="s">
        <v>10</v>
      </c>
      <c r="B992" s="0" t="s">
        <v>1383</v>
      </c>
      <c r="C992" s="0" t="s">
        <v>3332</v>
      </c>
      <c r="D992" s="0" t="n">
        <v>0.45</v>
      </c>
    </row>
    <row r="993" customFormat="false" ht="15" hidden="false" customHeight="false" outlineLevel="0" collapsed="false">
      <c r="A993" s="0" t="s">
        <v>10</v>
      </c>
      <c r="B993" s="0" t="s">
        <v>1383</v>
      </c>
      <c r="C993" s="0" t="s">
        <v>3338</v>
      </c>
    </row>
    <row r="994" customFormat="false" ht="15" hidden="false" customHeight="false" outlineLevel="0" collapsed="false">
      <c r="A994" s="0" t="s">
        <v>10</v>
      </c>
      <c r="B994" s="0" t="s">
        <v>1383</v>
      </c>
      <c r="C994" s="0" t="s">
        <v>3339</v>
      </c>
    </row>
    <row r="995" customFormat="false" ht="15" hidden="false" customHeight="false" outlineLevel="0" collapsed="false">
      <c r="A995" s="0" t="s">
        <v>10</v>
      </c>
      <c r="B995" s="0" t="s">
        <v>1384</v>
      </c>
      <c r="C995" s="0" t="s">
        <v>3332</v>
      </c>
      <c r="D995" s="0" t="n">
        <v>0.5</v>
      </c>
    </row>
    <row r="996" customFormat="false" ht="15" hidden="false" customHeight="false" outlineLevel="0" collapsed="false">
      <c r="A996" s="0" t="s">
        <v>10</v>
      </c>
      <c r="B996" s="0" t="s">
        <v>1384</v>
      </c>
      <c r="C996" s="0" t="s">
        <v>3338</v>
      </c>
    </row>
    <row r="997" customFormat="false" ht="15" hidden="false" customHeight="false" outlineLevel="0" collapsed="false">
      <c r="A997" s="0" t="s">
        <v>10</v>
      </c>
      <c r="B997" s="0" t="s">
        <v>1384</v>
      </c>
      <c r="C997" s="0" t="s">
        <v>3339</v>
      </c>
    </row>
    <row r="998" customFormat="false" ht="15" hidden="false" customHeight="false" outlineLevel="0" collapsed="false">
      <c r="A998" s="0" t="s">
        <v>10</v>
      </c>
      <c r="B998" s="0" t="s">
        <v>1385</v>
      </c>
      <c r="C998" s="0" t="s">
        <v>3332</v>
      </c>
      <c r="D998" s="0" t="n">
        <v>0.45</v>
      </c>
    </row>
    <row r="999" customFormat="false" ht="15" hidden="false" customHeight="false" outlineLevel="0" collapsed="false">
      <c r="A999" s="0" t="s">
        <v>10</v>
      </c>
      <c r="B999" s="0" t="s">
        <v>1385</v>
      </c>
      <c r="C999" s="0" t="s">
        <v>3338</v>
      </c>
    </row>
    <row r="1000" customFormat="false" ht="15" hidden="false" customHeight="false" outlineLevel="0" collapsed="false">
      <c r="A1000" s="0" t="s">
        <v>10</v>
      </c>
      <c r="B1000" s="0" t="s">
        <v>1385</v>
      </c>
      <c r="C1000" s="0" t="s">
        <v>3339</v>
      </c>
    </row>
    <row r="1001" customFormat="false" ht="15" hidden="false" customHeight="false" outlineLevel="0" collapsed="false">
      <c r="A1001" s="0" t="s">
        <v>10</v>
      </c>
      <c r="B1001" s="0" t="s">
        <v>1386</v>
      </c>
      <c r="C1001" s="0" t="s">
        <v>3332</v>
      </c>
      <c r="D1001" s="0" t="n">
        <v>0</v>
      </c>
    </row>
    <row r="1002" customFormat="false" ht="15" hidden="false" customHeight="false" outlineLevel="0" collapsed="false">
      <c r="A1002" s="0" t="s">
        <v>10</v>
      </c>
      <c r="B1002" s="0" t="s">
        <v>1386</v>
      </c>
      <c r="C1002" s="0" t="s">
        <v>3338</v>
      </c>
    </row>
    <row r="1003" customFormat="false" ht="15" hidden="false" customHeight="false" outlineLevel="0" collapsed="false">
      <c r="A1003" s="0" t="s">
        <v>10</v>
      </c>
      <c r="B1003" s="0" t="s">
        <v>1386</v>
      </c>
      <c r="C1003" s="0" t="s">
        <v>3339</v>
      </c>
    </row>
    <row r="1004" customFormat="false" ht="15" hidden="false" customHeight="false" outlineLevel="0" collapsed="false">
      <c r="A1004" s="0" t="s">
        <v>10</v>
      </c>
      <c r="B1004" s="0" t="s">
        <v>1389</v>
      </c>
      <c r="C1004" s="0" t="s">
        <v>3332</v>
      </c>
      <c r="D1004" s="0" t="n">
        <v>0</v>
      </c>
    </row>
    <row r="1005" customFormat="false" ht="15" hidden="false" customHeight="false" outlineLevel="0" collapsed="false">
      <c r="A1005" s="0" t="s">
        <v>10</v>
      </c>
      <c r="B1005" s="0" t="s">
        <v>1389</v>
      </c>
      <c r="C1005" s="0" t="s">
        <v>3338</v>
      </c>
    </row>
    <row r="1006" customFormat="false" ht="15" hidden="false" customHeight="false" outlineLevel="0" collapsed="false">
      <c r="A1006" s="0" t="s">
        <v>10</v>
      </c>
      <c r="B1006" s="0" t="s">
        <v>1389</v>
      </c>
      <c r="C1006" s="0" t="s">
        <v>3339</v>
      </c>
    </row>
    <row r="1007" customFormat="false" ht="15" hidden="false" customHeight="false" outlineLevel="0" collapsed="false">
      <c r="A1007" s="0" t="s">
        <v>10</v>
      </c>
      <c r="B1007" s="0" t="s">
        <v>1390</v>
      </c>
      <c r="C1007" s="0" t="s">
        <v>3332</v>
      </c>
      <c r="D1007" s="0" t="n">
        <v>0</v>
      </c>
    </row>
    <row r="1008" customFormat="false" ht="15" hidden="false" customHeight="false" outlineLevel="0" collapsed="false">
      <c r="A1008" s="0" t="s">
        <v>10</v>
      </c>
      <c r="B1008" s="0" t="s">
        <v>1390</v>
      </c>
      <c r="C1008" s="0" t="s">
        <v>3338</v>
      </c>
    </row>
    <row r="1009" customFormat="false" ht="15" hidden="false" customHeight="false" outlineLevel="0" collapsed="false">
      <c r="A1009" s="0" t="s">
        <v>10</v>
      </c>
      <c r="B1009" s="0" t="s">
        <v>1390</v>
      </c>
      <c r="C1009" s="0" t="s">
        <v>3339</v>
      </c>
    </row>
    <row r="1010" customFormat="false" ht="15" hidden="false" customHeight="false" outlineLevel="0" collapsed="false">
      <c r="A1010" s="0" t="s">
        <v>10</v>
      </c>
      <c r="B1010" s="0" t="s">
        <v>1391</v>
      </c>
      <c r="C1010" s="0" t="s">
        <v>3332</v>
      </c>
      <c r="D1010" s="0" t="n">
        <v>0.05</v>
      </c>
    </row>
    <row r="1011" customFormat="false" ht="15" hidden="false" customHeight="false" outlineLevel="0" collapsed="false">
      <c r="A1011" s="0" t="s">
        <v>10</v>
      </c>
      <c r="B1011" s="0" t="s">
        <v>1391</v>
      </c>
      <c r="C1011" s="0" t="s">
        <v>3338</v>
      </c>
    </row>
    <row r="1012" customFormat="false" ht="15" hidden="false" customHeight="false" outlineLevel="0" collapsed="false">
      <c r="A1012" s="0" t="s">
        <v>10</v>
      </c>
      <c r="B1012" s="0" t="s">
        <v>1391</v>
      </c>
      <c r="C1012" s="0" t="s">
        <v>3339</v>
      </c>
    </row>
    <row r="1013" customFormat="false" ht="15" hidden="false" customHeight="false" outlineLevel="0" collapsed="false">
      <c r="A1013" s="0" t="s">
        <v>10</v>
      </c>
      <c r="B1013" s="0" t="s">
        <v>1392</v>
      </c>
      <c r="C1013" s="0" t="s">
        <v>3332</v>
      </c>
      <c r="D1013" s="0" t="n">
        <v>0.1</v>
      </c>
    </row>
    <row r="1014" customFormat="false" ht="15" hidden="false" customHeight="false" outlineLevel="0" collapsed="false">
      <c r="A1014" s="0" t="s">
        <v>10</v>
      </c>
      <c r="B1014" s="0" t="s">
        <v>1392</v>
      </c>
      <c r="C1014" s="0" t="s">
        <v>3338</v>
      </c>
    </row>
    <row r="1015" customFormat="false" ht="15" hidden="false" customHeight="false" outlineLevel="0" collapsed="false">
      <c r="A1015" s="0" t="s">
        <v>10</v>
      </c>
      <c r="B1015" s="0" t="s">
        <v>1392</v>
      </c>
      <c r="C1015" s="0" t="s">
        <v>3339</v>
      </c>
    </row>
    <row r="1016" customFormat="false" ht="15" hidden="false" customHeight="false" outlineLevel="0" collapsed="false">
      <c r="A1016" s="0" t="s">
        <v>10</v>
      </c>
      <c r="B1016" s="0" t="s">
        <v>1393</v>
      </c>
      <c r="C1016" s="0" t="s">
        <v>3332</v>
      </c>
      <c r="D1016" s="0" t="n">
        <v>0.2</v>
      </c>
    </row>
    <row r="1017" customFormat="false" ht="15" hidden="false" customHeight="false" outlineLevel="0" collapsed="false">
      <c r="A1017" s="0" t="s">
        <v>10</v>
      </c>
      <c r="B1017" s="0" t="s">
        <v>1393</v>
      </c>
      <c r="C1017" s="0" t="s">
        <v>3338</v>
      </c>
    </row>
    <row r="1018" customFormat="false" ht="15" hidden="false" customHeight="false" outlineLevel="0" collapsed="false">
      <c r="A1018" s="0" t="s">
        <v>10</v>
      </c>
      <c r="B1018" s="0" t="s">
        <v>1393</v>
      </c>
      <c r="C1018" s="0" t="s">
        <v>3339</v>
      </c>
    </row>
    <row r="1019" customFormat="false" ht="15" hidden="false" customHeight="false" outlineLevel="0" collapsed="false">
      <c r="A1019" s="0" t="s">
        <v>10</v>
      </c>
      <c r="B1019" s="0" t="s">
        <v>1394</v>
      </c>
      <c r="C1019" s="0" t="s">
        <v>3332</v>
      </c>
      <c r="D1019" s="0" t="n">
        <v>12</v>
      </c>
    </row>
    <row r="1020" customFormat="false" ht="15" hidden="false" customHeight="false" outlineLevel="0" collapsed="false">
      <c r="A1020" s="0" t="s">
        <v>10</v>
      </c>
      <c r="B1020" s="0" t="s">
        <v>1394</v>
      </c>
      <c r="C1020" s="0" t="s">
        <v>3338</v>
      </c>
      <c r="D1020" s="0" t="n">
        <v>8</v>
      </c>
    </row>
    <row r="1021" customFormat="false" ht="15" hidden="false" customHeight="false" outlineLevel="0" collapsed="false">
      <c r="A1021" s="0" t="s">
        <v>10</v>
      </c>
      <c r="B1021" s="0" t="s">
        <v>1394</v>
      </c>
      <c r="C1021" s="0" t="s">
        <v>3339</v>
      </c>
      <c r="D1021" s="0" t="n">
        <v>20</v>
      </c>
    </row>
    <row r="1022" customFormat="false" ht="15" hidden="false" customHeight="false" outlineLevel="0" collapsed="false">
      <c r="A1022" s="0" t="s">
        <v>10</v>
      </c>
      <c r="B1022" s="0" t="s">
        <v>1401</v>
      </c>
      <c r="C1022" s="0" t="s">
        <v>3332</v>
      </c>
      <c r="D1022" s="0" t="n">
        <v>1.41</v>
      </c>
    </row>
    <row r="1023" customFormat="false" ht="15" hidden="false" customHeight="false" outlineLevel="0" collapsed="false">
      <c r="A1023" s="0" t="s">
        <v>10</v>
      </c>
      <c r="B1023" s="0" t="s">
        <v>1401</v>
      </c>
      <c r="C1023" s="0" t="s">
        <v>3338</v>
      </c>
      <c r="D1023" s="0" t="n">
        <v>0</v>
      </c>
    </row>
    <row r="1024" customFormat="false" ht="15" hidden="false" customHeight="false" outlineLevel="0" collapsed="false">
      <c r="A1024" s="0" t="s">
        <v>10</v>
      </c>
      <c r="B1024" s="0" t="s">
        <v>1401</v>
      </c>
      <c r="C1024" s="0" t="s">
        <v>3339</v>
      </c>
      <c r="D1024" s="0" t="n">
        <v>2.91</v>
      </c>
    </row>
    <row r="1025" customFormat="false" ht="15" hidden="false" customHeight="false" outlineLevel="0" collapsed="false">
      <c r="A1025" s="0" t="s">
        <v>10</v>
      </c>
      <c r="B1025" s="0" t="s">
        <v>1407</v>
      </c>
      <c r="C1025" s="0" t="s">
        <v>3332</v>
      </c>
      <c r="D1025" s="0" t="n">
        <v>0.1</v>
      </c>
    </row>
    <row r="1026" customFormat="false" ht="15" hidden="false" customHeight="false" outlineLevel="0" collapsed="false">
      <c r="A1026" s="0" t="s">
        <v>10</v>
      </c>
      <c r="B1026" s="0" t="s">
        <v>1407</v>
      </c>
      <c r="C1026" s="0" t="s">
        <v>3338</v>
      </c>
    </row>
    <row r="1027" customFormat="false" ht="15" hidden="false" customHeight="false" outlineLevel="0" collapsed="false">
      <c r="A1027" s="0" t="s">
        <v>10</v>
      </c>
      <c r="B1027" s="0" t="s">
        <v>1407</v>
      </c>
      <c r="C1027" s="0" t="s">
        <v>3339</v>
      </c>
    </row>
    <row r="1028" customFormat="false" ht="15" hidden="false" customHeight="false" outlineLevel="0" collapsed="false">
      <c r="A1028" s="0" t="s">
        <v>10</v>
      </c>
      <c r="B1028" s="0" t="s">
        <v>1410</v>
      </c>
      <c r="C1028" s="0" t="s">
        <v>3332</v>
      </c>
      <c r="D1028" s="0" t="n">
        <v>0.3</v>
      </c>
    </row>
    <row r="1029" customFormat="false" ht="15" hidden="false" customHeight="false" outlineLevel="0" collapsed="false">
      <c r="A1029" s="0" t="s">
        <v>10</v>
      </c>
      <c r="B1029" s="0" t="s">
        <v>1410</v>
      </c>
      <c r="C1029" s="0" t="s">
        <v>3338</v>
      </c>
    </row>
    <row r="1030" customFormat="false" ht="15" hidden="false" customHeight="false" outlineLevel="0" collapsed="false">
      <c r="A1030" s="0" t="s">
        <v>10</v>
      </c>
      <c r="B1030" s="0" t="s">
        <v>1410</v>
      </c>
      <c r="C1030" s="0" t="s">
        <v>3339</v>
      </c>
    </row>
    <row r="1031" customFormat="false" ht="15" hidden="false" customHeight="false" outlineLevel="0" collapsed="false">
      <c r="A1031" s="0" t="s">
        <v>10</v>
      </c>
      <c r="B1031" s="0" t="s">
        <v>1415</v>
      </c>
      <c r="C1031" s="0" t="s">
        <v>3332</v>
      </c>
      <c r="D1031" s="0" t="n">
        <v>1.05555555555556</v>
      </c>
    </row>
    <row r="1032" customFormat="false" ht="15" hidden="false" customHeight="false" outlineLevel="0" collapsed="false">
      <c r="A1032" s="0" t="s">
        <v>10</v>
      </c>
      <c r="B1032" s="0" t="s">
        <v>1415</v>
      </c>
      <c r="C1032" s="0" t="s">
        <v>3338</v>
      </c>
      <c r="D1032" s="0" t="n">
        <v>0.844444444444444</v>
      </c>
    </row>
    <row r="1033" customFormat="false" ht="15" hidden="false" customHeight="false" outlineLevel="0" collapsed="false">
      <c r="A1033" s="0" t="s">
        <v>10</v>
      </c>
      <c r="B1033" s="0" t="s">
        <v>1415</v>
      </c>
      <c r="C1033" s="0" t="s">
        <v>3339</v>
      </c>
      <c r="D1033" s="0" t="n">
        <v>1.26666666666667</v>
      </c>
    </row>
    <row r="1034" customFormat="false" ht="15" hidden="false" customHeight="false" outlineLevel="0" collapsed="false">
      <c r="A1034" s="0" t="s">
        <v>10</v>
      </c>
      <c r="B1034" s="0" t="s">
        <v>1420</v>
      </c>
      <c r="C1034" s="0" t="s">
        <v>3332</v>
      </c>
      <c r="D1034" s="0" t="n">
        <v>0.857142857142857</v>
      </c>
    </row>
    <row r="1035" customFormat="false" ht="15" hidden="false" customHeight="false" outlineLevel="0" collapsed="false">
      <c r="A1035" s="0" t="s">
        <v>10</v>
      </c>
      <c r="B1035" s="0" t="s">
        <v>1420</v>
      </c>
      <c r="C1035" s="0" t="s">
        <v>3338</v>
      </c>
      <c r="D1035" s="0" t="n">
        <v>0.8</v>
      </c>
    </row>
    <row r="1036" customFormat="false" ht="15" hidden="false" customHeight="false" outlineLevel="0" collapsed="false">
      <c r="A1036" s="0" t="s">
        <v>10</v>
      </c>
      <c r="B1036" s="0" t="s">
        <v>1420</v>
      </c>
      <c r="C1036" s="0" t="s">
        <v>3339</v>
      </c>
      <c r="D1036" s="0" t="n">
        <v>0.942857142857143</v>
      </c>
    </row>
    <row r="1037" customFormat="false" ht="15" hidden="false" customHeight="false" outlineLevel="0" collapsed="false">
      <c r="A1037" s="0" t="s">
        <v>10</v>
      </c>
      <c r="B1037" s="0" t="s">
        <v>1424</v>
      </c>
      <c r="C1037" s="0" t="s">
        <v>3332</v>
      </c>
      <c r="D1037" s="0" t="n">
        <v>0.008</v>
      </c>
    </row>
    <row r="1038" customFormat="false" ht="15" hidden="false" customHeight="false" outlineLevel="0" collapsed="false">
      <c r="A1038" s="0" t="s">
        <v>10</v>
      </c>
      <c r="B1038" s="0" t="s">
        <v>1424</v>
      </c>
      <c r="C1038" s="0" t="s">
        <v>3338</v>
      </c>
      <c r="D1038" s="0" t="n">
        <v>0.005</v>
      </c>
    </row>
    <row r="1039" customFormat="false" ht="15" hidden="false" customHeight="false" outlineLevel="0" collapsed="false">
      <c r="A1039" s="0" t="s">
        <v>10</v>
      </c>
      <c r="B1039" s="0" t="s">
        <v>1424</v>
      </c>
      <c r="C1039" s="0" t="s">
        <v>3339</v>
      </c>
      <c r="D1039" s="0" t="n">
        <v>0.01</v>
      </c>
    </row>
    <row r="1040" customFormat="false" ht="15" hidden="false" customHeight="false" outlineLevel="0" collapsed="false">
      <c r="A1040" s="0" t="s">
        <v>10</v>
      </c>
      <c r="B1040" s="0" t="s">
        <v>1429</v>
      </c>
      <c r="C1040" s="0" t="s">
        <v>3332</v>
      </c>
      <c r="D1040" s="0" t="n">
        <v>5</v>
      </c>
    </row>
    <row r="1041" customFormat="false" ht="15" hidden="false" customHeight="false" outlineLevel="0" collapsed="false">
      <c r="A1041" s="0" t="s">
        <v>10</v>
      </c>
      <c r="B1041" s="0" t="s">
        <v>1429</v>
      </c>
      <c r="C1041" s="0" t="s">
        <v>3338</v>
      </c>
      <c r="D1041" s="0" t="n">
        <v>3.8</v>
      </c>
    </row>
    <row r="1042" customFormat="false" ht="15" hidden="false" customHeight="false" outlineLevel="0" collapsed="false">
      <c r="A1042" s="0" t="s">
        <v>10</v>
      </c>
      <c r="B1042" s="0" t="s">
        <v>1429</v>
      </c>
      <c r="C1042" s="0" t="s">
        <v>3339</v>
      </c>
      <c r="D1042" s="0" t="n">
        <v>6.1</v>
      </c>
    </row>
    <row r="1043" customFormat="false" ht="15" hidden="false" customHeight="false" outlineLevel="0" collapsed="false">
      <c r="A1043" s="0" t="s">
        <v>10</v>
      </c>
      <c r="B1043" s="0" t="s">
        <v>1434</v>
      </c>
      <c r="C1043" s="0" t="s">
        <v>3332</v>
      </c>
      <c r="D1043" s="0" t="n">
        <v>525600</v>
      </c>
    </row>
    <row r="1044" customFormat="false" ht="15" hidden="false" customHeight="false" outlineLevel="0" collapsed="false">
      <c r="A1044" s="0" t="s">
        <v>10</v>
      </c>
      <c r="B1044" s="0" t="s">
        <v>1434</v>
      </c>
      <c r="C1044" s="0" t="s">
        <v>3338</v>
      </c>
      <c r="D1044" s="0" t="n">
        <v>525600</v>
      </c>
    </row>
    <row r="1045" customFormat="false" ht="15" hidden="false" customHeight="false" outlineLevel="0" collapsed="false">
      <c r="A1045" s="0" t="s">
        <v>10</v>
      </c>
      <c r="B1045" s="0" t="s">
        <v>1434</v>
      </c>
      <c r="C1045" s="0" t="s">
        <v>3339</v>
      </c>
      <c r="D1045" s="0" t="n">
        <v>525600</v>
      </c>
    </row>
    <row r="1046" customFormat="false" ht="15" hidden="false" customHeight="false" outlineLevel="0" collapsed="false">
      <c r="A1046" s="0" t="s">
        <v>10</v>
      </c>
      <c r="B1046" s="0" t="s">
        <v>1439</v>
      </c>
      <c r="C1046" s="0" t="s">
        <v>3332</v>
      </c>
      <c r="D1046" s="0" t="n">
        <v>1000</v>
      </c>
    </row>
    <row r="1047" customFormat="false" ht="15" hidden="false" customHeight="false" outlineLevel="0" collapsed="false">
      <c r="A1047" s="0" t="s">
        <v>10</v>
      </c>
      <c r="B1047" s="0" t="s">
        <v>1439</v>
      </c>
      <c r="C1047" s="0" t="s">
        <v>3338</v>
      </c>
      <c r="D1047" s="0" t="n">
        <v>1000</v>
      </c>
    </row>
    <row r="1048" customFormat="false" ht="15" hidden="false" customHeight="false" outlineLevel="0" collapsed="false">
      <c r="A1048" s="0" t="s">
        <v>10</v>
      </c>
      <c r="B1048" s="0" t="s">
        <v>1439</v>
      </c>
      <c r="C1048" s="0" t="s">
        <v>3339</v>
      </c>
      <c r="D1048" s="0" t="n">
        <v>1000</v>
      </c>
    </row>
    <row r="1049" customFormat="false" ht="15" hidden="false" customHeight="false" outlineLevel="0" collapsed="false">
      <c r="A1049" s="0" t="s">
        <v>10</v>
      </c>
      <c r="B1049" s="0" t="s">
        <v>1444</v>
      </c>
      <c r="C1049" s="0" t="s">
        <v>3332</v>
      </c>
      <c r="D1049" s="0" t="n">
        <v>0.008</v>
      </c>
    </row>
    <row r="1050" customFormat="false" ht="15" hidden="false" customHeight="false" outlineLevel="0" collapsed="false">
      <c r="A1050" s="0" t="s">
        <v>10</v>
      </c>
      <c r="B1050" s="0" t="s">
        <v>1444</v>
      </c>
      <c r="C1050" s="0" t="s">
        <v>3338</v>
      </c>
      <c r="D1050" s="0" t="n">
        <v>0.005</v>
      </c>
    </row>
    <row r="1051" customFormat="false" ht="15" hidden="false" customHeight="false" outlineLevel="0" collapsed="false">
      <c r="A1051" s="0" t="s">
        <v>10</v>
      </c>
      <c r="B1051" s="0" t="s">
        <v>1444</v>
      </c>
      <c r="C1051" s="0" t="s">
        <v>3339</v>
      </c>
      <c r="D1051" s="0" t="n">
        <v>0.02</v>
      </c>
    </row>
    <row r="1052" customFormat="false" ht="15" hidden="false" customHeight="false" outlineLevel="0" collapsed="false">
      <c r="A1052" s="0" t="s">
        <v>10</v>
      </c>
      <c r="B1052" s="0" t="s">
        <v>1448</v>
      </c>
      <c r="C1052" s="0" t="s">
        <v>3332</v>
      </c>
      <c r="D1052" s="0" t="n">
        <v>0.008</v>
      </c>
    </row>
    <row r="1053" customFormat="false" ht="15" hidden="false" customHeight="false" outlineLevel="0" collapsed="false">
      <c r="A1053" s="0" t="s">
        <v>10</v>
      </c>
      <c r="B1053" s="0" t="s">
        <v>1448</v>
      </c>
      <c r="C1053" s="0" t="s">
        <v>3338</v>
      </c>
      <c r="D1053" s="0" t="n">
        <v>0.005</v>
      </c>
    </row>
    <row r="1054" customFormat="false" ht="15" hidden="false" customHeight="false" outlineLevel="0" collapsed="false">
      <c r="A1054" s="0" t="s">
        <v>10</v>
      </c>
      <c r="B1054" s="0" t="s">
        <v>1448</v>
      </c>
      <c r="C1054" s="0" t="s">
        <v>3339</v>
      </c>
      <c r="D1054" s="0" t="n">
        <v>0.02</v>
      </c>
    </row>
    <row r="1055" customFormat="false" ht="15" hidden="false" customHeight="false" outlineLevel="0" collapsed="false">
      <c r="A1055" s="0" t="s">
        <v>10</v>
      </c>
      <c r="B1055" s="0" t="s">
        <v>1449</v>
      </c>
      <c r="C1055" s="0" t="s">
        <v>3332</v>
      </c>
      <c r="D1055" s="0" t="n">
        <v>0.008</v>
      </c>
    </row>
    <row r="1056" customFormat="false" ht="15" hidden="false" customHeight="false" outlineLevel="0" collapsed="false">
      <c r="A1056" s="0" t="s">
        <v>10</v>
      </c>
      <c r="B1056" s="0" t="s">
        <v>1449</v>
      </c>
      <c r="C1056" s="0" t="s">
        <v>3338</v>
      </c>
      <c r="D1056" s="0" t="n">
        <v>0.005</v>
      </c>
    </row>
    <row r="1057" customFormat="false" ht="15" hidden="false" customHeight="false" outlineLevel="0" collapsed="false">
      <c r="A1057" s="0" t="s">
        <v>10</v>
      </c>
      <c r="B1057" s="0" t="s">
        <v>1449</v>
      </c>
      <c r="C1057" s="0" t="s">
        <v>3339</v>
      </c>
      <c r="D1057" s="0" t="n">
        <v>0.02</v>
      </c>
    </row>
    <row r="1058" customFormat="false" ht="15" hidden="false" customHeight="false" outlineLevel="0" collapsed="false">
      <c r="A1058" s="0" t="s">
        <v>10</v>
      </c>
      <c r="B1058" s="0" t="s">
        <v>1450</v>
      </c>
      <c r="C1058" s="0" t="s">
        <v>3332</v>
      </c>
      <c r="D1058" s="0" t="n">
        <v>0.008</v>
      </c>
    </row>
    <row r="1059" customFormat="false" ht="15" hidden="false" customHeight="false" outlineLevel="0" collapsed="false">
      <c r="A1059" s="0" t="s">
        <v>10</v>
      </c>
      <c r="B1059" s="0" t="s">
        <v>1450</v>
      </c>
      <c r="C1059" s="0" t="s">
        <v>3338</v>
      </c>
      <c r="D1059" s="0" t="n">
        <v>0.005</v>
      </c>
    </row>
    <row r="1060" customFormat="false" ht="15" hidden="false" customHeight="false" outlineLevel="0" collapsed="false">
      <c r="A1060" s="0" t="s">
        <v>10</v>
      </c>
      <c r="B1060" s="0" t="s">
        <v>1450</v>
      </c>
      <c r="C1060" s="0" t="s">
        <v>3339</v>
      </c>
      <c r="D1060" s="0" t="n">
        <v>0.02</v>
      </c>
    </row>
    <row r="1061" customFormat="false" ht="15" hidden="false" customHeight="false" outlineLevel="0" collapsed="false">
      <c r="A1061" s="0" t="s">
        <v>10</v>
      </c>
      <c r="B1061" s="0" t="s">
        <v>1451</v>
      </c>
      <c r="C1061" s="0" t="s">
        <v>3332</v>
      </c>
      <c r="D1061" s="0" t="n">
        <v>2</v>
      </c>
    </row>
    <row r="1062" customFormat="false" ht="15" hidden="false" customHeight="false" outlineLevel="0" collapsed="false">
      <c r="A1062" s="0" t="s">
        <v>10</v>
      </c>
      <c r="B1062" s="0" t="s">
        <v>1451</v>
      </c>
      <c r="C1062" s="0" t="s">
        <v>3338</v>
      </c>
      <c r="D1062" s="0" t="n">
        <v>2</v>
      </c>
    </row>
    <row r="1063" customFormat="false" ht="15" hidden="false" customHeight="false" outlineLevel="0" collapsed="false">
      <c r="A1063" s="0" t="s">
        <v>10</v>
      </c>
      <c r="B1063" s="0" t="s">
        <v>1451</v>
      </c>
      <c r="C1063" s="0" t="s">
        <v>3339</v>
      </c>
      <c r="D1063" s="0" t="n">
        <v>5</v>
      </c>
    </row>
    <row r="1064" customFormat="false" ht="15" hidden="false" customHeight="false" outlineLevel="0" collapsed="false">
      <c r="A1064" s="0" t="s">
        <v>10</v>
      </c>
      <c r="B1064" s="0" t="s">
        <v>1456</v>
      </c>
      <c r="C1064" s="0" t="s">
        <v>3332</v>
      </c>
      <c r="D1064" s="0" t="n">
        <v>1</v>
      </c>
    </row>
    <row r="1065" customFormat="false" ht="15" hidden="false" customHeight="false" outlineLevel="0" collapsed="false">
      <c r="A1065" s="0" t="s">
        <v>10</v>
      </c>
      <c r="B1065" s="0" t="s">
        <v>1456</v>
      </c>
      <c r="C1065" s="0" t="s">
        <v>3338</v>
      </c>
      <c r="D1065" s="0" t="n">
        <v>0</v>
      </c>
    </row>
    <row r="1066" customFormat="false" ht="15" hidden="false" customHeight="false" outlineLevel="0" collapsed="false">
      <c r="A1066" s="0" t="s">
        <v>10</v>
      </c>
      <c r="B1066" s="0" t="s">
        <v>1456</v>
      </c>
      <c r="C1066" s="0" t="s">
        <v>3339</v>
      </c>
      <c r="D1066" s="0" t="n">
        <v>1</v>
      </c>
    </row>
    <row r="1067" customFormat="false" ht="15" hidden="false" customHeight="false" outlineLevel="0" collapsed="false">
      <c r="A1067" s="0" t="s">
        <v>10</v>
      </c>
      <c r="B1067" s="0" t="s">
        <v>1461</v>
      </c>
      <c r="C1067" s="0" t="s">
        <v>3332</v>
      </c>
      <c r="D1067" s="0" t="n">
        <v>0</v>
      </c>
    </row>
    <row r="1068" customFormat="false" ht="15" hidden="false" customHeight="false" outlineLevel="0" collapsed="false">
      <c r="A1068" s="0" t="s">
        <v>10</v>
      </c>
      <c r="B1068" s="0" t="s">
        <v>1461</v>
      </c>
      <c r="C1068" s="0" t="s">
        <v>3338</v>
      </c>
      <c r="D1068" s="0" t="n">
        <v>-91</v>
      </c>
    </row>
    <row r="1069" customFormat="false" ht="15" hidden="false" customHeight="false" outlineLevel="0" collapsed="false">
      <c r="A1069" s="0" t="s">
        <v>10</v>
      </c>
      <c r="B1069" s="0" t="s">
        <v>1461</v>
      </c>
      <c r="C1069" s="0" t="s">
        <v>3339</v>
      </c>
      <c r="D1069" s="0" t="n">
        <v>91</v>
      </c>
    </row>
    <row r="1070" customFormat="false" ht="15" hidden="false" customHeight="false" outlineLevel="0" collapsed="false">
      <c r="A1070" s="0" t="s">
        <v>10</v>
      </c>
      <c r="B1070" s="0" t="s">
        <v>1468</v>
      </c>
      <c r="C1070" s="0" t="s">
        <v>3332</v>
      </c>
      <c r="D1070" s="0" t="n">
        <v>0</v>
      </c>
    </row>
    <row r="1071" customFormat="false" ht="15" hidden="false" customHeight="false" outlineLevel="0" collapsed="false">
      <c r="A1071" s="0" t="s">
        <v>10</v>
      </c>
      <c r="B1071" s="0" t="s">
        <v>1468</v>
      </c>
      <c r="C1071" s="0" t="s">
        <v>3338</v>
      </c>
      <c r="D1071" s="0" t="n">
        <v>-91</v>
      </c>
    </row>
    <row r="1072" customFormat="false" ht="15" hidden="false" customHeight="false" outlineLevel="0" collapsed="false">
      <c r="A1072" s="0" t="s">
        <v>10</v>
      </c>
      <c r="B1072" s="0" t="s">
        <v>1468</v>
      </c>
      <c r="C1072" s="0" t="s">
        <v>3339</v>
      </c>
      <c r="D1072" s="0" t="n">
        <v>91</v>
      </c>
    </row>
    <row r="1073" customFormat="false" ht="15" hidden="false" customHeight="false" outlineLevel="0" collapsed="false">
      <c r="A1073" s="0" t="s">
        <v>10</v>
      </c>
      <c r="B1073" s="0" t="s">
        <v>1470</v>
      </c>
      <c r="C1073" s="0" t="s">
        <v>3332</v>
      </c>
      <c r="D1073" s="0" t="n">
        <v>0</v>
      </c>
    </row>
    <row r="1074" customFormat="false" ht="15" hidden="false" customHeight="false" outlineLevel="0" collapsed="false">
      <c r="A1074" s="0" t="s">
        <v>10</v>
      </c>
      <c r="B1074" s="0" t="s">
        <v>1470</v>
      </c>
      <c r="C1074" s="0" t="s">
        <v>3338</v>
      </c>
      <c r="D1074" s="0" t="n">
        <v>-91</v>
      </c>
    </row>
    <row r="1075" customFormat="false" ht="15" hidden="false" customHeight="false" outlineLevel="0" collapsed="false">
      <c r="A1075" s="0" t="s">
        <v>10</v>
      </c>
      <c r="B1075" s="0" t="s">
        <v>1470</v>
      </c>
      <c r="C1075" s="0" t="s">
        <v>3339</v>
      </c>
      <c r="D1075" s="0" t="n">
        <v>91</v>
      </c>
    </row>
    <row r="1076" customFormat="false" ht="15" hidden="false" customHeight="false" outlineLevel="0" collapsed="false">
      <c r="A1076" s="0" t="s">
        <v>10</v>
      </c>
      <c r="B1076" s="0" t="s">
        <v>1472</v>
      </c>
      <c r="C1076" s="0" t="s">
        <v>3332</v>
      </c>
      <c r="D1076" s="0" t="n">
        <v>0</v>
      </c>
    </row>
    <row r="1077" customFormat="false" ht="15" hidden="false" customHeight="false" outlineLevel="0" collapsed="false">
      <c r="A1077" s="0" t="s">
        <v>10</v>
      </c>
      <c r="B1077" s="0" t="s">
        <v>1472</v>
      </c>
      <c r="C1077" s="0" t="s">
        <v>3338</v>
      </c>
      <c r="D1077" s="0" t="n">
        <v>-91</v>
      </c>
    </row>
    <row r="1078" customFormat="false" ht="15" hidden="false" customHeight="false" outlineLevel="0" collapsed="false">
      <c r="A1078" s="0" t="s">
        <v>10</v>
      </c>
      <c r="B1078" s="0" t="s">
        <v>1472</v>
      </c>
      <c r="C1078" s="0" t="s">
        <v>3339</v>
      </c>
      <c r="D1078" s="0" t="n">
        <v>91</v>
      </c>
    </row>
    <row r="1079" customFormat="false" ht="15" hidden="false" customHeight="false" outlineLevel="0" collapsed="false">
      <c r="A1079" s="0" t="s">
        <v>10</v>
      </c>
      <c r="B1079" s="0" t="s">
        <v>1474</v>
      </c>
      <c r="C1079" s="0" t="s">
        <v>3332</v>
      </c>
      <c r="D1079" s="0" t="n">
        <v>46023</v>
      </c>
    </row>
    <row r="1080" customFormat="false" ht="15" hidden="false" customHeight="false" outlineLevel="0" collapsed="false">
      <c r="A1080" s="0" t="s">
        <v>10</v>
      </c>
      <c r="B1080" s="0" t="s">
        <v>1474</v>
      </c>
      <c r="C1080" s="0" t="s">
        <v>3338</v>
      </c>
      <c r="D1080" s="0" t="n">
        <v>46023</v>
      </c>
    </row>
    <row r="1081" customFormat="false" ht="15" hidden="false" customHeight="false" outlineLevel="0" collapsed="false">
      <c r="A1081" s="0" t="s">
        <v>10</v>
      </c>
      <c r="B1081" s="0" t="s">
        <v>1474</v>
      </c>
      <c r="C1081" s="0" t="s">
        <v>3339</v>
      </c>
      <c r="D1081" s="0" t="n">
        <v>46023</v>
      </c>
    </row>
    <row r="1082" customFormat="false" ht="15" hidden="false" customHeight="false" outlineLevel="0" collapsed="false">
      <c r="A1082" s="0" t="s">
        <v>10</v>
      </c>
      <c r="B1082" s="0" t="s">
        <v>1479</v>
      </c>
      <c r="C1082" s="0" t="s">
        <v>3332</v>
      </c>
      <c r="D1082" s="0" t="n">
        <v>365</v>
      </c>
    </row>
    <row r="1083" customFormat="false" ht="15" hidden="false" customHeight="false" outlineLevel="0" collapsed="false">
      <c r="A1083" s="0" t="s">
        <v>10</v>
      </c>
      <c r="B1083" s="0" t="s">
        <v>1479</v>
      </c>
      <c r="C1083" s="0" t="s">
        <v>3338</v>
      </c>
      <c r="D1083" s="0" t="n">
        <v>365</v>
      </c>
    </row>
    <row r="1084" customFormat="false" ht="15" hidden="false" customHeight="false" outlineLevel="0" collapsed="false">
      <c r="A1084" s="0" t="s">
        <v>10</v>
      </c>
      <c r="B1084" s="0" t="s">
        <v>1479</v>
      </c>
      <c r="C1084" s="0" t="s">
        <v>3339</v>
      </c>
      <c r="D1084" s="0" t="n">
        <v>365</v>
      </c>
    </row>
    <row r="1085" customFormat="false" ht="15" hidden="false" customHeight="false" outlineLevel="0" collapsed="false">
      <c r="A1085" s="0" t="s">
        <v>10</v>
      </c>
      <c r="B1085" s="0" t="s">
        <v>1482</v>
      </c>
      <c r="C1085" s="0" t="s">
        <v>3332</v>
      </c>
      <c r="D1085" s="0" t="n">
        <v>12</v>
      </c>
    </row>
    <row r="1086" customFormat="false" ht="15" hidden="false" customHeight="false" outlineLevel="0" collapsed="false">
      <c r="A1086" s="0" t="s">
        <v>10</v>
      </c>
      <c r="B1086" s="0" t="s">
        <v>1482</v>
      </c>
      <c r="C1086" s="0" t="s">
        <v>3338</v>
      </c>
      <c r="D1086" s="0" t="n">
        <v>12</v>
      </c>
    </row>
    <row r="1087" customFormat="false" ht="15" hidden="false" customHeight="false" outlineLevel="0" collapsed="false">
      <c r="A1087" s="0" t="s">
        <v>10</v>
      </c>
      <c r="B1087" s="0" t="s">
        <v>1482</v>
      </c>
      <c r="C1087" s="0" t="s">
        <v>3339</v>
      </c>
      <c r="D1087" s="0" t="n">
        <v>12</v>
      </c>
    </row>
    <row r="1088" customFormat="false" ht="15" hidden="false" customHeight="false" outlineLevel="0" collapsed="false">
      <c r="A1088" s="0" t="s">
        <v>10</v>
      </c>
      <c r="B1088" s="0" t="s">
        <v>1486</v>
      </c>
      <c r="C1088" s="0" t="s">
        <v>3332</v>
      </c>
      <c r="D1088" s="0" t="n">
        <v>1000</v>
      </c>
    </row>
    <row r="1089" customFormat="false" ht="15" hidden="false" customHeight="false" outlineLevel="0" collapsed="false">
      <c r="A1089" s="0" t="s">
        <v>10</v>
      </c>
      <c r="B1089" s="0" t="s">
        <v>1486</v>
      </c>
      <c r="C1089" s="0" t="s">
        <v>3338</v>
      </c>
      <c r="D1089" s="0" t="n">
        <v>1000</v>
      </c>
    </row>
    <row r="1090" customFormat="false" ht="15" hidden="false" customHeight="false" outlineLevel="0" collapsed="false">
      <c r="A1090" s="0" t="s">
        <v>10</v>
      </c>
      <c r="B1090" s="0" t="s">
        <v>1486</v>
      </c>
      <c r="C1090" s="0" t="s">
        <v>3339</v>
      </c>
      <c r="D1090" s="0" t="n">
        <v>1000</v>
      </c>
    </row>
    <row r="1091" customFormat="false" ht="15" hidden="false" customHeight="false" outlineLevel="0" collapsed="false">
      <c r="A1091" s="0" t="s">
        <v>10</v>
      </c>
      <c r="B1091" s="0" t="s">
        <v>1490</v>
      </c>
      <c r="C1091" s="0" t="s">
        <v>3332</v>
      </c>
      <c r="D1091" s="0" t="n">
        <v>1000000</v>
      </c>
    </row>
    <row r="1092" customFormat="false" ht="15" hidden="false" customHeight="false" outlineLevel="0" collapsed="false">
      <c r="A1092" s="0" t="s">
        <v>10</v>
      </c>
      <c r="B1092" s="0" t="s">
        <v>1490</v>
      </c>
      <c r="C1092" s="0" t="s">
        <v>3338</v>
      </c>
      <c r="D1092" s="0" t="n">
        <v>1000000</v>
      </c>
    </row>
    <row r="1093" customFormat="false" ht="15" hidden="false" customHeight="false" outlineLevel="0" collapsed="false">
      <c r="A1093" s="0" t="s">
        <v>10</v>
      </c>
      <c r="B1093" s="0" t="s">
        <v>1490</v>
      </c>
      <c r="C1093" s="0" t="s">
        <v>3339</v>
      </c>
      <c r="D1093" s="0" t="n">
        <v>1000000</v>
      </c>
    </row>
    <row r="1094" customFormat="false" ht="15" hidden="false" customHeight="false" outlineLevel="0" collapsed="false">
      <c r="A1094" s="0" t="s">
        <v>10</v>
      </c>
      <c r="B1094" s="0" t="s">
        <v>1494</v>
      </c>
      <c r="C1094" s="0" t="s">
        <v>3332</v>
      </c>
      <c r="D1094" s="0" t="n">
        <v>6</v>
      </c>
    </row>
    <row r="1095" customFormat="false" ht="15" hidden="false" customHeight="false" outlineLevel="0" collapsed="false">
      <c r="A1095" s="0" t="s">
        <v>10</v>
      </c>
      <c r="B1095" s="0" t="s">
        <v>1494</v>
      </c>
      <c r="C1095" s="0" t="s">
        <v>3338</v>
      </c>
      <c r="D1095" s="0" t="n">
        <v>6</v>
      </c>
    </row>
    <row r="1096" customFormat="false" ht="15" hidden="false" customHeight="false" outlineLevel="0" collapsed="false">
      <c r="A1096" s="0" t="s">
        <v>10</v>
      </c>
      <c r="B1096" s="0" t="s">
        <v>1494</v>
      </c>
      <c r="C1096" s="0" t="s">
        <v>3339</v>
      </c>
      <c r="D1096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2026-10-07T14:16:51Z</dcterms:created>
  <dc:creator>openpyxl</dc:creator>
  <dc:description/>
  <dc:language>en-US</dc:language>
  <cp:lastModifiedBy/>
  <dcterms:modified xsi:type="dcterms:W3CDTF">2026-10-07T14:16:51Z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