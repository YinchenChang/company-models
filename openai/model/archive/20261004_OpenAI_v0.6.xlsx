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Checks" sheetId="6" state="visible" r:id="rId8"/>
    <sheet name="Map_v05" sheetId="7" state="visible" r:id="rId9"/>
    <sheet name="_Defaults" sheetId="8" state="hidden" r:id="rId10"/>
  </sheets>
  <definedNames>
    <definedName function="false" hidden="false" name="CHK_Errors" vbProcedure="false">Checks!$C$33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<sst xmlns="http://schemas.openxmlformats.org/spreadsheetml/2006/main" count="11575" uniqueCount="2881">
  <si>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WenQuanYi Zen Hei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2026-10-04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</si>
  <si>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WenQuanYi Zen Hei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WenQuanYi Zen Hei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</si>
  <si>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</si>
  <si>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WenQuanYi Zen Hei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WenQuanYi Zen Hei"/>
        <family val="2"/>
      </rPr>
      <t xml:space="preserve">項目遷入）。需求、算力、成本、融資於 </t>
    </r>
    <r>
      <rPr>
        <sz val="10"/>
        <color rgb="FF000000"/>
        <rFont val="Arial"/>
        <family val="0"/>
        <charset val="1"/>
      </rPr>
      <t xml:space="preserve">P2–P5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</si>
  <si>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為唯一計算引擎</t>
    </r>
  </si>
  <si>
    <r>
      <rPr>
        <sz val="10"/>
        <color rgb="FF000000"/>
        <rFont val="WenQuanYi Zen Hei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WenQuanYi Zen Hei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</si>
  <si>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</si>
  <si>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106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</si>
  <si>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</si>
  <si>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20261004_Tokenomics_v5.14.xlsx</t>
    </r>
    <r>
      <rPr>
        <sz val="10"/>
        <color rgb="FF000000"/>
        <rFont val="WenQuanYi Zen Hei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WenQuanYi Zen Hei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7402b3e</t>
    </r>
    <r>
      <rPr>
        <sz val="10"/>
        <color rgb="FF000000"/>
        <rFont val="WenQuanYi Zen Hei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2026-10-04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WenQuanYi Zen Hei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WenQuanYi Zen Hei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合併。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</si>
  <si>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</si>
  <si>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</si>
  <si>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</si>
  <si>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WenQuanYi Zen Hei"/>
        <family val="2"/>
      </rPr>
      <t xml:space="preserve">個葉節點的去處。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</si>
  <si>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</si>
  <si>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WenQuanYi Zen Hei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。</t>
    </r>
  </si>
  <si>
    <t xml:space="preserve">一手／二手圖例</t>
  </si>
  <si>
    <r>
      <rPr>
        <sz val="10"/>
        <color rgb="FF000000"/>
        <rFont val="WenQuanYi Zen Hei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WenQuanYi Zen Hei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</si>
  <si>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</si>
  <si>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一律附區間）。</t>
    </r>
  </si>
  <si>
    <t xml:space="preserve">分層</t>
  </si>
  <si>
    <r>
      <rPr>
        <sz val="10"/>
        <color rgb="FF000000"/>
        <rFont val="WenQuanYi Zen Hei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WenQuanYi Zen Hei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</si>
  <si>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WenQuanYi Zen Hei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WenQuanYi Zen Hei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WenQuanYi Zen Hei"/>
        <family val="2"/>
      </rPr>
      <t xml:space="preserve">公司財務原始數據（營收、合約、現金、融資輪、算力規模）</t>
    </r>
  </si>
  <si>
    <r>
      <rPr>
        <sz val="9"/>
        <color rgb="FF595959"/>
        <rFont val="WenQuanYi Zen Hei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WenQuanYi Zen Hei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WenQuanYi Zen Hei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）。</t>
    </r>
  </si>
  <si>
    <r>
      <rPr>
        <sz val="9"/>
        <color rgb="FF595959"/>
        <rFont val="WenQuanYi Zen Hei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WenQuanYi Zen Hei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WenQuanYi Zen Hei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WenQuanYi Zen Hei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WenQuanYi Zen Hei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</si>
  <si>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</si>
  <si>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</si>
  <si>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</si>
  <si>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</si>
  <si>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</si>
  <si>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</si>
  <si>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</si>
  <si>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</si>
  <si>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</si>
  <si>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WenQuanYi Zen Hei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</si>
  <si>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</si>
  <si>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</si>
  <si>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</si>
  <si>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</si>
  <si>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</si>
  <si>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</si>
  <si>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標記</t>
    </r>
  </si>
  <si>
    <r>
      <rPr>
        <b val="true"/>
        <sz val="10"/>
        <rFont val="WenQuanYi Zen Hei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</si>
  <si>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</si>
  <si>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</si>
  <si>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</si>
  <si>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</si>
  <si>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</si>
  <si>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</si>
  <si>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</si>
  <si>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</si>
  <si>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</si>
  <si>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</si>
  <si>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WenQuanYi Zen Hei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</si>
  <si>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</si>
  <si>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</si>
  <si>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</si>
  <si>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</si>
  <si>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</si>
  <si>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</si>
  <si>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</si>
  <si>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</si>
  <si>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</si>
  <si>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</si>
  <si>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</si>
  <si>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WenQuanYi Zen Hei"/>
        <family val="2"/>
      </rPr>
      <t xml:space="preserve">初評</t>
    </r>
  </si>
  <si>
    <t xml:space="preserve">SRC_OAI_002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</si>
  <si>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</si>
  <si>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</si>
  <si>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</si>
  <si>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WenQuanYi Zen Hei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</si>
  <si>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</si>
  <si>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</si>
  <si>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</si>
  <si>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</si>
  <si>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WenQuanYi Zen Hei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</si>
  <si>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WenQuanYi Zen Hei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</si>
  <si>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WenQuanYi Zen Hei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WenQuanYi Zen Hei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</si>
  <si>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</si>
  <si>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對帳</t>
    </r>
  </si>
  <si>
    <t xml:space="preserve">SRC_OAI_004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</si>
  <si>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</si>
  <si>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WenQuanYi Zen Hei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</si>
  <si>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</si>
  <si>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WenQuanYi Zen Hei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</si>
  <si>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</si>
  <si>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</si>
  <si>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WenQuanYi Zen Hei"/>
        <family val="2"/>
      </rPr>
      <t xml:space="preserve">的組成）</t>
    </r>
  </si>
  <si>
    <t xml:space="preserve">SRC_OAI_005</t>
  </si>
  <si>
    <r>
      <rPr>
        <sz val="10"/>
        <color rgb="FF000000"/>
        <rFont val="WenQuanYi Zen Hei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</si>
  <si>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WenQuanYi Zen Hei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</si>
  <si>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</si>
  <si>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WenQuanYi Zen Hei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</si>
  <si>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</si>
  <si>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對照</t>
    </r>
  </si>
  <si>
    <t xml:space="preserve">SRC_OAI_006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</si>
  <si>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</si>
  <si>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</si>
  <si>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</si>
  <si>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WenQuanYi Zen Hei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</si>
  <si>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</si>
  <si>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</si>
  <si>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</si>
  <si>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WenQuanYi Zen Hei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年初</t>
    </r>
  </si>
  <si>
    <t xml:space="preserve">比例</t>
  </si>
  <si>
    <r>
      <rPr>
        <sz val="10"/>
        <color rgb="FF000000"/>
        <rFont val="WenQuanYi Zen Hei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</si>
  <si>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</si>
  <si>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WenQuanYi Zen Hei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WenQuanYi Zen Hei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</si>
  <si>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</si>
  <si>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</si>
  <si>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</si>
  <si>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</si>
  <si>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WenQuanYi Zen Hei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</si>
  <si>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</si>
  <si>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</si>
  <si>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</si>
  <si>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</si>
  <si>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</si>
  <si>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</si>
  <si>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</si>
  <si>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</si>
  <si>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</si>
  <si>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</si>
  <si>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</si>
  <si>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WenQuanYi Zen Hei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WenQuanYi Zen Hei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</si>
  <si>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</si>
  <si>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</si>
  <si>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</si>
  <si>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</si>
  <si>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</si>
  <si>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</si>
  <si>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</si>
  <si>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</si>
  <si>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</si>
  <si>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</si>
  <si>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</si>
  <si>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</si>
  <si>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</si>
  <si>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WenQuanYi Zen Hei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，受總額上限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</si>
  <si>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</si>
  <si>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</si>
  <si>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</si>
  <si>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</si>
  <si>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WenQuanYi Zen Hei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</si>
  <si>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</si>
  <si>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</si>
  <si>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</si>
  <si>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</si>
  <si>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輸入</t>
    </r>
  </si>
  <si>
    <t xml:space="preserve">$/M tokens</t>
  </si>
  <si>
    <r>
      <rPr>
        <sz val="10"/>
        <color rgb="FF000000"/>
        <rFont val="WenQuanYi Zen Hei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</si>
  <si>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</si>
  <si>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</si>
  <si>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</si>
  <si>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</si>
  <si>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</si>
  <si>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</si>
  <si>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</si>
  <si>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</si>
  <si>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</si>
  <si>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</si>
  <si>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輸入</t>
    </r>
  </si>
  <si>
    <r>
      <rPr>
        <sz val="10"/>
        <color rgb="FF000000"/>
        <rFont val="WenQuanYi Zen Hei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</si>
  <si>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</si>
  <si>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</si>
  <si>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</si>
  <si>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</si>
  <si>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</si>
  <si>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輸入</t>
    </r>
  </si>
  <si>
    <r>
      <rPr>
        <sz val="10"/>
        <color rgb="FF000000"/>
        <rFont val="WenQuanYi Zen Hei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</si>
  <si>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</si>
  <si>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</si>
  <si>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</si>
  <si>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</si>
  <si>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</si>
  <si>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</si>
  <si>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</si>
  <si>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</si>
  <si>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</si>
  <si>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WenQuanYi Zen Hei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</si>
  <si>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</si>
  <si>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</si>
  <si>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WenQuanYi Zen Hei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WenQuanYi Zen Hei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</si>
  <si>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</si>
  <si>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</si>
  <si>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</si>
  <si>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</si>
  <si>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</si>
  <si>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</si>
  <si>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</si>
  <si>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</si>
  <si>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</si>
  <si>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</si>
  <si>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</si>
  <si>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WenQuanYi Zen Hei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</si>
  <si>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</si>
  <si>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WenQuanYi Zen Hei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WenQuanYi Zen Hei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</si>
  <si>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</si>
  <si>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WenQuanYi Zen Hei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</si>
  <si>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</si>
  <si>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</si>
  <si>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WenQuanYi Zen Hei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</si>
  <si>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</si>
  <si>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</si>
  <si>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</si>
  <si>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</si>
  <si>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</si>
  <si>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</si>
  <si>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</si>
  <si>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WenQuanYi Zen Hei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</si>
  <si>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</si>
  <si>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</si>
  <si>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</si>
  <si>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</si>
  <si>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</si>
  <si>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</si>
  <si>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</si>
  <si>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WenQuanYi Zen Hei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WenQuanYi Zen Hei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</si>
  <si>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</si>
  <si>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WenQuanYi Zen Hei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</si>
  <si>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</si>
  <si>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</si>
  <si>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</si>
  <si>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</si>
  <si>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</si>
  <si>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</si>
  <si>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</si>
  <si>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</si>
  <si>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WenQuanYi Zen Hei"/>
        <family val="2"/>
      </rPr>
      <t xml:space="preserve">上限參照</t>
    </r>
  </si>
  <si>
    <t xml:space="preserve">SRC_OAI_032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</si>
  <si>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</si>
  <si>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</si>
  <si>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</si>
  <si>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兩檔之一</t>
    </r>
  </si>
  <si>
    <t xml:space="preserve">SRC_OAI_034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</si>
  <si>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WenQuanYi Zen Hei"/>
        <family val="2"/>
      </rPr>
      <t xml:space="preserve">（高檔）</t>
    </r>
  </si>
  <si>
    <t xml:space="preserve">SRC_OAI_035</t>
  </si>
  <si>
    <r>
      <rPr>
        <sz val="10"/>
        <color rgb="FF000000"/>
        <rFont val="WenQuanYi Zen Hei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WenQuanYi Zen Hei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</si>
  <si>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</si>
  <si>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WenQuanYi Zen Hei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為議價</t>
    </r>
  </si>
  <si>
    <t xml:space="preserve">SRC_OAI_036</t>
  </si>
  <si>
    <r>
      <rPr>
        <sz val="10"/>
        <color rgb="FF000000"/>
        <rFont val="WenQuanYi Zen Hei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</si>
  <si>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</si>
  <si>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</si>
  <si>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</si>
  <si>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（年初內部預測）</t>
    </r>
  </si>
  <si>
    <t xml:space="preserve">3</t>
  </si>
  <si>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</si>
  <si>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</si>
  <si>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WenQuanYi Zen Hei"/>
        <family val="2"/>
      </rPr>
      <t xml:space="preserve">遷移幅度</t>
    </r>
  </si>
  <si>
    <t xml:space="preserve">SRC_OAI_037</t>
  </si>
  <si>
    <r>
      <rPr>
        <sz val="10"/>
        <color rgb="FF000000"/>
        <rFont val="WenQuanYi Zen Hei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WenQuanYi Zen Hei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</si>
  <si>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</si>
  <si>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</si>
  <si>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</si>
  <si>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</si>
  <si>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WenQuanYi Zen Hei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WenQuanYi Zen Hei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</si>
  <si>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</si>
  <si>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WenQuanYi Zen Hei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WenQuanYi Zen Hei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</si>
  <si>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</si>
  <si>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對照（廣告）</t>
    </r>
  </si>
  <si>
    <t xml:space="preserve">SRC_OAI_039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</si>
  <si>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</si>
  <si>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</si>
  <si>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</si>
  <si>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</si>
  <si>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</si>
  <si>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</si>
  <si>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WenQuanYi Zen Hei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</si>
  <si>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</si>
  <si>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WenQuanYi Zen Hei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</si>
  <si>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</si>
  <si>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</si>
  <si>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WenQuanYi Zen Hei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</si>
  <si>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</si>
  <si>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反向模式</t>
    </r>
  </si>
  <si>
    <t xml:space="preserve">SRC_OAI_044</t>
  </si>
  <si>
    <r>
      <rPr>
        <sz val="10"/>
        <color rgb="FF000000"/>
        <rFont val="WenQuanYi Zen Hei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</si>
  <si>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</t>
    </r>
  </si>
  <si>
    <t xml:space="preserve">SRC_OAI_045</t>
  </si>
  <si>
    <r>
      <rPr>
        <sz val="10"/>
        <color rgb="FF000000"/>
        <rFont val="WenQuanYi Zen Hei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</si>
  <si>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</si>
  <si>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</si>
  <si>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</si>
  <si>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WenQuanYi Zen Hei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</si>
  <si>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</si>
  <si>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</si>
  <si>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WenQuanYi Zen Hei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</si>
  <si>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</si>
  <si>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</si>
  <si>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</si>
  <si>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</si>
  <si>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WenQuanYi Zen Hei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</si>
  <si>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</si>
  <si>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</si>
  <si>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WenQuanYi Zen Hei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</si>
  <si>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</si>
  <si>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WenQuanYi Zen Hei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</si>
  <si>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</si>
  <si>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對照</t>
    </r>
  </si>
  <si>
    <t xml:space="preserve">SRC_OAI_049</t>
  </si>
  <si>
    <r>
      <rPr>
        <sz val="10"/>
        <color rgb="FF000000"/>
        <rFont val="WenQuanYi Zen Hei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</si>
  <si>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</si>
  <si>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WenQuanYi Zen Hei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</si>
  <si>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</si>
  <si>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</si>
  <si>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WenQuanYi Zen Hei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</si>
  <si>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</si>
  <si>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</si>
  <si>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</si>
  <si>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檢查</t>
    </r>
  </si>
  <si>
    <r>
      <rPr>
        <sz val="10"/>
        <color rgb="FF000000"/>
        <rFont val="WenQuanYi Zen Hei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同節點）</t>
    </r>
  </si>
  <si>
    <t xml:space="preserve">SRC_OAI_051</t>
  </si>
  <si>
    <r>
      <rPr>
        <sz val="10"/>
        <color rgb="FF000000"/>
        <rFont val="WenQuanYi Zen Hei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</si>
  <si>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WenQuanYi Zen Hei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</si>
  <si>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</si>
  <si>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</si>
  <si>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WenQuanYi Zen Hei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WenQuanYi Zen Hei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同節點）</t>
    </r>
  </si>
  <si>
    <t xml:space="preserve">SRC_OAI_054</t>
  </si>
  <si>
    <r>
      <rPr>
        <sz val="10"/>
        <color rgb="FF000000"/>
        <rFont val="WenQuanYi Zen Hei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</si>
  <si>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WenQuanYi Zen Hei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</si>
  <si>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</si>
  <si>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</si>
  <si>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</si>
  <si>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WenQuanYi Zen Hei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</si>
  <si>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WenQuanYi Zen Hei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</si>
  <si>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WenQuanYi Zen Hei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</si>
  <si>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</si>
  <si>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反向目標</t>
    </r>
  </si>
  <si>
    <r>
      <rPr>
        <sz val="10"/>
        <color rgb="FF000000"/>
        <rFont val="WenQuanYi Zen Hei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WenQuanYi Zen Hei"/>
        <family val="2"/>
      </rPr>
      <t xml:space="preserve">（同值同源）</t>
    </r>
  </si>
  <si>
    <t xml:space="preserve">SRC_OAI_056</t>
  </si>
  <si>
    <r>
      <rPr>
        <sz val="10"/>
        <color rgb="FF000000"/>
        <rFont val="WenQuanYi Zen Hei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</si>
  <si>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</si>
  <si>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WenQuanYi Zen Hei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</si>
  <si>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</si>
  <si>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對照</t>
    </r>
  </si>
  <si>
    <t xml:space="preserve">SRC_OAI_057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</si>
  <si>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</si>
  <si>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WenQuanYi Zen Hei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</si>
  <si>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WenQuanYi Zen Hei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WenQuanYi Zen Hei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</si>
  <si>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</si>
  <si>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成本</t>
    </r>
  </si>
  <si>
    <t xml:space="preserve">SRC_OAI_058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</si>
  <si>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</si>
  <si>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</si>
  <si>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</si>
  <si>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</si>
  <si>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</si>
  <si>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</si>
  <si>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WenQuanYi Zen Hei"/>
        <family val="2"/>
      </rPr>
      <t xml:space="preserve">合約價</t>
    </r>
  </si>
  <si>
    <t xml:space="preserve">SRC_OAI_059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</si>
  <si>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</si>
  <si>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</si>
  <si>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</si>
  <si>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</si>
  <si>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</si>
  <si>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WenQuanYi Zen Hei"/>
        <family val="2"/>
      </rPr>
      <t xml:space="preserve">）</t>
    </r>
  </si>
  <si>
    <t xml:space="preserve">SRC_OAI_061</t>
  </si>
  <si>
    <r>
      <rPr>
        <sz val="10"/>
        <color rgb="FF000000"/>
        <rFont val="WenQuanYi Zen Hei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</si>
  <si>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</si>
  <si>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WenQuanYi Zen Hei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</si>
  <si>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WenQuanYi Zen Hei"/>
        <family val="2"/>
      </rPr>
      <t xml:space="preserve">合約價</t>
    </r>
  </si>
  <si>
    <t xml:space="preserve">SRC_OAI_062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</si>
  <si>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</si>
  <si>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</si>
  <si>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</si>
  <si>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</si>
  <si>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</si>
  <si>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</si>
  <si>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</si>
  <si>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</si>
  <si>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</si>
  <si>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</si>
  <si>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</si>
  <si>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</si>
  <si>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</si>
  <si>
    <t xml:space="preserve">SRC_OAI_065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</si>
  <si>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</si>
  <si>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</si>
  <si>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</si>
  <si>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</si>
  <si>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</si>
  <si>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</si>
  <si>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t xml:space="preserve">SRC_OAI_067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</si>
  <si>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</si>
  <si>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</t>
    </r>
  </si>
  <si>
    <t xml:space="preserve">SRC_OAI_068</t>
  </si>
  <si>
    <r>
      <rPr>
        <sz val="10"/>
        <color rgb="FF000000"/>
        <rFont val="WenQuanYi Zen Hei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</si>
  <si>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</si>
  <si>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供給</t>
    </r>
  </si>
  <si>
    <r>
      <rPr>
        <sz val="10"/>
        <color rgb="FF000000"/>
        <rFont val="WenQuanYi Zen Hei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WenQuanYi Zen Hei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WenQuanYi Zen Hei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</si>
  <si>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</si>
  <si>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</si>
  <si>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WenQuanYi Zen Hei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</si>
  <si>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</si>
  <si>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</si>
  <si>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WenQuanYi Zen Hei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</si>
  <si>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</si>
  <si>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</si>
  <si>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</si>
  <si>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WenQuanYi Zen Hei"/>
        <family val="2"/>
      </rPr>
      <t xml:space="preserve">揭露</t>
    </r>
  </si>
  <si>
    <t xml:space="preserve">SRC_OAI_072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</si>
  <si>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</si>
  <si>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</si>
  <si>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WenQuanYi Zen Hei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</si>
  <si>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WenQuanYi Zen Hei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</si>
  <si>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</si>
  <si>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</si>
  <si>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WenQuanYi Zen Hei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WenQuanYi Zen Hei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</si>
  <si>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</si>
  <si>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</si>
  <si>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t xml:space="preserve">SRC_OAI_074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</si>
  <si>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</si>
  <si>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WenQuanYi Zen Hei"/>
        <family val="2"/>
      </rPr>
      <t xml:space="preserve">分批部署</t>
    </r>
  </si>
  <si>
    <t xml:space="preserve">SRC_OAI_075</t>
  </si>
  <si>
    <r>
      <rPr>
        <sz val="10"/>
        <color rgb="FF000000"/>
        <rFont val="WenQuanYi Zen Hei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</si>
  <si>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</si>
  <si>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</si>
  <si>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WenQuanYi Zen Hei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WenQuanYi Zen Hei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</si>
  <si>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</si>
  <si>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</si>
  <si>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</si>
  <si>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</si>
  <si>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</si>
  <si>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</si>
  <si>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WenQuanYi Zen Hei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WenQuanYi Zen Hei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</si>
  <si>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</si>
  <si>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</si>
  <si>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</si>
  <si>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WenQuanYi Zen Hei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WenQuanYi Zen Hei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</si>
  <si>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</si>
  <si>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</si>
  <si>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WenQuanYi Zen Hei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</si>
  <si>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WenQuanYi Zen Hei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</si>
  <si>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</si>
  <si>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融資起點</t>
    </r>
  </si>
  <si>
    <t xml:space="preserve">SRC_OAI_080</t>
  </si>
  <si>
    <r>
      <rPr>
        <sz val="10"/>
        <color rgb="FF000000"/>
        <rFont val="WenQuanYi Zen Hei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</si>
  <si>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WenQuanYi Zen Hei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</si>
  <si>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</si>
  <si>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WenQuanYi Zen Hei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</si>
  <si>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</si>
  <si>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</si>
  <si>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</si>
  <si>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WenQuanYi Zen Hei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</si>
  <si>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</si>
  <si>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不計入，列情境</t>
    </r>
  </si>
  <si>
    <r>
      <rPr>
        <sz val="10"/>
        <color rgb="FF000000"/>
        <rFont val="WenQuanYi Zen Hei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</si>
  <si>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</si>
  <si>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</si>
  <si>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WenQuanYi Zen Hei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</si>
  <si>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WenQuanYi Zen Hei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</si>
  <si>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</si>
  <si>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WenQuanYi Zen Hei"/>
        <family val="2"/>
      </rPr>
      <t xml:space="preserve">只列示）</t>
    </r>
  </si>
  <si>
    <t xml:space="preserve">SRC_OAI_084</t>
  </si>
  <si>
    <r>
      <rPr>
        <sz val="10"/>
        <color rgb="FF000000"/>
        <rFont val="WenQuanYi Zen Hei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</si>
  <si>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</si>
  <si>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</si>
  <si>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</si>
  <si>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</si>
  <si>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WenQuanYi Zen Hei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</si>
  <si>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</si>
  <si>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</si>
  <si>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</t>
    </r>
  </si>
  <si>
    <t xml:space="preserve">SRC_OAI_087</t>
  </si>
  <si>
    <r>
      <rPr>
        <sz val="10"/>
        <color rgb="FF000000"/>
        <rFont val="WenQuanYi Zen Hei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</si>
  <si>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WenQuanYi Zen Hei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</si>
  <si>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</si>
  <si>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</si>
  <si>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</si>
  <si>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WenQuanYi Zen Hei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</si>
  <si>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WenQuanYi Zen Hei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WenQuanYi Zen Hei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</si>
  <si>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</si>
  <si>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</si>
  <si>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</si>
  <si>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對照</t>
    </r>
  </si>
  <si>
    <t xml:space="preserve">SRC_OAI_089</t>
  </si>
  <si>
    <r>
      <rPr>
        <sz val="10"/>
        <color rgb="FF000000"/>
        <rFont val="WenQuanYi Zen Hei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</si>
  <si>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</si>
  <si>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）</t>
    </r>
  </si>
  <si>
    <t xml:space="preserve">SRC_OAI_090</t>
  </si>
  <si>
    <r>
      <rPr>
        <sz val="10"/>
        <color rgb="FF000000"/>
        <rFont val="WenQuanYi Zen Hei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</si>
  <si>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WenQuanYi Zen Hei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</si>
  <si>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</si>
  <si>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WenQuanYi Zen Hei"/>
        <family val="2"/>
      </rPr>
      <t xml:space="preserve">）</t>
    </r>
  </si>
  <si>
    <t xml:space="preserve">SRC_OAI_091</t>
  </si>
  <si>
    <r>
      <rPr>
        <sz val="10"/>
        <color rgb="FF000000"/>
        <rFont val="WenQuanYi Zen Hei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</si>
  <si>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WenQuanYi Zen Hei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WenQuanYi Zen Hei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</si>
  <si>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</si>
  <si>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</si>
  <si>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</si>
  <si>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</si>
  <si>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</si>
  <si>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</si>
  <si>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</si>
  <si>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</si>
  <si>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</si>
  <si>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</t>
    </r>
  </si>
  <si>
    <r>
      <rPr>
        <sz val="10"/>
        <color rgb="FF000000"/>
        <rFont val="WenQuanYi Zen Hei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</si>
  <si>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</si>
  <si>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WenQuanYi Zen Hei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</si>
  <si>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</si>
  <si>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WenQuanYi Zen Hei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</si>
  <si>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</si>
  <si>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</si>
  <si>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</si>
  <si>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</si>
  <si>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WenQuanYi Zen Hei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</si>
  <si>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</si>
  <si>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WenQuanYi Zen Hei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</si>
  <si>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</si>
  <si>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</si>
  <si>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</si>
  <si>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WenQuanYi Zen Hei"/>
        <family val="2"/>
      </rPr>
      <t xml:space="preserve">出處）</t>
    </r>
  </si>
  <si>
    <t xml:space="preserve">SRC_OAI_097</t>
  </si>
  <si>
    <r>
      <rPr>
        <sz val="10"/>
        <color rgb="FF000000"/>
        <rFont val="WenQuanYi Zen Hei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</si>
  <si>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WenQuanYi Zen Hei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WenQuanYi Zen Hei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</si>
  <si>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WenQuanYi Zen Hei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</si>
  <si>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</si>
  <si>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</t>
    </r>
  </si>
  <si>
    <t xml:space="preserve">SRC_OAI_098</t>
  </si>
  <si>
    <r>
      <rPr>
        <sz val="10"/>
        <color rgb="FF000000"/>
        <rFont val="WenQuanYi Zen Hei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</si>
  <si>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WenQuanYi Zen Hei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（外流財報）</t>
    </r>
  </si>
  <si>
    <r>
      <rPr>
        <sz val="10"/>
        <color rgb="FF000000"/>
        <rFont val="WenQuanYi Zen Hei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WenQuanYi Zen Hei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</si>
  <si>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</si>
  <si>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WenQuanYi Zen Hei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WenQuanYi Zen Hei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</si>
  <si>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WenQuanYi Zen Hei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WenQuanYi Zen Hei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WenQuanYi Zen Hei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WenQuanYi Zen Hei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WenQuanYi Zen Hei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衍生值列）</t>
    </r>
  </si>
  <si>
    <t xml:space="preserve">SRC_OAI_099</t>
  </si>
  <si>
    <r>
      <rPr>
        <sz val="10"/>
        <color rgb="FF000000"/>
        <rFont val="WenQuanYi Zen Hei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</si>
  <si>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</si>
  <si>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WenQuanYi Zen Hei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</si>
  <si>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WenQuanYi Zen Hei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</si>
  <si>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</si>
  <si>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</si>
  <si>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</si>
  <si>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WenQuanYi Zen Hei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</si>
  <si>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WenQuanYi Zen Hei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</si>
  <si>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WenQuanYi Zen Hei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</si>
  <si>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WenQuanYi Zen Hei"/>
        <family val="2"/>
      </rPr>
      <t xml:space="preserve">出處：總量對照）</t>
    </r>
  </si>
  <si>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</si>
  <si>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WenQuanYi Zen Hei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</si>
  <si>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</si>
  <si>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</si>
  <si>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（內部預測：倍增）</t>
    </r>
  </si>
  <si>
    <t xml:space="preserve">倍</t>
  </si>
  <si>
    <r>
      <rPr>
        <sz val="10"/>
        <color rgb="FF000000"/>
        <rFont val="WenQuanYi Zen Hei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</si>
  <si>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WenQuanYi Zen Hei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</si>
  <si>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WenQuanYi Zen Hei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</si>
  <si>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WenQuanYi Zen Hei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WenQuanYi Zen Hei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</si>
  <si>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</si>
  <si>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</si>
  <si>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WenQuanYi Zen Hei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</si>
  <si>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WenQuanYi Zen Hei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</si>
  <si>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</si>
  <si>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WenQuanYi Zen Hei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WenQuanYi Zen Hei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</si>
  <si>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WenQuanYi Zen Hei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</si>
  <si>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</si>
  <si>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WenQuanYi Zen Hei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</si>
  <si>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</si>
  <si>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</si>
  <si>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公式）</t>
    </r>
  </si>
  <si>
    <r>
      <rPr>
        <sz val="10"/>
        <color rgb="FF000000"/>
        <rFont val="WenQuanYi Zen Hei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</si>
  <si>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</si>
  <si>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WenQuanYi Zen Hei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</si>
  <si>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</si>
  <si>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</si>
  <si>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</si>
  <si>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</si>
  <si>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WenQuanYi Zen Hei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</si>
  <si>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</si>
  <si>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</si>
  <si>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WenQuanYi Zen Hei"/>
        <family val="2"/>
      </rPr>
      <t xml:space="preserve">聯合公告（意向書，非約束性）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</si>
  <si>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</si>
  <si>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WenQuanYi Zen Hei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</si>
  <si>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WenQuanYi Zen Hei"/>
        <family val="2"/>
      </rPr>
      <t xml:space="preserve">）</t>
    </r>
  </si>
  <si>
    <t xml:space="preserve">比較用</t>
  </si>
  <si>
    <r>
      <rPr>
        <sz val="10"/>
        <color rgb="FF000000"/>
        <rFont val="WenQuanYi Zen Hei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WenQuanYi Zen Hei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</si>
  <si>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</si>
  <si>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</si>
  <si>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WenQuanYi Zen Hei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</si>
  <si>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</si>
  <si>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WenQuanYi Zen Hei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</si>
  <si>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WenQuanYi Zen Hei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</si>
  <si>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</si>
  <si>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</si>
  <si>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WenQuanYi Zen Hei"/>
        <family val="2"/>
      </rPr>
      <t xml:space="preserve">聯合公告（自研加速器部署，條款書）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</si>
  <si>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</si>
  <si>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</si>
  <si>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</si>
  <si>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WenQuanYi Zen Hei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</si>
  <si>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</si>
  <si>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</si>
  <si>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WenQuanYi Zen Hei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認股權證）</t>
    </r>
  </si>
  <si>
    <r>
      <rPr>
        <sz val="10"/>
        <color rgb="FF000000"/>
        <rFont val="WenQuanYi Zen Hei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WenQuanYi Zen Hei"/>
        <family val="2"/>
      </rPr>
      <t xml:space="preserve">認股權證</t>
    </r>
  </si>
  <si>
    <t xml:space="preserve">SRC_OAI_109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</si>
  <si>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</si>
  <si>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</si>
  <si>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WenQuanYi Zen Hei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WenQuanYi Zen Hei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WenQuanYi Zen Hei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WenQuanYi Zen Hei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</si>
  <si>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</si>
  <si>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WenQuanYi Zen Hei"/>
        <family val="2"/>
      </rPr>
      <t xml:space="preserve">）</t>
    </r>
  </si>
  <si>
    <t xml:space="preserve">SRC_OAI_110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</si>
  <si>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WenQuanYi Zen Hei"/>
        <family val="2"/>
      </rPr>
      <t xml:space="preserve">（三期）</t>
    </r>
  </si>
  <si>
    <t xml:space="preserve">SRC_OAI_111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</si>
  <si>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</si>
  <si>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</si>
  <si>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</si>
  <si>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WenQuanYi Zen Hei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</si>
  <si>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無條件部分的組成（約）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</si>
  <si>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WenQuanYi Zen Hei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WenQuanYi Zen Hei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WenQuanYi Zen Hei"/>
        <family val="2"/>
      </rPr>
      <t xml:space="preserve">外部連結）</t>
    </r>
  </si>
  <si>
    <r>
      <rPr>
        <sz val="9"/>
        <color rgb="FF595959"/>
        <rFont val="WenQuanYi Zen Hei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WenQuanYi Zen Hei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</si>
  <si>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檔案</t>
    </r>
  </si>
  <si>
    <t xml:space="preserve">20261004_Tokenomics_v5.14.xlsx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</si>
  <si>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版本</t>
    </r>
  </si>
  <si>
    <t xml:space="preserve">v5.14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</si>
  <si>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WenQuanYi Zen Hei"/>
        <family val="2"/>
      </rPr>
      <t xml:space="preserve">）</t>
    </r>
  </si>
  <si>
    <t xml:space="preserve">7402b3ec4a38aaf4775981924027545f71ef0382</t>
  </si>
  <si>
    <t xml:space="preserve">讀取日期</t>
  </si>
  <si>
    <t xml:space="preserve">2026-10-04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</si>
  <si>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</si>
  <si>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</si>
  <si>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</si>
  <si>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</si>
  <si>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</si>
  <si>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t xml:space="preserve">Rubin Ultra NVL576</t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</si>
  <si>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</si>
  <si>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</si>
  <si>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</si>
  <si>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</si>
  <si>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</si>
  <si>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</si>
  <si>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</si>
  <si>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</si>
  <si>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WenQuanYi Zen Hei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</si>
  <si>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</si>
  <si>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</si>
  <si>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</si>
  <si>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</si>
  <si>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</si>
  <si>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</si>
  <si>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</si>
  <si>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</si>
  <si>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</si>
  <si>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</si>
  <si>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</si>
  <si>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</si>
  <si>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</si>
  <si>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</si>
  <si>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WenQuanYi Zen Hei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</si>
  <si>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</si>
  <si>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</si>
  <si>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</si>
  <si>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WenQuanYi Zen Hei"/>
        <family val="2"/>
      </rPr>
      <t xml:space="preserve">年</t>
    </r>
  </si>
  <si>
    <t xml:space="preserve">OK</t>
  </si>
  <si>
    <t xml:space="preserve">7402b3e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</si>
  <si>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</si>
  <si>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</si>
  <si>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</si>
  <si>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</si>
  <si>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</si>
  <si>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</si>
  <si>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WenQuanYi Zen Hei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</si>
  <si>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</si>
  <si>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</si>
  <si>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</si>
  <si>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</si>
  <si>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</si>
  <si>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</si>
  <si>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</si>
  <si>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WenQuanYi Zen Hei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WenQuanYi Zen Hei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</si>
  <si>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</si>
  <si>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</si>
  <si>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</si>
  <si>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</si>
  <si>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</si>
  <si>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</si>
  <si>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</si>
  <si>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WenQuanYi Zen Hei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</si>
  <si>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</si>
  <si>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</si>
  <si>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</si>
  <si>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</si>
  <si>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</si>
  <si>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</si>
  <si>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WenQuanYi Zen Hei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</si>
  <si>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</si>
  <si>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</si>
  <si>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</si>
  <si>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</si>
  <si>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</si>
  <si>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</si>
  <si>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WenQuanYi Zen Hei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</si>
  <si>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</si>
  <si>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</si>
  <si>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</si>
  <si>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</si>
  <si>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</si>
  <si>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</si>
  <si>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</si>
  <si>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</si>
  <si>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</si>
  <si>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</si>
  <si>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</si>
  <si>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</si>
  <si>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</si>
  <si>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WenQuanYi Zen Hei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WenQuanYi Zen Hei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</si>
  <si>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</si>
  <si>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</si>
  <si>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</si>
  <si>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</si>
  <si>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</si>
  <si>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</si>
  <si>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WenQuanYi Zen Hei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WenQuanYi Zen Hei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</si>
  <si>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</si>
  <si>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</si>
  <si>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</si>
  <si>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</si>
  <si>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</si>
  <si>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</si>
  <si>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WenQuanYi Zen Hei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WenQuanYi Zen Hei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</si>
  <si>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</si>
  <si>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</si>
  <si>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</si>
  <si>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</si>
  <si>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</si>
  <si>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</si>
  <si>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WenQuanYi Zen Hei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</si>
  <si>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</si>
  <si>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</si>
  <si>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</si>
  <si>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WenQuanYi Zen Hei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WenQuanYi Zen Hei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</si>
  <si>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</si>
  <si>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</si>
  <si>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</si>
  <si>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</si>
  <si>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</si>
  <si>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</si>
  <si>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</si>
  <si>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</si>
  <si>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</si>
  <si>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</si>
  <si>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</si>
  <si>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</si>
  <si>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WenQuanYi Zen Hei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</si>
  <si>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</si>
  <si>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</si>
  <si>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WenQuanYi Zen Hei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</si>
  <si>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</si>
  <si>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</si>
  <si>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年底（約值；口徑未明）</t>
    </r>
  </si>
  <si>
    <t xml:space="preserve">IF_AllocQ1</t>
  </si>
  <si>
    <r>
      <rPr>
        <sz val="10"/>
        <color rgb="FF000000"/>
        <rFont val="WenQuanYi Zen Hei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合併；無具名範圍）</t>
    </r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</si>
  <si>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IF_AllocQ1</t>
    </r>
  </si>
  <si>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合併</t>
    </r>
  </si>
  <si>
    <t xml:space="preserve">IF_AllocQ2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</si>
  <si>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IF_AllocQ2</t>
    </r>
  </si>
  <si>
    <t xml:space="preserve">IF_AllocServeGW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</si>
  <si>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IF_AllocServeGW</t>
    </r>
  </si>
  <si>
    <t xml:space="preserve">IF_AllocRDGW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</si>
  <si>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IF_AllocRDGW</t>
    </r>
  </si>
  <si>
    <t xml:space="preserve">IF_AllocDemand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</si>
  <si>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IF_AllocDemand</t>
    </r>
  </si>
  <si>
    <t xml:space="preserve">IF_AllocImpliedNk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</si>
  <si>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IF_AllocImpliedNk</t>
    </r>
  </si>
  <si>
    <t xml:space="preserve">SRC_DEM_010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</si>
  <si>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SRC_DEM_010</t>
    </r>
  </si>
  <si>
    <t xml:space="preserve">SRC_DEM_011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</si>
  <si>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</si>
  <si>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SRC_DEM_012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</si>
  <si>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SRC_DEM_012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</si>
  <si>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</si>
  <si>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分支實際名稱：</t>
    </r>
    <r>
      <rPr>
        <sz val="10"/>
        <color rgb="FF000000"/>
        <rFont val="Arial"/>
        <family val="0"/>
        <charset val="1"/>
      </rPr>
      <t xml:space="preserve">SRC_DEM_013</t>
    </r>
  </si>
  <si>
    <t xml:space="preserve">IF_AllocQ1_R2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</si>
  <si>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新增、工作單未列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</si>
  <si>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WenQuanYi Zen Hei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WenQuanYi Zen Hei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WenQuanYi Zen Hei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WenQuanYi Zen Hei"/>
        <family val="2"/>
      </rPr>
      <t xml:space="preserve">項目的遷入</t>
    </r>
  </si>
  <si>
    <r>
      <rPr>
        <sz val="9"/>
        <color rgb="FF595959"/>
        <rFont val="WenQuanYi Zen Hei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WenQuanYi Zen Hei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無區間者保留空白並於備註說明（不自行補值）。</t>
    </r>
  </si>
  <si>
    <r>
      <rPr>
        <sz val="9"/>
        <color rgb="FF595959"/>
        <rFont val="WenQuanYi Zen Hei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WenQuanYi Zen Hei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WenQuanYi Zen Hei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</si>
  <si>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</si>
  <si>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</si>
  <si>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</si>
  <si>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</si>
  <si>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</si>
  <si>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</si>
  <si>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</si>
  <si>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</si>
  <si>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</si>
  <si>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</si>
  <si>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WenQuanYi Zen Hei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</si>
  <si>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</si>
  <si>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WenQuanYi Zen Hei"/>
        <family val="2"/>
      </rPr>
      <t xml:space="preserve">註記）</t>
    </r>
  </si>
  <si>
    <t xml:space="preserve">INP_003</t>
  </si>
  <si>
    <r>
      <rPr>
        <sz val="10"/>
        <color rgb="FF000000"/>
        <rFont val="WenQuanYi Zen Hei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</si>
  <si>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</si>
  <si>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</si>
  <si>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</si>
  <si>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</si>
  <si>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</si>
  <si>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</si>
  <si>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</si>
  <si>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</si>
  <si>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</si>
  <si>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WenQuanYi Zen Hei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節）</t>
    </r>
  </si>
  <si>
    <t xml:space="preserve">INP_006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</si>
  <si>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</si>
  <si>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</si>
  <si>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</si>
  <si>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</si>
  <si>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</si>
  <si>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</si>
  <si>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</si>
  <si>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</si>
  <si>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</si>
  <si>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</si>
  <si>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</si>
  <si>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</si>
  <si>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WenQuanYi Zen Hei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</si>
  <si>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</si>
  <si>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</si>
  <si>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</si>
  <si>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</si>
  <si>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</si>
  <si>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</si>
  <si>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WenQuanYi Zen Hei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</si>
  <si>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</si>
  <si>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WenQuanYi Zen Hei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</si>
  <si>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</si>
  <si>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</si>
  <si>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WenQuanYi Zen Hei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WenQuanYi Zen Hei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</si>
  <si>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</si>
  <si>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WenQuanYi Zen Hei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</si>
  <si>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</si>
  <si>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</si>
  <si>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WenQuanYi Zen Hei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</si>
  <si>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</si>
  <si>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</si>
  <si>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</si>
  <si>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</si>
  <si>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WenQuanYi Zen Hei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</si>
  <si>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</si>
  <si>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</si>
  <si>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</si>
  <si>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</si>
  <si>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</si>
  <si>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</si>
  <si>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</si>
  <si>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</si>
  <si>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</si>
  <si>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</si>
  <si>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</si>
  <si>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</si>
  <si>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</si>
  <si>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</si>
  <si>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</si>
  <si>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</si>
  <si>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WenQuanYi Zen Hei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</si>
  <si>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</si>
  <si>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</si>
  <si>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</si>
  <si>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起每年；情境軸之一</t>
    </r>
  </si>
  <si>
    <t xml:space="preserve">INP_022</t>
  </si>
  <si>
    <r>
      <rPr>
        <sz val="10"/>
        <color rgb="FF000000"/>
        <rFont val="WenQuanYi Zen Hei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</si>
  <si>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</si>
  <si>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</si>
  <si>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WenQuanYi Zen Hei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</si>
  <si>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</si>
  <si>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</si>
  <si>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</si>
  <si>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r>
      <rPr>
        <sz val="10"/>
        <color rgb="FF000000"/>
        <rFont val="WenQuanYi Zen Hei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</si>
  <si>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</si>
  <si>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WenQuanYi Zen Hei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WenQuanYi Zen Hei"/>
        <family val="2"/>
      </rPr>
      <t xml:space="preserve">）</t>
    </r>
  </si>
  <si>
    <t xml:space="preserve">INP_025</t>
  </si>
  <si>
    <r>
      <rPr>
        <sz val="10"/>
        <color rgb="FF000000"/>
        <rFont val="WenQuanYi Zen Hei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</si>
  <si>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</si>
  <si>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WenQuanYi Zen Hei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</si>
  <si>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</si>
  <si>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</si>
  <si>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</si>
  <si>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</si>
  <si>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</si>
  <si>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</si>
  <si>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WenQuanYi Zen Hei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</si>
  <si>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</si>
  <si>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</si>
  <si>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WenQuanYi Zen Hei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WenQuanYi Zen Hei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</si>
  <si>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</si>
  <si>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</si>
  <si>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WenQuanYi Zen Hei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</si>
  <si>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</si>
  <si>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</si>
  <si>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WenQuanYi Zen Hei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</si>
  <si>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</si>
  <si>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</si>
  <si>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</si>
  <si>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</si>
  <si>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</si>
  <si>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</si>
  <si>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</si>
  <si>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</si>
  <si>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</si>
  <si>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</si>
  <si>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</si>
  <si>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</si>
  <si>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</si>
  <si>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</si>
  <si>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</si>
  <si>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WenQuanYi Zen Hei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</si>
  <si>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</si>
  <si>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</si>
  <si>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</si>
  <si>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</si>
  <si>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</si>
  <si>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</si>
  <si>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</si>
  <si>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</si>
  <si>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</si>
  <si>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</si>
  <si>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</si>
  <si>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</si>
  <si>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</si>
  <si>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</si>
  <si>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</si>
  <si>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</si>
  <si>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</si>
  <si>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</si>
  <si>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</si>
  <si>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</si>
  <si>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WenQuanYi Zen Hei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</si>
  <si>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</si>
  <si>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</si>
  <si>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</si>
  <si>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WenQuanYi Zen Hei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</si>
  <si>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</si>
  <si>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</si>
  <si>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</si>
  <si>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WenQuanYi Zen Hei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WenQuanYi Zen Hei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WenQuanYi Zen Hei"/>
        <family val="2"/>
      </rPr>
      <t xml:space="preserve">點）</t>
    </r>
  </si>
  <si>
    <t xml:space="preserve">INP_051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</si>
  <si>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</si>
  <si>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</si>
  <si>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</si>
  <si>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</si>
  <si>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</si>
  <si>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</si>
  <si>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</si>
  <si>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</si>
  <si>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</si>
  <si>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</si>
  <si>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</si>
  <si>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</si>
  <si>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</si>
  <si>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</si>
  <si>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</si>
  <si>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</si>
  <si>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</si>
  <si>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WenQuanYi Zen Hei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</si>
  <si>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</si>
  <si>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</si>
  <si>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</si>
  <si>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</si>
  <si>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</si>
  <si>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</si>
  <si>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</si>
  <si>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</si>
  <si>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</si>
  <si>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</si>
  <si>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</si>
  <si>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：低情境倍數</t>
    </r>
  </si>
  <si>
    <r>
      <rPr>
        <sz val="10"/>
        <color rgb="FF000000"/>
        <rFont val="WenQuanYi Zen Hei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</si>
  <si>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</si>
  <si>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</si>
  <si>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</si>
  <si>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</si>
  <si>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</si>
  <si>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</si>
  <si>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</si>
  <si>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</si>
  <si>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</si>
  <si>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</si>
  <si>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</si>
  <si>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</si>
  <si>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</si>
  <si>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</si>
  <si>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</si>
  <si>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</si>
  <si>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</si>
  <si>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</si>
  <si>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</si>
  <si>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</si>
  <si>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</si>
  <si>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</si>
  <si>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</si>
  <si>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</si>
  <si>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</si>
  <si>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</si>
  <si>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</si>
  <si>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</si>
  <si>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</si>
  <si>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</si>
  <si>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</si>
  <si>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</si>
  <si>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</si>
  <si>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</si>
  <si>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WenQuanYi Zen Hei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</si>
  <si>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</si>
  <si>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WenQuanYi Zen Hei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</si>
  <si>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</si>
  <si>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</si>
  <si>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</si>
  <si>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</si>
  <si>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</si>
  <si>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</si>
  <si>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</si>
  <si>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</si>
  <si>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</si>
  <si>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</si>
  <si>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</si>
  <si>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</si>
  <si>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</si>
  <si>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</si>
  <si>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WenQuanYi Zen Hei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</si>
  <si>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</si>
  <si>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</si>
  <si>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</si>
  <si>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WenQuanYi Zen Hei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</si>
  <si>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</si>
  <si>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</si>
  <si>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</si>
  <si>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</si>
  <si>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</si>
  <si>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</si>
  <si>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</si>
  <si>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</si>
  <si>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</si>
  <si>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</si>
  <si>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</si>
  <si>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</si>
  <si>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</si>
  <si>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</si>
  <si>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</si>
  <si>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</si>
  <si>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WenQuanYi Zen Hei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</si>
  <si>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</si>
  <si>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</si>
  <si>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</si>
  <si>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</si>
  <si>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</si>
  <si>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</si>
  <si>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</si>
  <si>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</si>
  <si>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</si>
  <si>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</si>
  <si>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</si>
  <si>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</si>
  <si>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</si>
  <si>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</si>
  <si>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</si>
  <si>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</si>
  <si>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</si>
  <si>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</si>
  <si>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</si>
  <si>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</si>
  <si>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</si>
  <si>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</si>
  <si>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</si>
  <si>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WenQuanYi Zen Hei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</si>
  <si>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</si>
  <si>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</si>
  <si>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WenQuanYi Zen Hei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</si>
  <si>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</si>
  <si>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</si>
  <si>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</si>
  <si>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</si>
  <si>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</si>
  <si>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</si>
  <si>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WenQuanYi Zen Hei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</si>
  <si>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</si>
  <si>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</si>
  <si>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</si>
  <si>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</si>
  <si>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</si>
  <si>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</si>
  <si>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</si>
  <si>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</si>
  <si>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</si>
  <si>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WenQuanYi Zen Hei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WenQuanYi Zen Hei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WenQuanYi Zen Hei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</si>
  <si>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</si>
  <si>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</si>
  <si>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</si>
  <si>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</si>
  <si>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</si>
  <si>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</si>
  <si>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</si>
  <si>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</si>
  <si>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WenQuanYi Zen Hei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</si>
  <si>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</si>
  <si>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</si>
  <si>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</si>
  <si>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WenQuanYi Zen Hei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</t>
    </r>
  </si>
  <si>
    <t xml:space="preserve">INP_138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</si>
  <si>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</si>
  <si>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</si>
  <si>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</si>
  <si>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</si>
  <si>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</si>
  <si>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</si>
  <si>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</si>
  <si>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</si>
  <si>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</si>
  <si>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</si>
  <si>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</si>
  <si>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</si>
  <si>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</si>
  <si>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</si>
  <si>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</si>
  <si>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</si>
  <si>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</si>
  <si>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</si>
  <si>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</si>
  <si>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</si>
  <si>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</si>
  <si>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</si>
  <si>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</si>
  <si>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</si>
  <si>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</si>
  <si>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</si>
  <si>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</si>
  <si>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</si>
  <si>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</si>
  <si>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</si>
  <si>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</si>
  <si>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</si>
  <si>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</si>
  <si>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</si>
  <si>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</si>
  <si>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</si>
  <si>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</si>
  <si>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</si>
  <si>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</si>
  <si>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</si>
  <si>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</si>
  <si>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</si>
  <si>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</si>
  <si>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</si>
  <si>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</si>
  <si>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</si>
  <si>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</si>
  <si>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</si>
  <si>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WenQuanYi Zen Hei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WenQuanYi Zen Hei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WenQuanYi Zen Hei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</si>
  <si>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</si>
  <si>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</si>
  <si>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</si>
  <si>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WenQuanYi Zen Hei"/>
        <family val="2"/>
      </rPr>
      <t xml:space="preserve">占比</t>
    </r>
  </si>
  <si>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WenQuanYi Zen Hei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</si>
  <si>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</si>
  <si>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</si>
  <si>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WenQuanYi Zen Hei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</si>
  <si>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</si>
  <si>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WenQuanYi Zen Hei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</si>
  <si>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</si>
  <si>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</si>
  <si>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</si>
  <si>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</si>
  <si>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</si>
  <si>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</si>
  <si>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</si>
  <si>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</si>
  <si>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</si>
  <si>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</si>
  <si>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</si>
  <si>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</si>
  <si>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</si>
  <si>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</si>
  <si>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</si>
  <si>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</si>
  <si>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</si>
  <si>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</si>
  <si>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</si>
  <si>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</si>
  <si>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</si>
  <si>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</si>
  <si>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</si>
  <si>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</si>
  <si>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</si>
  <si>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</si>
  <si>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WenQuanYi Zen Hei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</si>
  <si>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</si>
  <si>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</si>
  <si>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</si>
  <si>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</si>
  <si>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</si>
  <si>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</si>
  <si>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</si>
  <si>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</si>
  <si>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</si>
  <si>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</si>
  <si>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</si>
  <si>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WenQuanYi Zen Hei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WenQuanYi Zen Hei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</si>
  <si>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</si>
  <si>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</si>
  <si>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</si>
  <si>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WenQuanYi Zen Hei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WenQuanYi Zen Hei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</si>
  <si>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</si>
  <si>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WenQuanYi Zen Hei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</si>
  <si>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</si>
  <si>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WenQuanYi Zen Hei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WenQuanYi Zen Hei"/>
        <family val="2"/>
      </rPr>
      <t xml:space="preserve">）</t>
    </r>
  </si>
  <si>
    <t xml:space="preserve">INP_183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</si>
  <si>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</si>
  <si>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</si>
  <si>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WenQuanYi Zen Hei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</si>
  <si>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</si>
  <si>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WenQuanYi Zen Hei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</si>
  <si>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WenQuanYi Zen Hei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WenQuanYi Zen Hei"/>
        <family val="2"/>
      </rPr>
      <t xml:space="preserve">葉節點</t>
    </r>
  </si>
  <si>
    <t xml:space="preserve">INP_185</t>
  </si>
  <si>
    <r>
      <rPr>
        <sz val="10"/>
        <color rgb="FF000000"/>
        <rFont val="WenQuanYi Zen Hei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</si>
  <si>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WenQuanYi Zen Hei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WenQuanYi Zen Hei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</si>
  <si>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</si>
  <si>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</si>
  <si>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</si>
  <si>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</si>
  <si>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WenQuanYi Zen Hei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WenQuanYi Zen Hei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</si>
  <si>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</si>
  <si>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</si>
  <si>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</si>
  <si>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</si>
  <si>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</si>
  <si>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</si>
  <si>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</si>
  <si>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</si>
  <si>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</si>
  <si>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WenQuanYi Zen Hei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</si>
  <si>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</si>
  <si>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</si>
  <si>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槓桿；情境軸</t>
    </r>
  </si>
  <si>
    <t xml:space="preserve">INP_196</t>
  </si>
  <si>
    <r>
      <rPr>
        <sz val="10"/>
        <color rgb="FF000000"/>
        <rFont val="WenQuanYi Zen Hei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WenQuanYi Zen Hei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</si>
  <si>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</si>
  <si>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</si>
  <si>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</si>
  <si>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</si>
  <si>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</si>
  <si>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</si>
  <si>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</si>
  <si>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</si>
  <si>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</si>
  <si>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</si>
  <si>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</si>
  <si>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</si>
  <si>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</si>
  <si>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</si>
  <si>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</si>
  <si>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</si>
  <si>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</si>
  <si>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WenQuanYi Zen Hei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</si>
  <si>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WenQuanYi Zen Hei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</si>
  <si>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</si>
  <si>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</si>
  <si>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</si>
  <si>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</si>
  <si>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</si>
  <si>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WenQuanYi Zen Hei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WenQuanYi Zen Hei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</si>
  <si>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</si>
  <si>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</si>
  <si>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</si>
  <si>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</si>
  <si>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</si>
  <si>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</si>
  <si>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</si>
  <si>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</si>
  <si>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</si>
  <si>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WenQuanYi Zen Hei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WenQuanYi Zen Hei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</si>
  <si>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</si>
  <si>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</si>
  <si>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</si>
  <si>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</si>
  <si>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</si>
  <si>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</si>
  <si>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</si>
  <si>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</si>
  <si>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</si>
  <si>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</si>
  <si>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</si>
  <si>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</si>
  <si>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</si>
  <si>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</si>
  <si>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</si>
  <si>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</si>
  <si>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</si>
  <si>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</si>
  <si>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</si>
  <si>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</si>
  <si>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</si>
  <si>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</si>
  <si>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</si>
  <si>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</si>
  <si>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</si>
  <si>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WenQuanYi Zen Hei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</si>
  <si>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</si>
  <si>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WenQuanYi Zen Hei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WenQuanYi Zen Hei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WenQuanYi Zen Hei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</si>
  <si>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</si>
  <si>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</si>
  <si>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</si>
  <si>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</si>
  <si>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WenQuanYi Zen Hei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WenQuanYi Zen Hei"/>
        <family val="2"/>
      </rPr>
      <t xml:space="preserve">其他雲端</t>
    </r>
  </si>
  <si>
    <r>
      <rPr>
        <sz val="10"/>
        <color rgb="FF000000"/>
        <rFont val="WenQuanYi Zen Hei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WenQuanYi Zen Hei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WenQuanYi Zen Hei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WenQuanYi Zen Hei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WenQuanYi Zen Hei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</si>
  <si>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</si>
  <si>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</si>
  <si>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</si>
  <si>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</si>
  <si>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</si>
  <si>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</si>
  <si>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</si>
  <si>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WenQuanYi Zen Hei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WenQuanYi Zen Hei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WenQuanYi Zen Hei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</si>
  <si>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</si>
  <si>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WenQuanYi Zen Hei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</si>
  <si>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</si>
  <si>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WenQuanYi Zen Hei"/>
        <family val="2"/>
      </rPr>
      <t xml:space="preserve">換算係數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</si>
  <si>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WenQuanYi Zen Hei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WenQuanYi Zen Hei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WenQuanYi Zen Hei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WenQuanYi Zen Hei"/>
        <family val="2"/>
      </rPr>
      <t xml:space="preserve">成長路徑</t>
    </r>
  </si>
  <si>
    <t xml:space="preserve">INP_235</t>
  </si>
  <si>
    <r>
      <rPr>
        <sz val="10"/>
        <color rgb="FF000000"/>
        <rFont val="WenQuanYi Zen Hei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</si>
  <si>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WenQuanYi Zen Hei"/>
        <family val="2"/>
      </rPr>
      <t xml:space="preserve">換算係數</t>
    </r>
  </si>
  <si>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WenQuanYi Zen Hei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WenQuanYi Zen Hei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</si>
  <si>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</si>
  <si>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</si>
  <si>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</si>
  <si>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WenQuanYi Zen Hei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</si>
  <si>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</si>
  <si>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</si>
  <si>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WenQuanYi Zen Hei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WenQuanYi Zen Hei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</si>
  <si>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</si>
  <si>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WenQuanYi Zen Hei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</si>
  <si>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WenQuanYi Zen Hei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WenQuanYi Zen Hei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WenQuanYi Zen Hei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</si>
  <si>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</si>
  <si>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</si>
  <si>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</si>
  <si>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WenQuanYi Zen Hei"/>
        <family val="2"/>
      </rPr>
      <t xml:space="preserve">每年分鐘數</t>
    </r>
  </si>
  <si>
    <r>
      <rPr>
        <sz val="10"/>
        <color rgb="FF000000"/>
        <rFont val="WenQuanYi Zen Hei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WenQuanYi Zen Hei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</si>
  <si>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</si>
  <si>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WenQuanYi Zen Hei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WenQuanYi Zen Hei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</si>
  <si>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</si>
  <si>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WenQuanYi Zen Hei"/>
        <family val="2"/>
      </rPr>
      <t xml:space="preserve">單位換算</t>
    </r>
  </si>
  <si>
    <r>
      <rPr>
        <sz val="10"/>
        <color rgb="FF000000"/>
        <rFont val="WenQuanYi Zen Hei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WenQuanYi Zen Hei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</si>
  <si>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</si>
  <si>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WenQuanYi Zen Hei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</si>
  <si>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</si>
  <si>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WenQuanYi Zen Hei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WenQuanYi Zen Hei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WenQuanYi Zen Hei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WenQuanYi Zen Hei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</si>
  <si>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</si>
  <si>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</si>
  <si>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</si>
  <si>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</si>
  <si>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WenQuanYi Zen Hei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WenQuanYi Zen Hei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</si>
  <si>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</si>
  <si>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WenQuanYi Zen Hei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</si>
  <si>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WenQuanYi Zen Hei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WenQuanYi Zen Hei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</si>
  <si>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</si>
  <si>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</si>
  <si>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</si>
  <si>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WenQuanYi Zen Hei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</si>
  <si>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WenQuanYi Zen Hei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WenQuanYi Zen Hei"/>
        <family val="2"/>
      </rPr>
      <t xml:space="preserve">（另有報導稱多為算力）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</si>
  <si>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WenQuanYi Zen Hei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WenQuanYi Zen Hei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WenQuanYi Zen Hei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WenQuanYi Zen Hei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WenQuanYi Zen Hei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</si>
  <si>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WenQuanYi Zen Hei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WenQuanYi Zen Hei"/>
        <family val="2"/>
      </rPr>
      <t xml:space="preserve">寫入的對照常數，不參與計算。</t>
    </r>
  </si>
  <si>
    <r>
      <rPr>
        <sz val="9"/>
        <color rgb="FF595959"/>
        <rFont val="WenQuanYi Zen Hei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WenQuanYi Zen Hei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WenQuanYi Zen Hei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</si>
  <si>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</si>
  <si>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</si>
  <si>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</si>
  <si>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原值（對照）</t>
    </r>
  </si>
  <si>
    <r>
      <rPr>
        <b val="true"/>
        <sz val="10"/>
        <rFont val="WenQuanYi Zen Hei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WenQuanYi Zen Hei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</si>
  <si>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</si>
  <si>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WenQuanYi Zen Hei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</si>
  <si>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WenQuanYi Zen Hei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</si>
  <si>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</si>
  <si>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WenQuanYi Zen Hei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WenQuanYi Zen Hei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</si>
  <si>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WenQuanYi Zen Hei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</si>
  <si>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</si>
  <si>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付費總數（含席位）</t>
    </r>
  </si>
  <si>
    <r>
      <rPr>
        <sz val="9"/>
        <color rgb="FF595959"/>
        <rFont val="WenQuanYi Zen Hei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WenQuanYi Zen Hei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WenQuanYi Zen Hei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WenQuanYi Zen Hei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</si>
  <si>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</si>
  <si>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WenQuanYi Zen Hei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</si>
  <si>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WenQuanYi Zen Hei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</si>
  <si>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</si>
  <si>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</si>
  <si>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</si>
  <si>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</si>
  <si>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WenQuanYi Zen Hei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</si>
  <si>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WenQuanYi Zen Hei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WenQuanYi Zen Hei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</si>
  <si>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</si>
  <si>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</si>
  <si>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WenQuanYi Zen Hei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</si>
  <si>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</si>
  <si>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</si>
  <si>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</si>
  <si>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</si>
  <si>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</si>
  <si>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</si>
  <si>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</si>
  <si>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</si>
  <si>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</si>
  <si>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WenQuanYi Zen Hei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WenQuanYi Zen Hei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</si>
  <si>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</si>
  <si>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</si>
  <si>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</si>
  <si>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WenQuanYi Zen Hei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</si>
  <si>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</si>
  <si>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</si>
  <si>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</si>
  <si>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</si>
  <si>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</si>
  <si>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</si>
  <si>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</si>
  <si>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</si>
  <si>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</si>
  <si>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</si>
  <si>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</si>
  <si>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</si>
  <si>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</si>
  <si>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</si>
  <si>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WenQuanYi Zen Hei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</si>
  <si>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</si>
  <si>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WenQuanYi Zen Hei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</si>
  <si>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</si>
  <si>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WenQuanYi Zen Hei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</si>
  <si>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</si>
  <si>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</si>
  <si>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WenQuanYi Zen Hei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</si>
  <si>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</si>
  <si>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</si>
  <si>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WenQuanYi Zen Hei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</si>
  <si>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</si>
  <si>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</si>
  <si>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WenQuanYi Zen Hei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</si>
  <si>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</si>
  <si>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WenQuanYi Zen Hei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</si>
  <si>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WenQuanYi Zen Hei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</si>
  <si>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</si>
  <si>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</si>
  <si>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WenQuanYi Zen Hei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</si>
  <si>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Checks — P1 </t>
    </r>
    <r>
      <rPr>
        <b val="true"/>
        <sz val="13"/>
        <rFont val="WenQuanYi Zen Hei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WenQuanYi Zen Hei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</si>
  <si>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WenQuanYi Zen Hei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WenQuanYi Zen Hei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WenQuanYi Zen Hei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WenQuanYi Zen Hei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WenQuanYi Zen Hei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WenQuanYi Zen Hei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</si>
  <si>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</si>
  <si>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</si>
  <si>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</si>
  <si>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</si>
  <si>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</si>
  <si>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</si>
  <si>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</si>
  <si>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</si>
  <si>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</si>
  <si>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</si>
  <si>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WenQuanYi Zen Hei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</si>
  <si>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</si>
  <si>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</si>
  <si>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</si>
  <si>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</si>
  <si>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</si>
  <si>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</si>
  <si>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</si>
  <si>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</si>
  <si>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</si>
  <si>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已取值名稱數</t>
    </r>
  </si>
  <si>
    <t xml:space="preserve">INFO</t>
  </si>
  <si>
    <r>
      <rPr>
        <sz val="9"/>
        <color rgb="FF595959"/>
        <rFont val="WenQuanYi Zen Hei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</si>
  <si>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</si>
  <si>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WenQuanYi Zen Hei"/>
        <family val="2"/>
      </rPr>
      <t xml:space="preserve">合併名稱數</t>
    </r>
  </si>
  <si>
    <r>
      <rPr>
        <sz val="9"/>
        <color rgb="FF595959"/>
        <rFont val="Arial"/>
        <family val="0"/>
        <charset val="1"/>
      </rPr>
      <t xml:space="preserve">Block 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IF_Alloc*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SRC_DEM_010–013</t>
    </r>
    <r>
      <rPr>
        <sz val="9"/>
        <color rgb="FF595959"/>
        <rFont val="WenQuanYi Zen Hei"/>
        <family val="2"/>
      </rPr>
      <t xml:space="preserve">；值留空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</si>
  <si>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</si>
  <si>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</si>
  <si>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</si>
  <si>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WenQuanYi Zen Hei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WenQuanYi Zen Hei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</si>
  <si>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</si>
  <si>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</si>
  <si>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</si>
  <si>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WenQuanYi Zen Hei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</si>
  <si>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</si>
  <si>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</si>
  <si>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WenQuanYi Zen Hei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組成加總）</t>
    </r>
  </si>
  <si>
    <t xml:space="preserve">C13</t>
  </si>
  <si>
    <r>
      <rPr>
        <sz val="10"/>
        <color rgb="FF000000"/>
        <rFont val="WenQuanYi Zen Hei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WenQuanYi Zen Hei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</si>
  <si>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</si>
  <si>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</si>
  <si>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</si>
  <si>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WenQuanYi Zen Hei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WenQuanYi Zen Hei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WenQuanYi Zen Hei"/>
        <family val="2"/>
      </rPr>
      <t xml:space="preserve">）</t>
    </r>
  </si>
  <si>
    <t xml:space="preserve">C15</t>
  </si>
  <si>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WenQuanYi Zen Hei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</si>
  <si>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WenQuanYi Zen Hei"/>
        <family val="2"/>
      </rPr>
      <t xml:space="preserve">）</t>
    </r>
  </si>
  <si>
    <t xml:space="preserve">C16</t>
  </si>
  <si>
    <r>
      <rPr>
        <sz val="10"/>
        <color rgb="FF000000"/>
        <rFont val="WenQuanYi Zen Hei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</si>
  <si>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WenQuanYi Zen Hei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WenQuanYi Zen Hei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WenQuanYi Zen Hei"/>
        <family val="2"/>
      </rPr>
      <t xml:space="preserve">對帳時說明</t>
    </r>
  </si>
  <si>
    <t xml:space="preserve">C17</t>
  </si>
  <si>
    <r>
      <rPr>
        <sz val="10"/>
        <color rgb="FF000000"/>
        <rFont val="WenQuanYi Zen Hei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</si>
  <si>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WenQuanYi Zen Hei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WenQuanYi Zen Hei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</si>
  <si>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</si>
  <si>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WenQuanYi Zen Hei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</si>
  <si>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WenQuanYi Zen Hei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</si>
  <si>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</si>
  <si>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</si>
  <si>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</si>
  <si>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</si>
  <si>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WenQuanYi Zen Hei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</si>
  <si>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</si>
  <si>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</si>
  <si>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WenQuanYi Zen Hei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</si>
  <si>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</si>
  <si>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</si>
  <si>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WenQuanYi Zen Hei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</si>
  <si>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WenQuanYi Zen Hei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WenQuanYi Zen Hei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</si>
  <si>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</si>
  <si>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WenQuanYi Zen Hei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WenQuanYi Zen Hei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WenQuanYi Zen Hei"/>
        <family val="2"/>
      </rPr>
      <t xml:space="preserve">（違反數）</t>
    </r>
  </si>
  <si>
    <r>
      <rPr>
        <sz val="9"/>
        <color rgb="FF595959"/>
        <rFont val="WenQuanYi Zen Hei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WenQuanYi Zen Hei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</si>
  <si>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</si>
  <si>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WenQuanYi Zen Hei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WenQuanYi Zen Hei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</si>
  <si>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WenQuanYi Zen Hei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</si>
  <si>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</si>
  <si>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</si>
  <si>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</si>
  <si>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</si>
  <si>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</si>
  <si>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年數</t>
    </r>
  </si>
  <si>
    <t xml:space="preserve">C27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</si>
  <si>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listPriceFYAvg 2026 </t>
    </r>
    <r>
      <rPr>
        <sz val="10"/>
        <color rgb="FF000000"/>
        <rFont val="WenQuanYi Zen Hei"/>
        <family val="2"/>
      </rPr>
      <t xml:space="preserve">區間尚未傳遞（待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事件時點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）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</si>
  <si>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</si>
  <si>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WARN</t>
    </r>
    <r>
      <rPr>
        <sz val="9"/>
        <color rgb="FF595959"/>
        <rFont val="WenQuanYi Zen Hei"/>
        <family val="2"/>
      </rPr>
      <t xml:space="preserve">：不計入 </t>
    </r>
    <r>
      <rPr>
        <sz val="9"/>
        <color rgb="FF595959"/>
        <rFont val="Arial"/>
        <family val="0"/>
        <charset val="1"/>
      </rPr>
      <t xml:space="preserve">CHK_Errors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P2 </t>
    </r>
    <r>
      <rPr>
        <sz val="9"/>
        <color rgb="FF595959"/>
        <rFont val="WenQuanYi Zen Hei"/>
        <family val="2"/>
      </rPr>
      <t xml:space="preserve">以價格事件時點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WenQuanYi Zen Hei"/>
        <family val="2"/>
      </rPr>
      <t xml:space="preserve">傳遞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區間後移除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</si>
  <si>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</si>
  <si>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WenQuanYi Zen Hei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WenQuanYi Zen Hei"/>
        <family val="2"/>
      </rPr>
      <t xml:space="preserve">的明細）</t>
    </r>
  </si>
  <si>
    <r>
      <rPr>
        <sz val="9"/>
        <color rgb="FF595959"/>
        <rFont val="WenQuanYi Zen Hei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WenQuanYi Zen Hei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WenQuanYi Zen Hei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WenQuanYi Zen Hei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</si>
  <si>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WenQuanYi Zen Hei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</si>
  <si>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</si>
  <si>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</si>
  <si>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</si>
  <si>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</si>
  <si>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WenQuanYi Zen Hei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WenQuanYi Zen Hei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WenQuanYi Zen Hei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WenQuanYi Zen Hei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WenQuanYi Zen Hei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WenQuanYi Zen Hei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WenQuanYi Zen Hei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</si>
  <si>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</si>
  <si>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WenQuanYi Zen Hei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</si>
  <si>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</si>
  <si>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</si>
  <si>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</si>
  <si>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</si>
  <si>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</si>
  <si>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WenQuanYi Zen Hei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WenQuanYi Zen Hei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WenQuanYi Zen Hei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</si>
  <si>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</si>
  <si>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</si>
  <si>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WenQuanYi Zen Hei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</si>
  <si>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</si>
  <si>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</si>
  <si>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</si>
  <si>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</si>
  <si>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</si>
  <si>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</si>
  <si>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</si>
  <si>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</si>
  <si>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</si>
  <si>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WenQuanYi Zen Hei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</si>
  <si>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</si>
  <si>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</si>
  <si>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</si>
  <si>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</si>
  <si>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</si>
  <si>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</si>
  <si>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</si>
  <si>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</si>
  <si>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</si>
  <si>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</si>
  <si>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WenQuanYi Zen Hei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</si>
  <si>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</si>
  <si>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13.07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</si>
  <si>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</si>
  <si>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</si>
  <si>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WenQuanYi Zen Hei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</si>
  <si>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</si>
  <si>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</si>
  <si>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</si>
  <si>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</si>
  <si>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WenQuanYi Zen Hei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</si>
  <si>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</si>
  <si>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</si>
  <si>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</si>
  <si>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</si>
  <si>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WenQuanYi Zen Hei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</si>
  <si>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</si>
  <si>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</si>
  <si>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</si>
  <si>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</si>
  <si>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WenQuanYi Zen Hei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</si>
  <si>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</si>
  <si>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</si>
  <si>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</si>
  <si>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</si>
  <si>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WenQuanYi Zen Hei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</si>
  <si>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</si>
  <si>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</si>
  <si>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</si>
  <si>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</si>
  <si>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WenQuanYi Zen Hei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</si>
  <si>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</si>
  <si>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</si>
  <si>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</si>
  <si>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</si>
  <si>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</si>
  <si>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</si>
  <si>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</si>
  <si>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</si>
  <si>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</si>
  <si>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</si>
  <si>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WenQuanYi Zen Hei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WenQuanYi Zen Hei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</si>
  <si>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WenQuanYi Zen Hei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WenQuanYi Zen Hei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</si>
  <si>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</si>
  <si>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</si>
  <si>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</si>
  <si>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</si>
  <si>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</si>
  <si>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</si>
  <si>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</si>
  <si>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</si>
  <si>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</si>
  <si>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WenQuanYi Zen Hei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WenQuanYi Zen Hei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WenQuanYi Zen Hei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</si>
  <si>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</si>
  <si>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</si>
  <si>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</si>
  <si>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</si>
  <si>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</si>
  <si>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</si>
  <si>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WenQuanYi Zen Hei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WenQuanYi Zen Hei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</si>
  <si>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</si>
  <si>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</si>
  <si>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</si>
  <si>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</si>
  <si>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WenQuanYi Zen Hei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WenQuanYi Zen Hei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</si>
  <si>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</si>
  <si>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</si>
  <si>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</si>
  <si>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</si>
  <si>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WenQuanYi Zen Hei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</si>
  <si>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</si>
  <si>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</si>
  <si>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</si>
  <si>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</si>
  <si>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</si>
  <si>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</si>
  <si>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</si>
  <si>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</si>
  <si>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</si>
  <si>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WenQuanYi Zen Hei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</si>
  <si>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</si>
  <si>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</si>
  <si>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WenQuanYi Zen Hei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</si>
  <si>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</si>
  <si>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</si>
  <si>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</si>
  <si>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</si>
  <si>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</si>
  <si>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</si>
  <si>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</si>
  <si>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</si>
  <si>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</si>
  <si>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</si>
  <si>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</si>
  <si>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</si>
  <si>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</si>
  <si>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WenQuanYi Zen Hei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</si>
  <si>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</si>
  <si>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</si>
  <si>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</si>
  <si>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</si>
  <si>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</si>
  <si>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</si>
  <si>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</si>
  <si>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</si>
  <si>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</si>
  <si>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</si>
  <si>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</si>
  <si>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</si>
  <si>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</si>
  <si>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</si>
  <si>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</si>
  <si>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</si>
  <si>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</si>
  <si>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</si>
  <si>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WenQuanYi Zen Hei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WenQuanYi Zen Hei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</si>
  <si>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</si>
  <si>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</si>
  <si>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</si>
  <si>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</si>
  <si>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</si>
  <si>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WenQuanYi Zen Hei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</si>
  <si>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</si>
  <si>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WenQuanYi Zen Hei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</si>
  <si>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</si>
  <si>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</si>
  <si>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</si>
  <si>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WenQuanYi Zen Hei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</si>
  <si>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</si>
  <si>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</si>
  <si>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</si>
  <si>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</si>
  <si>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</si>
  <si>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</si>
  <si>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平均牌價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priceEvents </t>
    </r>
    <r>
      <rPr>
        <sz val="10"/>
        <color rgb="FF000000"/>
        <rFont val="WenQuanYi Zen Hei"/>
        <family val="2"/>
      </rPr>
      <t xml:space="preserve">月加權）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</si>
  <si>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WenQuanYi Zen Hei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WenQuanYi Zen Hei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</si>
  <si>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</si>
  <si>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</si>
  <si>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</si>
  <si>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</si>
  <si>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</si>
  <si>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</si>
  <si>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</si>
  <si>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</si>
  <si>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</si>
  <si>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WenQuanYi Zen Hei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</si>
  <si>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</si>
  <si>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</si>
  <si>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</si>
  <si>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</si>
  <si>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</si>
  <si>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</si>
  <si>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</si>
  <si>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</si>
  <si>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</si>
  <si>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</si>
  <si>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</si>
  <si>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</si>
  <si>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</si>
  <si>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</si>
  <si>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</si>
  <si>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</si>
  <si>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</si>
  <si>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</si>
  <si>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</si>
  <si>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</si>
  <si>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</si>
  <si>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</si>
  <si>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</si>
  <si>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</si>
  <si>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</si>
  <si>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</si>
  <si>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</si>
  <si>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</si>
  <si>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</si>
  <si>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</si>
  <si>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</si>
  <si>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</si>
  <si>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</si>
  <si>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</si>
  <si>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</si>
  <si>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</si>
  <si>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</si>
  <si>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</si>
  <si>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</si>
  <si>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</si>
  <si>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</si>
  <si>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</si>
  <si>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</si>
  <si>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</si>
  <si>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</si>
  <si>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</si>
  <si>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</si>
  <si>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</si>
  <si>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</si>
  <si>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</si>
  <si>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WenQuanYi Zen Hei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</si>
  <si>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</si>
  <si>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</si>
  <si>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</si>
  <si>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</si>
  <si>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</si>
  <si>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</si>
  <si>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</si>
  <si>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</si>
  <si>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</si>
  <si>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</si>
  <si>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</si>
  <si>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</si>
  <si>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</si>
  <si>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</si>
  <si>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</si>
  <si>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</si>
  <si>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</si>
  <si>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</si>
  <si>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</si>
  <si>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</si>
  <si>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</si>
  <si>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</si>
  <si>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</si>
  <si>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WenQuanYi Zen Hei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</si>
  <si>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</si>
  <si>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</si>
  <si>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</si>
  <si>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</si>
  <si>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</si>
  <si>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</si>
  <si>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</si>
  <si>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</si>
  <si>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</si>
  <si>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</si>
  <si>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</si>
  <si>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</si>
  <si>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</si>
  <si>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</si>
  <si>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</si>
  <si>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</si>
  <si>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</si>
  <si>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</si>
  <si>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</si>
  <si>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</si>
  <si>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</si>
  <si>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</si>
  <si>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</si>
  <si>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WenQuanYi Zen Hei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WenQuanYi Zen Hei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</si>
  <si>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</si>
  <si>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</si>
  <si>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</si>
  <si>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</si>
  <si>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</si>
  <si>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</si>
  <si>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</si>
  <si>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WenQuanYi Zen Hei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WenQuanYi Zen Hei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</si>
  <si>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</si>
  <si>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</si>
  <si>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</si>
  <si>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</si>
  <si>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</si>
  <si>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</si>
  <si>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WenQuanYi Zen Hei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</si>
  <si>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</si>
  <si>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</si>
  <si>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</si>
  <si>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</si>
  <si>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</si>
  <si>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</si>
  <si>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</si>
  <si>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</si>
  <si>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</si>
  <si>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</si>
  <si>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WenQuanYi Zen Hei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WenQuanYi Zen Hei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WenQuanYi Zen Hei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</si>
  <si>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</si>
  <si>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</si>
  <si>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</si>
  <si>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</si>
  <si>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</si>
  <si>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</si>
  <si>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</si>
  <si>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</si>
  <si>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</si>
  <si>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</si>
  <si>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</si>
  <si>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</si>
  <si>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WenQuanYi Zen Hei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WenQuanYi Zen Hei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WenQuanYi Zen Hei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WenQuanYi Zen Hei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</si>
  <si>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</si>
  <si>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</si>
  <si>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</si>
  <si>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</si>
  <si>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</si>
  <si>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</si>
  <si>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</si>
  <si>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</si>
  <si>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</si>
  <si>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</si>
  <si>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</si>
  <si>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</si>
  <si>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</si>
  <si>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</si>
  <si>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</si>
  <si>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</si>
  <si>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</si>
  <si>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</si>
  <si>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</si>
  <si>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</si>
  <si>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</si>
  <si>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</si>
  <si>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</si>
  <si>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</si>
  <si>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</si>
  <si>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</si>
  <si>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</si>
  <si>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</si>
  <si>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</si>
  <si>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</si>
  <si>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</si>
  <si>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</si>
  <si>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</si>
  <si>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</si>
  <si>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</si>
  <si>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</si>
  <si>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WenQuanYi Zen Hei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WenQuanYi Zen Hei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WenQuanYi Zen Hei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WenQuanYi Zen Hei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</si>
  <si>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WenQuanYi Zen Hei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</si>
  <si>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</si>
  <si>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</si>
  <si>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</si>
  <si>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</si>
  <si>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</si>
  <si>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WenQuanYi Zen Hei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</si>
  <si>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</si>
  <si>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</si>
  <si>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</si>
  <si>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</si>
  <si>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</si>
  <si>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</si>
  <si>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</si>
  <si>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</si>
  <si>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</si>
  <si>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</si>
  <si>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</si>
  <si>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</si>
  <si>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</si>
  <si>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WenQuanYi Zen Hei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WenQuanYi Zen Hei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</si>
  <si>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</si>
  <si>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</si>
  <si>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</si>
  <si>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</si>
  <si>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</si>
  <si>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</si>
  <si>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</si>
  <si>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</si>
  <si>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</si>
  <si>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</si>
  <si>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</si>
  <si>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</si>
  <si>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</si>
  <si>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</si>
  <si>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</si>
  <si>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</si>
  <si>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</si>
  <si>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</si>
  <si>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WenQuanYi Zen Hei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</si>
  <si>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</si>
  <si>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WenQuanYi Zen Hei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</si>
  <si>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</si>
  <si>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</si>
  <si>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</si>
  <si>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</si>
  <si>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</si>
  <si>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</si>
  <si>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</si>
  <si>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WenQuanYi Zen Hei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</si>
  <si>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</si>
  <si>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</si>
  <si>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</si>
  <si>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</si>
  <si>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</si>
  <si>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</si>
  <si>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</si>
  <si>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</si>
  <si>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</si>
  <si>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</si>
  <si>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</si>
  <si>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</si>
  <si>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</si>
  <si>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</si>
  <si>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</si>
  <si>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WenQuanYi Zen Hei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</si>
  <si>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</si>
  <si>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</si>
  <si>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</si>
  <si>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</si>
  <si>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</si>
  <si>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</si>
  <si>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</si>
  <si>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</si>
  <si>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</si>
  <si>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</si>
  <si>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</si>
  <si>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</si>
  <si>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</si>
  <si>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</si>
  <si>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WenQuanYi Zen Hei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</si>
  <si>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</si>
  <si>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</si>
  <si>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</si>
  <si>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WenQuanYi Zen Hei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WenQuanYi Zen Hei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</si>
  <si>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</si>
  <si>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</si>
  <si>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</si>
  <si>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</si>
  <si>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</si>
  <si>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</si>
  <si>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</si>
  <si>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</si>
  <si>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</si>
  <si>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</si>
  <si>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</si>
  <si>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</si>
  <si>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</si>
  <si>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</si>
  <si>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</si>
  <si>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</si>
  <si>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WenQuanYi Zen Hei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</si>
  <si>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</si>
  <si>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</si>
  <si>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WenQuanYi Zen Hei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</si>
  <si>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</si>
  <si>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</si>
  <si>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</si>
  <si>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</si>
  <si>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</si>
  <si>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</si>
  <si>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</si>
  <si>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</si>
  <si>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</si>
  <si>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</si>
  <si>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</si>
  <si>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</si>
  <si>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</si>
  <si>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</si>
  <si>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</si>
  <si>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WenQuanYi Zen Hei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WenQuanYi Zen Hei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</si>
  <si>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WenQuanYi Zen Hei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</si>
  <si>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</si>
  <si>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WenQuanYi Zen Hei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WenQuanYi Zen Hei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WenQuanYi Zen Hei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</si>
  <si>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</si>
  <si>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WenQuanYi Zen Hei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</si>
  <si>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</si>
  <si>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</si>
  <si>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WenQuanYi Zen Hei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</si>
  <si>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</si>
  <si>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</si>
  <si>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</si>
  <si>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</si>
  <si>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</si>
  <si>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</si>
  <si>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</si>
  <si>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</si>
  <si>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</si>
  <si>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</si>
  <si>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</si>
  <si>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</si>
  <si>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</si>
  <si>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WenQuanYi Zen Hei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</si>
  <si>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</si>
  <si>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</si>
  <si>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</si>
  <si>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</si>
  <si>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</si>
  <si>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</si>
  <si>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</si>
  <si>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</si>
  <si>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WenQuanYi Zen Hei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WenQuanYi Zen Hei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</si>
  <si>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</si>
  <si>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</si>
  <si>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</si>
  <si>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</si>
  <si>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</si>
  <si>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</si>
  <si>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</si>
  <si>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</si>
  <si>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</si>
  <si>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</si>
  <si>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</si>
  <si>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</si>
  <si>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</si>
  <si>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</si>
  <si>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</si>
  <si>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</si>
  <si>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</si>
  <si>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</si>
  <si>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</si>
  <si>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</si>
  <si>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</si>
  <si>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WenQuanYi Zen Hei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WenQuanYi Zen Hei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</si>
  <si>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</si>
  <si>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</si>
  <si>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</si>
  <si>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</si>
  <si>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</si>
  <si>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</si>
  <si>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</si>
  <si>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</si>
  <si>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</si>
  <si>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</si>
  <si>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</si>
  <si>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WenQuanYi Zen Hei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WenQuanYi Zen Hei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</si>
  <si>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</si>
  <si>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</si>
  <si>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</si>
  <si>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</si>
  <si>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</si>
  <si>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</si>
  <si>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WenQuanYi Zen Hei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</si>
  <si>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</si>
  <si>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</si>
  <si>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</si>
  <si>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</si>
  <si>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</si>
  <si>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</si>
  <si>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</si>
  <si>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</si>
  <si>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</si>
  <si>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</si>
  <si>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</si>
  <si>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</si>
  <si>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</si>
  <si>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</si>
  <si>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</si>
  <si>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</si>
  <si>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</si>
  <si>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</si>
  <si>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</si>
  <si>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</si>
  <si>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</si>
  <si>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</si>
  <si>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</si>
  <si>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WenQuanYi Zen Hei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</si>
  <si>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</si>
  <si>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WenQuanYi Zen Hei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WenQuanYi Zen Hei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WenQuanYi Zen Hei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</si>
  <si>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</si>
  <si>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</si>
  <si>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WenQuanYi Zen Hei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</si>
  <si>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</si>
  <si>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</si>
  <si>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</si>
  <si>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</si>
  <si>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</si>
  <si>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</si>
  <si>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</si>
  <si>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</si>
  <si>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</si>
  <si>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</si>
  <si>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</si>
  <si>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</si>
  <si>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</si>
  <si>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</si>
  <si>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</si>
  <si>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</si>
  <si>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</si>
  <si>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WenQuanYi Zen Hei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</si>
  <si>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</si>
  <si>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WenQuanYi Zen Hei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WenQuanYi Zen Hei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</si>
  <si>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</si>
  <si>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</si>
  <si>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</si>
  <si>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</si>
  <si>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</si>
  <si>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</si>
  <si>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</si>
  <si>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</si>
  <si>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</si>
  <si>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</si>
  <si>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</si>
  <si>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</si>
  <si>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</si>
  <si>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</si>
  <si>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</si>
  <si>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</si>
  <si>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WenQuanYi Zen Hei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</si>
  <si>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</si>
  <si>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WenQuanYi Zen Hei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</si>
  <si>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</si>
  <si>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WenQuanYi Zen Hei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WenQuanYi Zen Hei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WenQuanYi Zen Hei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</si>
  <si>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</si>
  <si>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</si>
  <si>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</si>
  <si>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</si>
  <si>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WenQuanYi Zen Hei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</si>
  <si>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</si>
  <si>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</si>
  <si>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</si>
  <si>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</si>
  <si>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</si>
  <si>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</si>
  <si>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</si>
  <si>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</si>
  <si>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</si>
  <si>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</si>
  <si>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</si>
  <si>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</si>
  <si>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</si>
  <si>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WenQuanYi Zen Hei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</si>
  <si>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</si>
  <si>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WenQuanYi Zen Hei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WenQuanYi Zen Hei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</si>
  <si>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</si>
  <si>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WenQuanYi Zen Hei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WenQuanYi Zen Hei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</si>
  <si>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</si>
  <si>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WenQuanYi Zen Hei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WenQuanYi Zen Hei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</si>
  <si>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</si>
  <si>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</si>
  <si>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</si>
  <si>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</si>
  <si>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</si>
  <si>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</si>
  <si>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</si>
  <si>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</si>
  <si>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</si>
  <si>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</si>
  <si>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</si>
  <si>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</si>
  <si>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</si>
  <si>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</si>
  <si>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</si>
  <si>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</si>
  <si>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</si>
  <si>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</si>
  <si>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</si>
  <si>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</si>
  <si>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</si>
  <si>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</si>
  <si>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WenQuanYi Zen Hei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WenQuanYi Zen Hei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</si>
  <si>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</si>
  <si>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</si>
  <si>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</si>
  <si>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</si>
  <si>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</si>
  <si>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</si>
  <si>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</si>
  <si>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</si>
  <si>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</si>
  <si>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</si>
  <si>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</si>
  <si>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</si>
  <si>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</si>
  <si>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</si>
  <si>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</si>
  <si>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</si>
  <si>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</si>
  <si>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</si>
  <si>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</si>
  <si>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</si>
  <si>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</si>
  <si>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</si>
  <si>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</si>
  <si>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</si>
  <si>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</si>
  <si>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</si>
  <si>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WenQuanYi Zen Hei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WenQuanYi Zen Hei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</si>
  <si>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</si>
  <si>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</si>
  <si>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</si>
  <si>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</si>
  <si>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</si>
  <si>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</si>
  <si>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</si>
  <si>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</si>
  <si>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WenQuanYi Zen Hei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WenQuanYi Zen Hei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WenQuanYi Zen Hei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</si>
  <si>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</si>
  <si>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</si>
  <si>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</si>
  <si>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</si>
  <si>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</si>
  <si>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</si>
  <si>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</si>
  <si>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</si>
  <si>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</si>
  <si>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</si>
  <si>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</si>
  <si>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</si>
  <si>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</si>
  <si>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</si>
  <si>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</si>
  <si>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</si>
  <si>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</si>
  <si>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</si>
  <si>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</si>
  <si>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</si>
  <si>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</si>
  <si>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WenQuanYi Zen Hei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WenQuanYi Zen Hei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</si>
  <si>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</si>
  <si>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</si>
  <si>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WenQuanYi Zen Hei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WenQuanYi Zen Hei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WenQuanYi Zen Hei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</si>
  <si>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WenQuanYi Zen Hei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</si>
  <si>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</si>
  <si>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</si>
  <si>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WenQuanYi Zen Hei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</si>
  <si>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</si>
  <si>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</si>
  <si>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</si>
  <si>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WenQuanYi Zen Hei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</si>
  <si>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</si>
  <si>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WenQuanYi Zen Hei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</si>
  <si>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WenQuanYi Zen Hei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</si>
  <si>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</si>
  <si>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</si>
  <si>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</si>
  <si>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</si>
  <si>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</si>
  <si>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</si>
  <si>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</si>
  <si>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</si>
  <si>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WenQuanYi Zen Hei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</si>
  <si>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</si>
  <si>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</si>
  <si>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WenQuanYi Zen Hei"/>
        <family val="2"/>
      </rPr>
      <t xml:space="preserve">獨立推估：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＋下半年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WenQuanYi Zen Hei"/>
        <family val="2"/>
      </rPr>
      <t xml:space="preserve">外推）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</si>
  <si>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WenQuanYi Zen Hei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WenQuanYi Zen Hei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</si>
  <si>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</si>
  <si>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</si>
  <si>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</si>
  <si>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</si>
  <si>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</si>
  <si>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WenQuanYi Zen Hei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WenQuanYi Zen Hei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</si>
  <si>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</si>
  <si>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</si>
  <si>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</si>
  <si>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</si>
  <si>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</si>
  <si>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WenQuanYi Zen Hei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</si>
  <si>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</si>
  <si>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WenQuanYi Zen Hei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WenQuanYi Zen Hei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</si>
  <si>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</si>
  <si>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</si>
  <si>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</si>
  <si>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WenQuanYi Zen Hei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WenQuanYi Zen Hei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WenQuanYi Zen Hei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</si>
  <si>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</si>
  <si>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</si>
  <si>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WenQuanYi Zen Hei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WenQuanYi Zen Hei"/>
        <family val="2"/>
      </rPr>
      <t xml:space="preserve">（產能）</t>
    </r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</si>
  <si>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</si>
  <si>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</si>
  <si>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</si>
  <si>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</si>
  <si>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</si>
  <si>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</si>
  <si>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</si>
  <si>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</si>
  <si>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</si>
  <si>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WenQuanYi Zen Hei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WenQuanYi Zen Hei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</si>
  <si>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</si>
  <si>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</si>
  <si>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WenQuanYi Zen Hei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</si>
  <si>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</si>
  <si>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</si>
  <si>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</si>
  <si>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</si>
  <si>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</si>
  <si>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</si>
  <si>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WenQuanYi Zen Hei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WenQuanYi Zen Hei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</si>
  <si>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</si>
  <si>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</si>
  <si>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</si>
  <si>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</si>
  <si>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</si>
  <si>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</si>
  <si>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</si>
  <si>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</si>
  <si>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</si>
  <si>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</si>
  <si>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</si>
  <si>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</si>
  <si>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</si>
  <si>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</si>
  <si>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WenQuanYi Zen Hei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WenQuanYi Zen Hei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</si>
  <si>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</si>
  <si>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</si>
  <si>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</si>
  <si>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</si>
  <si>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</si>
  <si>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</si>
  <si>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</si>
  <si>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</si>
  <si>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</si>
  <si>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</si>
  <si>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</si>
  <si>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</si>
  <si>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</si>
  <si>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</si>
  <si>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</si>
  <si>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</si>
  <si>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</si>
  <si>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</si>
  <si>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</si>
  <si>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</si>
  <si>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</si>
  <si>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</si>
  <si>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</si>
  <si>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</si>
  <si>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</si>
  <si>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</si>
  <si>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</si>
  <si>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</si>
  <si>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</si>
  <si>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</si>
  <si>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</si>
  <si>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</si>
  <si>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</si>
  <si>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</si>
  <si>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</si>
  <si>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</si>
  <si>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</si>
  <si>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</si>
  <si>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</si>
  <si>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</si>
  <si>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</si>
  <si>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</si>
  <si>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</si>
  <si>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</si>
  <si>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</si>
  <si>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</si>
  <si>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</si>
  <si>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</si>
  <si>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</si>
  <si>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</si>
  <si>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</si>
  <si>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</si>
  <si>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</si>
  <si>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WenQuanYi Zen Hei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</si>
  <si>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</si>
  <si>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WenQuanYi Zen Hei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WenQuanYi Zen Hei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</si>
  <si>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</si>
  <si>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</si>
  <si>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</si>
  <si>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</si>
  <si>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</si>
  <si>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</si>
  <si>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</si>
  <si>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</si>
  <si>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</si>
  <si>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</si>
  <si>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</si>
  <si>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</si>
  <si>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</si>
  <si>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</si>
  <si>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</si>
  <si>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</si>
  <si>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</si>
  <si>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</si>
  <si>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</si>
  <si>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</si>
  <si>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</si>
  <si>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</si>
  <si>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</si>
  <si>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</si>
  <si>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</si>
  <si>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</si>
  <si>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</si>
  <si>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</si>
  <si>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WenQuanYi Zen Hei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</si>
  <si>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</si>
  <si>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</si>
  <si>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</si>
  <si>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</si>
  <si>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</si>
  <si>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</si>
  <si>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</si>
  <si>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</si>
  <si>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</si>
  <si>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</si>
  <si>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</si>
  <si>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</si>
  <si>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</si>
  <si>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</si>
  <si>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</si>
  <si>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</si>
  <si>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</si>
  <si>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</si>
  <si>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</si>
  <si>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</si>
  <si>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</si>
  <si>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</si>
  <si>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</si>
  <si>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</si>
  <si>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</si>
  <si>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</si>
  <si>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</si>
  <si>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</si>
  <si>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WenQuanYi Zen Hei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WenQuanYi Zen Hei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WenQuanYi Zen Hei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</si>
  <si>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</si>
  <si>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</si>
  <si>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</si>
  <si>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</si>
  <si>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</si>
  <si>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</si>
  <si>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</si>
  <si>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</si>
  <si>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</si>
  <si>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</si>
  <si>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</si>
  <si>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WenQuanYi Zen Hei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</si>
  <si>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</si>
  <si>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</si>
  <si>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</si>
  <si>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</si>
  <si>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</si>
  <si>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</si>
  <si>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</si>
  <si>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</si>
  <si>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</si>
  <si>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WenQuanYi Zen Hei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WenQuanYi Zen Hei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</si>
  <si>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</si>
  <si>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</si>
  <si>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</si>
  <si>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</si>
  <si>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WenQuanYi Zen Hei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WenQuanYi Zen Hei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</si>
  <si>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</si>
  <si>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</si>
  <si>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WenQuanYi Zen Hei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</si>
  <si>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WenQuanYi Zen Hei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</si>
  <si>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</si>
  <si>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</si>
  <si>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</si>
  <si>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WenQuanYi Zen Hei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WenQuanYi Zen Hei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</si>
  <si>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</si>
  <si>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</si>
  <si>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WenQuanYi Zen Hei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</si>
  <si>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</si>
  <si>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WenQuanYi Zen Hei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WenQuanYi Zen Hei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引用該列</t>
    </r>
  </si>
  <si>
    <t xml:space="preserve">reverse.targetRevenue.v.2</t>
  </si>
  <si>
    <t xml:space="preserve">75.1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</si>
  <si>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WenQuanYi Zen Hei"/>
        <family val="2"/>
      </rPr>
      <t xml:space="preserve">（反向目標路徑 </t>
    </r>
    <r>
      <rPr>
        <sz val="10"/>
        <color rgb="FF000000"/>
        <rFont val="Arial"/>
        <family val="0"/>
        <charset val="1"/>
      </rPr>
      <t xml:space="preserve">2027–29</t>
    </r>
    <r>
      <rPr>
        <sz val="10"/>
        <color rgb="FF000000"/>
        <rFont val="WenQuanYi Zen Hei"/>
        <family val="2"/>
      </rPr>
      <t xml:space="preserve">：依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WenQuanYi Zen Hei"/>
        <family val="2"/>
      </rPr>
      <t xml:space="preserve">擬合）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</si>
  <si>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WenQuanYi Zen Hei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WenQuanYi Zen Hei"/>
        <family val="2"/>
      </rPr>
      <t xml:space="preserve">混合；依元素拆分）</t>
    </r>
  </si>
  <si>
    <t xml:space="preserve">reverse.targetRevenue.v.3</t>
  </si>
  <si>
    <t xml:space="preserve">141.5</t>
  </si>
  <si>
    <t xml:space="preserve">reverse.targetRevenue.v.4</t>
  </si>
  <si>
    <t xml:space="preserve">237.4</t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</si>
  <si>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</si>
  <si>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WenQuanYi Zen Hei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WenQuanYi Zen Hei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WenQuanYi Zen Hei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</si>
  <si>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</si>
  <si>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</si>
  <si>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</si>
  <si>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WenQuanYi Zen Hei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WenQuanYi Zen Hei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</si>
  <si>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</si>
  <si>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</si>
  <si>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</si>
  <si>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</si>
  <si>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</si>
  <si>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</si>
  <si>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</si>
  <si>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WenQuanYi Zen Hei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WenQuanYi Zen Hei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</si>
  <si>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</si>
  <si>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</si>
  <si>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</si>
  <si>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</si>
  <si>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</si>
  <si>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</si>
  <si>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</si>
  <si>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</si>
  <si>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</si>
  <si>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WenQuanYi Zen Hei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WenQuanYi Zen Hei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</si>
  <si>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</si>
  <si>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</si>
  <si>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</si>
  <si>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</si>
  <si>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</si>
  <si>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</si>
  <si>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WenQuanYi Zen Hei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</si>
  <si>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</si>
  <si>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WenQuanYi Zen Hei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</si>
  <si>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</si>
  <si>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</si>
  <si>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WenQuanYi Zen Hei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</si>
  <si>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</si>
  <si>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</si>
  <si>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</si>
  <si>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</si>
  <si>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</si>
  <si>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</si>
  <si>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</si>
  <si>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</si>
  <si>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</si>
  <si>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</si>
  <si>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</si>
  <si>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</si>
  <si>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</si>
  <si>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WenQuanYi Zen Hei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WenQuanYi Zen Hei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WenQuanYi Zen Hei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WenQuanYi Zen Hei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</si>
  <si>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WenQuanYi Zen Hei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</si>
  <si>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</si>
  <si>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</si>
  <si>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</si>
  <si>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</si>
  <si>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WenQuanYi Zen Hei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WenQuanYi Zen Hei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</si>
  <si>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</si>
  <si>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</si>
  <si>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</si>
  <si>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WenQuanYi Zen Hei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WenQuanYi Zen Hei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WenQuanYi Zen Hei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WenQuanYi Zen Hei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</si>
  <si>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</si>
  <si>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</si>
  <si>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</si>
  <si>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</si>
  <si>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</si>
  <si>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WenQuanYi Zen Hei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WenQuanYi Zen Hei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</si>
  <si>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</si>
  <si>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</si>
  <si>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</si>
  <si>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WenQuanYi Zen Hei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WenQuanYi Zen Hei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WenQuanYi Zen Hei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</si>
  <si>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</si>
  <si>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</si>
  <si>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</si>
  <si>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</si>
  <si>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</si>
  <si>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</si>
  <si>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</si>
  <si>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WenQuanYi Zen Hei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</si>
  <si>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WenQuanYi Zen Hei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</si>
  <si>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</si>
  <si>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</si>
  <si>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WenQuanYi Zen Hei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</si>
  <si>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</si>
  <si>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</si>
  <si>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</si>
  <si>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</si>
  <si>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</si>
  <si>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WenQuanYi Zen Hei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</si>
  <si>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</si>
  <si>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</si>
  <si>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</si>
  <si>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</si>
  <si>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</si>
  <si>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</si>
  <si>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</si>
  <si>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</si>
  <si>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</si>
  <si>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</si>
  <si>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WenQuanYi Zen Hei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WenQuanYi Zen Hei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WenQuanYi Zen Hei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</si>
  <si>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</si>
  <si>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</si>
  <si>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WenQuanYi Zen Hei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WenQuanYi Zen Hei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WenQuanYi Zen Hei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WenQuanYi Zen Hei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WenQuanYi Zen Hei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WenQuanYi Zen Hei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</si>
  <si>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</si>
  <si>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</si>
  <si>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</si>
  <si>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</si>
  <si>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</si>
  <si>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</si>
  <si>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</si>
  <si>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WenQuanYi Zen Hei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WenQuanYi Zen Hei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WenQuanYi Zen Hei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</si>
  <si>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</si>
  <si>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</si>
  <si>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</si>
  <si>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</si>
  <si>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</si>
  <si>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</si>
  <si>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</si>
  <si>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</si>
  <si>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WenQuanYi Zen Hei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WenQuanYi Zen Hei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WenQuanYi Zen Hei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</si>
  <si>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</si>
  <si>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</si>
  <si>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WenQuanYi Zen Hei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WenQuanYi Zen Hei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WenQuanYi Zen Hei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</si>
  <si>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</si>
  <si>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WenQuanYi Zen Hei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WenQuanYi Zen Hei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</si>
  <si>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</si>
  <si>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WenQuanYi Zen Hei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</si>
  <si>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WenQuanYi Zen Hei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</si>
  <si>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</si>
  <si>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</si>
  <si>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</si>
  <si>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</si>
  <si>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</si>
  <si>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</si>
  <si>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</si>
  <si>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</si>
  <si>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</si>
  <si>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</si>
  <si>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</si>
  <si>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WenQuanYi Zen Hei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</si>
  <si>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</si>
  <si>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</si>
  <si>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</si>
  <si>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</si>
  <si>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</si>
  <si>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WenQuanYi Zen Hei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WenQuanYi Zen Hei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</si>
  <si>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</si>
  <si>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WenQuanYi Zen Hei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</si>
  <si>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</si>
  <si>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</si>
  <si>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WenQuanYi Zen Hei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</si>
  <si>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</si>
  <si>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</si>
  <si>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</si>
  <si>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WenQuanYi Zen Hei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WenQuanYi Zen Hei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WenQuanYi Zen Hei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</si>
  <si>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</si>
  <si>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</si>
  <si>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</si>
  <si>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</si>
  <si>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</si>
  <si>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</si>
  <si>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</si>
  <si>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</si>
  <si>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</si>
  <si>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</si>
  <si>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</si>
  <si>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</si>
  <si>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</si>
  <si>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</si>
  <si>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WenQuanYi Zen Hei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WenQuanYi Zen Hei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WenQuanYi Zen Hei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WenQuanYi Zen Hei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WenQuanYi Zen Hei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WenQuanYi Zen Hei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</si>
  <si>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</si>
  <si>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</si>
  <si>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</si>
  <si>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</si>
  <si>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</si>
  <si>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</si>
  <si>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</si>
  <si>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</si>
  <si>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</si>
  <si>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</si>
  <si>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</si>
  <si>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</si>
  <si>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WenQuanYi Zen Hei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</si>
  <si>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</si>
  <si>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</si>
  <si>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</si>
  <si>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</si>
  <si>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WenQuanYi Zen Hei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WenQuanYi Zen Hei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</si>
  <si>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</si>
  <si>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WenQuanYi Zen Hei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WenQuanYi Zen Hei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WenQuanYi Zen Hei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</si>
  <si>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</si>
  <si>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</si>
  <si>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</si>
  <si>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</si>
  <si>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</si>
  <si>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</si>
  <si>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WenQuanYi Zen Hei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WenQuanYi Zen Hei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WenQuanYi Zen Hei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</si>
  <si>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</si>
  <si>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</si>
  <si>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</si>
  <si>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</si>
  <si>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</si>
  <si>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WenQuanYi Zen Hei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WenQuanYi Zen Hei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WenQuanYi Zen Hei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</si>
  <si>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</si>
  <si>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</si>
  <si>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WenQuanYi Zen Hei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WenQuanYi Zen Hei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WenQuanYi Zen Hei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WenQuanYi Zen Hei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WenQuanYi Zen Hei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</si>
  <si>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</si>
  <si>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</si>
  <si>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</si>
  <si>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WenQuanYi Zen Hei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WenQuanYi Zen Hei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WenQuanYi Zen Hei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WenQuanYi Zen Hei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WenQuanYi Zen Hei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</si>
  <si>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</si>
  <si>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</si>
  <si>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</si>
  <si>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</si>
  <si>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</si>
  <si>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</si>
  <si>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</si>
  <si>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</si>
  <si>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</si>
  <si>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</si>
  <si>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</si>
  <si>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WenQuanYi Zen Hei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</si>
  <si>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</si>
  <si>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</si>
  <si>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WenQuanYi Zen Hei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</si>
  <si>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</si>
  <si>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WenQuanYi Zen Hei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</si>
  <si>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</si>
  <si>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</si>
  <si>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WenQuanYi Zen Hei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WenQuanYi Zen Hei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WenQuanYi Zen Hei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</si>
  <si>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</si>
  <si>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</si>
  <si>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</si>
  <si>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WenQuanYi Zen Hei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WenQuanYi Zen Hei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WenQuanYi Zen Hei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</si>
  <si>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</si>
  <si>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</si>
  <si>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</si>
  <si>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WenQuanYi Zen Hei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WenQuanYi Zen Hei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WenQuanYi Zen Hei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</si>
  <si>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WenQuanYi Zen Hei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WenQuanYi Zen Hei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</si>
  <si>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</si>
  <si>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</si>
  <si>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</si>
  <si>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</si>
  <si>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</si>
  <si>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</si>
  <si>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WenQuanYi Zen Hei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WenQuanYi Zen Hei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</si>
  <si>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</si>
  <si>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</si>
  <si>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</si>
  <si>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</si>
  <si>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</si>
  <si>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WenQuanYi Zen Hei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</si>
  <si>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</si>
  <si>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</si>
  <si>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</si>
  <si>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</si>
  <si>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</si>
  <si>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WenQuanYi Zen Hei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WenQuanYi Zen Hei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WenQuanYi Zen Hei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WenQuanYi Zen Hei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WenQuanYi Zen Hei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</si>
  <si>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</si>
  <si>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</si>
  <si>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</si>
  <si>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WenQuanYi Zen Hei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</si>
  <si>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</si>
  <si>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WenQuanYi Zen Hei"/>
        <family val="2"/>
      </rPr>
      <t xml:space="preserve">）</t>
    </r>
  </si>
  <si>
    <r>
      <rPr>
        <sz val="10"/>
        <color rgb="FF000000"/>
        <rFont val="WenQuanYi Zen Hei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WenQuanYi Zen Hei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</si>
  <si>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</si>
  <si>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WenQuanYi Zen Hei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</si>
  <si>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</si>
  <si>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</si>
  <si>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WenQuanYi Zen Hei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WenQuanYi Zen Hei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WenQuanYi Zen Hei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</si>
  <si>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</si>
  <si>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</si>
  <si>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WenQuanYi Zen Hei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</si>
  <si>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</si>
  <si>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WenQuanYi Zen Hei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</si>
  <si>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WenQuanYi Zen Hei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</si>
  <si>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</si>
  <si>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WenQuanYi Zen Hei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WenQuanYi Zen Hei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WenQuanYi Zen Hei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</si>
  <si>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WenQuanYi Zen Hei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WenQuanYi Zen Hei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</si>
  <si>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</si>
  <si>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</si>
  <si>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</si>
  <si>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WenQuanYi Zen Hei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WenQuanYi Zen Hei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WenQuanYi Zen Hei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WenQuanYi Zen Hei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</si>
  <si>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</si>
  <si>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</si>
  <si>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</si>
  <si>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</si>
  <si>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</si>
  <si>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</si>
  <si>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</si>
  <si>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</si>
  <si>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</si>
  <si>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</si>
  <si>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</si>
  <si>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</si>
  <si>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</si>
  <si>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</si>
  <si>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</si>
  <si>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</si>
  <si>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</si>
  <si>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</si>
  <si>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</si>
  <si>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</si>
  <si>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</si>
  <si>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WenQuanYi Zen Hei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</si>
  <si>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</si>
  <si>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</si>
  <si>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</si>
  <si>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</si>
  <si>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</si>
  <si>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</si>
  <si>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</si>
  <si>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</si>
  <si>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</si>
  <si>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</si>
  <si>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</si>
  <si>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WenQuanYi Zen Hei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WenQuanYi Zen Hei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</si>
  <si>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</si>
  <si>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</si>
  <si>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</si>
  <si>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</si>
  <si>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WenQuanYi Zen Hei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</si>
  <si>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</si>
  <si>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WenQuanYi Zen Hei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</si>
  <si>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</si>
  <si>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WenQuanYi Zen Hei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WenQuanYi Zen Hei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WenQuanYi Zen Hei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</si>
  <si>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</si>
  <si>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</si>
  <si>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</si>
  <si>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</si>
  <si>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</si>
  <si>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</si>
  <si>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</si>
  <si>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</si>
  <si>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</si>
  <si>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</si>
  <si>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</si>
  <si>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</si>
  <si>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</si>
  <si>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</si>
  <si>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</si>
  <si>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</si>
  <si>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</si>
  <si>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</si>
  <si>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</si>
  <si>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</si>
  <si>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</si>
  <si>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</si>
  <si>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</si>
  <si>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</si>
  <si>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</si>
  <si>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WenQuanYi Zen Hei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</si>
  <si>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</si>
  <si>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</si>
  <si>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</si>
  <si>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</si>
  <si>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</si>
  <si>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WenQuanYi Zen Hei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WenQuanYi Zen Hei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WenQuanYi Zen Hei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WenQuanYi Zen Hei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</si>
  <si>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</si>
  <si>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</si>
  <si>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</si>
  <si>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</si>
  <si>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</si>
  <si>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</si>
  <si>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</si>
  <si>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WenQuanYi Zen Hei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WenQuanYi Zen Hei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WenQuanYi Zen Hei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WenQuanYi Zen Hei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WenQuanYi Zen Hei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</si>
  <si>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</si>
  <si>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</si>
  <si>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</si>
  <si>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</si>
  <si>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</si>
  <si>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WenQuanYi Zen Hei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WenQuanYi Zen Hei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WenQuanYi Zen Hei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WenQuanYi Zen Hei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</si>
  <si>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</si>
  <si>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WenQuanYi Zen Hei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WenQuanYi Zen Hei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WenQuanYi Zen Hei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WenQuanYi Zen Hei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</si>
  <si>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WenQuanYi Zen Hei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WenQuanYi Zen Hei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WenQuanYi Zen Hei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WenQuanYi Zen Hei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WenQuanYi Zen Hei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WenQuanYi Zen Hei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WenQuanYi Zen Hei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</si>
  <si>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</si>
  <si>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</si>
  <si>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</si>
  <si>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WenQuanYi Zen Hei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</si>
  <si>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</si>
  <si>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</si>
  <si>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</si>
  <si>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</si>
  <si>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WenQuanYi Zen Hei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</si>
  <si>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WenQuanYi Zen Hei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</si>
  <si>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WenQuanYi Zen Hei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</si>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</sst>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WenQuanYi Zen Hei"/>
      <family val="2"/>
    </font>
    <font>
      <sz val="10"/>
      <color rgb="FF000000"/>
      <name val="Arial"/>
      <family val="0"/>
      <charset val="1"/>
    </font>
    <font>
      <sz val="10"/>
      <color rgb="FF00000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6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3" customFormat="false" ht="15" hidden="false" customHeight="false" outlineLevel="0" collapsed="false">
      <c r="A3" s="2" t="s">
        <v>24</v>
      </c>
    </row>
    <row r="4" customFormat="false" ht="39.55" hidden="false" customHeight="false" outlineLevel="0" collapsed="false">
      <c r="A4" s="7" t="s">
        <v>25</v>
      </c>
      <c r="B4" s="8" t="s">
        <v>26</v>
      </c>
      <c r="C4" s="8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8" t="s">
        <v>35</v>
      </c>
      <c r="L4" s="8" t="s">
        <v>36</v>
      </c>
      <c r="M4" s="8" t="s">
        <v>37</v>
      </c>
      <c r="N4" s="8" t="s">
        <v>38</v>
      </c>
      <c r="O4" s="8" t="s">
        <v>39</v>
      </c>
      <c r="P4" s="8" t="s">
        <v>40</v>
      </c>
      <c r="Q4" s="7" t="s">
        <v>41</v>
      </c>
      <c r="R4" s="8" t="s">
        <v>42</v>
      </c>
      <c r="S4" s="7" t="s">
        <v>43</v>
      </c>
      <c r="T4" s="8" t="s">
        <v>44</v>
      </c>
      <c r="U4" s="8" t="s">
        <v>45</v>
      </c>
      <c r="V4" s="8" t="s">
        <v>46</v>
      </c>
      <c r="W4" s="8" t="s">
        <v>47</v>
      </c>
      <c r="X4" s="8" t="s">
        <v>48</v>
      </c>
      <c r="Y4" s="8" t="s">
        <v>49</v>
      </c>
    </row>
    <row r="5" customFormat="false" ht="15" hidden="false" customHeight="false" outlineLevel="0" collapsed="false">
      <c r="A5" s="9" t="s">
        <v>50</v>
      </c>
      <c r="B5" s="10" t="s">
        <v>51</v>
      </c>
      <c r="C5" s="11" t="n">
        <v>3.7</v>
      </c>
      <c r="D5" s="9"/>
      <c r="E5" s="9"/>
      <c r="F5" s="9" t="s">
        <v>52</v>
      </c>
      <c r="G5" s="9" t="s">
        <v>53</v>
      </c>
      <c r="H5" s="9" t="s">
        <v>54</v>
      </c>
      <c r="I5" s="9" t="s">
        <v>55</v>
      </c>
      <c r="J5" s="9" t="s">
        <v>56</v>
      </c>
      <c r="K5" s="9" t="s">
        <v>57</v>
      </c>
      <c r="L5" s="10" t="s">
        <v>58</v>
      </c>
      <c r="M5" s="10" t="s">
        <v>59</v>
      </c>
      <c r="N5" s="10" t="s">
        <v>60</v>
      </c>
      <c r="O5" s="9" t="s">
        <v>61</v>
      </c>
      <c r="P5" s="9" t="s">
        <v>55</v>
      </c>
      <c r="Q5" s="9" t="s">
        <v>62</v>
      </c>
      <c r="R5" s="9" t="s">
        <v>55</v>
      </c>
      <c r="S5" s="9" t="s">
        <v>63</v>
      </c>
      <c r="T5" s="9" t="s">
        <v>64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65</v>
      </c>
    </row>
    <row r="6" customFormat="false" ht="15" hidden="false" customHeight="false" outlineLevel="0" collapsed="false">
      <c r="A6" s="9" t="s">
        <v>66</v>
      </c>
      <c r="B6" s="10" t="s">
        <v>67</v>
      </c>
      <c r="C6" s="11" t="n">
        <v>13.07</v>
      </c>
      <c r="D6" s="9"/>
      <c r="E6" s="9"/>
      <c r="F6" s="9" t="s">
        <v>52</v>
      </c>
      <c r="G6" s="9" t="s">
        <v>68</v>
      </c>
      <c r="H6" s="9" t="s">
        <v>54</v>
      </c>
      <c r="I6" s="9" t="s">
        <v>69</v>
      </c>
      <c r="J6" s="9" t="s">
        <v>70</v>
      </c>
      <c r="K6" s="9" t="s">
        <v>57</v>
      </c>
      <c r="L6" s="10" t="s">
        <v>58</v>
      </c>
      <c r="M6" s="10" t="s">
        <v>71</v>
      </c>
      <c r="N6" s="10" t="s">
        <v>72</v>
      </c>
      <c r="O6" s="9" t="s">
        <v>61</v>
      </c>
      <c r="P6" s="9" t="s">
        <v>55</v>
      </c>
      <c r="Q6" s="9" t="s">
        <v>62</v>
      </c>
      <c r="R6" s="9" t="s">
        <v>55</v>
      </c>
      <c r="S6" s="9" t="s">
        <v>73</v>
      </c>
      <c r="T6" s="9" t="s">
        <v>64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65</v>
      </c>
    </row>
    <row r="7" customFormat="false" ht="15" hidden="false" customHeight="false" outlineLevel="0" collapsed="false">
      <c r="A7" s="9" t="s">
        <v>74</v>
      </c>
      <c r="B7" s="10" t="s">
        <v>75</v>
      </c>
      <c r="C7" s="11" t="n">
        <v>7.5</v>
      </c>
      <c r="D7" s="9"/>
      <c r="E7" s="9"/>
      <c r="F7" s="9" t="s">
        <v>52</v>
      </c>
      <c r="G7" s="10" t="s">
        <v>76</v>
      </c>
      <c r="H7" s="9" t="s">
        <v>54</v>
      </c>
      <c r="I7" s="9" t="s">
        <v>69</v>
      </c>
      <c r="J7" s="9" t="s">
        <v>77</v>
      </c>
      <c r="K7" s="9" t="s">
        <v>57</v>
      </c>
      <c r="L7" s="10" t="s">
        <v>58</v>
      </c>
      <c r="M7" s="10" t="s">
        <v>71</v>
      </c>
      <c r="N7" s="10" t="s">
        <v>72</v>
      </c>
      <c r="O7" s="9" t="s">
        <v>61</v>
      </c>
      <c r="P7" s="9" t="s">
        <v>55</v>
      </c>
      <c r="Q7" s="9" t="s">
        <v>62</v>
      </c>
      <c r="R7" s="9" t="s">
        <v>55</v>
      </c>
      <c r="S7" s="9" t="s">
        <v>78</v>
      </c>
      <c r="T7" s="9" t="s">
        <v>79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65</v>
      </c>
    </row>
    <row r="8" customFormat="false" ht="15" hidden="false" customHeight="false" outlineLevel="0" collapsed="false">
      <c r="A8" s="9" t="s">
        <v>80</v>
      </c>
      <c r="B8" s="10" t="s">
        <v>81</v>
      </c>
      <c r="C8" s="11" t="n">
        <v>5.7</v>
      </c>
      <c r="D8" s="9"/>
      <c r="E8" s="9"/>
      <c r="F8" s="9" t="s">
        <v>52</v>
      </c>
      <c r="G8" s="9" t="s">
        <v>82</v>
      </c>
      <c r="H8" s="9" t="s">
        <v>54</v>
      </c>
      <c r="I8" s="9" t="s">
        <v>83</v>
      </c>
      <c r="J8" s="9" t="s">
        <v>84</v>
      </c>
      <c r="K8" s="9" t="s">
        <v>57</v>
      </c>
      <c r="L8" s="10" t="s">
        <v>58</v>
      </c>
      <c r="M8" s="10" t="s">
        <v>71</v>
      </c>
      <c r="N8" s="10" t="s">
        <v>85</v>
      </c>
      <c r="O8" s="9" t="s">
        <v>61</v>
      </c>
      <c r="P8" s="9" t="s">
        <v>55</v>
      </c>
      <c r="Q8" s="9" t="s">
        <v>62</v>
      </c>
      <c r="R8" s="9" t="s">
        <v>55</v>
      </c>
      <c r="S8" s="9" t="s">
        <v>86</v>
      </c>
      <c r="T8" s="9" t="s">
        <v>87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65</v>
      </c>
    </row>
    <row r="9" customFormat="false" ht="15" hidden="false" customHeight="false" outlineLevel="0" collapsed="false">
      <c r="A9" s="9" t="s">
        <v>88</v>
      </c>
      <c r="B9" s="10" t="s">
        <v>89</v>
      </c>
      <c r="C9" s="11" t="n">
        <v>6.7</v>
      </c>
      <c r="D9" s="9"/>
      <c r="E9" s="9"/>
      <c r="F9" s="9" t="s">
        <v>52</v>
      </c>
      <c r="G9" s="9" t="s">
        <v>90</v>
      </c>
      <c r="H9" s="9" t="s">
        <v>54</v>
      </c>
      <c r="I9" s="9" t="s">
        <v>91</v>
      </c>
      <c r="J9" s="9" t="s">
        <v>92</v>
      </c>
      <c r="K9" s="9" t="s">
        <v>57</v>
      </c>
      <c r="L9" s="10" t="s">
        <v>58</v>
      </c>
      <c r="M9" s="10" t="s">
        <v>71</v>
      </c>
      <c r="N9" s="10" t="s">
        <v>85</v>
      </c>
      <c r="O9" s="9" t="s">
        <v>61</v>
      </c>
      <c r="P9" s="9" t="s">
        <v>55</v>
      </c>
      <c r="Q9" s="9" t="s">
        <v>62</v>
      </c>
      <c r="R9" s="9" t="s">
        <v>55</v>
      </c>
      <c r="S9" s="9" t="s">
        <v>93</v>
      </c>
      <c r="T9" s="9" t="s">
        <v>94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65</v>
      </c>
    </row>
    <row r="10" customFormat="false" ht="15" hidden="false" customHeight="false" outlineLevel="0" collapsed="false">
      <c r="A10" s="9" t="s">
        <v>95</v>
      </c>
      <c r="B10" s="10" t="s">
        <v>96</v>
      </c>
      <c r="C10" s="11" t="n">
        <v>40</v>
      </c>
      <c r="D10" s="9"/>
      <c r="E10" s="9"/>
      <c r="F10" s="9" t="s">
        <v>52</v>
      </c>
      <c r="G10" s="9" t="s">
        <v>97</v>
      </c>
      <c r="H10" s="9" t="s">
        <v>54</v>
      </c>
      <c r="I10" s="9" t="s">
        <v>98</v>
      </c>
      <c r="J10" s="9" t="s">
        <v>99</v>
      </c>
      <c r="K10" s="9" t="s">
        <v>57</v>
      </c>
      <c r="L10" s="10" t="s">
        <v>58</v>
      </c>
      <c r="M10" s="10" t="s">
        <v>100</v>
      </c>
      <c r="N10" s="10" t="s">
        <v>85</v>
      </c>
      <c r="O10" s="9" t="s">
        <v>61</v>
      </c>
      <c r="P10" s="9" t="s">
        <v>55</v>
      </c>
      <c r="Q10" s="9" t="s">
        <v>62</v>
      </c>
      <c r="R10" s="9" t="s">
        <v>55</v>
      </c>
      <c r="S10" s="9" t="s">
        <v>101</v>
      </c>
      <c r="T10" s="9" t="s">
        <v>94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65</v>
      </c>
    </row>
    <row r="11" customFormat="false" ht="15" hidden="false" customHeight="false" outlineLevel="0" collapsed="false">
      <c r="A11" s="9" t="s">
        <v>102</v>
      </c>
      <c r="B11" s="10" t="s">
        <v>103</v>
      </c>
      <c r="C11" s="11" t="n">
        <v>0.6</v>
      </c>
      <c r="D11" s="9"/>
      <c r="E11" s="9"/>
      <c r="F11" s="10" t="s">
        <v>104</v>
      </c>
      <c r="G11" s="10" t="s">
        <v>105</v>
      </c>
      <c r="H11" s="9" t="s">
        <v>54</v>
      </c>
      <c r="I11" s="9" t="s">
        <v>106</v>
      </c>
      <c r="J11" s="9" t="s">
        <v>107</v>
      </c>
      <c r="K11" s="9" t="s">
        <v>57</v>
      </c>
      <c r="L11" s="10" t="s">
        <v>58</v>
      </c>
      <c r="M11" s="10" t="s">
        <v>71</v>
      </c>
      <c r="N11" s="10" t="s">
        <v>85</v>
      </c>
      <c r="O11" s="9" t="s">
        <v>61</v>
      </c>
      <c r="P11" s="9" t="s">
        <v>55</v>
      </c>
      <c r="Q11" s="9" t="s">
        <v>62</v>
      </c>
      <c r="R11" s="9" t="s">
        <v>55</v>
      </c>
      <c r="S11" s="9" t="s">
        <v>108</v>
      </c>
      <c r="T11" s="9" t="s">
        <v>94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65</v>
      </c>
    </row>
    <row r="12" customFormat="false" ht="15" hidden="false" customHeight="false" outlineLevel="0" collapsed="false">
      <c r="A12" s="9" t="s">
        <v>109</v>
      </c>
      <c r="B12" s="9" t="s">
        <v>110</v>
      </c>
      <c r="C12" s="11" t="n">
        <v>6</v>
      </c>
      <c r="D12" s="9"/>
      <c r="E12" s="9"/>
      <c r="F12" s="9" t="s">
        <v>111</v>
      </c>
      <c r="G12" s="9" t="s">
        <v>112</v>
      </c>
      <c r="H12" s="9" t="s">
        <v>54</v>
      </c>
      <c r="I12" s="9" t="s">
        <v>113</v>
      </c>
      <c r="J12" s="9" t="s">
        <v>114</v>
      </c>
      <c r="K12" s="9" t="s">
        <v>57</v>
      </c>
      <c r="L12" s="10" t="s">
        <v>58</v>
      </c>
      <c r="M12" s="10" t="s">
        <v>100</v>
      </c>
      <c r="N12" s="10" t="s">
        <v>115</v>
      </c>
      <c r="O12" s="9" t="s">
        <v>61</v>
      </c>
      <c r="P12" s="9" t="s">
        <v>55</v>
      </c>
      <c r="Q12" s="9" t="s">
        <v>62</v>
      </c>
      <c r="R12" s="9" t="s">
        <v>55</v>
      </c>
      <c r="S12" s="9" t="s">
        <v>116</v>
      </c>
      <c r="T12" s="9" t="s">
        <v>117</v>
      </c>
      <c r="U12" s="9" t="s">
        <v>118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65</v>
      </c>
    </row>
    <row r="13" customFormat="false" ht="15" hidden="false" customHeight="false" outlineLevel="0" collapsed="false">
      <c r="A13" s="9" t="s">
        <v>119</v>
      </c>
      <c r="B13" s="9" t="s">
        <v>120</v>
      </c>
      <c r="C13" s="11" t="n">
        <v>0.2</v>
      </c>
      <c r="D13" s="9"/>
      <c r="E13" s="9"/>
      <c r="F13" s="10" t="s">
        <v>104</v>
      </c>
      <c r="G13" s="9" t="s">
        <v>121</v>
      </c>
      <c r="H13" s="9" t="s">
        <v>122</v>
      </c>
      <c r="I13" s="9" t="s">
        <v>123</v>
      </c>
      <c r="J13" s="9" t="s">
        <v>124</v>
      </c>
      <c r="K13" s="9" t="s">
        <v>57</v>
      </c>
      <c r="L13" s="10" t="s">
        <v>58</v>
      </c>
      <c r="M13" s="10" t="s">
        <v>125</v>
      </c>
      <c r="N13" s="10" t="s">
        <v>85</v>
      </c>
      <c r="O13" s="9" t="s">
        <v>61</v>
      </c>
      <c r="P13" s="9" t="s">
        <v>55</v>
      </c>
      <c r="Q13" s="9" t="s">
        <v>62</v>
      </c>
      <c r="R13" s="9" t="s">
        <v>55</v>
      </c>
      <c r="S13" s="9" t="s">
        <v>126</v>
      </c>
      <c r="T13" s="9" t="s">
        <v>127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65</v>
      </c>
    </row>
    <row r="14" customFormat="false" ht="15" hidden="false" customHeight="false" outlineLevel="0" collapsed="false">
      <c r="A14" s="9" t="s">
        <v>128</v>
      </c>
      <c r="B14" s="9" t="s">
        <v>129</v>
      </c>
      <c r="C14" s="11" t="n">
        <v>38</v>
      </c>
      <c r="D14" s="9"/>
      <c r="E14" s="9"/>
      <c r="F14" s="9" t="s">
        <v>52</v>
      </c>
      <c r="G14" s="10" t="s">
        <v>130</v>
      </c>
      <c r="H14" s="9" t="s">
        <v>122</v>
      </c>
      <c r="I14" s="9" t="s">
        <v>131</v>
      </c>
      <c r="J14" s="9" t="s">
        <v>132</v>
      </c>
      <c r="K14" s="9" t="s">
        <v>57</v>
      </c>
      <c r="L14" s="10" t="s">
        <v>58</v>
      </c>
      <c r="M14" s="10" t="s">
        <v>125</v>
      </c>
      <c r="N14" s="10" t="s">
        <v>85</v>
      </c>
      <c r="O14" s="9" t="s">
        <v>61</v>
      </c>
      <c r="P14" s="9" t="s">
        <v>55</v>
      </c>
      <c r="Q14" s="9" t="s">
        <v>62</v>
      </c>
      <c r="R14" s="9" t="s">
        <v>55</v>
      </c>
      <c r="S14" s="9" t="s">
        <v>133</v>
      </c>
      <c r="T14" s="9" t="s">
        <v>127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65</v>
      </c>
    </row>
    <row r="15" customFormat="false" ht="15" hidden="false" customHeight="false" outlineLevel="0" collapsed="false">
      <c r="A15" s="9" t="s">
        <v>134</v>
      </c>
      <c r="B15" s="9" t="s">
        <v>135</v>
      </c>
      <c r="C15" s="11" t="n">
        <v>2030</v>
      </c>
      <c r="D15" s="9"/>
      <c r="E15" s="9"/>
      <c r="F15" s="10" t="s">
        <v>136</v>
      </c>
      <c r="G15" s="10" t="s">
        <v>137</v>
      </c>
      <c r="H15" s="9" t="s">
        <v>122</v>
      </c>
      <c r="I15" s="9" t="s">
        <v>123</v>
      </c>
      <c r="J15" s="9" t="s">
        <v>138</v>
      </c>
      <c r="K15" s="9" t="s">
        <v>57</v>
      </c>
      <c r="L15" s="10" t="s">
        <v>58</v>
      </c>
      <c r="M15" s="10" t="s">
        <v>139</v>
      </c>
      <c r="N15" s="10" t="s">
        <v>115</v>
      </c>
      <c r="O15" s="9" t="s">
        <v>61</v>
      </c>
      <c r="P15" s="9" t="s">
        <v>55</v>
      </c>
      <c r="Q15" s="9" t="s">
        <v>140</v>
      </c>
      <c r="R15" s="9" t="s">
        <v>55</v>
      </c>
      <c r="S15" s="9" t="s">
        <v>141</v>
      </c>
      <c r="T15" s="9" t="s">
        <v>127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65</v>
      </c>
    </row>
    <row r="16" customFormat="false" ht="15" hidden="false" customHeight="false" outlineLevel="0" collapsed="false">
      <c r="A16" s="9" t="s">
        <v>142</v>
      </c>
      <c r="B16" s="9" t="s">
        <v>143</v>
      </c>
      <c r="C16" s="11" t="n">
        <v>0</v>
      </c>
      <c r="D16" s="9"/>
      <c r="E16" s="9"/>
      <c r="F16" s="9" t="s">
        <v>52</v>
      </c>
      <c r="G16" s="9" t="s">
        <v>144</v>
      </c>
      <c r="H16" s="9" t="s">
        <v>122</v>
      </c>
      <c r="I16" s="9" t="s">
        <v>123</v>
      </c>
      <c r="J16" s="9" t="s">
        <v>145</v>
      </c>
      <c r="K16" s="9" t="s">
        <v>57</v>
      </c>
      <c r="L16" s="10" t="s">
        <v>58</v>
      </c>
      <c r="M16" s="10" t="s">
        <v>139</v>
      </c>
      <c r="N16" s="10" t="s">
        <v>115</v>
      </c>
      <c r="O16" s="9" t="s">
        <v>61</v>
      </c>
      <c r="P16" s="9" t="s">
        <v>55</v>
      </c>
      <c r="Q16" s="9" t="s">
        <v>140</v>
      </c>
      <c r="R16" s="9" t="s">
        <v>55</v>
      </c>
      <c r="S16" s="9" t="s">
        <v>146</v>
      </c>
      <c r="T16" s="9" t="s">
        <v>127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65</v>
      </c>
    </row>
    <row r="17" customFormat="false" ht="15" hidden="false" customHeight="false" outlineLevel="0" collapsed="false">
      <c r="A17" s="9" t="s">
        <v>147</v>
      </c>
      <c r="B17" s="9" t="s">
        <v>148</v>
      </c>
      <c r="C17" s="11" t="n">
        <v>10</v>
      </c>
      <c r="D17" s="9"/>
      <c r="E17" s="9"/>
      <c r="F17" s="9" t="s">
        <v>149</v>
      </c>
      <c r="G17" s="10" t="s">
        <v>150</v>
      </c>
      <c r="H17" s="9" t="s">
        <v>54</v>
      </c>
      <c r="I17" s="9" t="s">
        <v>151</v>
      </c>
      <c r="J17" s="9" t="s">
        <v>152</v>
      </c>
      <c r="K17" s="9" t="s">
        <v>57</v>
      </c>
      <c r="L17" s="10" t="s">
        <v>58</v>
      </c>
      <c r="M17" s="10" t="s">
        <v>153</v>
      </c>
      <c r="N17" s="10" t="s">
        <v>115</v>
      </c>
      <c r="O17" s="9" t="s">
        <v>61</v>
      </c>
      <c r="P17" s="9" t="s">
        <v>55</v>
      </c>
      <c r="Q17" s="9" t="s">
        <v>140</v>
      </c>
      <c r="R17" s="9" t="s">
        <v>55</v>
      </c>
      <c r="S17" s="9" t="s">
        <v>154</v>
      </c>
      <c r="T17" s="9" t="s">
        <v>155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65</v>
      </c>
    </row>
    <row r="18" customFormat="false" ht="15" hidden="false" customHeight="false" outlineLevel="0" collapsed="false">
      <c r="A18" s="9" t="s">
        <v>156</v>
      </c>
      <c r="B18" s="9" t="s">
        <v>157</v>
      </c>
      <c r="C18" s="11" t="n">
        <v>1</v>
      </c>
      <c r="D18" s="9"/>
      <c r="E18" s="9"/>
      <c r="F18" s="9" t="s">
        <v>149</v>
      </c>
      <c r="G18" s="10" t="s">
        <v>150</v>
      </c>
      <c r="H18" s="9" t="s">
        <v>54</v>
      </c>
      <c r="I18" s="9" t="s">
        <v>151</v>
      </c>
      <c r="J18" s="9" t="s">
        <v>152</v>
      </c>
      <c r="K18" s="9" t="s">
        <v>57</v>
      </c>
      <c r="L18" s="10" t="s">
        <v>58</v>
      </c>
      <c r="M18" s="10" t="s">
        <v>153</v>
      </c>
      <c r="N18" s="10" t="s">
        <v>115</v>
      </c>
      <c r="O18" s="9" t="s">
        <v>61</v>
      </c>
      <c r="P18" s="9" t="s">
        <v>55</v>
      </c>
      <c r="Q18" s="9" t="s">
        <v>140</v>
      </c>
      <c r="R18" s="9" t="s">
        <v>55</v>
      </c>
      <c r="S18" s="9" t="s">
        <v>154</v>
      </c>
      <c r="T18" s="9" t="s">
        <v>155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65</v>
      </c>
    </row>
    <row r="19" customFormat="false" ht="15" hidden="false" customHeight="false" outlineLevel="0" collapsed="false">
      <c r="A19" s="9" t="s">
        <v>158</v>
      </c>
      <c r="B19" s="9" t="s">
        <v>159</v>
      </c>
      <c r="C19" s="11" t="n">
        <v>50</v>
      </c>
      <c r="D19" s="9"/>
      <c r="E19" s="9"/>
      <c r="F19" s="9" t="s">
        <v>149</v>
      </c>
      <c r="G19" s="10" t="s">
        <v>150</v>
      </c>
      <c r="H19" s="9" t="s">
        <v>54</v>
      </c>
      <c r="I19" s="9" t="s">
        <v>151</v>
      </c>
      <c r="J19" s="9" t="s">
        <v>152</v>
      </c>
      <c r="K19" s="9" t="s">
        <v>57</v>
      </c>
      <c r="L19" s="10" t="s">
        <v>58</v>
      </c>
      <c r="M19" s="10" t="s">
        <v>153</v>
      </c>
      <c r="N19" s="10" t="s">
        <v>115</v>
      </c>
      <c r="O19" s="9" t="s">
        <v>61</v>
      </c>
      <c r="P19" s="9" t="s">
        <v>55</v>
      </c>
      <c r="Q19" s="9" t="s">
        <v>140</v>
      </c>
      <c r="R19" s="9" t="s">
        <v>55</v>
      </c>
      <c r="S19" s="9" t="s">
        <v>154</v>
      </c>
      <c r="T19" s="9" t="s">
        <v>155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65</v>
      </c>
    </row>
    <row r="20" customFormat="false" ht="15" hidden="false" customHeight="false" outlineLevel="0" collapsed="false">
      <c r="A20" s="9" t="s">
        <v>160</v>
      </c>
      <c r="B20" s="9" t="s">
        <v>161</v>
      </c>
      <c r="C20" s="11" t="n">
        <v>2</v>
      </c>
      <c r="D20" s="9"/>
      <c r="E20" s="9"/>
      <c r="F20" s="9" t="s">
        <v>149</v>
      </c>
      <c r="G20" s="10" t="s">
        <v>162</v>
      </c>
      <c r="H20" s="9" t="s">
        <v>54</v>
      </c>
      <c r="I20" s="9" t="s">
        <v>151</v>
      </c>
      <c r="J20" s="9" t="s">
        <v>152</v>
      </c>
      <c r="K20" s="9" t="s">
        <v>57</v>
      </c>
      <c r="L20" s="10" t="s">
        <v>58</v>
      </c>
      <c r="M20" s="10" t="s">
        <v>153</v>
      </c>
      <c r="N20" s="10" t="s">
        <v>115</v>
      </c>
      <c r="O20" s="9" t="s">
        <v>61</v>
      </c>
      <c r="P20" s="9" t="s">
        <v>55</v>
      </c>
      <c r="Q20" s="9" t="s">
        <v>140</v>
      </c>
      <c r="R20" s="9" t="s">
        <v>55</v>
      </c>
      <c r="S20" s="9" t="s">
        <v>154</v>
      </c>
      <c r="T20" s="9" t="s">
        <v>155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65</v>
      </c>
    </row>
    <row r="21" customFormat="false" ht="15" hidden="false" customHeight="false" outlineLevel="0" collapsed="false">
      <c r="A21" s="9" t="s">
        <v>163</v>
      </c>
      <c r="B21" s="9" t="s">
        <v>164</v>
      </c>
      <c r="C21" s="11" t="n">
        <v>0.2</v>
      </c>
      <c r="D21" s="9"/>
      <c r="E21" s="9"/>
      <c r="F21" s="9" t="s">
        <v>149</v>
      </c>
      <c r="G21" s="10" t="s">
        <v>162</v>
      </c>
      <c r="H21" s="9" t="s">
        <v>54</v>
      </c>
      <c r="I21" s="9" t="s">
        <v>151</v>
      </c>
      <c r="J21" s="9" t="s">
        <v>152</v>
      </c>
      <c r="K21" s="9" t="s">
        <v>57</v>
      </c>
      <c r="L21" s="10" t="s">
        <v>58</v>
      </c>
      <c r="M21" s="10" t="s">
        <v>153</v>
      </c>
      <c r="N21" s="10" t="s">
        <v>115</v>
      </c>
      <c r="O21" s="9" t="s">
        <v>61</v>
      </c>
      <c r="P21" s="9" t="s">
        <v>55</v>
      </c>
      <c r="Q21" s="9" t="s">
        <v>140</v>
      </c>
      <c r="R21" s="9" t="s">
        <v>55</v>
      </c>
      <c r="S21" s="9" t="s">
        <v>154</v>
      </c>
      <c r="T21" s="9" t="s">
        <v>155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65</v>
      </c>
    </row>
    <row r="22" customFormat="false" ht="15" hidden="false" customHeight="false" outlineLevel="0" collapsed="false">
      <c r="A22" s="9" t="s">
        <v>165</v>
      </c>
      <c r="B22" s="9" t="s">
        <v>166</v>
      </c>
      <c r="C22" s="11" t="n">
        <v>10</v>
      </c>
      <c r="D22" s="9"/>
      <c r="E22" s="9"/>
      <c r="F22" s="9" t="s">
        <v>149</v>
      </c>
      <c r="G22" s="10" t="s">
        <v>162</v>
      </c>
      <c r="H22" s="9" t="s">
        <v>54</v>
      </c>
      <c r="I22" s="9" t="s">
        <v>151</v>
      </c>
      <c r="J22" s="9" t="s">
        <v>152</v>
      </c>
      <c r="K22" s="9" t="s">
        <v>57</v>
      </c>
      <c r="L22" s="10" t="s">
        <v>58</v>
      </c>
      <c r="M22" s="10" t="s">
        <v>153</v>
      </c>
      <c r="N22" s="10" t="s">
        <v>115</v>
      </c>
      <c r="O22" s="9" t="s">
        <v>61</v>
      </c>
      <c r="P22" s="9" t="s">
        <v>55</v>
      </c>
      <c r="Q22" s="9" t="s">
        <v>140</v>
      </c>
      <c r="R22" s="9" t="s">
        <v>55</v>
      </c>
      <c r="S22" s="9" t="s">
        <v>154</v>
      </c>
      <c r="T22" s="9" t="s">
        <v>155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65</v>
      </c>
    </row>
    <row r="23" customFormat="false" ht="15" hidden="false" customHeight="false" outlineLevel="0" collapsed="false">
      <c r="A23" s="9" t="s">
        <v>167</v>
      </c>
      <c r="B23" s="9" t="s">
        <v>168</v>
      </c>
      <c r="C23" s="11" t="n">
        <v>0.1</v>
      </c>
      <c r="D23" s="9"/>
      <c r="E23" s="9"/>
      <c r="F23" s="9" t="s">
        <v>149</v>
      </c>
      <c r="G23" s="10" t="s">
        <v>169</v>
      </c>
      <c r="H23" s="9" t="s">
        <v>54</v>
      </c>
      <c r="I23" s="9" t="s">
        <v>151</v>
      </c>
      <c r="J23" s="9" t="s">
        <v>152</v>
      </c>
      <c r="K23" s="9" t="s">
        <v>57</v>
      </c>
      <c r="L23" s="10" t="s">
        <v>58</v>
      </c>
      <c r="M23" s="10" t="s">
        <v>153</v>
      </c>
      <c r="N23" s="10" t="s">
        <v>115</v>
      </c>
      <c r="O23" s="9" t="s">
        <v>61</v>
      </c>
      <c r="P23" s="9" t="s">
        <v>55</v>
      </c>
      <c r="Q23" s="9" t="s">
        <v>140</v>
      </c>
      <c r="R23" s="9" t="s">
        <v>55</v>
      </c>
      <c r="S23" s="9" t="s">
        <v>154</v>
      </c>
      <c r="T23" s="9" t="s">
        <v>155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65</v>
      </c>
    </row>
    <row r="24" customFormat="false" ht="15" hidden="false" customHeight="false" outlineLevel="0" collapsed="false">
      <c r="A24" s="9" t="s">
        <v>170</v>
      </c>
      <c r="B24" s="9" t="s">
        <v>171</v>
      </c>
      <c r="C24" s="11" t="n">
        <v>0.01</v>
      </c>
      <c r="D24" s="9"/>
      <c r="E24" s="9"/>
      <c r="F24" s="9" t="s">
        <v>149</v>
      </c>
      <c r="G24" s="10" t="s">
        <v>169</v>
      </c>
      <c r="H24" s="9" t="s">
        <v>54</v>
      </c>
      <c r="I24" s="9" t="s">
        <v>151</v>
      </c>
      <c r="J24" s="9" t="s">
        <v>152</v>
      </c>
      <c r="K24" s="9" t="s">
        <v>57</v>
      </c>
      <c r="L24" s="10" t="s">
        <v>58</v>
      </c>
      <c r="M24" s="10" t="s">
        <v>153</v>
      </c>
      <c r="N24" s="10" t="s">
        <v>115</v>
      </c>
      <c r="O24" s="9" t="s">
        <v>61</v>
      </c>
      <c r="P24" s="9" t="s">
        <v>55</v>
      </c>
      <c r="Q24" s="9" t="s">
        <v>140</v>
      </c>
      <c r="R24" s="9" t="s">
        <v>55</v>
      </c>
      <c r="S24" s="9" t="s">
        <v>154</v>
      </c>
      <c r="T24" s="9" t="s">
        <v>155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65</v>
      </c>
    </row>
    <row r="25" customFormat="false" ht="15" hidden="false" customHeight="false" outlineLevel="0" collapsed="false">
      <c r="A25" s="9" t="s">
        <v>172</v>
      </c>
      <c r="B25" s="9" t="s">
        <v>173</v>
      </c>
      <c r="C25" s="11" t="n">
        <v>0.5</v>
      </c>
      <c r="D25" s="9"/>
      <c r="E25" s="9"/>
      <c r="F25" s="9" t="s">
        <v>149</v>
      </c>
      <c r="G25" s="10" t="s">
        <v>169</v>
      </c>
      <c r="H25" s="9" t="s">
        <v>54</v>
      </c>
      <c r="I25" s="9" t="s">
        <v>151</v>
      </c>
      <c r="J25" s="9" t="s">
        <v>152</v>
      </c>
      <c r="K25" s="9" t="s">
        <v>57</v>
      </c>
      <c r="L25" s="10" t="s">
        <v>58</v>
      </c>
      <c r="M25" s="10" t="s">
        <v>153</v>
      </c>
      <c r="N25" s="10" t="s">
        <v>115</v>
      </c>
      <c r="O25" s="9" t="s">
        <v>61</v>
      </c>
      <c r="P25" s="9" t="s">
        <v>55</v>
      </c>
      <c r="Q25" s="9" t="s">
        <v>140</v>
      </c>
      <c r="R25" s="9" t="s">
        <v>55</v>
      </c>
      <c r="S25" s="9" t="s">
        <v>154</v>
      </c>
      <c r="T25" s="9" t="s">
        <v>155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65</v>
      </c>
    </row>
    <row r="26" customFormat="false" ht="15" hidden="false" customHeight="false" outlineLevel="0" collapsed="false">
      <c r="A26" s="9" t="s">
        <v>174</v>
      </c>
      <c r="B26" s="9" t="s">
        <v>175</v>
      </c>
      <c r="C26" s="9" t="s">
        <v>176</v>
      </c>
      <c r="D26" s="9"/>
      <c r="E26" s="9"/>
      <c r="F26" s="10" t="s">
        <v>177</v>
      </c>
      <c r="G26" s="9" t="s">
        <v>178</v>
      </c>
      <c r="H26" s="9" t="s">
        <v>54</v>
      </c>
      <c r="I26" s="9" t="s">
        <v>151</v>
      </c>
      <c r="J26" s="9" t="s">
        <v>179</v>
      </c>
      <c r="K26" s="9" t="s">
        <v>57</v>
      </c>
      <c r="L26" s="10" t="s">
        <v>58</v>
      </c>
      <c r="M26" s="10" t="s">
        <v>153</v>
      </c>
      <c r="N26" s="10" t="s">
        <v>115</v>
      </c>
      <c r="O26" s="9" t="s">
        <v>61</v>
      </c>
      <c r="P26" s="9" t="s">
        <v>55</v>
      </c>
      <c r="Q26" s="9" t="s">
        <v>140</v>
      </c>
      <c r="R26" s="9" t="s">
        <v>55</v>
      </c>
      <c r="S26" s="9" t="s">
        <v>180</v>
      </c>
      <c r="T26" s="9" t="s">
        <v>181</v>
      </c>
      <c r="U26" s="9" t="s">
        <v>182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65</v>
      </c>
    </row>
    <row r="27" customFormat="false" ht="15" hidden="false" customHeight="false" outlineLevel="0" collapsed="false">
      <c r="A27" s="9" t="s">
        <v>183</v>
      </c>
      <c r="B27" s="9" t="s">
        <v>184</v>
      </c>
      <c r="C27" s="9" t="s">
        <v>185</v>
      </c>
      <c r="D27" s="9"/>
      <c r="E27" s="9"/>
      <c r="F27" s="10" t="s">
        <v>177</v>
      </c>
      <c r="G27" s="9" t="s">
        <v>178</v>
      </c>
      <c r="H27" s="9" t="s">
        <v>54</v>
      </c>
      <c r="I27" s="9" t="s">
        <v>151</v>
      </c>
      <c r="J27" s="9" t="s">
        <v>179</v>
      </c>
      <c r="K27" s="9" t="s">
        <v>57</v>
      </c>
      <c r="L27" s="10" t="s">
        <v>58</v>
      </c>
      <c r="M27" s="10" t="s">
        <v>153</v>
      </c>
      <c r="N27" s="10" t="s">
        <v>115</v>
      </c>
      <c r="O27" s="9" t="s">
        <v>61</v>
      </c>
      <c r="P27" s="9" t="s">
        <v>55</v>
      </c>
      <c r="Q27" s="9" t="s">
        <v>140</v>
      </c>
      <c r="R27" s="9" t="s">
        <v>55</v>
      </c>
      <c r="S27" s="9" t="s">
        <v>186</v>
      </c>
      <c r="T27" s="9" t="s">
        <v>181</v>
      </c>
      <c r="U27" s="9" t="s">
        <v>182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65</v>
      </c>
    </row>
    <row r="28" customFormat="false" ht="15" hidden="false" customHeight="false" outlineLevel="0" collapsed="false">
      <c r="A28" s="9" t="s">
        <v>187</v>
      </c>
      <c r="B28" s="9" t="s">
        <v>188</v>
      </c>
      <c r="C28" s="9" t="s">
        <v>189</v>
      </c>
      <c r="D28" s="9"/>
      <c r="E28" s="9"/>
      <c r="F28" s="10" t="s">
        <v>177</v>
      </c>
      <c r="G28" s="9" t="s">
        <v>178</v>
      </c>
      <c r="H28" s="9" t="s">
        <v>54</v>
      </c>
      <c r="I28" s="9" t="s">
        <v>151</v>
      </c>
      <c r="J28" s="9" t="s">
        <v>179</v>
      </c>
      <c r="K28" s="9" t="s">
        <v>57</v>
      </c>
      <c r="L28" s="10" t="s">
        <v>58</v>
      </c>
      <c r="M28" s="10" t="s">
        <v>153</v>
      </c>
      <c r="N28" s="10" t="s">
        <v>115</v>
      </c>
      <c r="O28" s="9" t="s">
        <v>61</v>
      </c>
      <c r="P28" s="9" t="s">
        <v>55</v>
      </c>
      <c r="Q28" s="9" t="s">
        <v>140</v>
      </c>
      <c r="R28" s="9" t="s">
        <v>55</v>
      </c>
      <c r="S28" s="9" t="s">
        <v>190</v>
      </c>
      <c r="T28" s="9" t="s">
        <v>181</v>
      </c>
      <c r="U28" s="9" t="s">
        <v>182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65</v>
      </c>
    </row>
    <row r="29" customFormat="false" ht="15" hidden="false" customHeight="false" outlineLevel="0" collapsed="false">
      <c r="A29" s="9" t="s">
        <v>191</v>
      </c>
      <c r="B29" s="9" t="s">
        <v>192</v>
      </c>
      <c r="C29" s="9" t="s">
        <v>193</v>
      </c>
      <c r="D29" s="9"/>
      <c r="E29" s="9"/>
      <c r="F29" s="10" t="s">
        <v>177</v>
      </c>
      <c r="G29" s="10" t="s">
        <v>194</v>
      </c>
      <c r="H29" s="9" t="s">
        <v>54</v>
      </c>
      <c r="I29" s="9" t="s">
        <v>195</v>
      </c>
      <c r="J29" s="9" t="s">
        <v>196</v>
      </c>
      <c r="K29" s="9" t="s">
        <v>57</v>
      </c>
      <c r="L29" s="10" t="s">
        <v>58</v>
      </c>
      <c r="M29" s="10" t="s">
        <v>153</v>
      </c>
      <c r="N29" s="10" t="s">
        <v>115</v>
      </c>
      <c r="O29" s="9" t="s">
        <v>61</v>
      </c>
      <c r="P29" s="9" t="s">
        <v>55</v>
      </c>
      <c r="Q29" s="9" t="s">
        <v>140</v>
      </c>
      <c r="R29" s="9" t="s">
        <v>55</v>
      </c>
      <c r="S29" s="9" t="s">
        <v>197</v>
      </c>
      <c r="T29" s="9" t="s">
        <v>198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65</v>
      </c>
    </row>
    <row r="30" customFormat="false" ht="15" hidden="false" customHeight="false" outlineLevel="0" collapsed="false">
      <c r="A30" s="9" t="s">
        <v>199</v>
      </c>
      <c r="B30" s="9" t="s">
        <v>200</v>
      </c>
      <c r="C30" s="9" t="s">
        <v>201</v>
      </c>
      <c r="D30" s="9"/>
      <c r="E30" s="9"/>
      <c r="F30" s="10" t="s">
        <v>177</v>
      </c>
      <c r="G30" s="10" t="s">
        <v>194</v>
      </c>
      <c r="H30" s="9" t="s">
        <v>54</v>
      </c>
      <c r="I30" s="9" t="s">
        <v>202</v>
      </c>
      <c r="J30" s="9" t="s">
        <v>196</v>
      </c>
      <c r="K30" s="9" t="s">
        <v>57</v>
      </c>
      <c r="L30" s="10" t="s">
        <v>58</v>
      </c>
      <c r="M30" s="10" t="s">
        <v>153</v>
      </c>
      <c r="N30" s="10" t="s">
        <v>115</v>
      </c>
      <c r="O30" s="9" t="s">
        <v>61</v>
      </c>
      <c r="P30" s="9" t="s">
        <v>55</v>
      </c>
      <c r="Q30" s="9" t="s">
        <v>140</v>
      </c>
      <c r="R30" s="9" t="s">
        <v>55</v>
      </c>
      <c r="S30" s="9" t="s">
        <v>197</v>
      </c>
      <c r="T30" s="9" t="s">
        <v>198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65</v>
      </c>
    </row>
    <row r="31" customFormat="false" ht="15" hidden="false" customHeight="false" outlineLevel="0" collapsed="false">
      <c r="A31" s="9" t="s">
        <v>203</v>
      </c>
      <c r="B31" s="9" t="s">
        <v>204</v>
      </c>
      <c r="C31" s="9" t="s">
        <v>205</v>
      </c>
      <c r="D31" s="9"/>
      <c r="E31" s="9"/>
      <c r="F31" s="10" t="s">
        <v>177</v>
      </c>
      <c r="G31" s="10" t="s">
        <v>194</v>
      </c>
      <c r="H31" s="9" t="s">
        <v>54</v>
      </c>
      <c r="I31" s="9" t="s">
        <v>206</v>
      </c>
      <c r="J31" s="9" t="s">
        <v>196</v>
      </c>
      <c r="K31" s="9" t="s">
        <v>57</v>
      </c>
      <c r="L31" s="10" t="s">
        <v>58</v>
      </c>
      <c r="M31" s="10" t="s">
        <v>153</v>
      </c>
      <c r="N31" s="10" t="s">
        <v>115</v>
      </c>
      <c r="O31" s="9" t="s">
        <v>61</v>
      </c>
      <c r="P31" s="9" t="s">
        <v>55</v>
      </c>
      <c r="Q31" s="9" t="s">
        <v>140</v>
      </c>
      <c r="R31" s="9" t="s">
        <v>55</v>
      </c>
      <c r="S31" s="9" t="s">
        <v>197</v>
      </c>
      <c r="T31" s="9" t="s">
        <v>198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65</v>
      </c>
    </row>
    <row r="32" customFormat="false" ht="15" hidden="false" customHeight="false" outlineLevel="0" collapsed="false">
      <c r="A32" s="9" t="s">
        <v>207</v>
      </c>
      <c r="B32" s="9" t="s">
        <v>208</v>
      </c>
      <c r="C32" s="9" t="s">
        <v>209</v>
      </c>
      <c r="D32" s="9"/>
      <c r="E32" s="9"/>
      <c r="F32" s="10" t="s">
        <v>177</v>
      </c>
      <c r="G32" s="10" t="s">
        <v>194</v>
      </c>
      <c r="H32" s="9" t="s">
        <v>54</v>
      </c>
      <c r="I32" s="9" t="s">
        <v>210</v>
      </c>
      <c r="J32" s="9" t="s">
        <v>196</v>
      </c>
      <c r="K32" s="9" t="s">
        <v>57</v>
      </c>
      <c r="L32" s="10" t="s">
        <v>58</v>
      </c>
      <c r="M32" s="10" t="s">
        <v>153</v>
      </c>
      <c r="N32" s="10" t="s">
        <v>115</v>
      </c>
      <c r="O32" s="9" t="s">
        <v>61</v>
      </c>
      <c r="P32" s="9" t="s">
        <v>55</v>
      </c>
      <c r="Q32" s="9" t="s">
        <v>140</v>
      </c>
      <c r="R32" s="9" t="s">
        <v>55</v>
      </c>
      <c r="S32" s="9" t="s">
        <v>197</v>
      </c>
      <c r="T32" s="9" t="s">
        <v>198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65</v>
      </c>
    </row>
    <row r="33" customFormat="false" ht="15" hidden="false" customHeight="false" outlineLevel="0" collapsed="false">
      <c r="A33" s="9" t="s">
        <v>211</v>
      </c>
      <c r="B33" s="9" t="s">
        <v>212</v>
      </c>
      <c r="C33" s="9" t="s">
        <v>213</v>
      </c>
      <c r="D33" s="9"/>
      <c r="E33" s="9"/>
      <c r="F33" s="10" t="s">
        <v>177</v>
      </c>
      <c r="G33" s="10" t="s">
        <v>194</v>
      </c>
      <c r="H33" s="9" t="s">
        <v>54</v>
      </c>
      <c r="I33" s="9" t="s">
        <v>214</v>
      </c>
      <c r="J33" s="9" t="s">
        <v>196</v>
      </c>
      <c r="K33" s="9" t="s">
        <v>57</v>
      </c>
      <c r="L33" s="10" t="s">
        <v>58</v>
      </c>
      <c r="M33" s="10" t="s">
        <v>153</v>
      </c>
      <c r="N33" s="10" t="s">
        <v>115</v>
      </c>
      <c r="O33" s="9" t="s">
        <v>61</v>
      </c>
      <c r="P33" s="9" t="s">
        <v>55</v>
      </c>
      <c r="Q33" s="9" t="s">
        <v>140</v>
      </c>
      <c r="R33" s="9" t="s">
        <v>55</v>
      </c>
      <c r="S33" s="9" t="s">
        <v>197</v>
      </c>
      <c r="T33" s="9" t="s">
        <v>198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65</v>
      </c>
    </row>
    <row r="34" customFormat="false" ht="15" hidden="false" customHeight="false" outlineLevel="0" collapsed="false">
      <c r="A34" s="9" t="s">
        <v>215</v>
      </c>
      <c r="B34" s="10" t="s">
        <v>216</v>
      </c>
      <c r="C34" s="11" t="n">
        <v>0.1</v>
      </c>
      <c r="D34" s="9"/>
      <c r="E34" s="9"/>
      <c r="F34" s="10" t="s">
        <v>104</v>
      </c>
      <c r="G34" s="10" t="s">
        <v>217</v>
      </c>
      <c r="H34" s="9" t="s">
        <v>54</v>
      </c>
      <c r="I34" s="9" t="s">
        <v>218</v>
      </c>
      <c r="J34" s="10" t="s">
        <v>219</v>
      </c>
      <c r="K34" s="9" t="s">
        <v>57</v>
      </c>
      <c r="L34" s="10" t="s">
        <v>58</v>
      </c>
      <c r="M34" s="10" t="s">
        <v>153</v>
      </c>
      <c r="N34" s="10" t="s">
        <v>115</v>
      </c>
      <c r="O34" s="9" t="s">
        <v>61</v>
      </c>
      <c r="P34" s="9" t="s">
        <v>55</v>
      </c>
      <c r="Q34" s="9" t="s">
        <v>140</v>
      </c>
      <c r="R34" s="9" t="s">
        <v>55</v>
      </c>
      <c r="S34" s="9" t="s">
        <v>220</v>
      </c>
      <c r="T34" s="9" t="s">
        <v>221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65</v>
      </c>
    </row>
    <row r="35" customFormat="false" ht="15" hidden="false" customHeight="false" outlineLevel="0" collapsed="false">
      <c r="A35" s="9" t="s">
        <v>222</v>
      </c>
      <c r="B35" s="10" t="s">
        <v>223</v>
      </c>
      <c r="C35" s="11" t="n">
        <v>8</v>
      </c>
      <c r="D35" s="9"/>
      <c r="E35" s="9"/>
      <c r="F35" s="9" t="s">
        <v>224</v>
      </c>
      <c r="G35" s="9" t="s">
        <v>225</v>
      </c>
      <c r="H35" s="9" t="s">
        <v>54</v>
      </c>
      <c r="I35" s="9" t="s">
        <v>218</v>
      </c>
      <c r="J35" s="9" t="s">
        <v>226</v>
      </c>
      <c r="K35" s="9" t="s">
        <v>57</v>
      </c>
      <c r="L35" s="10" t="s">
        <v>58</v>
      </c>
      <c r="M35" s="10" t="s">
        <v>153</v>
      </c>
      <c r="N35" s="10" t="s">
        <v>115</v>
      </c>
      <c r="O35" s="9" t="s">
        <v>61</v>
      </c>
      <c r="P35" s="9" t="s">
        <v>55</v>
      </c>
      <c r="Q35" s="9" t="s">
        <v>140</v>
      </c>
      <c r="R35" s="9" t="s">
        <v>55</v>
      </c>
      <c r="S35" s="9" t="s">
        <v>227</v>
      </c>
      <c r="T35" s="9" t="s">
        <v>228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65</v>
      </c>
    </row>
    <row r="36" customFormat="false" ht="15" hidden="false" customHeight="false" outlineLevel="0" collapsed="false">
      <c r="A36" s="9" t="s">
        <v>229</v>
      </c>
      <c r="B36" s="10" t="s">
        <v>230</v>
      </c>
      <c r="C36" s="11" t="n">
        <v>20</v>
      </c>
      <c r="D36" s="9"/>
      <c r="E36" s="9"/>
      <c r="F36" s="9" t="s">
        <v>224</v>
      </c>
      <c r="G36" s="9" t="s">
        <v>225</v>
      </c>
      <c r="H36" s="9" t="s">
        <v>54</v>
      </c>
      <c r="I36" s="9" t="s">
        <v>218</v>
      </c>
      <c r="J36" s="9" t="s">
        <v>226</v>
      </c>
      <c r="K36" s="9" t="s">
        <v>57</v>
      </c>
      <c r="L36" s="10" t="s">
        <v>58</v>
      </c>
      <c r="M36" s="10" t="s">
        <v>153</v>
      </c>
      <c r="N36" s="10" t="s">
        <v>115</v>
      </c>
      <c r="O36" s="9" t="s">
        <v>61</v>
      </c>
      <c r="P36" s="9" t="s">
        <v>55</v>
      </c>
      <c r="Q36" s="9" t="s">
        <v>140</v>
      </c>
      <c r="R36" s="9" t="s">
        <v>55</v>
      </c>
      <c r="S36" s="9" t="s">
        <v>227</v>
      </c>
      <c r="T36" s="9" t="s">
        <v>221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65</v>
      </c>
    </row>
    <row r="37" customFormat="false" ht="15" hidden="false" customHeight="false" outlineLevel="0" collapsed="false">
      <c r="A37" s="9" t="s">
        <v>231</v>
      </c>
      <c r="B37" s="10" t="s">
        <v>232</v>
      </c>
      <c r="C37" s="11" t="n">
        <v>100</v>
      </c>
      <c r="D37" s="9"/>
      <c r="E37" s="9"/>
      <c r="F37" s="9" t="s">
        <v>224</v>
      </c>
      <c r="G37" s="9" t="s">
        <v>233</v>
      </c>
      <c r="H37" s="9" t="s">
        <v>54</v>
      </c>
      <c r="I37" s="9" t="s">
        <v>218</v>
      </c>
      <c r="J37" s="9" t="s">
        <v>226</v>
      </c>
      <c r="K37" s="9" t="s">
        <v>57</v>
      </c>
      <c r="L37" s="10" t="s">
        <v>58</v>
      </c>
      <c r="M37" s="10" t="s">
        <v>153</v>
      </c>
      <c r="N37" s="10" t="s">
        <v>115</v>
      </c>
      <c r="O37" s="9" t="s">
        <v>61</v>
      </c>
      <c r="P37" s="9" t="s">
        <v>55</v>
      </c>
      <c r="Q37" s="9" t="s">
        <v>140</v>
      </c>
      <c r="R37" s="9" t="s">
        <v>55</v>
      </c>
      <c r="S37" s="9" t="s">
        <v>227</v>
      </c>
      <c r="T37" s="9" t="s">
        <v>221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65</v>
      </c>
    </row>
    <row r="38" customFormat="false" ht="15" hidden="false" customHeight="false" outlineLevel="0" collapsed="false">
      <c r="A38" s="9" t="s">
        <v>234</v>
      </c>
      <c r="B38" s="10" t="s">
        <v>235</v>
      </c>
      <c r="C38" s="11" t="n">
        <v>200</v>
      </c>
      <c r="D38" s="9"/>
      <c r="E38" s="9"/>
      <c r="F38" s="9" t="s">
        <v>224</v>
      </c>
      <c r="G38" s="9" t="s">
        <v>233</v>
      </c>
      <c r="H38" s="9" t="s">
        <v>54</v>
      </c>
      <c r="I38" s="9" t="s">
        <v>218</v>
      </c>
      <c r="J38" s="9" t="s">
        <v>226</v>
      </c>
      <c r="K38" s="9" t="s">
        <v>57</v>
      </c>
      <c r="L38" s="10" t="s">
        <v>58</v>
      </c>
      <c r="M38" s="10" t="s">
        <v>153</v>
      </c>
      <c r="N38" s="10" t="s">
        <v>115</v>
      </c>
      <c r="O38" s="9" t="s">
        <v>61</v>
      </c>
      <c r="P38" s="9" t="s">
        <v>55</v>
      </c>
      <c r="Q38" s="9" t="s">
        <v>140</v>
      </c>
      <c r="R38" s="9" t="s">
        <v>55</v>
      </c>
      <c r="S38" s="9" t="s">
        <v>227</v>
      </c>
      <c r="T38" s="9" t="s">
        <v>221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65</v>
      </c>
    </row>
    <row r="39" customFormat="false" ht="15" hidden="false" customHeight="false" outlineLevel="0" collapsed="false">
      <c r="A39" s="9" t="s">
        <v>236</v>
      </c>
      <c r="B39" s="10" t="s">
        <v>237</v>
      </c>
      <c r="C39" s="9"/>
      <c r="D39" s="11" t="n">
        <v>20</v>
      </c>
      <c r="E39" s="11" t="n">
        <v>25</v>
      </c>
      <c r="F39" s="9" t="s">
        <v>238</v>
      </c>
      <c r="G39" s="9" t="s">
        <v>239</v>
      </c>
      <c r="H39" s="9" t="s">
        <v>54</v>
      </c>
      <c r="I39" s="9" t="s">
        <v>218</v>
      </c>
      <c r="J39" s="9" t="s">
        <v>226</v>
      </c>
      <c r="K39" s="9" t="s">
        <v>57</v>
      </c>
      <c r="L39" s="10" t="s">
        <v>58</v>
      </c>
      <c r="M39" s="10" t="s">
        <v>153</v>
      </c>
      <c r="N39" s="10" t="s">
        <v>115</v>
      </c>
      <c r="O39" s="9" t="s">
        <v>61</v>
      </c>
      <c r="P39" s="9" t="s">
        <v>55</v>
      </c>
      <c r="Q39" s="9" t="s">
        <v>140</v>
      </c>
      <c r="R39" s="9" t="s">
        <v>55</v>
      </c>
      <c r="S39" s="9" t="s">
        <v>227</v>
      </c>
      <c r="T39" s="9" t="s">
        <v>221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65</v>
      </c>
    </row>
    <row r="40" customFormat="false" ht="15" hidden="false" customHeight="false" outlineLevel="0" collapsed="false">
      <c r="A40" s="9" t="s">
        <v>240</v>
      </c>
      <c r="B40" s="10" t="s">
        <v>241</v>
      </c>
      <c r="C40" s="11" t="n">
        <v>112</v>
      </c>
      <c r="D40" s="9"/>
      <c r="E40" s="9"/>
      <c r="F40" s="9" t="s">
        <v>242</v>
      </c>
      <c r="G40" s="10" t="s">
        <v>243</v>
      </c>
      <c r="H40" s="9" t="s">
        <v>54</v>
      </c>
      <c r="I40" s="9" t="s">
        <v>244</v>
      </c>
      <c r="J40" s="9" t="s">
        <v>245</v>
      </c>
      <c r="K40" s="9" t="s">
        <v>246</v>
      </c>
      <c r="L40" s="10" t="s">
        <v>58</v>
      </c>
      <c r="M40" s="10" t="s">
        <v>71</v>
      </c>
      <c r="N40" s="10" t="s">
        <v>85</v>
      </c>
      <c r="O40" s="9" t="s">
        <v>61</v>
      </c>
      <c r="P40" s="9" t="s">
        <v>55</v>
      </c>
      <c r="Q40" s="9" t="s">
        <v>62</v>
      </c>
      <c r="R40" s="10" t="s">
        <v>247</v>
      </c>
      <c r="S40" s="9" t="s">
        <v>248</v>
      </c>
      <c r="T40" s="9" t="s">
        <v>249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65</v>
      </c>
    </row>
    <row r="41" customFormat="false" ht="15" hidden="false" customHeight="false" outlineLevel="0" collapsed="false">
      <c r="A41" s="9" t="s">
        <v>250</v>
      </c>
      <c r="B41" s="10" t="s">
        <v>251</v>
      </c>
      <c r="C41" s="11" t="n">
        <v>9</v>
      </c>
      <c r="D41" s="9"/>
      <c r="E41" s="9"/>
      <c r="F41" s="9" t="s">
        <v>242</v>
      </c>
      <c r="G41" s="10" t="s">
        <v>243</v>
      </c>
      <c r="H41" s="9" t="s">
        <v>54</v>
      </c>
      <c r="I41" s="9" t="s">
        <v>244</v>
      </c>
      <c r="J41" s="9" t="s">
        <v>252</v>
      </c>
      <c r="K41" s="9" t="s">
        <v>246</v>
      </c>
      <c r="L41" s="10" t="s">
        <v>58</v>
      </c>
      <c r="M41" s="10" t="s">
        <v>71</v>
      </c>
      <c r="N41" s="10" t="s">
        <v>85</v>
      </c>
      <c r="O41" s="9" t="s">
        <v>61</v>
      </c>
      <c r="P41" s="9" t="s">
        <v>55</v>
      </c>
      <c r="Q41" s="9" t="s">
        <v>62</v>
      </c>
      <c r="R41" s="10" t="s">
        <v>247</v>
      </c>
      <c r="S41" s="9" t="s">
        <v>253</v>
      </c>
      <c r="T41" s="9" t="s">
        <v>249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65</v>
      </c>
    </row>
    <row r="42" customFormat="false" ht="15" hidden="false" customHeight="false" outlineLevel="0" collapsed="false">
      <c r="A42" s="9" t="s">
        <v>254</v>
      </c>
      <c r="B42" s="10" t="s">
        <v>255</v>
      </c>
      <c r="C42" s="11" t="n">
        <v>2.5</v>
      </c>
      <c r="D42" s="9"/>
      <c r="E42" s="9"/>
      <c r="F42" s="9" t="s">
        <v>52</v>
      </c>
      <c r="G42" s="10" t="s">
        <v>256</v>
      </c>
      <c r="H42" s="9" t="s">
        <v>54</v>
      </c>
      <c r="I42" s="9" t="s">
        <v>257</v>
      </c>
      <c r="J42" s="9" t="s">
        <v>258</v>
      </c>
      <c r="K42" s="9" t="s">
        <v>57</v>
      </c>
      <c r="L42" s="10" t="s">
        <v>58</v>
      </c>
      <c r="M42" s="10" t="s">
        <v>71</v>
      </c>
      <c r="N42" s="10" t="s">
        <v>85</v>
      </c>
      <c r="O42" s="9" t="s">
        <v>61</v>
      </c>
      <c r="P42" s="9" t="s">
        <v>55</v>
      </c>
      <c r="Q42" s="9" t="s">
        <v>62</v>
      </c>
      <c r="R42" s="9" t="s">
        <v>55</v>
      </c>
      <c r="S42" s="9" t="s">
        <v>259</v>
      </c>
      <c r="T42" s="9" t="s">
        <v>260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65</v>
      </c>
    </row>
    <row r="43" customFormat="false" ht="15" hidden="false" customHeight="false" outlineLevel="0" collapsed="false">
      <c r="A43" s="9" t="s">
        <v>261</v>
      </c>
      <c r="B43" s="10" t="s">
        <v>262</v>
      </c>
      <c r="C43" s="11" t="n">
        <v>11</v>
      </c>
      <c r="D43" s="9"/>
      <c r="E43" s="9"/>
      <c r="F43" s="9" t="s">
        <v>52</v>
      </c>
      <c r="G43" s="10" t="s">
        <v>256</v>
      </c>
      <c r="H43" s="9" t="s">
        <v>54</v>
      </c>
      <c r="I43" s="9" t="s">
        <v>257</v>
      </c>
      <c r="J43" s="9" t="s">
        <v>258</v>
      </c>
      <c r="K43" s="9" t="s">
        <v>57</v>
      </c>
      <c r="L43" s="10" t="s">
        <v>58</v>
      </c>
      <c r="M43" s="10" t="s">
        <v>71</v>
      </c>
      <c r="N43" s="10" t="s">
        <v>85</v>
      </c>
      <c r="O43" s="9" t="s">
        <v>61</v>
      </c>
      <c r="P43" s="9" t="s">
        <v>55</v>
      </c>
      <c r="Q43" s="9" t="s">
        <v>62</v>
      </c>
      <c r="R43" s="9" t="s">
        <v>55</v>
      </c>
      <c r="S43" s="9" t="s">
        <v>259</v>
      </c>
      <c r="T43" s="9" t="s">
        <v>260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65</v>
      </c>
    </row>
    <row r="44" customFormat="false" ht="15" hidden="false" customHeight="false" outlineLevel="0" collapsed="false">
      <c r="A44" s="9" t="s">
        <v>263</v>
      </c>
      <c r="B44" s="10" t="s">
        <v>264</v>
      </c>
      <c r="C44" s="11" t="n">
        <v>25</v>
      </c>
      <c r="D44" s="9"/>
      <c r="E44" s="9"/>
      <c r="F44" s="9" t="s">
        <v>52</v>
      </c>
      <c r="G44" s="10" t="s">
        <v>256</v>
      </c>
      <c r="H44" s="9" t="s">
        <v>54</v>
      </c>
      <c r="I44" s="9" t="s">
        <v>257</v>
      </c>
      <c r="J44" s="9" t="s">
        <v>258</v>
      </c>
      <c r="K44" s="9" t="s">
        <v>57</v>
      </c>
      <c r="L44" s="10" t="s">
        <v>58</v>
      </c>
      <c r="M44" s="10" t="s">
        <v>71</v>
      </c>
      <c r="N44" s="10" t="s">
        <v>85</v>
      </c>
      <c r="O44" s="9" t="s">
        <v>61</v>
      </c>
      <c r="P44" s="9" t="s">
        <v>55</v>
      </c>
      <c r="Q44" s="9" t="s">
        <v>62</v>
      </c>
      <c r="R44" s="9" t="s">
        <v>55</v>
      </c>
      <c r="S44" s="9" t="s">
        <v>259</v>
      </c>
      <c r="T44" s="9" t="s">
        <v>260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65</v>
      </c>
    </row>
    <row r="45" customFormat="false" ht="15" hidden="false" customHeight="false" outlineLevel="0" collapsed="false">
      <c r="A45" s="9" t="s">
        <v>265</v>
      </c>
      <c r="B45" s="10" t="s">
        <v>266</v>
      </c>
      <c r="C45" s="11" t="n">
        <v>53</v>
      </c>
      <c r="D45" s="9"/>
      <c r="E45" s="9"/>
      <c r="F45" s="9" t="s">
        <v>52</v>
      </c>
      <c r="G45" s="10" t="s">
        <v>256</v>
      </c>
      <c r="H45" s="9" t="s">
        <v>54</v>
      </c>
      <c r="I45" s="9" t="s">
        <v>257</v>
      </c>
      <c r="J45" s="9" t="s">
        <v>258</v>
      </c>
      <c r="K45" s="9" t="s">
        <v>57</v>
      </c>
      <c r="L45" s="10" t="s">
        <v>58</v>
      </c>
      <c r="M45" s="10" t="s">
        <v>71</v>
      </c>
      <c r="N45" s="10" t="s">
        <v>85</v>
      </c>
      <c r="O45" s="9" t="s">
        <v>61</v>
      </c>
      <c r="P45" s="9" t="s">
        <v>55</v>
      </c>
      <c r="Q45" s="9" t="s">
        <v>62</v>
      </c>
      <c r="R45" s="9" t="s">
        <v>55</v>
      </c>
      <c r="S45" s="9" t="s">
        <v>259</v>
      </c>
      <c r="T45" s="9" t="s">
        <v>260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65</v>
      </c>
    </row>
    <row r="46" customFormat="false" ht="15" hidden="false" customHeight="false" outlineLevel="0" collapsed="false">
      <c r="A46" s="9" t="s">
        <v>267</v>
      </c>
      <c r="B46" s="10" t="s">
        <v>268</v>
      </c>
      <c r="C46" s="11" t="n">
        <v>100</v>
      </c>
      <c r="D46" s="9"/>
      <c r="E46" s="9"/>
      <c r="F46" s="9" t="s">
        <v>52</v>
      </c>
      <c r="G46" s="10" t="s">
        <v>256</v>
      </c>
      <c r="H46" s="9" t="s">
        <v>54</v>
      </c>
      <c r="I46" s="9" t="s">
        <v>257</v>
      </c>
      <c r="J46" s="9" t="s">
        <v>258</v>
      </c>
      <c r="K46" s="9" t="s">
        <v>57</v>
      </c>
      <c r="L46" s="10" t="s">
        <v>58</v>
      </c>
      <c r="M46" s="10" t="s">
        <v>71</v>
      </c>
      <c r="N46" s="10" t="s">
        <v>85</v>
      </c>
      <c r="O46" s="9" t="s">
        <v>61</v>
      </c>
      <c r="P46" s="9" t="s">
        <v>55</v>
      </c>
      <c r="Q46" s="9" t="s">
        <v>62</v>
      </c>
      <c r="R46" s="9" t="s">
        <v>55</v>
      </c>
      <c r="S46" s="9" t="s">
        <v>259</v>
      </c>
      <c r="T46" s="9" t="s">
        <v>260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65</v>
      </c>
    </row>
    <row r="47" customFormat="false" ht="15" hidden="false" customHeight="false" outlineLevel="0" collapsed="false">
      <c r="A47" s="9" t="s">
        <v>269</v>
      </c>
      <c r="B47" s="10" t="s">
        <v>270</v>
      </c>
      <c r="C47" s="11" t="n">
        <v>36</v>
      </c>
      <c r="D47" s="9"/>
      <c r="E47" s="9"/>
      <c r="F47" s="9" t="s">
        <v>52</v>
      </c>
      <c r="G47" s="9" t="s">
        <v>271</v>
      </c>
      <c r="H47" s="9" t="s">
        <v>54</v>
      </c>
      <c r="I47" s="9" t="s">
        <v>272</v>
      </c>
      <c r="J47" s="9" t="s">
        <v>273</v>
      </c>
      <c r="K47" s="9" t="s">
        <v>57</v>
      </c>
      <c r="L47" s="10" t="s">
        <v>58</v>
      </c>
      <c r="M47" s="10" t="s">
        <v>71</v>
      </c>
      <c r="N47" s="10" t="s">
        <v>60</v>
      </c>
      <c r="O47" s="9" t="s">
        <v>61</v>
      </c>
      <c r="P47" s="9" t="s">
        <v>55</v>
      </c>
      <c r="Q47" s="9" t="s">
        <v>62</v>
      </c>
      <c r="R47" s="9" t="s">
        <v>55</v>
      </c>
      <c r="S47" s="9" t="s">
        <v>274</v>
      </c>
      <c r="T47" s="9" t="s">
        <v>275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65</v>
      </c>
    </row>
    <row r="48" customFormat="false" ht="15" hidden="false" customHeight="false" outlineLevel="0" collapsed="false">
      <c r="A48" s="9" t="s">
        <v>276</v>
      </c>
      <c r="B48" s="10" t="s">
        <v>277</v>
      </c>
      <c r="C48" s="11" t="n">
        <v>350</v>
      </c>
      <c r="D48" s="9"/>
      <c r="E48" s="9"/>
      <c r="F48" s="9" t="s">
        <v>52</v>
      </c>
      <c r="G48" s="9" t="s">
        <v>278</v>
      </c>
      <c r="H48" s="9" t="s">
        <v>54</v>
      </c>
      <c r="I48" s="9" t="s">
        <v>272</v>
      </c>
      <c r="J48" s="9" t="s">
        <v>273</v>
      </c>
      <c r="K48" s="9" t="s">
        <v>57</v>
      </c>
      <c r="L48" s="10" t="s">
        <v>58</v>
      </c>
      <c r="M48" s="10" t="s">
        <v>71</v>
      </c>
      <c r="N48" s="10" t="s">
        <v>60</v>
      </c>
      <c r="O48" s="9" t="s">
        <v>61</v>
      </c>
      <c r="P48" s="9" t="s">
        <v>55</v>
      </c>
      <c r="Q48" s="9" t="s">
        <v>62</v>
      </c>
      <c r="R48" s="9" t="s">
        <v>55</v>
      </c>
      <c r="S48" s="9" t="s">
        <v>274</v>
      </c>
      <c r="T48" s="9" t="s">
        <v>275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65</v>
      </c>
    </row>
    <row r="49" customFormat="false" ht="15" hidden="false" customHeight="false" outlineLevel="0" collapsed="false">
      <c r="A49" s="9" t="s">
        <v>279</v>
      </c>
      <c r="B49" s="10" t="s">
        <v>280</v>
      </c>
      <c r="C49" s="11" t="n">
        <v>840</v>
      </c>
      <c r="D49" s="9"/>
      <c r="E49" s="9"/>
      <c r="F49" s="9" t="s">
        <v>52</v>
      </c>
      <c r="G49" s="9" t="s">
        <v>278</v>
      </c>
      <c r="H49" s="9" t="s">
        <v>54</v>
      </c>
      <c r="I49" s="9" t="s">
        <v>272</v>
      </c>
      <c r="J49" s="9" t="s">
        <v>273</v>
      </c>
      <c r="K49" s="9" t="s">
        <v>57</v>
      </c>
      <c r="L49" s="10" t="s">
        <v>58</v>
      </c>
      <c r="M49" s="10" t="s">
        <v>71</v>
      </c>
      <c r="N49" s="10" t="s">
        <v>60</v>
      </c>
      <c r="O49" s="9" t="s">
        <v>61</v>
      </c>
      <c r="P49" s="9" t="s">
        <v>55</v>
      </c>
      <c r="Q49" s="9" t="s">
        <v>62</v>
      </c>
      <c r="R49" s="9" t="s">
        <v>55</v>
      </c>
      <c r="S49" s="9" t="s">
        <v>274</v>
      </c>
      <c r="T49" s="9" t="s">
        <v>275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65</v>
      </c>
    </row>
    <row r="50" customFormat="false" ht="15" hidden="false" customHeight="false" outlineLevel="0" collapsed="false">
      <c r="A50" s="9" t="s">
        <v>281</v>
      </c>
      <c r="B50" s="9" t="s">
        <v>282</v>
      </c>
      <c r="C50" s="11" t="n">
        <v>2750</v>
      </c>
      <c r="D50" s="9"/>
      <c r="E50" s="9"/>
      <c r="F50" s="9" t="s">
        <v>242</v>
      </c>
      <c r="G50" s="10" t="s">
        <v>283</v>
      </c>
      <c r="H50" s="9" t="s">
        <v>54</v>
      </c>
      <c r="I50" s="9" t="s">
        <v>257</v>
      </c>
      <c r="J50" s="9" t="s">
        <v>284</v>
      </c>
      <c r="K50" s="9" t="s">
        <v>57</v>
      </c>
      <c r="L50" s="10" t="s">
        <v>58</v>
      </c>
      <c r="M50" s="10" t="s">
        <v>71</v>
      </c>
      <c r="N50" s="10" t="s">
        <v>85</v>
      </c>
      <c r="O50" s="9" t="s">
        <v>61</v>
      </c>
      <c r="P50" s="9" t="s">
        <v>55</v>
      </c>
      <c r="Q50" s="9" t="s">
        <v>62</v>
      </c>
      <c r="R50" s="9" t="s">
        <v>55</v>
      </c>
      <c r="S50" s="9" t="s">
        <v>285</v>
      </c>
      <c r="T50" s="9" t="s">
        <v>260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65</v>
      </c>
    </row>
    <row r="51" customFormat="false" ht="15" hidden="false" customHeight="false" outlineLevel="0" collapsed="false">
      <c r="A51" s="9" t="s">
        <v>286</v>
      </c>
      <c r="B51" s="10" t="s">
        <v>287</v>
      </c>
      <c r="C51" s="11" t="n">
        <v>8.4</v>
      </c>
      <c r="D51" s="9"/>
      <c r="E51" s="9"/>
      <c r="F51" s="9" t="s">
        <v>52</v>
      </c>
      <c r="G51" s="9" t="s">
        <v>288</v>
      </c>
      <c r="H51" s="9" t="s">
        <v>54</v>
      </c>
      <c r="I51" s="9" t="s">
        <v>289</v>
      </c>
      <c r="J51" s="9" t="s">
        <v>290</v>
      </c>
      <c r="K51" s="9" t="s">
        <v>246</v>
      </c>
      <c r="L51" s="10" t="s">
        <v>58</v>
      </c>
      <c r="M51" s="10" t="s">
        <v>71</v>
      </c>
      <c r="N51" s="10" t="s">
        <v>85</v>
      </c>
      <c r="O51" s="9" t="s">
        <v>61</v>
      </c>
      <c r="P51" s="9" t="s">
        <v>55</v>
      </c>
      <c r="Q51" s="9" t="s">
        <v>62</v>
      </c>
      <c r="R51" s="10" t="s">
        <v>247</v>
      </c>
      <c r="S51" s="9" t="s">
        <v>291</v>
      </c>
      <c r="T51" s="9" t="s">
        <v>292</v>
      </c>
      <c r="U51" s="9" t="s">
        <v>293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65</v>
      </c>
    </row>
    <row r="52" customFormat="false" ht="15" hidden="false" customHeight="false" outlineLevel="0" collapsed="false">
      <c r="A52" s="9" t="s">
        <v>294</v>
      </c>
      <c r="B52" s="10" t="s">
        <v>295</v>
      </c>
      <c r="C52" s="11" t="n">
        <v>3.9</v>
      </c>
      <c r="D52" s="9"/>
      <c r="E52" s="9"/>
      <c r="F52" s="9" t="s">
        <v>52</v>
      </c>
      <c r="G52" s="10" t="s">
        <v>296</v>
      </c>
      <c r="H52" s="9" t="s">
        <v>54</v>
      </c>
      <c r="I52" s="9" t="s">
        <v>289</v>
      </c>
      <c r="J52" s="9" t="s">
        <v>297</v>
      </c>
      <c r="K52" s="9" t="s">
        <v>246</v>
      </c>
      <c r="L52" s="10" t="s">
        <v>58</v>
      </c>
      <c r="M52" s="10" t="s">
        <v>71</v>
      </c>
      <c r="N52" s="10" t="s">
        <v>85</v>
      </c>
      <c r="O52" s="9" t="s">
        <v>61</v>
      </c>
      <c r="P52" s="9" t="s">
        <v>55</v>
      </c>
      <c r="Q52" s="9" t="s">
        <v>62</v>
      </c>
      <c r="R52" s="10" t="s">
        <v>247</v>
      </c>
      <c r="S52" s="9" t="s">
        <v>298</v>
      </c>
      <c r="T52" s="9" t="s">
        <v>299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65</v>
      </c>
    </row>
    <row r="53" customFormat="false" ht="15" hidden="false" customHeight="false" outlineLevel="0" collapsed="false">
      <c r="A53" s="9" t="s">
        <v>300</v>
      </c>
      <c r="B53" s="10" t="s">
        <v>301</v>
      </c>
      <c r="C53" s="11" t="n">
        <v>4.5</v>
      </c>
      <c r="D53" s="9"/>
      <c r="E53" s="9"/>
      <c r="F53" s="9" t="s">
        <v>52</v>
      </c>
      <c r="G53" s="10" t="s">
        <v>302</v>
      </c>
      <c r="H53" s="9" t="s">
        <v>54</v>
      </c>
      <c r="I53" s="9" t="s">
        <v>289</v>
      </c>
      <c r="J53" s="9" t="s">
        <v>303</v>
      </c>
      <c r="K53" s="9" t="s">
        <v>246</v>
      </c>
      <c r="L53" s="10" t="s">
        <v>58</v>
      </c>
      <c r="M53" s="10" t="s">
        <v>71</v>
      </c>
      <c r="N53" s="10" t="s">
        <v>85</v>
      </c>
      <c r="O53" s="9" t="s">
        <v>61</v>
      </c>
      <c r="P53" s="9" t="s">
        <v>55</v>
      </c>
      <c r="Q53" s="9" t="s">
        <v>62</v>
      </c>
      <c r="R53" s="10" t="s">
        <v>247</v>
      </c>
      <c r="S53" s="9" t="s">
        <v>304</v>
      </c>
      <c r="T53" s="9" t="s">
        <v>299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65</v>
      </c>
    </row>
    <row r="54" customFormat="false" ht="15" hidden="false" customHeight="false" outlineLevel="0" collapsed="false">
      <c r="A54" s="9" t="s">
        <v>305</v>
      </c>
      <c r="B54" s="10" t="s">
        <v>306</v>
      </c>
      <c r="C54" s="11" t="n">
        <v>14.1</v>
      </c>
      <c r="D54" s="9"/>
      <c r="E54" s="9"/>
      <c r="F54" s="9" t="s">
        <v>52</v>
      </c>
      <c r="G54" s="9" t="s">
        <v>307</v>
      </c>
      <c r="H54" s="9" t="s">
        <v>54</v>
      </c>
      <c r="I54" s="9" t="s">
        <v>289</v>
      </c>
      <c r="J54" s="9" t="s">
        <v>308</v>
      </c>
      <c r="K54" s="9" t="s">
        <v>57</v>
      </c>
      <c r="L54" s="10" t="s">
        <v>58</v>
      </c>
      <c r="M54" s="10" t="s">
        <v>71</v>
      </c>
      <c r="N54" s="10" t="s">
        <v>85</v>
      </c>
      <c r="O54" s="9" t="s">
        <v>61</v>
      </c>
      <c r="P54" s="9" t="s">
        <v>55</v>
      </c>
      <c r="Q54" s="9" t="s">
        <v>62</v>
      </c>
      <c r="R54" s="9" t="s">
        <v>55</v>
      </c>
      <c r="S54" s="9" t="s">
        <v>309</v>
      </c>
      <c r="T54" s="9" t="s">
        <v>310</v>
      </c>
      <c r="U54" s="10" t="s">
        <v>311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65</v>
      </c>
    </row>
    <row r="55" customFormat="false" ht="15" hidden="false" customHeight="false" outlineLevel="0" collapsed="false">
      <c r="A55" s="9" t="s">
        <v>312</v>
      </c>
      <c r="B55" s="10" t="s">
        <v>313</v>
      </c>
      <c r="C55" s="11" t="n">
        <v>85</v>
      </c>
      <c r="D55" s="9"/>
      <c r="E55" s="9"/>
      <c r="F55" s="9" t="s">
        <v>52</v>
      </c>
      <c r="G55" s="9" t="s">
        <v>314</v>
      </c>
      <c r="H55" s="9" t="s">
        <v>54</v>
      </c>
      <c r="I55" s="9" t="s">
        <v>289</v>
      </c>
      <c r="J55" s="9" t="s">
        <v>315</v>
      </c>
      <c r="K55" s="9" t="s">
        <v>57</v>
      </c>
      <c r="L55" s="10" t="s">
        <v>58</v>
      </c>
      <c r="M55" s="10" t="s">
        <v>71</v>
      </c>
      <c r="N55" s="10" t="s">
        <v>85</v>
      </c>
      <c r="O55" s="9" t="s">
        <v>61</v>
      </c>
      <c r="P55" s="9" t="s">
        <v>55</v>
      </c>
      <c r="Q55" s="9" t="s">
        <v>62</v>
      </c>
      <c r="R55" s="9" t="s">
        <v>55</v>
      </c>
      <c r="S55" s="9" t="s">
        <v>316</v>
      </c>
      <c r="T55" s="9" t="s">
        <v>310</v>
      </c>
      <c r="U55" s="10" t="s">
        <v>317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65</v>
      </c>
    </row>
    <row r="56" customFormat="false" ht="15" hidden="false" customHeight="false" outlineLevel="0" collapsed="false">
      <c r="A56" s="9" t="s">
        <v>318</v>
      </c>
      <c r="B56" s="10" t="s">
        <v>319</v>
      </c>
      <c r="C56" s="11" t="n">
        <v>-278</v>
      </c>
      <c r="D56" s="9"/>
      <c r="E56" s="9"/>
      <c r="F56" s="9" t="s">
        <v>52</v>
      </c>
      <c r="G56" s="9" t="s">
        <v>320</v>
      </c>
      <c r="H56" s="9" t="s">
        <v>54</v>
      </c>
      <c r="I56" s="9" t="s">
        <v>272</v>
      </c>
      <c r="J56" s="9" t="s">
        <v>321</v>
      </c>
      <c r="K56" s="9" t="s">
        <v>57</v>
      </c>
      <c r="L56" s="10" t="s">
        <v>58</v>
      </c>
      <c r="M56" s="10" t="s">
        <v>71</v>
      </c>
      <c r="N56" s="10" t="s">
        <v>85</v>
      </c>
      <c r="O56" s="9" t="s">
        <v>61</v>
      </c>
      <c r="P56" s="9" t="s">
        <v>55</v>
      </c>
      <c r="Q56" s="9" t="s">
        <v>62</v>
      </c>
      <c r="R56" s="9" t="s">
        <v>55</v>
      </c>
      <c r="S56" s="9" t="s">
        <v>322</v>
      </c>
      <c r="T56" s="9" t="s">
        <v>275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65</v>
      </c>
    </row>
    <row r="57" customFormat="false" ht="15" hidden="false" customHeight="false" outlineLevel="0" collapsed="false">
      <c r="A57" s="9" t="s">
        <v>323</v>
      </c>
      <c r="B57" s="10" t="s">
        <v>324</v>
      </c>
      <c r="C57" s="11" t="n">
        <v>856</v>
      </c>
      <c r="D57" s="11" t="n">
        <v>600</v>
      </c>
      <c r="E57" s="11" t="n">
        <v>856</v>
      </c>
      <c r="F57" s="9" t="s">
        <v>52</v>
      </c>
      <c r="G57" s="9" t="s">
        <v>325</v>
      </c>
      <c r="H57" s="9" t="s">
        <v>54</v>
      </c>
      <c r="I57" s="9" t="s">
        <v>272</v>
      </c>
      <c r="J57" s="9" t="s">
        <v>326</v>
      </c>
      <c r="K57" s="9" t="s">
        <v>246</v>
      </c>
      <c r="L57" s="10" t="s">
        <v>58</v>
      </c>
      <c r="M57" s="10" t="s">
        <v>71</v>
      </c>
      <c r="N57" s="10" t="s">
        <v>85</v>
      </c>
      <c r="O57" s="9" t="s">
        <v>61</v>
      </c>
      <c r="P57" s="9" t="s">
        <v>55</v>
      </c>
      <c r="Q57" s="9" t="s">
        <v>62</v>
      </c>
      <c r="R57" s="10" t="s">
        <v>247</v>
      </c>
      <c r="S57" s="9" t="s">
        <v>327</v>
      </c>
      <c r="T57" s="9" t="s">
        <v>328</v>
      </c>
      <c r="U57" s="10" t="s">
        <v>329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65</v>
      </c>
    </row>
    <row r="58" customFormat="false" ht="15" hidden="false" customHeight="false" outlineLevel="0" collapsed="false">
      <c r="A58" s="9" t="s">
        <v>330</v>
      </c>
      <c r="B58" s="10" t="s">
        <v>331</v>
      </c>
      <c r="C58" s="11" t="n">
        <v>280</v>
      </c>
      <c r="D58" s="9"/>
      <c r="E58" s="9"/>
      <c r="F58" s="9" t="s">
        <v>52</v>
      </c>
      <c r="G58" s="9" t="s">
        <v>332</v>
      </c>
      <c r="H58" s="9" t="s">
        <v>54</v>
      </c>
      <c r="I58" s="9" t="s">
        <v>289</v>
      </c>
      <c r="J58" s="9" t="s">
        <v>333</v>
      </c>
      <c r="K58" s="9" t="s">
        <v>57</v>
      </c>
      <c r="L58" s="10" t="s">
        <v>58</v>
      </c>
      <c r="M58" s="10" t="s">
        <v>71</v>
      </c>
      <c r="N58" s="10" t="s">
        <v>85</v>
      </c>
      <c r="O58" s="9" t="s">
        <v>61</v>
      </c>
      <c r="P58" s="9" t="s">
        <v>55</v>
      </c>
      <c r="Q58" s="9" t="s">
        <v>62</v>
      </c>
      <c r="R58" s="9" t="s">
        <v>55</v>
      </c>
      <c r="S58" s="9" t="s">
        <v>334</v>
      </c>
      <c r="T58" s="9" t="s">
        <v>335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65</v>
      </c>
    </row>
    <row r="59" customFormat="false" ht="15" hidden="false" customHeight="false" outlineLevel="0" collapsed="false">
      <c r="A59" s="9" t="s">
        <v>336</v>
      </c>
      <c r="B59" s="10" t="s">
        <v>337</v>
      </c>
      <c r="C59" s="11" t="n">
        <v>250</v>
      </c>
      <c r="D59" s="9"/>
      <c r="E59" s="9"/>
      <c r="F59" s="9" t="s">
        <v>52</v>
      </c>
      <c r="G59" s="9" t="s">
        <v>338</v>
      </c>
      <c r="H59" s="9" t="s">
        <v>122</v>
      </c>
      <c r="I59" s="9" t="s">
        <v>113</v>
      </c>
      <c r="J59" s="9" t="s">
        <v>339</v>
      </c>
      <c r="K59" s="9" t="s">
        <v>57</v>
      </c>
      <c r="L59" s="10" t="s">
        <v>58</v>
      </c>
      <c r="M59" s="10" t="s">
        <v>139</v>
      </c>
      <c r="N59" s="10" t="s">
        <v>115</v>
      </c>
      <c r="O59" s="9" t="s">
        <v>61</v>
      </c>
      <c r="P59" s="9" t="s">
        <v>55</v>
      </c>
      <c r="Q59" s="9" t="s">
        <v>140</v>
      </c>
      <c r="R59" s="9" t="s">
        <v>55</v>
      </c>
      <c r="S59" s="9" t="s">
        <v>340</v>
      </c>
      <c r="T59" s="9" t="s">
        <v>341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65</v>
      </c>
    </row>
    <row r="60" customFormat="false" ht="15" hidden="false" customHeight="false" outlineLevel="0" collapsed="false">
      <c r="A60" s="9" t="s">
        <v>342</v>
      </c>
      <c r="B60" s="10" t="s">
        <v>343</v>
      </c>
      <c r="C60" s="11" t="n">
        <v>300</v>
      </c>
      <c r="D60" s="9"/>
      <c r="E60" s="9"/>
      <c r="F60" s="9" t="s">
        <v>52</v>
      </c>
      <c r="G60" s="9" t="s">
        <v>344</v>
      </c>
      <c r="H60" s="9" t="s">
        <v>345</v>
      </c>
      <c r="I60" s="9" t="s">
        <v>346</v>
      </c>
      <c r="J60" s="9" t="s">
        <v>347</v>
      </c>
      <c r="K60" s="9" t="s">
        <v>57</v>
      </c>
      <c r="L60" s="10" t="s">
        <v>58</v>
      </c>
      <c r="M60" s="10" t="s">
        <v>125</v>
      </c>
      <c r="N60" s="10" t="s">
        <v>60</v>
      </c>
      <c r="O60" s="9" t="s">
        <v>61</v>
      </c>
      <c r="P60" s="9" t="s">
        <v>55</v>
      </c>
      <c r="Q60" s="9" t="s">
        <v>62</v>
      </c>
      <c r="R60" s="9" t="s">
        <v>55</v>
      </c>
      <c r="S60" s="9" t="s">
        <v>348</v>
      </c>
      <c r="T60" s="9" t="s">
        <v>349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65</v>
      </c>
    </row>
    <row r="61" customFormat="false" ht="15" hidden="false" customHeight="false" outlineLevel="0" collapsed="false">
      <c r="A61" s="9" t="s">
        <v>350</v>
      </c>
      <c r="B61" s="10" t="s">
        <v>351</v>
      </c>
      <c r="C61" s="11" t="n">
        <v>2027</v>
      </c>
      <c r="D61" s="9"/>
      <c r="E61" s="9"/>
      <c r="F61" s="10" t="s">
        <v>136</v>
      </c>
      <c r="G61" s="9" t="s">
        <v>352</v>
      </c>
      <c r="H61" s="9" t="s">
        <v>345</v>
      </c>
      <c r="I61" s="9" t="s">
        <v>346</v>
      </c>
      <c r="J61" s="9" t="s">
        <v>347</v>
      </c>
      <c r="K61" s="9" t="s">
        <v>57</v>
      </c>
      <c r="L61" s="10" t="s">
        <v>58</v>
      </c>
      <c r="M61" s="10" t="s">
        <v>125</v>
      </c>
      <c r="N61" s="10" t="s">
        <v>60</v>
      </c>
      <c r="O61" s="9" t="s">
        <v>61</v>
      </c>
      <c r="P61" s="9" t="s">
        <v>55</v>
      </c>
      <c r="Q61" s="9" t="s">
        <v>62</v>
      </c>
      <c r="R61" s="9" t="s">
        <v>55</v>
      </c>
      <c r="S61" s="9" t="s">
        <v>348</v>
      </c>
      <c r="T61" s="9" t="s">
        <v>353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65</v>
      </c>
    </row>
    <row r="62" customFormat="false" ht="15" hidden="false" customHeight="false" outlineLevel="0" collapsed="false">
      <c r="A62" s="9" t="s">
        <v>354</v>
      </c>
      <c r="B62" s="10" t="s">
        <v>355</v>
      </c>
      <c r="C62" s="11" t="n">
        <v>2031</v>
      </c>
      <c r="D62" s="9"/>
      <c r="E62" s="9"/>
      <c r="F62" s="10" t="s">
        <v>136</v>
      </c>
      <c r="G62" s="9" t="s">
        <v>356</v>
      </c>
      <c r="H62" s="9" t="s">
        <v>345</v>
      </c>
      <c r="I62" s="9" t="s">
        <v>346</v>
      </c>
      <c r="J62" s="9" t="s">
        <v>347</v>
      </c>
      <c r="K62" s="9" t="s">
        <v>57</v>
      </c>
      <c r="L62" s="10" t="s">
        <v>58</v>
      </c>
      <c r="M62" s="10" t="s">
        <v>125</v>
      </c>
      <c r="N62" s="10" t="s">
        <v>60</v>
      </c>
      <c r="O62" s="9" t="s">
        <v>61</v>
      </c>
      <c r="P62" s="9" t="s">
        <v>55</v>
      </c>
      <c r="Q62" s="9" t="s">
        <v>62</v>
      </c>
      <c r="R62" s="9" t="s">
        <v>55</v>
      </c>
      <c r="S62" s="9" t="s">
        <v>348</v>
      </c>
      <c r="T62" s="9" t="s">
        <v>353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65</v>
      </c>
    </row>
    <row r="63" customFormat="false" ht="15" hidden="false" customHeight="false" outlineLevel="0" collapsed="false">
      <c r="A63" s="9" t="s">
        <v>357</v>
      </c>
      <c r="B63" s="10" t="s">
        <v>358</v>
      </c>
      <c r="C63" s="11" t="n">
        <v>4.5</v>
      </c>
      <c r="D63" s="9"/>
      <c r="E63" s="9"/>
      <c r="F63" s="9" t="s">
        <v>359</v>
      </c>
      <c r="G63" s="10" t="s">
        <v>360</v>
      </c>
      <c r="H63" s="9" t="s">
        <v>345</v>
      </c>
      <c r="I63" s="9" t="s">
        <v>346</v>
      </c>
      <c r="J63" s="9" t="s">
        <v>347</v>
      </c>
      <c r="K63" s="9" t="s">
        <v>57</v>
      </c>
      <c r="L63" s="10" t="s">
        <v>58</v>
      </c>
      <c r="M63" s="10" t="s">
        <v>125</v>
      </c>
      <c r="N63" s="10" t="s">
        <v>60</v>
      </c>
      <c r="O63" s="9" t="s">
        <v>61</v>
      </c>
      <c r="P63" s="9" t="s">
        <v>55</v>
      </c>
      <c r="Q63" s="9" t="s">
        <v>62</v>
      </c>
      <c r="R63" s="9" t="s">
        <v>55</v>
      </c>
      <c r="S63" s="9" t="s">
        <v>348</v>
      </c>
      <c r="T63" s="9" t="s">
        <v>361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65</v>
      </c>
    </row>
    <row r="64" customFormat="false" ht="15" hidden="false" customHeight="false" outlineLevel="0" collapsed="false">
      <c r="A64" s="9" t="s">
        <v>362</v>
      </c>
      <c r="B64" s="10" t="s">
        <v>363</v>
      </c>
      <c r="C64" s="11" t="n">
        <v>38</v>
      </c>
      <c r="D64" s="9"/>
      <c r="E64" s="9"/>
      <c r="F64" s="9" t="s">
        <v>52</v>
      </c>
      <c r="G64" s="9" t="s">
        <v>364</v>
      </c>
      <c r="H64" s="9" t="s">
        <v>365</v>
      </c>
      <c r="I64" s="9" t="s">
        <v>366</v>
      </c>
      <c r="J64" s="9" t="s">
        <v>367</v>
      </c>
      <c r="K64" s="9" t="s">
        <v>57</v>
      </c>
      <c r="L64" s="10" t="s">
        <v>58</v>
      </c>
      <c r="M64" s="10" t="s">
        <v>139</v>
      </c>
      <c r="N64" s="10" t="s">
        <v>115</v>
      </c>
      <c r="O64" s="9" t="s">
        <v>61</v>
      </c>
      <c r="P64" s="9" t="s">
        <v>55</v>
      </c>
      <c r="Q64" s="9" t="s">
        <v>140</v>
      </c>
      <c r="R64" s="9" t="s">
        <v>55</v>
      </c>
      <c r="S64" s="9" t="s">
        <v>368</v>
      </c>
      <c r="T64" s="9" t="s">
        <v>369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65</v>
      </c>
    </row>
    <row r="65" customFormat="false" ht="15" hidden="false" customHeight="false" outlineLevel="0" collapsed="false">
      <c r="A65" s="9" t="s">
        <v>370</v>
      </c>
      <c r="B65" s="10" t="s">
        <v>371</v>
      </c>
      <c r="C65" s="11" t="n">
        <v>2025</v>
      </c>
      <c r="D65" s="9"/>
      <c r="E65" s="9"/>
      <c r="F65" s="10" t="s">
        <v>136</v>
      </c>
      <c r="G65" s="10" t="s">
        <v>372</v>
      </c>
      <c r="H65" s="9" t="s">
        <v>365</v>
      </c>
      <c r="I65" s="9" t="s">
        <v>366</v>
      </c>
      <c r="J65" s="9" t="s">
        <v>367</v>
      </c>
      <c r="K65" s="9" t="s">
        <v>57</v>
      </c>
      <c r="L65" s="10" t="s">
        <v>58</v>
      </c>
      <c r="M65" s="10" t="s">
        <v>139</v>
      </c>
      <c r="N65" s="10" t="s">
        <v>115</v>
      </c>
      <c r="O65" s="9" t="s">
        <v>61</v>
      </c>
      <c r="P65" s="9" t="s">
        <v>55</v>
      </c>
      <c r="Q65" s="9" t="s">
        <v>140</v>
      </c>
      <c r="R65" s="9" t="s">
        <v>55</v>
      </c>
      <c r="S65" s="9" t="s">
        <v>368</v>
      </c>
      <c r="T65" s="9" t="s">
        <v>353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65</v>
      </c>
    </row>
    <row r="66" customFormat="false" ht="15" hidden="false" customHeight="false" outlineLevel="0" collapsed="false">
      <c r="A66" s="9" t="s">
        <v>373</v>
      </c>
      <c r="B66" s="10" t="s">
        <v>374</v>
      </c>
      <c r="C66" s="11" t="n">
        <v>2031</v>
      </c>
      <c r="D66" s="9"/>
      <c r="E66" s="9"/>
      <c r="F66" s="10" t="s">
        <v>136</v>
      </c>
      <c r="G66" s="9" t="s">
        <v>375</v>
      </c>
      <c r="H66" s="9" t="s">
        <v>365</v>
      </c>
      <c r="I66" s="9" t="s">
        <v>366</v>
      </c>
      <c r="J66" s="9" t="s">
        <v>367</v>
      </c>
      <c r="K66" s="9" t="s">
        <v>57</v>
      </c>
      <c r="L66" s="10" t="s">
        <v>58</v>
      </c>
      <c r="M66" s="10" t="s">
        <v>139</v>
      </c>
      <c r="N66" s="10" t="s">
        <v>115</v>
      </c>
      <c r="O66" s="9" t="s">
        <v>61</v>
      </c>
      <c r="P66" s="9" t="s">
        <v>55</v>
      </c>
      <c r="Q66" s="9" t="s">
        <v>140</v>
      </c>
      <c r="R66" s="9" t="s">
        <v>55</v>
      </c>
      <c r="S66" s="9" t="s">
        <v>368</v>
      </c>
      <c r="T66" s="9" t="s">
        <v>353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65</v>
      </c>
    </row>
    <row r="67" customFormat="false" ht="15" hidden="false" customHeight="false" outlineLevel="0" collapsed="false">
      <c r="A67" s="9" t="s">
        <v>376</v>
      </c>
      <c r="B67" s="10" t="s">
        <v>377</v>
      </c>
      <c r="C67" s="11" t="n">
        <v>100</v>
      </c>
      <c r="D67" s="9"/>
      <c r="E67" s="9"/>
      <c r="F67" s="9" t="s">
        <v>52</v>
      </c>
      <c r="G67" s="9" t="s">
        <v>378</v>
      </c>
      <c r="H67" s="9" t="s">
        <v>365</v>
      </c>
      <c r="I67" s="9" t="s">
        <v>289</v>
      </c>
      <c r="J67" s="9" t="s">
        <v>379</v>
      </c>
      <c r="K67" s="9" t="s">
        <v>57</v>
      </c>
      <c r="L67" s="10" t="s">
        <v>58</v>
      </c>
      <c r="M67" s="10" t="s">
        <v>139</v>
      </c>
      <c r="N67" s="10" t="s">
        <v>115</v>
      </c>
      <c r="O67" s="9" t="s">
        <v>61</v>
      </c>
      <c r="P67" s="9" t="s">
        <v>55</v>
      </c>
      <c r="Q67" s="9" t="s">
        <v>140</v>
      </c>
      <c r="R67" s="9" t="s">
        <v>55</v>
      </c>
      <c r="S67" s="9" t="s">
        <v>380</v>
      </c>
      <c r="T67" s="9" t="s">
        <v>369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65</v>
      </c>
    </row>
    <row r="68" customFormat="false" ht="15" hidden="false" customHeight="false" outlineLevel="0" collapsed="false">
      <c r="A68" s="9" t="s">
        <v>381</v>
      </c>
      <c r="B68" s="10" t="s">
        <v>382</v>
      </c>
      <c r="C68" s="11" t="n">
        <v>2026</v>
      </c>
      <c r="D68" s="9"/>
      <c r="E68" s="9"/>
      <c r="F68" s="10" t="s">
        <v>136</v>
      </c>
      <c r="G68" s="10" t="s">
        <v>372</v>
      </c>
      <c r="H68" s="9" t="s">
        <v>365</v>
      </c>
      <c r="I68" s="9" t="s">
        <v>289</v>
      </c>
      <c r="J68" s="9" t="s">
        <v>379</v>
      </c>
      <c r="K68" s="9" t="s">
        <v>57</v>
      </c>
      <c r="L68" s="10" t="s">
        <v>58</v>
      </c>
      <c r="M68" s="10" t="s">
        <v>139</v>
      </c>
      <c r="N68" s="10" t="s">
        <v>115</v>
      </c>
      <c r="O68" s="9" t="s">
        <v>61</v>
      </c>
      <c r="P68" s="9" t="s">
        <v>55</v>
      </c>
      <c r="Q68" s="9" t="s">
        <v>140</v>
      </c>
      <c r="R68" s="9" t="s">
        <v>55</v>
      </c>
      <c r="S68" s="9" t="s">
        <v>380</v>
      </c>
      <c r="T68" s="9" t="s">
        <v>353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65</v>
      </c>
    </row>
    <row r="69" customFormat="false" ht="15" hidden="false" customHeight="false" outlineLevel="0" collapsed="false">
      <c r="A69" s="9" t="s">
        <v>383</v>
      </c>
      <c r="B69" s="10" t="s">
        <v>384</v>
      </c>
      <c r="C69" s="11" t="n">
        <v>2033</v>
      </c>
      <c r="D69" s="9"/>
      <c r="E69" s="9"/>
      <c r="F69" s="10" t="s">
        <v>136</v>
      </c>
      <c r="G69" s="9" t="s">
        <v>385</v>
      </c>
      <c r="H69" s="9" t="s">
        <v>365</v>
      </c>
      <c r="I69" s="9" t="s">
        <v>289</v>
      </c>
      <c r="J69" s="9" t="s">
        <v>379</v>
      </c>
      <c r="K69" s="9" t="s">
        <v>57</v>
      </c>
      <c r="L69" s="10" t="s">
        <v>58</v>
      </c>
      <c r="M69" s="10" t="s">
        <v>139</v>
      </c>
      <c r="N69" s="10" t="s">
        <v>115</v>
      </c>
      <c r="O69" s="9" t="s">
        <v>61</v>
      </c>
      <c r="P69" s="9" t="s">
        <v>55</v>
      </c>
      <c r="Q69" s="9" t="s">
        <v>140</v>
      </c>
      <c r="R69" s="9" t="s">
        <v>55</v>
      </c>
      <c r="S69" s="9" t="s">
        <v>380</v>
      </c>
      <c r="T69" s="9" t="s">
        <v>353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65</v>
      </c>
    </row>
    <row r="70" customFormat="false" ht="15" hidden="false" customHeight="false" outlineLevel="0" collapsed="false">
      <c r="A70" s="9" t="s">
        <v>386</v>
      </c>
      <c r="B70" s="10" t="s">
        <v>387</v>
      </c>
      <c r="C70" s="11" t="n">
        <v>2</v>
      </c>
      <c r="D70" s="9"/>
      <c r="E70" s="9"/>
      <c r="F70" s="9" t="s">
        <v>359</v>
      </c>
      <c r="G70" s="9" t="s">
        <v>388</v>
      </c>
      <c r="H70" s="9" t="s">
        <v>365</v>
      </c>
      <c r="I70" s="9" t="s">
        <v>289</v>
      </c>
      <c r="J70" s="9" t="s">
        <v>379</v>
      </c>
      <c r="K70" s="9" t="s">
        <v>57</v>
      </c>
      <c r="L70" s="10" t="s">
        <v>58</v>
      </c>
      <c r="M70" s="10" t="s">
        <v>139</v>
      </c>
      <c r="N70" s="10" t="s">
        <v>115</v>
      </c>
      <c r="O70" s="9" t="s">
        <v>61</v>
      </c>
      <c r="P70" s="9" t="s">
        <v>55</v>
      </c>
      <c r="Q70" s="9" t="s">
        <v>140</v>
      </c>
      <c r="R70" s="9" t="s">
        <v>55</v>
      </c>
      <c r="S70" s="9" t="s">
        <v>380</v>
      </c>
      <c r="T70" s="9" t="s">
        <v>389</v>
      </c>
      <c r="U70" s="10" t="s">
        <v>390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65</v>
      </c>
    </row>
    <row r="71" customFormat="false" ht="15" hidden="false" customHeight="false" outlineLevel="0" collapsed="false">
      <c r="A71" s="9" t="s">
        <v>391</v>
      </c>
      <c r="B71" s="10" t="s">
        <v>392</v>
      </c>
      <c r="C71" s="11" t="n">
        <v>22.4</v>
      </c>
      <c r="D71" s="9"/>
      <c r="E71" s="9"/>
      <c r="F71" s="9" t="s">
        <v>52</v>
      </c>
      <c r="G71" s="9" t="s">
        <v>393</v>
      </c>
      <c r="H71" s="9" t="s">
        <v>394</v>
      </c>
      <c r="I71" s="9" t="s">
        <v>395</v>
      </c>
      <c r="J71" s="9" t="s">
        <v>396</v>
      </c>
      <c r="K71" s="9" t="s">
        <v>57</v>
      </c>
      <c r="L71" s="10" t="s">
        <v>58</v>
      </c>
      <c r="M71" s="10" t="s">
        <v>139</v>
      </c>
      <c r="N71" s="10" t="s">
        <v>115</v>
      </c>
      <c r="O71" s="9" t="s">
        <v>61</v>
      </c>
      <c r="P71" s="9" t="s">
        <v>55</v>
      </c>
      <c r="Q71" s="9" t="s">
        <v>140</v>
      </c>
      <c r="R71" s="9" t="s">
        <v>55</v>
      </c>
      <c r="S71" s="9" t="s">
        <v>397</v>
      </c>
      <c r="T71" s="9" t="s">
        <v>369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65</v>
      </c>
    </row>
    <row r="72" customFormat="false" ht="15" hidden="false" customHeight="false" outlineLevel="0" collapsed="false">
      <c r="A72" s="9" t="s">
        <v>398</v>
      </c>
      <c r="B72" s="10" t="s">
        <v>399</v>
      </c>
      <c r="C72" s="11" t="n">
        <v>2025</v>
      </c>
      <c r="D72" s="9"/>
      <c r="E72" s="9"/>
      <c r="F72" s="10" t="s">
        <v>136</v>
      </c>
      <c r="G72" s="9" t="s">
        <v>400</v>
      </c>
      <c r="H72" s="9" t="s">
        <v>394</v>
      </c>
      <c r="I72" s="9" t="s">
        <v>395</v>
      </c>
      <c r="J72" s="9" t="s">
        <v>396</v>
      </c>
      <c r="K72" s="9" t="s">
        <v>57</v>
      </c>
      <c r="L72" s="10" t="s">
        <v>58</v>
      </c>
      <c r="M72" s="10" t="s">
        <v>139</v>
      </c>
      <c r="N72" s="10" t="s">
        <v>115</v>
      </c>
      <c r="O72" s="9" t="s">
        <v>61</v>
      </c>
      <c r="P72" s="9" t="s">
        <v>55</v>
      </c>
      <c r="Q72" s="9" t="s">
        <v>140</v>
      </c>
      <c r="R72" s="9" t="s">
        <v>55</v>
      </c>
      <c r="S72" s="9" t="s">
        <v>397</v>
      </c>
      <c r="T72" s="9" t="s">
        <v>353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65</v>
      </c>
    </row>
    <row r="73" customFormat="false" ht="15" hidden="false" customHeight="false" outlineLevel="0" collapsed="false">
      <c r="A73" s="9" t="s">
        <v>401</v>
      </c>
      <c r="B73" s="10" t="s">
        <v>402</v>
      </c>
      <c r="C73" s="11" t="n">
        <v>2029</v>
      </c>
      <c r="D73" s="9"/>
      <c r="E73" s="9"/>
      <c r="F73" s="10" t="s">
        <v>136</v>
      </c>
      <c r="G73" s="9" t="s">
        <v>400</v>
      </c>
      <c r="H73" s="9" t="s">
        <v>394</v>
      </c>
      <c r="I73" s="9" t="s">
        <v>395</v>
      </c>
      <c r="J73" s="9" t="s">
        <v>396</v>
      </c>
      <c r="K73" s="9" t="s">
        <v>57</v>
      </c>
      <c r="L73" s="10" t="s">
        <v>58</v>
      </c>
      <c r="M73" s="10" t="s">
        <v>139</v>
      </c>
      <c r="N73" s="10" t="s">
        <v>115</v>
      </c>
      <c r="O73" s="9" t="s">
        <v>61</v>
      </c>
      <c r="P73" s="9" t="s">
        <v>55</v>
      </c>
      <c r="Q73" s="9" t="s">
        <v>140</v>
      </c>
      <c r="R73" s="9" t="s">
        <v>55</v>
      </c>
      <c r="S73" s="9" t="s">
        <v>397</v>
      </c>
      <c r="T73" s="9" t="s">
        <v>353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65</v>
      </c>
    </row>
    <row r="74" customFormat="false" ht="15" hidden="false" customHeight="false" outlineLevel="0" collapsed="false">
      <c r="A74" s="9" t="s">
        <v>403</v>
      </c>
      <c r="B74" s="10" t="s">
        <v>404</v>
      </c>
      <c r="C74" s="11" t="n">
        <v>20</v>
      </c>
      <c r="D74" s="11" t="n">
        <v>20</v>
      </c>
      <c r="E74" s="9"/>
      <c r="F74" s="9" t="s">
        <v>52</v>
      </c>
      <c r="G74" s="10" t="s">
        <v>405</v>
      </c>
      <c r="H74" s="9" t="s">
        <v>406</v>
      </c>
      <c r="I74" s="9" t="s">
        <v>407</v>
      </c>
      <c r="J74" s="9" t="s">
        <v>408</v>
      </c>
      <c r="K74" s="9" t="s">
        <v>57</v>
      </c>
      <c r="L74" s="10" t="s">
        <v>58</v>
      </c>
      <c r="M74" s="10" t="s">
        <v>139</v>
      </c>
      <c r="N74" s="10" t="s">
        <v>115</v>
      </c>
      <c r="O74" s="9" t="s">
        <v>61</v>
      </c>
      <c r="P74" s="9" t="s">
        <v>55</v>
      </c>
      <c r="Q74" s="9" t="s">
        <v>140</v>
      </c>
      <c r="R74" s="9" t="s">
        <v>55</v>
      </c>
      <c r="S74" s="9" t="s">
        <v>409</v>
      </c>
      <c r="T74" s="9" t="s">
        <v>369</v>
      </c>
      <c r="U74" s="9" t="s">
        <v>410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65</v>
      </c>
    </row>
    <row r="75" customFormat="false" ht="15" hidden="false" customHeight="false" outlineLevel="0" collapsed="false">
      <c r="A75" s="9" t="s">
        <v>411</v>
      </c>
      <c r="B75" s="10" t="s">
        <v>412</v>
      </c>
      <c r="C75" s="11" t="n">
        <v>2026</v>
      </c>
      <c r="D75" s="9"/>
      <c r="E75" s="9"/>
      <c r="F75" s="10" t="s">
        <v>136</v>
      </c>
      <c r="G75" s="9" t="s">
        <v>413</v>
      </c>
      <c r="H75" s="9" t="s">
        <v>406</v>
      </c>
      <c r="I75" s="9" t="s">
        <v>407</v>
      </c>
      <c r="J75" s="9" t="s">
        <v>408</v>
      </c>
      <c r="K75" s="9" t="s">
        <v>57</v>
      </c>
      <c r="L75" s="10" t="s">
        <v>58</v>
      </c>
      <c r="M75" s="10" t="s">
        <v>139</v>
      </c>
      <c r="N75" s="10" t="s">
        <v>115</v>
      </c>
      <c r="O75" s="9" t="s">
        <v>61</v>
      </c>
      <c r="P75" s="9" t="s">
        <v>55</v>
      </c>
      <c r="Q75" s="9" t="s">
        <v>140</v>
      </c>
      <c r="R75" s="9" t="s">
        <v>55</v>
      </c>
      <c r="S75" s="9" t="s">
        <v>409</v>
      </c>
      <c r="T75" s="9" t="s">
        <v>353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65</v>
      </c>
    </row>
    <row r="76" customFormat="false" ht="15" hidden="false" customHeight="false" outlineLevel="0" collapsed="false">
      <c r="A76" s="9" t="s">
        <v>414</v>
      </c>
      <c r="B76" s="10" t="s">
        <v>415</v>
      </c>
      <c r="C76" s="11" t="n">
        <v>0.75</v>
      </c>
      <c r="D76" s="9"/>
      <c r="E76" s="9"/>
      <c r="F76" s="9" t="s">
        <v>359</v>
      </c>
      <c r="G76" s="9" t="s">
        <v>416</v>
      </c>
      <c r="H76" s="9" t="s">
        <v>406</v>
      </c>
      <c r="I76" s="9" t="s">
        <v>407</v>
      </c>
      <c r="J76" s="9" t="s">
        <v>408</v>
      </c>
      <c r="K76" s="9" t="s">
        <v>57</v>
      </c>
      <c r="L76" s="10" t="s">
        <v>58</v>
      </c>
      <c r="M76" s="10" t="s">
        <v>139</v>
      </c>
      <c r="N76" s="10" t="s">
        <v>115</v>
      </c>
      <c r="O76" s="9" t="s">
        <v>61</v>
      </c>
      <c r="P76" s="9" t="s">
        <v>55</v>
      </c>
      <c r="Q76" s="9" t="s">
        <v>140</v>
      </c>
      <c r="R76" s="9" t="s">
        <v>55</v>
      </c>
      <c r="S76" s="9" t="s">
        <v>409</v>
      </c>
      <c r="T76" s="9" t="s">
        <v>353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65</v>
      </c>
    </row>
    <row r="77" customFormat="false" ht="15" hidden="false" customHeight="false" outlineLevel="0" collapsed="false">
      <c r="A77" s="9" t="s">
        <v>417</v>
      </c>
      <c r="B77" s="10" t="s">
        <v>418</v>
      </c>
      <c r="C77" s="11" t="n">
        <v>750</v>
      </c>
      <c r="D77" s="9"/>
      <c r="E77" s="9"/>
      <c r="F77" s="9" t="s">
        <v>52</v>
      </c>
      <c r="G77" s="9" t="s">
        <v>419</v>
      </c>
      <c r="H77" s="9" t="s">
        <v>54</v>
      </c>
      <c r="I77" s="9" t="s">
        <v>420</v>
      </c>
      <c r="J77" s="9" t="s">
        <v>419</v>
      </c>
      <c r="K77" s="9" t="s">
        <v>57</v>
      </c>
      <c r="L77" s="10" t="s">
        <v>58</v>
      </c>
      <c r="M77" s="10" t="s">
        <v>71</v>
      </c>
      <c r="N77" s="10" t="s">
        <v>85</v>
      </c>
      <c r="O77" s="9" t="s">
        <v>61</v>
      </c>
      <c r="P77" s="9" t="s">
        <v>55</v>
      </c>
      <c r="Q77" s="9" t="s">
        <v>62</v>
      </c>
      <c r="R77" s="9" t="s">
        <v>55</v>
      </c>
      <c r="S77" s="9" t="s">
        <v>421</v>
      </c>
      <c r="T77" s="9" t="s">
        <v>422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65</v>
      </c>
    </row>
    <row r="78" customFormat="false" ht="15" hidden="false" customHeight="false" outlineLevel="0" collapsed="false">
      <c r="A78" s="9" t="s">
        <v>423</v>
      </c>
      <c r="B78" s="10" t="s">
        <v>424</v>
      </c>
      <c r="C78" s="11" t="n">
        <v>665</v>
      </c>
      <c r="D78" s="9"/>
      <c r="E78" s="9"/>
      <c r="F78" s="9" t="s">
        <v>52</v>
      </c>
      <c r="G78" s="9" t="s">
        <v>425</v>
      </c>
      <c r="H78" s="9" t="s">
        <v>54</v>
      </c>
      <c r="I78" s="9" t="s">
        <v>55</v>
      </c>
      <c r="J78" s="9" t="s">
        <v>425</v>
      </c>
      <c r="K78" s="9" t="s">
        <v>57</v>
      </c>
      <c r="L78" s="10" t="s">
        <v>58</v>
      </c>
      <c r="M78" s="10" t="s">
        <v>71</v>
      </c>
      <c r="N78" s="10" t="s">
        <v>85</v>
      </c>
      <c r="O78" s="9" t="s">
        <v>61</v>
      </c>
      <c r="P78" s="9" t="s">
        <v>55</v>
      </c>
      <c r="Q78" s="9" t="s">
        <v>62</v>
      </c>
      <c r="R78" s="9" t="s">
        <v>55</v>
      </c>
      <c r="S78" s="9" t="s">
        <v>426</v>
      </c>
      <c r="T78" s="9" t="s">
        <v>335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65</v>
      </c>
    </row>
    <row r="79" customFormat="false" ht="15" hidden="false" customHeight="false" outlineLevel="0" collapsed="false">
      <c r="A79" s="9" t="s">
        <v>427</v>
      </c>
      <c r="B79" s="9" t="s">
        <v>428</v>
      </c>
      <c r="C79" s="11" t="n">
        <v>50</v>
      </c>
      <c r="D79" s="9"/>
      <c r="E79" s="9"/>
      <c r="F79" s="9" t="s">
        <v>52</v>
      </c>
      <c r="G79" s="9" t="s">
        <v>429</v>
      </c>
      <c r="H79" s="9" t="s">
        <v>54</v>
      </c>
      <c r="I79" s="9" t="s">
        <v>131</v>
      </c>
      <c r="J79" s="9" t="s">
        <v>429</v>
      </c>
      <c r="K79" s="9" t="s">
        <v>57</v>
      </c>
      <c r="L79" s="10" t="s">
        <v>58</v>
      </c>
      <c r="M79" s="10" t="s">
        <v>71</v>
      </c>
      <c r="N79" s="10" t="s">
        <v>60</v>
      </c>
      <c r="O79" s="9" t="s">
        <v>61</v>
      </c>
      <c r="P79" s="9" t="s">
        <v>55</v>
      </c>
      <c r="Q79" s="9" t="s">
        <v>62</v>
      </c>
      <c r="R79" s="9" t="s">
        <v>55</v>
      </c>
      <c r="S79" s="9" t="s">
        <v>430</v>
      </c>
      <c r="T79" s="9" t="s">
        <v>299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65</v>
      </c>
    </row>
    <row r="80" customFormat="false" ht="15" hidden="false" customHeight="false" outlineLevel="0" collapsed="false">
      <c r="A80" s="9" t="s">
        <v>431</v>
      </c>
      <c r="B80" s="10" t="s">
        <v>432</v>
      </c>
      <c r="C80" s="11" t="n">
        <v>40</v>
      </c>
      <c r="D80" s="11" t="n">
        <v>35</v>
      </c>
      <c r="E80" s="11" t="n">
        <v>45</v>
      </c>
      <c r="F80" s="9" t="s">
        <v>52</v>
      </c>
      <c r="G80" s="9" t="s">
        <v>433</v>
      </c>
      <c r="H80" s="9" t="s">
        <v>54</v>
      </c>
      <c r="I80" s="9" t="s">
        <v>55</v>
      </c>
      <c r="J80" s="9" t="s">
        <v>433</v>
      </c>
      <c r="K80" s="9" t="s">
        <v>57</v>
      </c>
      <c r="L80" s="10" t="s">
        <v>58</v>
      </c>
      <c r="M80" s="10" t="s">
        <v>71</v>
      </c>
      <c r="N80" s="10" t="s">
        <v>85</v>
      </c>
      <c r="O80" s="9" t="s">
        <v>61</v>
      </c>
      <c r="P80" s="9" t="s">
        <v>55</v>
      </c>
      <c r="Q80" s="9" t="s">
        <v>62</v>
      </c>
      <c r="R80" s="9" t="s">
        <v>55</v>
      </c>
      <c r="S80" s="9" t="s">
        <v>434</v>
      </c>
      <c r="T80" s="9" t="s">
        <v>435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65</v>
      </c>
    </row>
    <row r="81" customFormat="false" ht="15" hidden="false" customHeight="false" outlineLevel="0" collapsed="false">
      <c r="A81" s="9" t="s">
        <v>436</v>
      </c>
      <c r="B81" s="10" t="s">
        <v>437</v>
      </c>
      <c r="C81" s="11" t="n">
        <v>122</v>
      </c>
      <c r="D81" s="9"/>
      <c r="E81" s="9"/>
      <c r="F81" s="9" t="s">
        <v>52</v>
      </c>
      <c r="G81" s="9" t="s">
        <v>438</v>
      </c>
      <c r="H81" s="9" t="s">
        <v>54</v>
      </c>
      <c r="I81" s="9" t="s">
        <v>439</v>
      </c>
      <c r="J81" s="9" t="s">
        <v>440</v>
      </c>
      <c r="K81" s="9" t="s">
        <v>57</v>
      </c>
      <c r="L81" s="10" t="s">
        <v>58</v>
      </c>
      <c r="M81" s="10" t="s">
        <v>71</v>
      </c>
      <c r="N81" s="10" t="s">
        <v>115</v>
      </c>
      <c r="O81" s="9" t="s">
        <v>61</v>
      </c>
      <c r="P81" s="9" t="s">
        <v>55</v>
      </c>
      <c r="Q81" s="9" t="s">
        <v>62</v>
      </c>
      <c r="R81" s="9" t="s">
        <v>55</v>
      </c>
      <c r="S81" s="9" t="s">
        <v>441</v>
      </c>
      <c r="T81" s="9" t="s">
        <v>442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65</v>
      </c>
    </row>
    <row r="82" customFormat="false" ht="15" hidden="false" customHeight="false" outlineLevel="0" collapsed="false">
      <c r="A82" s="9" t="s">
        <v>443</v>
      </c>
      <c r="B82" s="10" t="s">
        <v>444</v>
      </c>
      <c r="C82" s="11" t="n">
        <v>35</v>
      </c>
      <c r="D82" s="9"/>
      <c r="E82" s="9"/>
      <c r="F82" s="9" t="s">
        <v>52</v>
      </c>
      <c r="G82" s="9" t="s">
        <v>445</v>
      </c>
      <c r="H82" s="9" t="s">
        <v>54</v>
      </c>
      <c r="I82" s="9" t="s">
        <v>55</v>
      </c>
      <c r="J82" s="9" t="s">
        <v>446</v>
      </c>
      <c r="K82" s="9" t="s">
        <v>57</v>
      </c>
      <c r="L82" s="10" t="s">
        <v>100</v>
      </c>
      <c r="M82" s="10" t="s">
        <v>447</v>
      </c>
      <c r="N82" s="10" t="s">
        <v>85</v>
      </c>
      <c r="O82" s="9" t="s">
        <v>61</v>
      </c>
      <c r="P82" s="9" t="s">
        <v>55</v>
      </c>
      <c r="Q82" s="9" t="s">
        <v>140</v>
      </c>
      <c r="R82" s="9" t="s">
        <v>55</v>
      </c>
      <c r="S82" s="9" t="s">
        <v>448</v>
      </c>
      <c r="T82" s="9" t="s">
        <v>442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65</v>
      </c>
    </row>
    <row r="83" customFormat="false" ht="15" hidden="false" customHeight="false" outlineLevel="0" collapsed="false">
      <c r="A83" s="9" t="s">
        <v>449</v>
      </c>
      <c r="B83" s="10" t="s">
        <v>450</v>
      </c>
      <c r="C83" s="11" t="n">
        <v>250</v>
      </c>
      <c r="D83" s="9"/>
      <c r="E83" s="9"/>
      <c r="F83" s="9" t="s">
        <v>52</v>
      </c>
      <c r="G83" s="9" t="s">
        <v>451</v>
      </c>
      <c r="H83" s="9" t="s">
        <v>54</v>
      </c>
      <c r="I83" s="9" t="s">
        <v>55</v>
      </c>
      <c r="J83" s="9" t="s">
        <v>451</v>
      </c>
      <c r="K83" s="9" t="s">
        <v>57</v>
      </c>
      <c r="L83" s="10" t="s">
        <v>58</v>
      </c>
      <c r="M83" s="10" t="s">
        <v>100</v>
      </c>
      <c r="N83" s="10" t="s">
        <v>85</v>
      </c>
      <c r="O83" s="9" t="s">
        <v>61</v>
      </c>
      <c r="P83" s="9" t="s">
        <v>55</v>
      </c>
      <c r="Q83" s="9" t="s">
        <v>62</v>
      </c>
      <c r="R83" s="9" t="s">
        <v>55</v>
      </c>
      <c r="S83" s="9" t="s">
        <v>452</v>
      </c>
      <c r="T83" s="9" t="s">
        <v>453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65</v>
      </c>
    </row>
    <row r="84" customFormat="false" ht="15" hidden="false" customHeight="false" outlineLevel="0" collapsed="false">
      <c r="A84" s="9" t="s">
        <v>454</v>
      </c>
      <c r="B84" s="10" t="s">
        <v>455</v>
      </c>
      <c r="C84" s="11" t="n">
        <v>350</v>
      </c>
      <c r="D84" s="9"/>
      <c r="E84" s="9"/>
      <c r="F84" s="9" t="s">
        <v>52</v>
      </c>
      <c r="G84" s="9" t="s">
        <v>456</v>
      </c>
      <c r="H84" s="9" t="s">
        <v>54</v>
      </c>
      <c r="I84" s="9" t="s">
        <v>55</v>
      </c>
      <c r="J84" s="9" t="s">
        <v>457</v>
      </c>
      <c r="K84" s="9" t="s">
        <v>57</v>
      </c>
      <c r="L84" s="10" t="s">
        <v>58</v>
      </c>
      <c r="M84" s="10" t="s">
        <v>71</v>
      </c>
      <c r="N84" s="10" t="s">
        <v>85</v>
      </c>
      <c r="O84" s="9" t="s">
        <v>61</v>
      </c>
      <c r="P84" s="9" t="s">
        <v>55</v>
      </c>
      <c r="Q84" s="9" t="s">
        <v>62</v>
      </c>
      <c r="R84" s="9" t="s">
        <v>55</v>
      </c>
      <c r="S84" s="9" t="s">
        <v>458</v>
      </c>
      <c r="T84" s="9" t="s">
        <v>453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65</v>
      </c>
    </row>
    <row r="85" customFormat="false" ht="15" hidden="false" customHeight="false" outlineLevel="0" collapsed="false">
      <c r="A85" s="9" t="s">
        <v>459</v>
      </c>
      <c r="B85" s="10" t="s">
        <v>460</v>
      </c>
      <c r="C85" s="11" t="n">
        <v>3</v>
      </c>
      <c r="D85" s="9"/>
      <c r="E85" s="9"/>
      <c r="F85" s="9" t="s">
        <v>52</v>
      </c>
      <c r="G85" s="9" t="s">
        <v>461</v>
      </c>
      <c r="H85" s="9" t="s">
        <v>54</v>
      </c>
      <c r="I85" s="9" t="s">
        <v>55</v>
      </c>
      <c r="J85" s="9" t="s">
        <v>461</v>
      </c>
      <c r="K85" s="9" t="s">
        <v>246</v>
      </c>
      <c r="L85" s="10" t="s">
        <v>58</v>
      </c>
      <c r="M85" s="10" t="s">
        <v>100</v>
      </c>
      <c r="N85" s="10" t="s">
        <v>85</v>
      </c>
      <c r="O85" s="9" t="s">
        <v>61</v>
      </c>
      <c r="P85" s="9" t="s">
        <v>55</v>
      </c>
      <c r="Q85" s="9" t="s">
        <v>62</v>
      </c>
      <c r="R85" s="10" t="s">
        <v>247</v>
      </c>
      <c r="S85" s="9" t="s">
        <v>462</v>
      </c>
      <c r="T85" s="9" t="s">
        <v>463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65</v>
      </c>
    </row>
    <row r="86" customFormat="false" ht="15" hidden="false" customHeight="false" outlineLevel="0" collapsed="false">
      <c r="A86" s="9" t="s">
        <v>464</v>
      </c>
      <c r="B86" s="10" t="s">
        <v>465</v>
      </c>
      <c r="C86" s="11" t="n">
        <v>19.18</v>
      </c>
      <c r="D86" s="9"/>
      <c r="E86" s="9"/>
      <c r="F86" s="9" t="s">
        <v>52</v>
      </c>
      <c r="G86" s="10" t="s">
        <v>466</v>
      </c>
      <c r="H86" s="9" t="s">
        <v>54</v>
      </c>
      <c r="I86" s="9" t="s">
        <v>55</v>
      </c>
      <c r="J86" s="10" t="s">
        <v>466</v>
      </c>
      <c r="K86" s="9" t="s">
        <v>57</v>
      </c>
      <c r="L86" s="10" t="s">
        <v>58</v>
      </c>
      <c r="M86" s="10" t="s">
        <v>71</v>
      </c>
      <c r="N86" s="10" t="s">
        <v>72</v>
      </c>
      <c r="O86" s="9" t="s">
        <v>61</v>
      </c>
      <c r="P86" s="9" t="s">
        <v>55</v>
      </c>
      <c r="Q86" s="9" t="s">
        <v>62</v>
      </c>
      <c r="R86" s="9" t="s">
        <v>55</v>
      </c>
      <c r="S86" s="9" t="s">
        <v>467</v>
      </c>
      <c r="T86" s="9" t="s">
        <v>468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65</v>
      </c>
    </row>
    <row r="87" customFormat="false" ht="15" hidden="false" customHeight="false" outlineLevel="0" collapsed="false">
      <c r="A87" s="9" t="s">
        <v>469</v>
      </c>
      <c r="B87" s="10" t="s">
        <v>470</v>
      </c>
      <c r="C87" s="11" t="n">
        <v>0.2</v>
      </c>
      <c r="D87" s="9"/>
      <c r="E87" s="9"/>
      <c r="F87" s="9" t="s">
        <v>359</v>
      </c>
      <c r="G87" s="9" t="s">
        <v>471</v>
      </c>
      <c r="H87" s="9" t="s">
        <v>54</v>
      </c>
      <c r="I87" s="9" t="s">
        <v>472</v>
      </c>
      <c r="J87" s="9" t="s">
        <v>473</v>
      </c>
      <c r="K87" s="9" t="s">
        <v>246</v>
      </c>
      <c r="L87" s="10" t="s">
        <v>58</v>
      </c>
      <c r="M87" s="10" t="s">
        <v>100</v>
      </c>
      <c r="N87" s="10" t="s">
        <v>115</v>
      </c>
      <c r="O87" s="9" t="s">
        <v>61</v>
      </c>
      <c r="P87" s="9" t="s">
        <v>55</v>
      </c>
      <c r="Q87" s="9" t="s">
        <v>62</v>
      </c>
      <c r="R87" s="10" t="s">
        <v>247</v>
      </c>
      <c r="S87" s="9" t="s">
        <v>474</v>
      </c>
      <c r="T87" s="9" t="s">
        <v>475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65</v>
      </c>
    </row>
    <row r="88" customFormat="false" ht="15" hidden="false" customHeight="false" outlineLevel="0" collapsed="false">
      <c r="A88" s="9" t="s">
        <v>476</v>
      </c>
      <c r="B88" s="10" t="s">
        <v>477</v>
      </c>
      <c r="C88" s="11" t="n">
        <v>0.6</v>
      </c>
      <c r="D88" s="9"/>
      <c r="E88" s="9"/>
      <c r="F88" s="9" t="s">
        <v>359</v>
      </c>
      <c r="G88" s="10" t="s">
        <v>372</v>
      </c>
      <c r="H88" s="9" t="s">
        <v>54</v>
      </c>
      <c r="I88" s="9" t="s">
        <v>472</v>
      </c>
      <c r="J88" s="9" t="s">
        <v>473</v>
      </c>
      <c r="K88" s="9" t="s">
        <v>246</v>
      </c>
      <c r="L88" s="10" t="s">
        <v>58</v>
      </c>
      <c r="M88" s="10" t="s">
        <v>100</v>
      </c>
      <c r="N88" s="10" t="s">
        <v>115</v>
      </c>
      <c r="O88" s="9" t="s">
        <v>61</v>
      </c>
      <c r="P88" s="9" t="s">
        <v>55</v>
      </c>
      <c r="Q88" s="9" t="s">
        <v>62</v>
      </c>
      <c r="R88" s="10" t="s">
        <v>247</v>
      </c>
      <c r="S88" s="9" t="s">
        <v>478</v>
      </c>
      <c r="T88" s="9" t="s">
        <v>479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65</v>
      </c>
    </row>
    <row r="89" customFormat="false" ht="15" hidden="false" customHeight="false" outlineLevel="0" collapsed="false">
      <c r="A89" s="9" t="s">
        <v>480</v>
      </c>
      <c r="B89" s="10" t="s">
        <v>481</v>
      </c>
      <c r="C89" s="11" t="n">
        <v>1.9</v>
      </c>
      <c r="D89" s="9"/>
      <c r="E89" s="9"/>
      <c r="F89" s="9" t="s">
        <v>359</v>
      </c>
      <c r="G89" s="10" t="s">
        <v>482</v>
      </c>
      <c r="H89" s="9" t="s">
        <v>54</v>
      </c>
      <c r="I89" s="9" t="s">
        <v>472</v>
      </c>
      <c r="J89" s="9" t="s">
        <v>473</v>
      </c>
      <c r="K89" s="9" t="s">
        <v>246</v>
      </c>
      <c r="L89" s="10" t="s">
        <v>58</v>
      </c>
      <c r="M89" s="10" t="s">
        <v>100</v>
      </c>
      <c r="N89" s="10" t="s">
        <v>115</v>
      </c>
      <c r="O89" s="9" t="s">
        <v>61</v>
      </c>
      <c r="P89" s="9" t="s">
        <v>55</v>
      </c>
      <c r="Q89" s="9" t="s">
        <v>62</v>
      </c>
      <c r="R89" s="10" t="s">
        <v>247</v>
      </c>
      <c r="S89" s="9" t="s">
        <v>483</v>
      </c>
      <c r="T89" s="9" t="s">
        <v>484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65</v>
      </c>
    </row>
    <row r="90" customFormat="false" ht="15" hidden="false" customHeight="false" outlineLevel="0" collapsed="false">
      <c r="A90" s="9" t="s">
        <v>485</v>
      </c>
      <c r="B90" s="10" t="s">
        <v>486</v>
      </c>
      <c r="C90" s="11" t="n">
        <v>20</v>
      </c>
      <c r="D90" s="9"/>
      <c r="E90" s="9"/>
      <c r="F90" s="9" t="s">
        <v>52</v>
      </c>
      <c r="G90" s="10" t="s">
        <v>487</v>
      </c>
      <c r="H90" s="9" t="s">
        <v>54</v>
      </c>
      <c r="I90" s="9" t="s">
        <v>472</v>
      </c>
      <c r="J90" s="9" t="s">
        <v>473</v>
      </c>
      <c r="K90" s="9" t="s">
        <v>246</v>
      </c>
      <c r="L90" s="10" t="s">
        <v>58</v>
      </c>
      <c r="M90" s="10" t="s">
        <v>100</v>
      </c>
      <c r="N90" s="10" t="s">
        <v>115</v>
      </c>
      <c r="O90" s="9" t="s">
        <v>61</v>
      </c>
      <c r="P90" s="9" t="s">
        <v>55</v>
      </c>
      <c r="Q90" s="9" t="s">
        <v>62</v>
      </c>
      <c r="R90" s="10" t="s">
        <v>247</v>
      </c>
      <c r="S90" s="9" t="s">
        <v>488</v>
      </c>
      <c r="T90" s="9" t="s">
        <v>94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65</v>
      </c>
    </row>
    <row r="91" customFormat="false" ht="15" hidden="false" customHeight="false" outlineLevel="0" collapsed="false">
      <c r="A91" s="9" t="s">
        <v>489</v>
      </c>
      <c r="B91" s="9" t="s">
        <v>490</v>
      </c>
      <c r="C91" s="11" t="n">
        <v>900</v>
      </c>
      <c r="D91" s="9"/>
      <c r="E91" s="9"/>
      <c r="F91" s="9" t="s">
        <v>242</v>
      </c>
      <c r="G91" s="9" t="s">
        <v>491</v>
      </c>
      <c r="H91" s="9" t="s">
        <v>54</v>
      </c>
      <c r="I91" s="9" t="s">
        <v>289</v>
      </c>
      <c r="J91" s="9" t="s">
        <v>492</v>
      </c>
      <c r="K91" s="9" t="s">
        <v>246</v>
      </c>
      <c r="L91" s="10" t="s">
        <v>58</v>
      </c>
      <c r="M91" s="10" t="s">
        <v>59</v>
      </c>
      <c r="N91" s="10" t="s">
        <v>115</v>
      </c>
      <c r="O91" s="9" t="s">
        <v>61</v>
      </c>
      <c r="P91" s="9" t="s">
        <v>55</v>
      </c>
      <c r="Q91" s="9" t="s">
        <v>62</v>
      </c>
      <c r="R91" s="10" t="s">
        <v>247</v>
      </c>
      <c r="S91" s="9" t="s">
        <v>493</v>
      </c>
      <c r="T91" s="9" t="s">
        <v>494</v>
      </c>
      <c r="U91" s="9" t="s">
        <v>495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65</v>
      </c>
    </row>
    <row r="92" customFormat="false" ht="15" hidden="false" customHeight="false" outlineLevel="0" collapsed="false">
      <c r="A92" s="9" t="s">
        <v>496</v>
      </c>
      <c r="B92" s="9" t="s">
        <v>497</v>
      </c>
      <c r="C92" s="11" t="n">
        <v>3</v>
      </c>
      <c r="D92" s="9"/>
      <c r="E92" s="9"/>
      <c r="F92" s="9" t="s">
        <v>242</v>
      </c>
      <c r="G92" s="10" t="s">
        <v>498</v>
      </c>
      <c r="H92" s="9" t="s">
        <v>54</v>
      </c>
      <c r="I92" s="9" t="s">
        <v>499</v>
      </c>
      <c r="J92" s="9" t="s">
        <v>500</v>
      </c>
      <c r="K92" s="9" t="s">
        <v>246</v>
      </c>
      <c r="L92" s="10" t="s">
        <v>58</v>
      </c>
      <c r="M92" s="10" t="s">
        <v>100</v>
      </c>
      <c r="N92" s="10" t="s">
        <v>85</v>
      </c>
      <c r="O92" s="9" t="s">
        <v>61</v>
      </c>
      <c r="P92" s="9" t="s">
        <v>55</v>
      </c>
      <c r="Q92" s="9" t="s">
        <v>62</v>
      </c>
      <c r="R92" s="10" t="s">
        <v>247</v>
      </c>
      <c r="S92" s="9" t="s">
        <v>501</v>
      </c>
      <c r="T92" s="9" t="s">
        <v>502</v>
      </c>
      <c r="U92" s="9" t="s">
        <v>495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65</v>
      </c>
    </row>
    <row r="93" customFormat="false" ht="15" hidden="false" customHeight="false" outlineLevel="0" collapsed="false">
      <c r="A93" s="9" t="s">
        <v>503</v>
      </c>
      <c r="B93" s="9" t="s">
        <v>504</v>
      </c>
      <c r="C93" s="11" t="n">
        <v>35</v>
      </c>
      <c r="D93" s="9"/>
      <c r="E93" s="9"/>
      <c r="F93" s="9" t="s">
        <v>242</v>
      </c>
      <c r="G93" s="9" t="s">
        <v>505</v>
      </c>
      <c r="H93" s="9" t="s">
        <v>54</v>
      </c>
      <c r="I93" s="9" t="s">
        <v>506</v>
      </c>
      <c r="J93" s="9" t="s">
        <v>507</v>
      </c>
      <c r="K93" s="9" t="s">
        <v>246</v>
      </c>
      <c r="L93" s="10" t="s">
        <v>58</v>
      </c>
      <c r="M93" s="10" t="s">
        <v>100</v>
      </c>
      <c r="N93" s="10" t="s">
        <v>85</v>
      </c>
      <c r="O93" s="9" t="s">
        <v>61</v>
      </c>
      <c r="P93" s="9" t="s">
        <v>55</v>
      </c>
      <c r="Q93" s="9" t="s">
        <v>62</v>
      </c>
      <c r="R93" s="10" t="s">
        <v>247</v>
      </c>
      <c r="S93" s="9" t="s">
        <v>508</v>
      </c>
      <c r="T93" s="9" t="s">
        <v>509</v>
      </c>
      <c r="U93" s="9" t="s">
        <v>495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65</v>
      </c>
    </row>
    <row r="94" customFormat="false" ht="15" hidden="false" customHeight="false" outlineLevel="0" collapsed="false">
      <c r="A94" s="9" t="s">
        <v>510</v>
      </c>
      <c r="B94" s="9" t="s">
        <v>511</v>
      </c>
      <c r="C94" s="11" t="n">
        <v>44</v>
      </c>
      <c r="D94" s="9"/>
      <c r="E94" s="9"/>
      <c r="F94" s="9" t="s">
        <v>242</v>
      </c>
      <c r="G94" s="9" t="s">
        <v>512</v>
      </c>
      <c r="H94" s="9" t="s">
        <v>54</v>
      </c>
      <c r="I94" s="9" t="s">
        <v>244</v>
      </c>
      <c r="J94" s="9" t="s">
        <v>513</v>
      </c>
      <c r="K94" s="9" t="s">
        <v>246</v>
      </c>
      <c r="L94" s="10" t="s">
        <v>58</v>
      </c>
      <c r="M94" s="10" t="s">
        <v>71</v>
      </c>
      <c r="N94" s="10" t="s">
        <v>85</v>
      </c>
      <c r="O94" s="9" t="s">
        <v>61</v>
      </c>
      <c r="P94" s="9" t="s">
        <v>55</v>
      </c>
      <c r="Q94" s="9" t="s">
        <v>62</v>
      </c>
      <c r="R94" s="10" t="s">
        <v>247</v>
      </c>
      <c r="S94" s="9" t="s">
        <v>508</v>
      </c>
      <c r="T94" s="9" t="s">
        <v>509</v>
      </c>
      <c r="U94" s="9" t="s">
        <v>495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65</v>
      </c>
    </row>
    <row r="95" customFormat="false" ht="15" hidden="false" customHeight="false" outlineLevel="0" collapsed="false">
      <c r="A95" s="9" t="s">
        <v>514</v>
      </c>
      <c r="B95" s="10" t="s">
        <v>515</v>
      </c>
      <c r="C95" s="11" t="n">
        <v>9</v>
      </c>
      <c r="D95" s="11" t="n">
        <v>9</v>
      </c>
      <c r="E95" s="9"/>
      <c r="F95" s="9" t="s">
        <v>242</v>
      </c>
      <c r="G95" s="10" t="s">
        <v>516</v>
      </c>
      <c r="H95" s="9" t="s">
        <v>54</v>
      </c>
      <c r="I95" s="9" t="s">
        <v>289</v>
      </c>
      <c r="J95" s="9" t="s">
        <v>517</v>
      </c>
      <c r="K95" s="9" t="s">
        <v>246</v>
      </c>
      <c r="L95" s="10" t="s">
        <v>58</v>
      </c>
      <c r="M95" s="10" t="s">
        <v>59</v>
      </c>
      <c r="N95" s="10" t="s">
        <v>115</v>
      </c>
      <c r="O95" s="9" t="s">
        <v>61</v>
      </c>
      <c r="P95" s="9" t="s">
        <v>55</v>
      </c>
      <c r="Q95" s="9" t="s">
        <v>62</v>
      </c>
      <c r="R95" s="10" t="s">
        <v>247</v>
      </c>
      <c r="S95" s="9" t="s">
        <v>518</v>
      </c>
      <c r="T95" s="9" t="s">
        <v>519</v>
      </c>
      <c r="U95" s="9" t="s">
        <v>495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65</v>
      </c>
    </row>
    <row r="96" customFormat="false" ht="15" hidden="false" customHeight="false" outlineLevel="0" collapsed="false">
      <c r="A96" s="9" t="s">
        <v>520</v>
      </c>
      <c r="B96" s="10" t="s">
        <v>521</v>
      </c>
      <c r="C96" s="11" t="n">
        <v>10.59</v>
      </c>
      <c r="D96" s="9"/>
      <c r="E96" s="9"/>
      <c r="F96" s="9" t="s">
        <v>52</v>
      </c>
      <c r="G96" s="9" t="s">
        <v>522</v>
      </c>
      <c r="H96" s="9" t="s">
        <v>54</v>
      </c>
      <c r="I96" s="9" t="s">
        <v>55</v>
      </c>
      <c r="J96" s="10" t="s">
        <v>523</v>
      </c>
      <c r="K96" s="9" t="s">
        <v>246</v>
      </c>
      <c r="L96" s="10" t="s">
        <v>58</v>
      </c>
      <c r="M96" s="10" t="s">
        <v>71</v>
      </c>
      <c r="N96" s="10" t="s">
        <v>72</v>
      </c>
      <c r="O96" s="9" t="s">
        <v>61</v>
      </c>
      <c r="P96" s="9" t="s">
        <v>55</v>
      </c>
      <c r="Q96" s="9" t="s">
        <v>62</v>
      </c>
      <c r="R96" s="10" t="s">
        <v>247</v>
      </c>
      <c r="S96" s="9" t="s">
        <v>524</v>
      </c>
      <c r="T96" s="9" t="s">
        <v>525</v>
      </c>
      <c r="U96" s="9" t="s">
        <v>526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65</v>
      </c>
    </row>
    <row r="97" customFormat="false" ht="15" hidden="false" customHeight="false" outlineLevel="0" collapsed="false">
      <c r="A97" s="9" t="s">
        <v>527</v>
      </c>
      <c r="B97" s="10" t="s">
        <v>528</v>
      </c>
      <c r="C97" s="11" t="n">
        <v>20</v>
      </c>
      <c r="D97" s="9"/>
      <c r="E97" s="9"/>
      <c r="F97" s="9" t="s">
        <v>52</v>
      </c>
      <c r="G97" s="10" t="s">
        <v>529</v>
      </c>
      <c r="H97" s="9" t="s">
        <v>54</v>
      </c>
      <c r="I97" s="9" t="s">
        <v>420</v>
      </c>
      <c r="J97" s="9" t="s">
        <v>530</v>
      </c>
      <c r="K97" s="9" t="s">
        <v>57</v>
      </c>
      <c r="L97" s="10" t="s">
        <v>58</v>
      </c>
      <c r="M97" s="10" t="s">
        <v>100</v>
      </c>
      <c r="N97" s="10" t="s">
        <v>85</v>
      </c>
      <c r="O97" s="9" t="s">
        <v>61</v>
      </c>
      <c r="P97" s="9" t="s">
        <v>55</v>
      </c>
      <c r="Q97" s="9" t="s">
        <v>62</v>
      </c>
      <c r="R97" s="9" t="s">
        <v>55</v>
      </c>
      <c r="S97" s="9" t="s">
        <v>531</v>
      </c>
      <c r="T97" s="9" t="s">
        <v>532</v>
      </c>
      <c r="U97" s="9" t="s">
        <v>533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65</v>
      </c>
    </row>
    <row r="98" customFormat="false" ht="15" hidden="false" customHeight="false" outlineLevel="0" collapsed="false">
      <c r="A98" s="9" t="s">
        <v>534</v>
      </c>
      <c r="B98" s="9" t="s">
        <v>535</v>
      </c>
      <c r="C98" s="11" t="n">
        <v>2.5</v>
      </c>
      <c r="D98" s="9"/>
      <c r="E98" s="9"/>
      <c r="F98" s="9" t="s">
        <v>536</v>
      </c>
      <c r="G98" s="10" t="s">
        <v>537</v>
      </c>
      <c r="H98" s="9" t="s">
        <v>54</v>
      </c>
      <c r="I98" s="9" t="s">
        <v>506</v>
      </c>
      <c r="J98" s="9" t="s">
        <v>538</v>
      </c>
      <c r="K98" s="9" t="s">
        <v>246</v>
      </c>
      <c r="L98" s="10" t="s">
        <v>58</v>
      </c>
      <c r="M98" s="10" t="s">
        <v>59</v>
      </c>
      <c r="N98" s="10" t="s">
        <v>115</v>
      </c>
      <c r="O98" s="9" t="s">
        <v>61</v>
      </c>
      <c r="P98" s="9" t="s">
        <v>55</v>
      </c>
      <c r="Q98" s="9" t="s">
        <v>62</v>
      </c>
      <c r="R98" s="10" t="s">
        <v>539</v>
      </c>
      <c r="S98" s="9" t="s">
        <v>540</v>
      </c>
      <c r="T98" s="9" t="s">
        <v>541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65</v>
      </c>
    </row>
    <row r="99" customFormat="false" ht="15" hidden="false" customHeight="false" outlineLevel="0" collapsed="false">
      <c r="A99" s="9" t="s">
        <v>542</v>
      </c>
      <c r="B99" s="9" t="s">
        <v>543</v>
      </c>
      <c r="C99" s="11" t="n">
        <v>2</v>
      </c>
      <c r="D99" s="9"/>
      <c r="E99" s="9"/>
      <c r="F99" s="10" t="s">
        <v>544</v>
      </c>
      <c r="G99" s="10" t="s">
        <v>545</v>
      </c>
      <c r="H99" s="9" t="s">
        <v>54</v>
      </c>
      <c r="I99" s="9" t="s">
        <v>244</v>
      </c>
      <c r="J99" s="9" t="s">
        <v>546</v>
      </c>
      <c r="K99" s="9" t="s">
        <v>246</v>
      </c>
      <c r="L99" s="10" t="s">
        <v>58</v>
      </c>
      <c r="M99" s="10" t="s">
        <v>71</v>
      </c>
      <c r="N99" s="10" t="s">
        <v>85</v>
      </c>
      <c r="O99" s="9" t="s">
        <v>61</v>
      </c>
      <c r="P99" s="9" t="s">
        <v>55</v>
      </c>
      <c r="Q99" s="9" t="s">
        <v>62</v>
      </c>
      <c r="R99" s="10" t="s">
        <v>247</v>
      </c>
      <c r="S99" s="9" t="s">
        <v>547</v>
      </c>
      <c r="T99" s="9" t="s">
        <v>548</v>
      </c>
      <c r="U99" s="9" t="s">
        <v>495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65</v>
      </c>
    </row>
    <row r="100" customFormat="false" ht="15" hidden="false" customHeight="false" outlineLevel="0" collapsed="false">
      <c r="A100" s="9" t="s">
        <v>549</v>
      </c>
      <c r="B100" s="9" t="s">
        <v>550</v>
      </c>
      <c r="C100" s="9"/>
      <c r="D100" s="9"/>
      <c r="E100" s="11" t="n">
        <v>0.01</v>
      </c>
      <c r="F100" s="10" t="s">
        <v>104</v>
      </c>
      <c r="G100" s="10" t="s">
        <v>551</v>
      </c>
      <c r="H100" s="9" t="s">
        <v>54</v>
      </c>
      <c r="I100" s="9" t="s">
        <v>244</v>
      </c>
      <c r="J100" s="9" t="s">
        <v>546</v>
      </c>
      <c r="K100" s="9" t="s">
        <v>246</v>
      </c>
      <c r="L100" s="10" t="s">
        <v>58</v>
      </c>
      <c r="M100" s="10" t="s">
        <v>71</v>
      </c>
      <c r="N100" s="10" t="s">
        <v>85</v>
      </c>
      <c r="O100" s="9" t="s">
        <v>61</v>
      </c>
      <c r="P100" s="9" t="s">
        <v>55</v>
      </c>
      <c r="Q100" s="9" t="s">
        <v>62</v>
      </c>
      <c r="R100" s="10" t="s">
        <v>247</v>
      </c>
      <c r="S100" s="9" t="s">
        <v>547</v>
      </c>
      <c r="T100" s="9" t="s">
        <v>552</v>
      </c>
      <c r="U100" s="9" t="s">
        <v>495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65</v>
      </c>
    </row>
    <row r="101" customFormat="false" ht="15" hidden="false" customHeight="false" outlineLevel="0" collapsed="false">
      <c r="A101" s="9" t="s">
        <v>553</v>
      </c>
      <c r="B101" s="10" t="s">
        <v>554</v>
      </c>
      <c r="C101" s="11" t="n">
        <v>3</v>
      </c>
      <c r="D101" s="9"/>
      <c r="E101" s="9"/>
      <c r="F101" s="9" t="s">
        <v>359</v>
      </c>
      <c r="G101" s="9" t="s">
        <v>555</v>
      </c>
      <c r="H101" s="9" t="s">
        <v>365</v>
      </c>
      <c r="I101" s="9" t="s">
        <v>556</v>
      </c>
      <c r="J101" s="9" t="s">
        <v>557</v>
      </c>
      <c r="K101" s="9" t="s">
        <v>57</v>
      </c>
      <c r="L101" s="10" t="s">
        <v>58</v>
      </c>
      <c r="M101" s="10" t="s">
        <v>125</v>
      </c>
      <c r="N101" s="10" t="s">
        <v>85</v>
      </c>
      <c r="O101" s="9" t="s">
        <v>558</v>
      </c>
      <c r="P101" s="9" t="s">
        <v>55</v>
      </c>
      <c r="Q101" s="9" t="s">
        <v>62</v>
      </c>
      <c r="R101" s="9" t="s">
        <v>55</v>
      </c>
      <c r="S101" s="9" t="s">
        <v>559</v>
      </c>
      <c r="T101" s="9" t="s">
        <v>560</v>
      </c>
      <c r="U101" s="10" t="s">
        <v>561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65</v>
      </c>
    </row>
    <row r="102" customFormat="false" ht="15" hidden="false" customHeight="false" outlineLevel="0" collapsed="false">
      <c r="A102" s="9" t="s">
        <v>562</v>
      </c>
      <c r="B102" s="10" t="s">
        <v>563</v>
      </c>
      <c r="C102" s="11" t="n">
        <v>2</v>
      </c>
      <c r="D102" s="9"/>
      <c r="E102" s="9"/>
      <c r="F102" s="9" t="s">
        <v>359</v>
      </c>
      <c r="G102" s="9" t="s">
        <v>564</v>
      </c>
      <c r="H102" s="9" t="s">
        <v>365</v>
      </c>
      <c r="I102" s="9" t="s">
        <v>556</v>
      </c>
      <c r="J102" s="9" t="s">
        <v>557</v>
      </c>
      <c r="K102" s="9" t="s">
        <v>57</v>
      </c>
      <c r="L102" s="10" t="s">
        <v>58</v>
      </c>
      <c r="M102" s="10" t="s">
        <v>125</v>
      </c>
      <c r="N102" s="10" t="s">
        <v>85</v>
      </c>
      <c r="O102" s="9" t="s">
        <v>558</v>
      </c>
      <c r="P102" s="9" t="s">
        <v>55</v>
      </c>
      <c r="Q102" s="9" t="s">
        <v>62</v>
      </c>
      <c r="R102" s="9" t="s">
        <v>55</v>
      </c>
      <c r="S102" s="9" t="s">
        <v>559</v>
      </c>
      <c r="T102" s="9" t="s">
        <v>565</v>
      </c>
      <c r="U102" s="10" t="s">
        <v>561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65</v>
      </c>
    </row>
    <row r="103" customFormat="false" ht="15" hidden="false" customHeight="false" outlineLevel="0" collapsed="false">
      <c r="A103" s="9" t="s">
        <v>566</v>
      </c>
      <c r="B103" s="9" t="s">
        <v>567</v>
      </c>
      <c r="C103" s="11" t="n">
        <v>10</v>
      </c>
      <c r="D103" s="9"/>
      <c r="E103" s="9"/>
      <c r="F103" s="9" t="s">
        <v>359</v>
      </c>
      <c r="G103" s="10" t="s">
        <v>568</v>
      </c>
      <c r="H103" s="9" t="s">
        <v>569</v>
      </c>
      <c r="I103" s="9" t="s">
        <v>570</v>
      </c>
      <c r="J103" s="9" t="s">
        <v>571</v>
      </c>
      <c r="K103" s="9" t="s">
        <v>57</v>
      </c>
      <c r="L103" s="10" t="s">
        <v>58</v>
      </c>
      <c r="M103" s="10" t="s">
        <v>572</v>
      </c>
      <c r="N103" s="10" t="s">
        <v>115</v>
      </c>
      <c r="O103" s="9" t="s">
        <v>61</v>
      </c>
      <c r="P103" s="9" t="s">
        <v>55</v>
      </c>
      <c r="Q103" s="10" t="s">
        <v>573</v>
      </c>
      <c r="R103" s="9" t="s">
        <v>55</v>
      </c>
      <c r="S103" s="9" t="s">
        <v>574</v>
      </c>
      <c r="T103" s="10" t="s">
        <v>575</v>
      </c>
      <c r="U103" s="10" t="s">
        <v>576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65</v>
      </c>
    </row>
    <row r="104" customFormat="false" ht="15" hidden="false" customHeight="false" outlineLevel="0" collapsed="false">
      <c r="A104" s="9" t="s">
        <v>577</v>
      </c>
      <c r="B104" s="9" t="s">
        <v>578</v>
      </c>
      <c r="C104" s="11" t="n">
        <v>100</v>
      </c>
      <c r="D104" s="9"/>
      <c r="E104" s="9"/>
      <c r="F104" s="9" t="s">
        <v>52</v>
      </c>
      <c r="G104" s="10" t="s">
        <v>579</v>
      </c>
      <c r="H104" s="9" t="s">
        <v>569</v>
      </c>
      <c r="I104" s="9" t="s">
        <v>570</v>
      </c>
      <c r="J104" s="9" t="s">
        <v>571</v>
      </c>
      <c r="K104" s="9" t="s">
        <v>57</v>
      </c>
      <c r="L104" s="10" t="s">
        <v>58</v>
      </c>
      <c r="M104" s="10" t="s">
        <v>572</v>
      </c>
      <c r="N104" s="10" t="s">
        <v>115</v>
      </c>
      <c r="O104" s="9" t="s">
        <v>61</v>
      </c>
      <c r="P104" s="9" t="s">
        <v>55</v>
      </c>
      <c r="Q104" s="10" t="s">
        <v>573</v>
      </c>
      <c r="R104" s="9" t="s">
        <v>55</v>
      </c>
      <c r="S104" s="9" t="s">
        <v>574</v>
      </c>
      <c r="T104" s="10" t="s">
        <v>575</v>
      </c>
      <c r="U104" s="10" t="s">
        <v>576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65</v>
      </c>
    </row>
    <row r="105" customFormat="false" ht="15" hidden="false" customHeight="false" outlineLevel="0" collapsed="false">
      <c r="A105" s="9" t="s">
        <v>580</v>
      </c>
      <c r="B105" s="9" t="s">
        <v>581</v>
      </c>
      <c r="C105" s="11" t="n">
        <v>10</v>
      </c>
      <c r="D105" s="9"/>
      <c r="E105" s="9"/>
      <c r="F105" s="9" t="s">
        <v>359</v>
      </c>
      <c r="G105" s="10" t="s">
        <v>582</v>
      </c>
      <c r="H105" s="9" t="s">
        <v>583</v>
      </c>
      <c r="I105" s="9" t="s">
        <v>584</v>
      </c>
      <c r="J105" s="9" t="s">
        <v>585</v>
      </c>
      <c r="K105" s="9" t="s">
        <v>57</v>
      </c>
      <c r="L105" s="10" t="s">
        <v>58</v>
      </c>
      <c r="M105" s="10" t="s">
        <v>586</v>
      </c>
      <c r="N105" s="10" t="s">
        <v>115</v>
      </c>
      <c r="O105" s="9" t="s">
        <v>61</v>
      </c>
      <c r="P105" s="9" t="s">
        <v>55</v>
      </c>
      <c r="Q105" s="10" t="s">
        <v>573</v>
      </c>
      <c r="R105" s="9" t="s">
        <v>55</v>
      </c>
      <c r="S105" s="9" t="s">
        <v>574</v>
      </c>
      <c r="T105" s="10" t="s">
        <v>575</v>
      </c>
      <c r="U105" s="10" t="s">
        <v>576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65</v>
      </c>
    </row>
    <row r="106" customFormat="false" ht="15" hidden="false" customHeight="false" outlineLevel="0" collapsed="false">
      <c r="A106" s="9" t="s">
        <v>587</v>
      </c>
      <c r="B106" s="9" t="s">
        <v>588</v>
      </c>
      <c r="C106" s="11" t="n">
        <v>6</v>
      </c>
      <c r="D106" s="9"/>
      <c r="E106" s="9"/>
      <c r="F106" s="9" t="s">
        <v>359</v>
      </c>
      <c r="G106" s="10" t="s">
        <v>589</v>
      </c>
      <c r="H106" s="9" t="s">
        <v>590</v>
      </c>
      <c r="I106" s="9" t="s">
        <v>591</v>
      </c>
      <c r="J106" s="9" t="s">
        <v>592</v>
      </c>
      <c r="K106" s="9" t="s">
        <v>57</v>
      </c>
      <c r="L106" s="10" t="s">
        <v>58</v>
      </c>
      <c r="M106" s="10" t="s">
        <v>593</v>
      </c>
      <c r="N106" s="10" t="s">
        <v>115</v>
      </c>
      <c r="O106" s="9" t="s">
        <v>61</v>
      </c>
      <c r="P106" s="9" t="s">
        <v>55</v>
      </c>
      <c r="Q106" s="10" t="s">
        <v>573</v>
      </c>
      <c r="R106" s="9" t="s">
        <v>55</v>
      </c>
      <c r="S106" s="9" t="s">
        <v>574</v>
      </c>
      <c r="T106" s="10" t="s">
        <v>575</v>
      </c>
      <c r="U106" s="10" t="s">
        <v>576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65</v>
      </c>
    </row>
    <row r="107" customFormat="false" ht="15" hidden="false" customHeight="false" outlineLevel="0" collapsed="false">
      <c r="A107" s="9" t="s">
        <v>594</v>
      </c>
      <c r="B107" s="10" t="s">
        <v>595</v>
      </c>
      <c r="C107" s="11" t="n">
        <v>15</v>
      </c>
      <c r="D107" s="9"/>
      <c r="E107" s="9"/>
      <c r="F107" s="9" t="s">
        <v>52</v>
      </c>
      <c r="G107" s="9" t="s">
        <v>596</v>
      </c>
      <c r="H107" s="9" t="s">
        <v>54</v>
      </c>
      <c r="I107" s="9" t="s">
        <v>439</v>
      </c>
      <c r="J107" s="9" t="s">
        <v>597</v>
      </c>
      <c r="K107" s="9" t="s">
        <v>57</v>
      </c>
      <c r="L107" s="10" t="s">
        <v>58</v>
      </c>
      <c r="M107" s="10" t="s">
        <v>71</v>
      </c>
      <c r="N107" s="10" t="s">
        <v>85</v>
      </c>
      <c r="O107" s="9" t="s">
        <v>61</v>
      </c>
      <c r="P107" s="9" t="s">
        <v>55</v>
      </c>
      <c r="Q107" s="9" t="s">
        <v>62</v>
      </c>
      <c r="R107" s="9" t="s">
        <v>55</v>
      </c>
      <c r="S107" s="9" t="s">
        <v>598</v>
      </c>
      <c r="T107" s="9" t="s">
        <v>599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65</v>
      </c>
    </row>
    <row r="108" customFormat="false" ht="15" hidden="false" customHeight="false" outlineLevel="0" collapsed="false">
      <c r="A108" s="9" t="s">
        <v>600</v>
      </c>
      <c r="B108" s="10" t="s">
        <v>601</v>
      </c>
      <c r="C108" s="11" t="n">
        <v>30</v>
      </c>
      <c r="D108" s="9"/>
      <c r="E108" s="9"/>
      <c r="F108" s="9" t="s">
        <v>52</v>
      </c>
      <c r="G108" s="9" t="s">
        <v>596</v>
      </c>
      <c r="H108" s="9" t="s">
        <v>54</v>
      </c>
      <c r="I108" s="9" t="s">
        <v>439</v>
      </c>
      <c r="J108" s="9" t="s">
        <v>597</v>
      </c>
      <c r="K108" s="9" t="s">
        <v>57</v>
      </c>
      <c r="L108" s="10" t="s">
        <v>58</v>
      </c>
      <c r="M108" s="10" t="s">
        <v>71</v>
      </c>
      <c r="N108" s="10" t="s">
        <v>85</v>
      </c>
      <c r="O108" s="9" t="s">
        <v>61</v>
      </c>
      <c r="P108" s="9" t="s">
        <v>55</v>
      </c>
      <c r="Q108" s="9" t="s">
        <v>62</v>
      </c>
      <c r="R108" s="9" t="s">
        <v>55</v>
      </c>
      <c r="S108" s="9" t="s">
        <v>598</v>
      </c>
      <c r="T108" s="9" t="s">
        <v>599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65</v>
      </c>
    </row>
    <row r="109" customFormat="false" ht="15" hidden="false" customHeight="false" outlineLevel="0" collapsed="false">
      <c r="A109" s="9" t="s">
        <v>602</v>
      </c>
      <c r="B109" s="10" t="s">
        <v>603</v>
      </c>
      <c r="C109" s="11" t="n">
        <v>30</v>
      </c>
      <c r="D109" s="9"/>
      <c r="E109" s="9"/>
      <c r="F109" s="9" t="s">
        <v>52</v>
      </c>
      <c r="G109" s="9" t="s">
        <v>604</v>
      </c>
      <c r="H109" s="9" t="s">
        <v>54</v>
      </c>
      <c r="I109" s="9" t="s">
        <v>439</v>
      </c>
      <c r="J109" s="9" t="s">
        <v>597</v>
      </c>
      <c r="K109" s="9" t="s">
        <v>57</v>
      </c>
      <c r="L109" s="10" t="s">
        <v>58</v>
      </c>
      <c r="M109" s="10" t="s">
        <v>71</v>
      </c>
      <c r="N109" s="10" t="s">
        <v>85</v>
      </c>
      <c r="O109" s="9" t="s">
        <v>61</v>
      </c>
      <c r="P109" s="9" t="s">
        <v>55</v>
      </c>
      <c r="Q109" s="9" t="s">
        <v>62</v>
      </c>
      <c r="R109" s="9" t="s">
        <v>55</v>
      </c>
      <c r="S109" s="9" t="s">
        <v>598</v>
      </c>
      <c r="T109" s="9" t="s">
        <v>599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65</v>
      </c>
    </row>
    <row r="110" customFormat="false" ht="15" hidden="false" customHeight="false" outlineLevel="0" collapsed="false">
      <c r="A110" s="9" t="s">
        <v>605</v>
      </c>
      <c r="B110" s="10" t="s">
        <v>606</v>
      </c>
      <c r="C110" s="11" t="n">
        <v>12</v>
      </c>
      <c r="D110" s="9"/>
      <c r="E110" s="9"/>
      <c r="F110" s="9" t="s">
        <v>52</v>
      </c>
      <c r="G110" s="9" t="s">
        <v>607</v>
      </c>
      <c r="H110" s="9" t="s">
        <v>54</v>
      </c>
      <c r="I110" s="9" t="s">
        <v>439</v>
      </c>
      <c r="J110" s="9" t="s">
        <v>597</v>
      </c>
      <c r="K110" s="9" t="s">
        <v>57</v>
      </c>
      <c r="L110" s="10" t="s">
        <v>58</v>
      </c>
      <c r="M110" s="10" t="s">
        <v>71</v>
      </c>
      <c r="N110" s="10" t="s">
        <v>85</v>
      </c>
      <c r="O110" s="9" t="s">
        <v>61</v>
      </c>
      <c r="P110" s="9" t="s">
        <v>55</v>
      </c>
      <c r="Q110" s="9" t="s">
        <v>62</v>
      </c>
      <c r="R110" s="9" t="s">
        <v>55</v>
      </c>
      <c r="S110" s="9" t="s">
        <v>598</v>
      </c>
      <c r="T110" s="9" t="s">
        <v>599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17.15" hidden="false" customHeight="false" outlineLevel="0" collapsed="false">
      <c r="A1" s="1" t="s">
        <v>608</v>
      </c>
    </row>
    <row r="2" customFormat="false" ht="15" hidden="false" customHeight="false" outlineLevel="0" collapsed="false">
      <c r="A2" s="2" t="s">
        <v>609</v>
      </c>
    </row>
    <row r="3" customFormat="false" ht="15" hidden="false" customHeight="false" outlineLevel="0" collapsed="false">
      <c r="A3" s="5" t="s">
        <v>610</v>
      </c>
      <c r="B3" s="9" t="s">
        <v>611</v>
      </c>
    </row>
    <row r="4" customFormat="false" ht="15" hidden="false" customHeight="false" outlineLevel="0" collapsed="false">
      <c r="A4" s="5" t="s">
        <v>612</v>
      </c>
      <c r="B4" s="9" t="s">
        <v>613</v>
      </c>
    </row>
    <row r="5" customFormat="false" ht="15" hidden="false" customHeight="false" outlineLevel="0" collapsed="false">
      <c r="A5" s="5" t="s">
        <v>614</v>
      </c>
      <c r="B5" s="9" t="s">
        <v>615</v>
      </c>
    </row>
    <row r="6" customFormat="false" ht="15" hidden="false" customHeight="false" outlineLevel="0" collapsed="false">
      <c r="A6" s="3" t="s">
        <v>616</v>
      </c>
      <c r="B6" s="9" t="s">
        <v>617</v>
      </c>
    </row>
    <row r="7" customFormat="false" ht="15" hidden="false" customHeight="false" outlineLevel="0" collapsed="false">
      <c r="I7" s="3" t="s">
        <v>618</v>
      </c>
      <c r="J7" s="9" t="s">
        <v>619</v>
      </c>
      <c r="K7" s="9" t="s">
        <v>619</v>
      </c>
      <c r="L7" s="9" t="s">
        <v>619</v>
      </c>
      <c r="M7" s="9" t="s">
        <v>620</v>
      </c>
      <c r="N7" s="9" t="s">
        <v>620</v>
      </c>
      <c r="O7" s="9" t="s">
        <v>620</v>
      </c>
      <c r="P7" s="9" t="s">
        <v>621</v>
      </c>
      <c r="Q7" s="9" t="s">
        <v>621</v>
      </c>
      <c r="R7" s="9" t="s">
        <v>621</v>
      </c>
      <c r="S7" s="9" t="s">
        <v>622</v>
      </c>
      <c r="T7" s="9" t="s">
        <v>622</v>
      </c>
      <c r="U7" s="9" t="s">
        <v>622</v>
      </c>
      <c r="V7" s="9" t="s">
        <v>623</v>
      </c>
      <c r="W7" s="9" t="s">
        <v>623</v>
      </c>
      <c r="X7" s="9" t="s">
        <v>623</v>
      </c>
    </row>
    <row r="8" customFormat="false" ht="15" hidden="false" customHeight="false" outlineLevel="0" collapsed="false">
      <c r="I8" s="3" t="s">
        <v>624</v>
      </c>
      <c r="J8" s="10" t="s">
        <v>625</v>
      </c>
      <c r="K8" s="10" t="s">
        <v>626</v>
      </c>
      <c r="L8" s="10" t="s">
        <v>627</v>
      </c>
      <c r="M8" s="10" t="s">
        <v>625</v>
      </c>
      <c r="N8" s="10" t="s">
        <v>626</v>
      </c>
      <c r="O8" s="10" t="s">
        <v>627</v>
      </c>
      <c r="P8" s="10" t="s">
        <v>625</v>
      </c>
      <c r="Q8" s="10" t="s">
        <v>626</v>
      </c>
      <c r="R8" s="10" t="s">
        <v>627</v>
      </c>
      <c r="S8" s="10" t="s">
        <v>625</v>
      </c>
      <c r="T8" s="10" t="s">
        <v>626</v>
      </c>
      <c r="U8" s="10" t="s">
        <v>627</v>
      </c>
      <c r="V8" s="10" t="s">
        <v>625</v>
      </c>
      <c r="W8" s="10" t="s">
        <v>626</v>
      </c>
      <c r="X8" s="10" t="s">
        <v>627</v>
      </c>
    </row>
    <row r="9" customFormat="false" ht="25.35" hidden="false" customHeight="false" outlineLevel="0" collapsed="false">
      <c r="A9" s="7" t="s">
        <v>628</v>
      </c>
      <c r="B9" s="8" t="s">
        <v>629</v>
      </c>
      <c r="C9" s="8" t="s">
        <v>630</v>
      </c>
      <c r="D9" s="8" t="s">
        <v>30</v>
      </c>
      <c r="E9" s="8" t="s">
        <v>631</v>
      </c>
      <c r="F9" s="8" t="s">
        <v>39</v>
      </c>
      <c r="G9" s="7" t="s">
        <v>612</v>
      </c>
      <c r="H9" s="8" t="s">
        <v>632</v>
      </c>
      <c r="I9" s="8" t="s">
        <v>616</v>
      </c>
      <c r="J9" s="8" t="s">
        <v>633</v>
      </c>
      <c r="K9" s="8" t="s">
        <v>634</v>
      </c>
      <c r="L9" s="8" t="s">
        <v>635</v>
      </c>
      <c r="M9" s="8" t="s">
        <v>636</v>
      </c>
      <c r="N9" s="8" t="s">
        <v>637</v>
      </c>
      <c r="O9" s="8" t="s">
        <v>638</v>
      </c>
      <c r="P9" s="8" t="s">
        <v>639</v>
      </c>
      <c r="Q9" s="8" t="s">
        <v>640</v>
      </c>
      <c r="R9" s="8" t="s">
        <v>641</v>
      </c>
      <c r="S9" s="8" t="s">
        <v>642</v>
      </c>
      <c r="T9" s="8" t="s">
        <v>643</v>
      </c>
      <c r="U9" s="8" t="s">
        <v>644</v>
      </c>
      <c r="V9" s="8" t="s">
        <v>645</v>
      </c>
      <c r="W9" s="8" t="s">
        <v>646</v>
      </c>
      <c r="X9" s="8" t="s">
        <v>647</v>
      </c>
    </row>
    <row r="10" customFormat="false" ht="15" hidden="false" customHeight="false" outlineLevel="0" collapsed="false">
      <c r="A10" s="9" t="s">
        <v>648</v>
      </c>
      <c r="B10" s="9" t="s">
        <v>649</v>
      </c>
      <c r="C10" s="10" t="s">
        <v>650</v>
      </c>
      <c r="D10" s="9" t="s">
        <v>651</v>
      </c>
      <c r="E10" s="9" t="n">
        <v>15</v>
      </c>
      <c r="F10" s="9" t="s">
        <v>652</v>
      </c>
      <c r="G10" s="9" t="s">
        <v>613</v>
      </c>
      <c r="H10" s="9" t="s">
        <v>653</v>
      </c>
      <c r="I10" s="9" t="s">
        <v>617</v>
      </c>
      <c r="J10" s="11" t="n">
        <v>3948094097.44167</v>
      </c>
      <c r="K10" s="11" t="n">
        <v>3948094097.44167</v>
      </c>
      <c r="L10" s="11" t="n">
        <v>3948094097.44167</v>
      </c>
      <c r="M10" s="11" t="n">
        <v>20573363086.3425</v>
      </c>
      <c r="N10" s="11" t="n">
        <v>20573363086.3425</v>
      </c>
      <c r="O10" s="11" t="n">
        <v>20573363086.3425</v>
      </c>
      <c r="P10" s="11" t="n">
        <v>24358384424.1081</v>
      </c>
      <c r="Q10" s="11" t="n">
        <v>24358384424.1081</v>
      </c>
      <c r="R10" s="11" t="n">
        <v>24358384424.1081</v>
      </c>
      <c r="S10" s="11" t="n">
        <v>51651278803.2379</v>
      </c>
      <c r="T10" s="11" t="n">
        <v>51651278803.2379</v>
      </c>
      <c r="U10" s="11" t="n">
        <v>51651278803.2379</v>
      </c>
      <c r="V10" s="11" t="n">
        <v>88728347029.634</v>
      </c>
      <c r="W10" s="11" t="n">
        <v>88728347029.634</v>
      </c>
      <c r="X10" s="11" t="n">
        <v>88728347029.634</v>
      </c>
    </row>
    <row r="11" customFormat="false" ht="15" hidden="false" customHeight="false" outlineLevel="0" collapsed="false">
      <c r="A11" s="9" t="s">
        <v>654</v>
      </c>
      <c r="B11" s="9" t="s">
        <v>655</v>
      </c>
      <c r="C11" s="10" t="s">
        <v>650</v>
      </c>
      <c r="D11" s="9" t="s">
        <v>651</v>
      </c>
      <c r="E11" s="9" t="n">
        <v>15</v>
      </c>
      <c r="F11" s="9" t="s">
        <v>652</v>
      </c>
      <c r="G11" s="9" t="s">
        <v>613</v>
      </c>
      <c r="H11" s="9" t="s">
        <v>653</v>
      </c>
      <c r="I11" s="9" t="s">
        <v>617</v>
      </c>
      <c r="J11" s="11" t="n">
        <v>75389750703.5004</v>
      </c>
      <c r="K11" s="11" t="n">
        <v>75389750703.5004</v>
      </c>
      <c r="L11" s="11" t="n">
        <v>75389750703.5004</v>
      </c>
      <c r="M11" s="11" t="n">
        <v>373593212430.323</v>
      </c>
      <c r="N11" s="11" t="n">
        <v>373593212430.323</v>
      </c>
      <c r="O11" s="11" t="n">
        <v>373593212430.323</v>
      </c>
      <c r="P11" s="11" t="n">
        <v>531800117609.444</v>
      </c>
      <c r="Q11" s="11" t="n">
        <v>531800117609.444</v>
      </c>
      <c r="R11" s="11" t="n">
        <v>531800117609.444</v>
      </c>
      <c r="S11" s="11" t="n">
        <v>784571063547.291</v>
      </c>
      <c r="T11" s="11" t="n">
        <v>784571063547.291</v>
      </c>
      <c r="U11" s="11" t="n">
        <v>784571063547.291</v>
      </c>
      <c r="V11" s="11" t="n">
        <v>1253228727316.01</v>
      </c>
      <c r="W11" s="11" t="n">
        <v>1253228727316.01</v>
      </c>
      <c r="X11" s="11" t="n">
        <v>1253228727316.01</v>
      </c>
    </row>
    <row r="12" customFormat="false" ht="15" hidden="false" customHeight="false" outlineLevel="0" collapsed="false">
      <c r="A12" s="9" t="s">
        <v>656</v>
      </c>
      <c r="B12" s="9" t="s">
        <v>657</v>
      </c>
      <c r="C12" s="10" t="s">
        <v>650</v>
      </c>
      <c r="D12" s="9" t="s">
        <v>651</v>
      </c>
      <c r="E12" s="9" t="n">
        <v>15</v>
      </c>
      <c r="F12" s="9" t="s">
        <v>652</v>
      </c>
      <c r="G12" s="9" t="s">
        <v>613</v>
      </c>
      <c r="H12" s="9" t="s">
        <v>653</v>
      </c>
      <c r="I12" s="9" t="s">
        <v>617</v>
      </c>
      <c r="J12" s="11" t="n">
        <v>21607833669.3996</v>
      </c>
      <c r="K12" s="11" t="n">
        <v>21607833669.3996</v>
      </c>
      <c r="L12" s="11" t="n">
        <v>21607833669.3996</v>
      </c>
      <c r="M12" s="11" t="n">
        <v>106148334807.008</v>
      </c>
      <c r="N12" s="11" t="n">
        <v>106148334807.008</v>
      </c>
      <c r="O12" s="11" t="n">
        <v>106148334807.008</v>
      </c>
      <c r="P12" s="11" t="n">
        <v>151099364378.687</v>
      </c>
      <c r="Q12" s="11" t="n">
        <v>151099364378.687</v>
      </c>
      <c r="R12" s="11" t="n">
        <v>151099364378.687</v>
      </c>
      <c r="S12" s="11" t="n">
        <v>238098354985.508</v>
      </c>
      <c r="T12" s="11" t="n">
        <v>238098354985.508</v>
      </c>
      <c r="U12" s="11" t="n">
        <v>238098354985.508</v>
      </c>
      <c r="V12" s="11" t="n">
        <v>386821977392.771</v>
      </c>
      <c r="W12" s="11" t="n">
        <v>386821977392.771</v>
      </c>
      <c r="X12" s="11" t="n">
        <v>386821977392.771</v>
      </c>
    </row>
    <row r="13" customFormat="false" ht="15" hidden="false" customHeight="false" outlineLevel="0" collapsed="false">
      <c r="A13" s="9" t="s">
        <v>658</v>
      </c>
      <c r="B13" s="9" t="s">
        <v>659</v>
      </c>
      <c r="C13" s="10" t="s">
        <v>660</v>
      </c>
      <c r="D13" s="9" t="s">
        <v>661</v>
      </c>
      <c r="E13" s="9" t="n">
        <v>1</v>
      </c>
      <c r="F13" s="9" t="s">
        <v>652</v>
      </c>
      <c r="G13" s="9" t="s">
        <v>613</v>
      </c>
      <c r="H13" s="9" t="s">
        <v>653</v>
      </c>
      <c r="I13" s="9" t="s">
        <v>617</v>
      </c>
      <c r="J13" s="11" t="n">
        <v>0.6</v>
      </c>
    </row>
    <row r="14" customFormat="false" ht="15" hidden="false" customHeight="false" outlineLevel="0" collapsed="false">
      <c r="A14" s="9" t="s">
        <v>662</v>
      </c>
      <c r="B14" s="9" t="s">
        <v>663</v>
      </c>
      <c r="C14" s="10" t="s">
        <v>664</v>
      </c>
      <c r="D14" s="9" t="s">
        <v>665</v>
      </c>
      <c r="E14" s="9" t="n">
        <v>15</v>
      </c>
      <c r="F14" s="9" t="s">
        <v>652</v>
      </c>
      <c r="G14" s="9" t="s">
        <v>613</v>
      </c>
      <c r="H14" s="9" t="s">
        <v>653</v>
      </c>
      <c r="I14" s="9" t="s">
        <v>617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6.88900389081935</v>
      </c>
      <c r="N14" s="11" t="n">
        <v>9.2685484797567</v>
      </c>
      <c r="O14" s="11" t="n">
        <v>15.0831317178447</v>
      </c>
      <c r="P14" s="11" t="n">
        <v>8.65796636448843</v>
      </c>
      <c r="Q14" s="11" t="n">
        <v>12.6529678995341</v>
      </c>
      <c r="R14" s="11" t="n">
        <v>23.7300642726621</v>
      </c>
      <c r="S14" s="11" t="n">
        <v>8.7166702372781</v>
      </c>
      <c r="T14" s="11" t="n">
        <v>12.0543709668186</v>
      </c>
      <c r="U14" s="11" t="n">
        <v>20.6780894215396</v>
      </c>
      <c r="V14" s="11" t="n">
        <v>10.9036999386122</v>
      </c>
      <c r="W14" s="11" t="n">
        <v>16.7672676161495</v>
      </c>
      <c r="X14" s="11" t="n">
        <v>30.7801210005857</v>
      </c>
    </row>
    <row r="15" customFormat="false" ht="15" hidden="false" customHeight="false" outlineLevel="0" collapsed="false">
      <c r="A15" s="9" t="s">
        <v>666</v>
      </c>
      <c r="B15" s="9" t="s">
        <v>667</v>
      </c>
      <c r="C15" s="10" t="s">
        <v>668</v>
      </c>
      <c r="D15" s="9" t="s">
        <v>669</v>
      </c>
      <c r="E15" s="9" t="n">
        <v>15</v>
      </c>
      <c r="F15" s="9" t="s">
        <v>652</v>
      </c>
      <c r="G15" s="9" t="s">
        <v>613</v>
      </c>
      <c r="H15" s="9" t="s">
        <v>653</v>
      </c>
      <c r="I15" s="9" t="s">
        <v>617</v>
      </c>
      <c r="J15" s="11" t="n">
        <v>7.4943918900521</v>
      </c>
      <c r="K15" s="11" t="n">
        <v>10.8086695965078</v>
      </c>
      <c r="L15" s="11" t="n">
        <v>18.6348636859847</v>
      </c>
      <c r="M15" s="11" t="n">
        <v>0.908830359719883</v>
      </c>
      <c r="N15" s="11" t="n">
        <v>1.22267416018175</v>
      </c>
      <c r="O15" s="11" t="n">
        <v>1.98957338536432</v>
      </c>
      <c r="P15" s="11" t="n">
        <v>0.92526306715866</v>
      </c>
      <c r="Q15" s="11" t="n">
        <v>1.35209950728128</v>
      </c>
      <c r="R15" s="11" t="n">
        <v>2.53560553132768</v>
      </c>
      <c r="S15" s="11" t="n">
        <v>0.362631102139582</v>
      </c>
      <c r="T15" s="11" t="n">
        <v>0.501400719798122</v>
      </c>
      <c r="U15" s="11" t="n">
        <v>0.85994398347811</v>
      </c>
      <c r="V15" s="11" t="n">
        <v>0.235361794782801</v>
      </c>
      <c r="W15" s="11" t="n">
        <v>0.361809776229296</v>
      </c>
      <c r="X15" s="11" t="n">
        <v>0.663997304746378</v>
      </c>
    </row>
    <row r="16" customFormat="false" ht="15" hidden="false" customHeight="false" outlineLevel="0" collapsed="false">
      <c r="A16" s="9" t="s">
        <v>670</v>
      </c>
      <c r="B16" s="9" t="s">
        <v>671</v>
      </c>
      <c r="C16" s="10" t="s">
        <v>668</v>
      </c>
      <c r="D16" s="9" t="s">
        <v>669</v>
      </c>
      <c r="E16" s="9" t="n">
        <v>15</v>
      </c>
      <c r="F16" s="9" t="s">
        <v>652</v>
      </c>
      <c r="G16" s="9" t="s">
        <v>613</v>
      </c>
      <c r="H16" s="9" t="s">
        <v>653</v>
      </c>
      <c r="I16" s="9" t="s">
        <v>617</v>
      </c>
      <c r="J16" s="11" t="n">
        <v>0.131528195038391</v>
      </c>
      <c r="K16" s="11" t="n">
        <v>0.189691426094815</v>
      </c>
      <c r="L16" s="11" t="n">
        <v>0.327035600432412</v>
      </c>
      <c r="M16" s="11" t="n">
        <v>0.0270671682222974</v>
      </c>
      <c r="N16" s="11" t="n">
        <v>0.0364127511950573</v>
      </c>
      <c r="O16" s="11" t="n">
        <v>0.0592493352860653</v>
      </c>
      <c r="P16" s="11" t="n">
        <v>0.0238456281262901</v>
      </c>
      <c r="Q16" s="11" t="n">
        <v>0.0348435970991864</v>
      </c>
      <c r="R16" s="11" t="n">
        <v>0.0653380940731538</v>
      </c>
      <c r="S16" s="11" t="n">
        <v>0.015978849287883</v>
      </c>
      <c r="T16" s="11" t="n">
        <v>0.0220931635968517</v>
      </c>
      <c r="U16" s="11" t="n">
        <v>0.0378909026444376</v>
      </c>
      <c r="V16" s="11" t="n">
        <v>0.0124449925144892</v>
      </c>
      <c r="W16" s="11" t="n">
        <v>0.0191315796045448</v>
      </c>
      <c r="X16" s="11" t="n">
        <v>0.0351112987257479</v>
      </c>
    </row>
    <row r="17" customFormat="false" ht="15" hidden="false" customHeight="false" outlineLevel="0" collapsed="false">
      <c r="A17" s="9" t="s">
        <v>672</v>
      </c>
      <c r="B17" s="9" t="s">
        <v>673</v>
      </c>
      <c r="C17" s="10" t="s">
        <v>668</v>
      </c>
      <c r="D17" s="9" t="s">
        <v>669</v>
      </c>
      <c r="E17" s="9" t="n">
        <v>15</v>
      </c>
      <c r="F17" s="9" t="s">
        <v>652</v>
      </c>
      <c r="G17" s="9" t="s">
        <v>613</v>
      </c>
      <c r="H17" s="9" t="s">
        <v>653</v>
      </c>
      <c r="I17" s="9" t="s">
        <v>617</v>
      </c>
      <c r="J17" s="11" t="n">
        <v>0.540514417707467</v>
      </c>
      <c r="K17" s="11" t="n">
        <v>0.779548797277856</v>
      </c>
      <c r="L17" s="11" t="n">
        <v>1.3439943912399</v>
      </c>
      <c r="M17" s="11" t="n">
        <v>0.102004346521953</v>
      </c>
      <c r="N17" s="11" t="n">
        <v>0.137232563604596</v>
      </c>
      <c r="O17" s="11" t="n">
        <v>0.223315170128871</v>
      </c>
      <c r="P17" s="11" t="n">
        <v>0.0900320283935204</v>
      </c>
      <c r="Q17" s="11" t="n">
        <v>0.13156796023212</v>
      </c>
      <c r="R17" s="11" t="n">
        <v>0.246736256386126</v>
      </c>
      <c r="S17" s="11" t="n">
        <v>0.0539867313370782</v>
      </c>
      <c r="T17" s="11" t="n">
        <v>0.0746529097623027</v>
      </c>
      <c r="U17" s="11" t="n">
        <v>0.128048740819541</v>
      </c>
      <c r="V17" s="11" t="n">
        <v>0.0406274360810175</v>
      </c>
      <c r="W17" s="11" t="n">
        <v>0.0624669600412913</v>
      </c>
      <c r="X17" s="11" t="n">
        <v>0.114659424436915</v>
      </c>
    </row>
    <row r="18" customFormat="false" ht="15" hidden="false" customHeight="false" outlineLevel="0" collapsed="false">
      <c r="A18" s="9" t="s">
        <v>674</v>
      </c>
      <c r="B18" s="9" t="s">
        <v>675</v>
      </c>
      <c r="C18" s="10" t="s">
        <v>676</v>
      </c>
      <c r="D18" s="9" t="s">
        <v>669</v>
      </c>
      <c r="E18" s="9" t="n">
        <v>1</v>
      </c>
      <c r="F18" s="9" t="s">
        <v>652</v>
      </c>
      <c r="G18" s="9" t="s">
        <v>613</v>
      </c>
      <c r="H18" s="9" t="s">
        <v>653</v>
      </c>
      <c r="I18" s="9" t="s">
        <v>617</v>
      </c>
      <c r="J18" s="11" t="n">
        <v>0.8</v>
      </c>
    </row>
    <row r="19" customFormat="false" ht="15" hidden="false" customHeight="false" outlineLevel="0" collapsed="false">
      <c r="A19" s="9" t="s">
        <v>677</v>
      </c>
      <c r="B19" s="9" t="s">
        <v>678</v>
      </c>
      <c r="C19" s="10" t="s">
        <v>676</v>
      </c>
      <c r="D19" s="9" t="s">
        <v>669</v>
      </c>
      <c r="E19" s="9" t="n">
        <v>1</v>
      </c>
      <c r="F19" s="9" t="s">
        <v>652</v>
      </c>
      <c r="G19" s="9" t="s">
        <v>613</v>
      </c>
      <c r="H19" s="9" t="s">
        <v>653</v>
      </c>
      <c r="I19" s="9" t="s">
        <v>617</v>
      </c>
      <c r="J19" s="11" t="n">
        <v>0.008</v>
      </c>
    </row>
    <row r="20" customFormat="false" ht="15" hidden="false" customHeight="false" outlineLevel="0" collapsed="false">
      <c r="A20" s="9" t="s">
        <v>679</v>
      </c>
      <c r="B20" s="9" t="s">
        <v>680</v>
      </c>
      <c r="C20" s="10" t="s">
        <v>676</v>
      </c>
      <c r="D20" s="9" t="s">
        <v>669</v>
      </c>
      <c r="E20" s="9" t="n">
        <v>1</v>
      </c>
      <c r="F20" s="9" t="s">
        <v>652</v>
      </c>
      <c r="G20" s="9" t="s">
        <v>613</v>
      </c>
      <c r="H20" s="9" t="s">
        <v>653</v>
      </c>
      <c r="I20" s="9" t="s">
        <v>617</v>
      </c>
      <c r="J20" s="11" t="n">
        <v>0.16</v>
      </c>
    </row>
    <row r="21" customFormat="false" ht="15" hidden="false" customHeight="false" outlineLevel="0" collapsed="false">
      <c r="A21" s="9" t="s">
        <v>681</v>
      </c>
      <c r="B21" s="9" t="s">
        <v>682</v>
      </c>
      <c r="C21" s="10" t="s">
        <v>683</v>
      </c>
      <c r="D21" s="9" t="s">
        <v>669</v>
      </c>
      <c r="E21" s="9" t="n">
        <v>1</v>
      </c>
      <c r="F21" s="9" t="s">
        <v>652</v>
      </c>
      <c r="G21" s="9" t="s">
        <v>613</v>
      </c>
      <c r="H21" s="9" t="s">
        <v>653</v>
      </c>
      <c r="I21" s="9" t="s">
        <v>617</v>
      </c>
      <c r="J21" s="11" t="n">
        <v>8</v>
      </c>
    </row>
    <row r="22" customFormat="false" ht="15" hidden="false" customHeight="false" outlineLevel="0" collapsed="false">
      <c r="A22" s="9" t="s">
        <v>684</v>
      </c>
      <c r="B22" s="9" t="s">
        <v>685</v>
      </c>
      <c r="C22" s="10" t="s">
        <v>683</v>
      </c>
      <c r="D22" s="9" t="s">
        <v>669</v>
      </c>
      <c r="E22" s="9" t="n">
        <v>1</v>
      </c>
      <c r="F22" s="9" t="s">
        <v>652</v>
      </c>
      <c r="G22" s="9" t="s">
        <v>613</v>
      </c>
      <c r="H22" s="9" t="s">
        <v>653</v>
      </c>
      <c r="I22" s="9" t="s">
        <v>617</v>
      </c>
      <c r="J22" s="11" t="n">
        <v>0.08</v>
      </c>
    </row>
    <row r="23" customFormat="false" ht="15" hidden="false" customHeight="false" outlineLevel="0" collapsed="false">
      <c r="A23" s="9" t="s">
        <v>686</v>
      </c>
      <c r="B23" s="9" t="s">
        <v>687</v>
      </c>
      <c r="C23" s="10" t="s">
        <v>683</v>
      </c>
      <c r="D23" s="9" t="s">
        <v>669</v>
      </c>
      <c r="E23" s="9" t="n">
        <v>1</v>
      </c>
      <c r="F23" s="9" t="s">
        <v>652</v>
      </c>
      <c r="G23" s="9" t="s">
        <v>613</v>
      </c>
      <c r="H23" s="9" t="s">
        <v>653</v>
      </c>
      <c r="I23" s="9" t="s">
        <v>617</v>
      </c>
      <c r="J23" s="11" t="n">
        <v>1.6</v>
      </c>
    </row>
    <row r="24" customFormat="false" ht="15" hidden="false" customHeight="false" outlineLevel="0" collapsed="false">
      <c r="A24" s="9" t="s">
        <v>688</v>
      </c>
      <c r="B24" s="9" t="s">
        <v>689</v>
      </c>
      <c r="C24" s="10" t="s">
        <v>690</v>
      </c>
      <c r="D24" s="9" t="s">
        <v>669</v>
      </c>
      <c r="E24" s="9" t="n">
        <v>1</v>
      </c>
      <c r="F24" s="9" t="s">
        <v>652</v>
      </c>
      <c r="G24" s="9" t="s">
        <v>613</v>
      </c>
      <c r="H24" s="9" t="s">
        <v>653</v>
      </c>
      <c r="I24" s="9" t="s">
        <v>617</v>
      </c>
      <c r="J24" s="11" t="n">
        <v>40</v>
      </c>
    </row>
    <row r="25" customFormat="false" ht="15" hidden="false" customHeight="false" outlineLevel="0" collapsed="false">
      <c r="A25" s="9" t="s">
        <v>691</v>
      </c>
      <c r="B25" s="9" t="s">
        <v>692</v>
      </c>
      <c r="C25" s="10" t="s">
        <v>690</v>
      </c>
      <c r="D25" s="9" t="s">
        <v>669</v>
      </c>
      <c r="E25" s="9" t="n">
        <v>1</v>
      </c>
      <c r="F25" s="9" t="s">
        <v>652</v>
      </c>
      <c r="G25" s="9" t="s">
        <v>613</v>
      </c>
      <c r="H25" s="9" t="s">
        <v>653</v>
      </c>
      <c r="I25" s="9" t="s">
        <v>617</v>
      </c>
      <c r="J25" s="11" t="n">
        <v>0.4</v>
      </c>
    </row>
    <row r="26" customFormat="false" ht="15" hidden="false" customHeight="false" outlineLevel="0" collapsed="false">
      <c r="A26" s="9" t="s">
        <v>693</v>
      </c>
      <c r="B26" s="9" t="s">
        <v>694</v>
      </c>
      <c r="C26" s="10" t="s">
        <v>690</v>
      </c>
      <c r="D26" s="9" t="s">
        <v>669</v>
      </c>
      <c r="E26" s="9" t="n">
        <v>1</v>
      </c>
      <c r="F26" s="9" t="s">
        <v>652</v>
      </c>
      <c r="G26" s="9" t="s">
        <v>613</v>
      </c>
      <c r="H26" s="9" t="s">
        <v>653</v>
      </c>
      <c r="I26" s="9" t="s">
        <v>617</v>
      </c>
      <c r="J26" s="11" t="n">
        <v>8</v>
      </c>
    </row>
    <row r="27" customFormat="false" ht="15" hidden="false" customHeight="false" outlineLevel="0" collapsed="false">
      <c r="A27" s="9" t="s">
        <v>695</v>
      </c>
      <c r="B27" s="9" t="s">
        <v>696</v>
      </c>
      <c r="C27" s="10" t="s">
        <v>697</v>
      </c>
      <c r="D27" s="9" t="s">
        <v>669</v>
      </c>
      <c r="E27" s="9" t="n">
        <v>1</v>
      </c>
      <c r="F27" s="9" t="s">
        <v>652</v>
      </c>
      <c r="G27" s="9" t="s">
        <v>613</v>
      </c>
      <c r="H27" s="9" t="s">
        <v>653</v>
      </c>
      <c r="I27" s="9" t="s">
        <v>617</v>
      </c>
      <c r="J27" s="11" t="n">
        <v>8.03555555555555</v>
      </c>
    </row>
    <row r="28" customFormat="false" ht="15" hidden="false" customHeight="false" outlineLevel="0" collapsed="false">
      <c r="A28" s="9" t="s">
        <v>698</v>
      </c>
      <c r="B28" s="9" t="s">
        <v>699</v>
      </c>
      <c r="C28" s="10" t="s">
        <v>697</v>
      </c>
      <c r="D28" s="9" t="s">
        <v>669</v>
      </c>
      <c r="E28" s="9" t="n">
        <v>1</v>
      </c>
      <c r="F28" s="9" t="s">
        <v>652</v>
      </c>
      <c r="G28" s="9" t="s">
        <v>613</v>
      </c>
      <c r="H28" s="9" t="s">
        <v>653</v>
      </c>
      <c r="I28" s="9" t="s">
        <v>617</v>
      </c>
      <c r="J28" s="11" t="n">
        <v>0.0803555555555556</v>
      </c>
    </row>
    <row r="29" customFormat="false" ht="15" hidden="false" customHeight="false" outlineLevel="0" collapsed="false">
      <c r="A29" s="9" t="s">
        <v>700</v>
      </c>
      <c r="B29" s="9" t="s">
        <v>701</v>
      </c>
      <c r="C29" s="10" t="s">
        <v>697</v>
      </c>
      <c r="D29" s="9" t="s">
        <v>669</v>
      </c>
      <c r="E29" s="9" t="n">
        <v>1</v>
      </c>
      <c r="F29" s="9" t="s">
        <v>652</v>
      </c>
      <c r="G29" s="9" t="s">
        <v>613</v>
      </c>
      <c r="H29" s="9" t="s">
        <v>653</v>
      </c>
      <c r="I29" s="9" t="s">
        <v>617</v>
      </c>
      <c r="J29" s="11" t="n">
        <v>1.60711111111111</v>
      </c>
    </row>
    <row r="30" customFormat="false" ht="15" hidden="false" customHeight="false" outlineLevel="0" collapsed="false">
      <c r="A30" s="9" t="s">
        <v>702</v>
      </c>
      <c r="B30" s="9" t="s">
        <v>703</v>
      </c>
      <c r="C30" s="10" t="s">
        <v>704</v>
      </c>
      <c r="D30" s="9" t="s">
        <v>669</v>
      </c>
      <c r="E30" s="9" t="n">
        <v>1</v>
      </c>
      <c r="F30" s="9" t="s">
        <v>652</v>
      </c>
      <c r="G30" s="9" t="s">
        <v>613</v>
      </c>
      <c r="H30" s="9" t="s">
        <v>653</v>
      </c>
      <c r="I30" s="9" t="s">
        <v>617</v>
      </c>
      <c r="J30" s="11" t="n">
        <v>40</v>
      </c>
    </row>
    <row r="31" customFormat="false" ht="15" hidden="false" customHeight="false" outlineLevel="0" collapsed="false">
      <c r="A31" s="9" t="s">
        <v>705</v>
      </c>
      <c r="B31" s="9" t="s">
        <v>706</v>
      </c>
      <c r="C31" s="10" t="s">
        <v>704</v>
      </c>
      <c r="D31" s="9" t="s">
        <v>669</v>
      </c>
      <c r="E31" s="9" t="n">
        <v>1</v>
      </c>
      <c r="F31" s="9" t="s">
        <v>652</v>
      </c>
      <c r="G31" s="9" t="s">
        <v>613</v>
      </c>
      <c r="H31" s="9" t="s">
        <v>653</v>
      </c>
      <c r="I31" s="9" t="s">
        <v>617</v>
      </c>
      <c r="J31" s="11" t="n">
        <v>0.4</v>
      </c>
    </row>
    <row r="32" customFormat="false" ht="15" hidden="false" customHeight="false" outlineLevel="0" collapsed="false">
      <c r="A32" s="9" t="s">
        <v>707</v>
      </c>
      <c r="B32" s="9" t="s">
        <v>708</v>
      </c>
      <c r="C32" s="10" t="s">
        <v>704</v>
      </c>
      <c r="D32" s="9" t="s">
        <v>669</v>
      </c>
      <c r="E32" s="9" t="n">
        <v>1</v>
      </c>
      <c r="F32" s="9" t="s">
        <v>652</v>
      </c>
      <c r="G32" s="9" t="s">
        <v>613</v>
      </c>
      <c r="H32" s="9" t="s">
        <v>653</v>
      </c>
      <c r="I32" s="9" t="s">
        <v>617</v>
      </c>
      <c r="J32" s="11" t="n">
        <v>8</v>
      </c>
    </row>
    <row r="33" customFormat="false" ht="15" hidden="false" customHeight="false" outlineLevel="0" collapsed="false">
      <c r="A33" s="9" t="s">
        <v>709</v>
      </c>
      <c r="B33" s="9" t="s">
        <v>710</v>
      </c>
      <c r="C33" s="10" t="s">
        <v>711</v>
      </c>
      <c r="D33" s="9" t="s">
        <v>669</v>
      </c>
      <c r="E33" s="9" t="n">
        <v>1</v>
      </c>
      <c r="F33" s="9" t="s">
        <v>652</v>
      </c>
      <c r="G33" s="9" t="s">
        <v>613</v>
      </c>
      <c r="H33" s="9" t="s">
        <v>653</v>
      </c>
      <c r="I33" s="9" t="s">
        <v>617</v>
      </c>
      <c r="J33" s="11" t="n">
        <v>7.74222222222222</v>
      </c>
    </row>
    <row r="34" customFormat="false" ht="15" hidden="false" customHeight="false" outlineLevel="0" collapsed="false">
      <c r="A34" s="9" t="s">
        <v>712</v>
      </c>
      <c r="B34" s="9" t="s">
        <v>713</v>
      </c>
      <c r="C34" s="10" t="s">
        <v>711</v>
      </c>
      <c r="D34" s="9" t="s">
        <v>669</v>
      </c>
      <c r="E34" s="9" t="n">
        <v>1</v>
      </c>
      <c r="F34" s="9" t="s">
        <v>652</v>
      </c>
      <c r="G34" s="9" t="s">
        <v>613</v>
      </c>
      <c r="H34" s="9" t="s">
        <v>653</v>
      </c>
      <c r="I34" s="9" t="s">
        <v>617</v>
      </c>
      <c r="J34" s="11" t="n">
        <v>0.0803555555555556</v>
      </c>
    </row>
    <row r="35" customFormat="false" ht="15" hidden="false" customHeight="false" outlineLevel="0" collapsed="false">
      <c r="A35" s="9" t="s">
        <v>714</v>
      </c>
      <c r="B35" s="9" t="s">
        <v>715</v>
      </c>
      <c r="C35" s="10" t="s">
        <v>711</v>
      </c>
      <c r="D35" s="9" t="s">
        <v>669</v>
      </c>
      <c r="E35" s="9" t="n">
        <v>1</v>
      </c>
      <c r="F35" s="9" t="s">
        <v>652</v>
      </c>
      <c r="G35" s="9" t="s">
        <v>613</v>
      </c>
      <c r="H35" s="9" t="s">
        <v>653</v>
      </c>
      <c r="I35" s="9" t="s">
        <v>617</v>
      </c>
      <c r="J35" s="11" t="n">
        <v>1.60711111111111</v>
      </c>
    </row>
    <row r="36" customFormat="false" ht="15" hidden="false" customHeight="false" outlineLevel="0" collapsed="false">
      <c r="A36" s="9" t="s">
        <v>716</v>
      </c>
      <c r="B36" s="9" t="s">
        <v>717</v>
      </c>
      <c r="C36" s="10" t="s">
        <v>718</v>
      </c>
      <c r="D36" s="9" t="s">
        <v>661</v>
      </c>
      <c r="E36" s="9" t="n">
        <v>15</v>
      </c>
      <c r="F36" s="9" t="s">
        <v>652</v>
      </c>
      <c r="G36" s="9" t="s">
        <v>613</v>
      </c>
      <c r="H36" s="9" t="s">
        <v>653</v>
      </c>
      <c r="I36" s="9" t="s">
        <v>617</v>
      </c>
      <c r="J36" s="11" t="n">
        <v>0.163562860457807</v>
      </c>
      <c r="K36" s="11" t="n">
        <v>0.163562860457807</v>
      </c>
      <c r="L36" s="11" t="n">
        <v>0.163562860457807</v>
      </c>
      <c r="M36" s="11" t="n">
        <v>0.069141639871446</v>
      </c>
      <c r="N36" s="11" t="n">
        <v>0.069141639871446</v>
      </c>
      <c r="O36" s="11" t="n">
        <v>0.069141639871446</v>
      </c>
      <c r="P36" s="11" t="n">
        <v>0.0659249139116678</v>
      </c>
      <c r="Q36" s="11" t="n">
        <v>0.0659249139116678</v>
      </c>
      <c r="R36" s="11" t="n">
        <v>0.0659249139116678</v>
      </c>
      <c r="S36" s="11" t="n">
        <v>0.0365544118598703</v>
      </c>
      <c r="T36" s="11" t="n">
        <v>0.0365544118598703</v>
      </c>
      <c r="U36" s="11" t="n">
        <v>0.0365544118598703</v>
      </c>
      <c r="V36" s="11" t="n">
        <v>0.0238697124195531</v>
      </c>
      <c r="W36" s="11" t="n">
        <v>0.0238697124195531</v>
      </c>
      <c r="X36" s="11" t="n">
        <v>0.0238697124195531</v>
      </c>
    </row>
    <row r="37" customFormat="false" ht="15" hidden="false" customHeight="false" outlineLevel="0" collapsed="false">
      <c r="A37" s="9" t="s">
        <v>719</v>
      </c>
      <c r="B37" s="9" t="s">
        <v>720</v>
      </c>
      <c r="C37" s="10" t="s">
        <v>718</v>
      </c>
      <c r="D37" s="9" t="s">
        <v>661</v>
      </c>
      <c r="E37" s="9" t="n">
        <v>15</v>
      </c>
      <c r="F37" s="9" t="s">
        <v>652</v>
      </c>
      <c r="G37" s="9" t="s">
        <v>613</v>
      </c>
      <c r="H37" s="9" t="s">
        <v>653</v>
      </c>
      <c r="I37" s="9" t="s">
        <v>617</v>
      </c>
      <c r="J37" s="11" t="n">
        <v>0.00896604128960073</v>
      </c>
      <c r="K37" s="11" t="n">
        <v>0.00896604128960073</v>
      </c>
      <c r="L37" s="11" t="n">
        <v>0.00896604128960073</v>
      </c>
      <c r="M37" s="11" t="n">
        <v>0.00370805316257368</v>
      </c>
      <c r="N37" s="11" t="n">
        <v>0.00370805316257368</v>
      </c>
      <c r="O37" s="11" t="n">
        <v>0.00370805316257368</v>
      </c>
      <c r="P37" s="11" t="n">
        <v>0.00333788054373079</v>
      </c>
      <c r="Q37" s="11" t="n">
        <v>0.00333788054373079</v>
      </c>
      <c r="R37" s="11" t="n">
        <v>0.00333788054373079</v>
      </c>
      <c r="S37" s="11" t="n">
        <v>0.00191822686404789</v>
      </c>
      <c r="T37" s="11" t="n">
        <v>0.00191822686404789</v>
      </c>
      <c r="U37" s="11" t="n">
        <v>0.00191822686404789</v>
      </c>
      <c r="V37" s="11" t="n">
        <v>0.00124014797043059</v>
      </c>
      <c r="W37" s="11" t="n">
        <v>0.00124014797043059</v>
      </c>
      <c r="X37" s="11" t="n">
        <v>0.00124014797043059</v>
      </c>
    </row>
    <row r="38" customFormat="false" ht="15" hidden="false" customHeight="false" outlineLevel="0" collapsed="false">
      <c r="A38" s="9" t="s">
        <v>721</v>
      </c>
      <c r="B38" s="9" t="s">
        <v>722</v>
      </c>
      <c r="C38" s="10" t="s">
        <v>718</v>
      </c>
      <c r="D38" s="9" t="s">
        <v>661</v>
      </c>
      <c r="E38" s="9" t="n">
        <v>15</v>
      </c>
      <c r="F38" s="9" t="s">
        <v>652</v>
      </c>
      <c r="G38" s="9" t="s">
        <v>613</v>
      </c>
      <c r="H38" s="9" t="s">
        <v>653</v>
      </c>
      <c r="I38" s="9" t="s">
        <v>617</v>
      </c>
      <c r="J38" s="11" t="n">
        <v>0.0262306594583518</v>
      </c>
      <c r="K38" s="11" t="n">
        <v>0.0262306594583518</v>
      </c>
      <c r="L38" s="11" t="n">
        <v>0.0262306594583518</v>
      </c>
      <c r="M38" s="11" t="n">
        <v>0.0110022227193147</v>
      </c>
      <c r="N38" s="11" t="n">
        <v>0.0110022227193147</v>
      </c>
      <c r="O38" s="11" t="n">
        <v>0.0110022227193147</v>
      </c>
      <c r="P38" s="11" t="n">
        <v>0.0102846589455565</v>
      </c>
      <c r="Q38" s="11" t="n">
        <v>0.0102846589455565</v>
      </c>
      <c r="R38" s="11" t="n">
        <v>0.0102846589455565</v>
      </c>
      <c r="S38" s="11" t="n">
        <v>0.00578245060227154</v>
      </c>
      <c r="T38" s="11" t="n">
        <v>0.00578245060227154</v>
      </c>
      <c r="U38" s="11" t="n">
        <v>0.00578245060227154</v>
      </c>
      <c r="V38" s="11" t="n">
        <v>0.00376717085752225</v>
      </c>
      <c r="W38" s="11" t="n">
        <v>0.00376717085752225</v>
      </c>
      <c r="X38" s="11" t="n">
        <v>0.00376717085752225</v>
      </c>
    </row>
    <row r="39" customFormat="false" ht="15" hidden="false" customHeight="false" outlineLevel="0" collapsed="false">
      <c r="A39" s="9" t="s">
        <v>723</v>
      </c>
      <c r="B39" s="9" t="s">
        <v>724</v>
      </c>
      <c r="C39" s="10" t="s">
        <v>725</v>
      </c>
      <c r="D39" s="9" t="s">
        <v>726</v>
      </c>
      <c r="E39" s="9" t="n">
        <v>1</v>
      </c>
      <c r="F39" s="9" t="s">
        <v>652</v>
      </c>
      <c r="G39" s="9" t="s">
        <v>613</v>
      </c>
      <c r="H39" s="9" t="s">
        <v>653</v>
      </c>
      <c r="I39" s="9" t="s">
        <v>617</v>
      </c>
      <c r="J39" s="11" t="n">
        <v>8</v>
      </c>
    </row>
    <row r="40" customFormat="false" ht="15" hidden="false" customHeight="false" outlineLevel="0" collapsed="false">
      <c r="A40" s="9" t="s">
        <v>727</v>
      </c>
      <c r="B40" s="9" t="s">
        <v>728</v>
      </c>
      <c r="C40" s="10" t="s">
        <v>729</v>
      </c>
      <c r="D40" s="10" t="s">
        <v>730</v>
      </c>
      <c r="E40" s="9" t="n">
        <v>1</v>
      </c>
      <c r="F40" s="9" t="s">
        <v>652</v>
      </c>
      <c r="G40" s="9" t="s">
        <v>613</v>
      </c>
      <c r="H40" s="9" t="s">
        <v>653</v>
      </c>
      <c r="I40" s="9" t="s">
        <v>617</v>
      </c>
      <c r="J40" s="11" t="n">
        <v>4</v>
      </c>
    </row>
    <row r="41" customFormat="false" ht="15" hidden="false" customHeight="false" outlineLevel="0" collapsed="false">
      <c r="A41" s="9" t="s">
        <v>731</v>
      </c>
      <c r="B41" s="9" t="s">
        <v>732</v>
      </c>
      <c r="C41" s="9" t="s">
        <v>733</v>
      </c>
      <c r="D41" s="9" t="s">
        <v>52</v>
      </c>
      <c r="E41" s="9" t="n">
        <v>1</v>
      </c>
      <c r="F41" s="9" t="s">
        <v>652</v>
      </c>
      <c r="G41" s="9" t="s">
        <v>613</v>
      </c>
      <c r="H41" s="9" t="s">
        <v>653</v>
      </c>
      <c r="I41" s="9" t="s">
        <v>617</v>
      </c>
      <c r="J41" s="11" t="n">
        <v>8.4</v>
      </c>
    </row>
    <row r="42" customFormat="false" ht="15" hidden="false" customHeight="false" outlineLevel="0" collapsed="false">
      <c r="A42" s="9" t="s">
        <v>734</v>
      </c>
      <c r="B42" s="9" t="s">
        <v>735</v>
      </c>
      <c r="C42" s="9" t="s">
        <v>736</v>
      </c>
      <c r="D42" s="9" t="s">
        <v>52</v>
      </c>
      <c r="E42" s="9" t="n">
        <v>1</v>
      </c>
      <c r="F42" s="9" t="s">
        <v>652</v>
      </c>
      <c r="G42" s="9" t="s">
        <v>613</v>
      </c>
      <c r="H42" s="9" t="s">
        <v>653</v>
      </c>
      <c r="I42" s="9" t="s">
        <v>617</v>
      </c>
      <c r="J42" s="11" t="n">
        <v>3.9</v>
      </c>
    </row>
    <row r="43" customFormat="false" ht="15" hidden="false" customHeight="false" outlineLevel="0" collapsed="false">
      <c r="A43" s="9" t="s">
        <v>737</v>
      </c>
      <c r="B43" s="9" t="s">
        <v>738</v>
      </c>
      <c r="C43" s="9" t="s">
        <v>739</v>
      </c>
      <c r="D43" s="9" t="s">
        <v>52</v>
      </c>
      <c r="E43" s="9" t="n">
        <v>1</v>
      </c>
      <c r="F43" s="9" t="s">
        <v>652</v>
      </c>
      <c r="G43" s="9" t="s">
        <v>613</v>
      </c>
      <c r="H43" s="9" t="s">
        <v>653</v>
      </c>
      <c r="I43" s="9" t="s">
        <v>617</v>
      </c>
      <c r="J43" s="11" t="n">
        <v>12</v>
      </c>
    </row>
    <row r="44" customFormat="false" ht="15" hidden="false" customHeight="false" outlineLevel="0" collapsed="false">
      <c r="A44" s="9" t="s">
        <v>740</v>
      </c>
      <c r="B44" s="9" t="s">
        <v>741</v>
      </c>
      <c r="C44" s="9" t="s">
        <v>742</v>
      </c>
      <c r="D44" s="9" t="s">
        <v>52</v>
      </c>
      <c r="E44" s="9" t="n">
        <v>1</v>
      </c>
      <c r="F44" s="9" t="s">
        <v>652</v>
      </c>
      <c r="G44" s="9" t="s">
        <v>613</v>
      </c>
      <c r="H44" s="9" t="s">
        <v>653</v>
      </c>
      <c r="I44" s="9" t="s">
        <v>617</v>
      </c>
      <c r="J44" s="11" t="n">
        <v>13.07</v>
      </c>
    </row>
    <row r="45" customFormat="false" ht="15" hidden="false" customHeight="false" outlineLevel="0" collapsed="false">
      <c r="A45" s="9" t="s">
        <v>743</v>
      </c>
      <c r="B45" s="9" t="s">
        <v>744</v>
      </c>
      <c r="C45" s="9" t="s">
        <v>745</v>
      </c>
      <c r="D45" s="9" t="s">
        <v>359</v>
      </c>
      <c r="E45" s="9" t="n">
        <v>1</v>
      </c>
      <c r="F45" s="9" t="s">
        <v>652</v>
      </c>
      <c r="G45" s="9" t="s">
        <v>613</v>
      </c>
      <c r="H45" s="9" t="s">
        <v>653</v>
      </c>
      <c r="I45" s="9" t="s">
        <v>617</v>
      </c>
      <c r="J45" s="11" t="n">
        <v>0.6</v>
      </c>
    </row>
    <row r="46" customFormat="false" ht="15" hidden="false" customHeight="false" outlineLevel="0" collapsed="false">
      <c r="A46" s="9" t="s">
        <v>746</v>
      </c>
      <c r="B46" s="9" t="s">
        <v>747</v>
      </c>
      <c r="C46" s="9" t="s">
        <v>748</v>
      </c>
      <c r="D46" s="9" t="s">
        <v>359</v>
      </c>
      <c r="E46" s="9" t="n">
        <v>1</v>
      </c>
      <c r="F46" s="9" t="s">
        <v>652</v>
      </c>
      <c r="G46" s="9" t="s">
        <v>613</v>
      </c>
      <c r="H46" s="9" t="s">
        <v>653</v>
      </c>
      <c r="I46" s="9" t="s">
        <v>617</v>
      </c>
      <c r="J46" s="11" t="n">
        <v>1.9</v>
      </c>
    </row>
    <row r="47" customFormat="false" ht="15" hidden="false" customHeight="false" outlineLevel="0" collapsed="false">
      <c r="A47" s="9" t="s">
        <v>749</v>
      </c>
      <c r="B47" s="10" t="s">
        <v>750</v>
      </c>
      <c r="C47" s="9" t="s">
        <v>751</v>
      </c>
      <c r="D47" s="9"/>
      <c r="E47" s="9" t="n">
        <v>0</v>
      </c>
      <c r="F47" s="10" t="s">
        <v>752</v>
      </c>
      <c r="G47" s="9" t="s">
        <v>613</v>
      </c>
      <c r="H47" s="9" t="s">
        <v>653</v>
      </c>
      <c r="I47" s="9" t="s">
        <v>617</v>
      </c>
    </row>
    <row r="48" customFormat="false" ht="15" hidden="false" customHeight="false" outlineLevel="0" collapsed="false">
      <c r="A48" s="9" t="s">
        <v>753</v>
      </c>
      <c r="B48" s="10" t="s">
        <v>750</v>
      </c>
      <c r="C48" s="9" t="s">
        <v>754</v>
      </c>
      <c r="D48" s="9"/>
      <c r="E48" s="9" t="n">
        <v>0</v>
      </c>
      <c r="F48" s="10" t="s">
        <v>752</v>
      </c>
      <c r="G48" s="9" t="s">
        <v>613</v>
      </c>
      <c r="H48" s="9" t="s">
        <v>653</v>
      </c>
      <c r="I48" s="9" t="s">
        <v>617</v>
      </c>
    </row>
    <row r="49" customFormat="false" ht="15" hidden="false" customHeight="false" outlineLevel="0" collapsed="false">
      <c r="A49" s="9" t="s">
        <v>755</v>
      </c>
      <c r="B49" s="10" t="s">
        <v>750</v>
      </c>
      <c r="C49" s="9" t="s">
        <v>756</v>
      </c>
      <c r="D49" s="9"/>
      <c r="E49" s="9" t="n">
        <v>0</v>
      </c>
      <c r="F49" s="10" t="s">
        <v>752</v>
      </c>
      <c r="G49" s="9" t="s">
        <v>613</v>
      </c>
      <c r="H49" s="9" t="s">
        <v>653</v>
      </c>
      <c r="I49" s="9" t="s">
        <v>617</v>
      </c>
    </row>
    <row r="50" customFormat="false" ht="15" hidden="false" customHeight="false" outlineLevel="0" collapsed="false">
      <c r="A50" s="9" t="s">
        <v>757</v>
      </c>
      <c r="B50" s="10" t="s">
        <v>750</v>
      </c>
      <c r="C50" s="9" t="s">
        <v>758</v>
      </c>
      <c r="D50" s="9"/>
      <c r="E50" s="9" t="n">
        <v>0</v>
      </c>
      <c r="F50" s="10" t="s">
        <v>752</v>
      </c>
      <c r="G50" s="9" t="s">
        <v>613</v>
      </c>
      <c r="H50" s="9" t="s">
        <v>653</v>
      </c>
      <c r="I50" s="9" t="s">
        <v>617</v>
      </c>
    </row>
    <row r="51" customFormat="false" ht="15" hidden="false" customHeight="false" outlineLevel="0" collapsed="false">
      <c r="A51" s="9" t="s">
        <v>759</v>
      </c>
      <c r="B51" s="10" t="s">
        <v>750</v>
      </c>
      <c r="C51" s="9" t="s">
        <v>760</v>
      </c>
      <c r="D51" s="9"/>
      <c r="E51" s="9" t="n">
        <v>0</v>
      </c>
      <c r="F51" s="10" t="s">
        <v>752</v>
      </c>
      <c r="G51" s="9" t="s">
        <v>613</v>
      </c>
      <c r="H51" s="9" t="s">
        <v>653</v>
      </c>
      <c r="I51" s="9" t="s">
        <v>617</v>
      </c>
    </row>
    <row r="52" customFormat="false" ht="15" hidden="false" customHeight="false" outlineLevel="0" collapsed="false">
      <c r="A52" s="9" t="s">
        <v>761</v>
      </c>
      <c r="B52" s="10" t="s">
        <v>750</v>
      </c>
      <c r="C52" s="9" t="s">
        <v>762</v>
      </c>
      <c r="D52" s="9"/>
      <c r="E52" s="9" t="n">
        <v>0</v>
      </c>
      <c r="F52" s="10" t="s">
        <v>752</v>
      </c>
      <c r="G52" s="9" t="s">
        <v>613</v>
      </c>
      <c r="H52" s="9" t="s">
        <v>653</v>
      </c>
      <c r="I52" s="9" t="s">
        <v>617</v>
      </c>
    </row>
    <row r="53" customFormat="false" ht="15" hidden="false" customHeight="false" outlineLevel="0" collapsed="false">
      <c r="A53" s="9" t="s">
        <v>763</v>
      </c>
      <c r="B53" s="10" t="s">
        <v>750</v>
      </c>
      <c r="C53" s="9" t="s">
        <v>764</v>
      </c>
      <c r="D53" s="9"/>
      <c r="E53" s="9" t="n">
        <v>0</v>
      </c>
      <c r="F53" s="10" t="s">
        <v>752</v>
      </c>
      <c r="G53" s="9" t="s">
        <v>613</v>
      </c>
      <c r="H53" s="9" t="s">
        <v>653</v>
      </c>
      <c r="I53" s="9" t="s">
        <v>617</v>
      </c>
    </row>
    <row r="54" customFormat="false" ht="15" hidden="false" customHeight="false" outlineLevel="0" collapsed="false">
      <c r="A54" s="9" t="s">
        <v>765</v>
      </c>
      <c r="B54" s="10" t="s">
        <v>750</v>
      </c>
      <c r="C54" s="9" t="s">
        <v>766</v>
      </c>
      <c r="D54" s="9"/>
      <c r="E54" s="9" t="n">
        <v>0</v>
      </c>
      <c r="F54" s="10" t="s">
        <v>752</v>
      </c>
      <c r="G54" s="9" t="s">
        <v>613</v>
      </c>
      <c r="H54" s="9" t="s">
        <v>653</v>
      </c>
      <c r="I54" s="9" t="s">
        <v>617</v>
      </c>
    </row>
    <row r="55" customFormat="false" ht="15" hidden="false" customHeight="false" outlineLevel="0" collapsed="false">
      <c r="A55" s="9" t="s">
        <v>767</v>
      </c>
      <c r="B55" s="10" t="s">
        <v>750</v>
      </c>
      <c r="C55" s="9" t="s">
        <v>768</v>
      </c>
      <c r="D55" s="9"/>
      <c r="E55" s="9" t="n">
        <v>0</v>
      </c>
      <c r="F55" s="10" t="s">
        <v>752</v>
      </c>
      <c r="G55" s="9" t="s">
        <v>613</v>
      </c>
      <c r="H55" s="9" t="s">
        <v>653</v>
      </c>
      <c r="I55" s="9" t="s">
        <v>617</v>
      </c>
    </row>
    <row r="56" customFormat="false" ht="15" hidden="false" customHeight="false" outlineLevel="0" collapsed="false">
      <c r="A56" s="9" t="s">
        <v>769</v>
      </c>
      <c r="B56" s="10" t="s">
        <v>750</v>
      </c>
      <c r="C56" s="9" t="s">
        <v>770</v>
      </c>
      <c r="D56" s="9"/>
      <c r="E56" s="9" t="n">
        <v>0</v>
      </c>
      <c r="F56" s="10" t="s">
        <v>752</v>
      </c>
      <c r="G56" s="9" t="s">
        <v>613</v>
      </c>
      <c r="H56" s="9" t="s">
        <v>653</v>
      </c>
      <c r="I56" s="9" t="s">
        <v>617</v>
      </c>
    </row>
    <row r="57" customFormat="false" ht="15" hidden="false" customHeight="false" outlineLevel="0" collapsed="false">
      <c r="A57" s="9" t="s">
        <v>771</v>
      </c>
      <c r="B57" s="10" t="s">
        <v>750</v>
      </c>
      <c r="C57" s="9" t="s">
        <v>772</v>
      </c>
      <c r="D57" s="9"/>
      <c r="E57" s="9" t="n">
        <v>0</v>
      </c>
      <c r="F57" s="10" t="s">
        <v>752</v>
      </c>
      <c r="G57" s="9" t="s">
        <v>613</v>
      </c>
      <c r="H57" s="9" t="s">
        <v>653</v>
      </c>
      <c r="I57" s="9" t="s">
        <v>617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17.15" hidden="false" customHeight="false" outlineLevel="0" collapsed="false">
      <c r="A1" s="1" t="s">
        <v>773</v>
      </c>
    </row>
    <row r="2" customFormat="false" ht="15" hidden="false" customHeight="false" outlineLevel="0" collapsed="false">
      <c r="A2" s="2" t="s">
        <v>774</v>
      </c>
    </row>
    <row r="3" customFormat="false" ht="15" hidden="false" customHeight="false" outlineLevel="0" collapsed="false">
      <c r="A3" s="2" t="s">
        <v>775</v>
      </c>
    </row>
    <row r="4" customFormat="false" ht="26.85" hidden="false" customHeight="false" outlineLevel="0" collapsed="false">
      <c r="A4" s="7" t="s">
        <v>776</v>
      </c>
      <c r="B4" s="8" t="s">
        <v>777</v>
      </c>
      <c r="C4" s="8" t="s">
        <v>730</v>
      </c>
      <c r="D4" s="8" t="s">
        <v>30</v>
      </c>
      <c r="E4" s="8" t="s">
        <v>778</v>
      </c>
      <c r="F4" s="8" t="s">
        <v>28</v>
      </c>
      <c r="G4" s="8" t="s">
        <v>29</v>
      </c>
      <c r="H4" s="8" t="s">
        <v>18</v>
      </c>
      <c r="I4" s="7" t="s">
        <v>779</v>
      </c>
      <c r="J4" s="8" t="s">
        <v>39</v>
      </c>
      <c r="K4" s="7" t="s">
        <v>43</v>
      </c>
      <c r="L4" s="8" t="s">
        <v>45</v>
      </c>
      <c r="M4" s="8" t="s">
        <v>48</v>
      </c>
    </row>
    <row r="5" customFormat="false" ht="15" hidden="false" customHeight="false" outlineLevel="0" collapsed="false">
      <c r="A5" s="9" t="s">
        <v>780</v>
      </c>
      <c r="B5" s="10" t="s">
        <v>781</v>
      </c>
      <c r="C5" s="9" t="s">
        <v>55</v>
      </c>
      <c r="D5" s="10" t="s">
        <v>136</v>
      </c>
      <c r="E5" s="11" t="n">
        <v>2025</v>
      </c>
      <c r="F5" s="9"/>
      <c r="G5" s="9"/>
      <c r="H5" s="9" t="s">
        <v>782</v>
      </c>
      <c r="I5" s="9" t="s">
        <v>55</v>
      </c>
      <c r="J5" s="9" t="s">
        <v>783</v>
      </c>
      <c r="K5" s="9" t="s">
        <v>784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785</v>
      </c>
      <c r="B6" s="10" t="s">
        <v>786</v>
      </c>
      <c r="C6" s="9" t="s">
        <v>55</v>
      </c>
      <c r="D6" s="10" t="s">
        <v>136</v>
      </c>
      <c r="E6" s="11" t="n">
        <v>2025</v>
      </c>
      <c r="F6" s="9"/>
      <c r="G6" s="9"/>
      <c r="H6" s="9" t="s">
        <v>782</v>
      </c>
      <c r="I6" s="9" t="s">
        <v>55</v>
      </c>
      <c r="J6" s="9" t="s">
        <v>783</v>
      </c>
      <c r="K6" s="9" t="s">
        <v>787</v>
      </c>
      <c r="L6" s="9" t="s">
        <v>788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789</v>
      </c>
      <c r="B7" s="10" t="s">
        <v>790</v>
      </c>
      <c r="C7" s="9" t="s">
        <v>55</v>
      </c>
      <c r="D7" s="10" t="s">
        <v>136</v>
      </c>
      <c r="E7" s="11" t="n">
        <v>2026</v>
      </c>
      <c r="F7" s="9"/>
      <c r="G7" s="9"/>
      <c r="H7" s="9" t="s">
        <v>782</v>
      </c>
      <c r="I7" s="9" t="s">
        <v>55</v>
      </c>
      <c r="J7" s="9" t="s">
        <v>783</v>
      </c>
      <c r="K7" s="9" t="s">
        <v>791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792</v>
      </c>
      <c r="B8" s="10" t="s">
        <v>793</v>
      </c>
      <c r="C8" s="9" t="s">
        <v>55</v>
      </c>
      <c r="D8" s="10" t="s">
        <v>136</v>
      </c>
      <c r="E8" s="11" t="n">
        <v>2027</v>
      </c>
      <c r="F8" s="9"/>
      <c r="G8" s="9"/>
      <c r="H8" s="9" t="s">
        <v>782</v>
      </c>
      <c r="I8" s="9" t="s">
        <v>55</v>
      </c>
      <c r="J8" s="9" t="s">
        <v>783</v>
      </c>
      <c r="K8" s="9" t="s">
        <v>794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795</v>
      </c>
      <c r="B9" s="10" t="s">
        <v>796</v>
      </c>
      <c r="C9" s="10" t="s">
        <v>797</v>
      </c>
      <c r="D9" s="10" t="s">
        <v>136</v>
      </c>
      <c r="E9" s="11" t="n">
        <v>2025</v>
      </c>
      <c r="F9" s="9"/>
      <c r="G9" s="9"/>
      <c r="H9" s="9" t="s">
        <v>782</v>
      </c>
      <c r="I9" s="9" t="s">
        <v>798</v>
      </c>
      <c r="J9" s="9" t="s">
        <v>783</v>
      </c>
      <c r="K9" s="9" t="s">
        <v>799</v>
      </c>
      <c r="L9" s="10" t="s">
        <v>800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801</v>
      </c>
      <c r="B10" s="10" t="s">
        <v>796</v>
      </c>
      <c r="C10" s="10" t="s">
        <v>802</v>
      </c>
      <c r="D10" s="10" t="s">
        <v>136</v>
      </c>
      <c r="E10" s="11" t="n">
        <v>2026</v>
      </c>
      <c r="F10" s="9"/>
      <c r="G10" s="9"/>
      <c r="H10" s="9" t="s">
        <v>782</v>
      </c>
      <c r="I10" s="9" t="s">
        <v>798</v>
      </c>
      <c r="J10" s="9" t="s">
        <v>783</v>
      </c>
      <c r="K10" s="9" t="s">
        <v>803</v>
      </c>
      <c r="L10" s="10" t="s">
        <v>800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804</v>
      </c>
      <c r="B11" s="10" t="s">
        <v>796</v>
      </c>
      <c r="C11" s="10" t="s">
        <v>805</v>
      </c>
      <c r="D11" s="10" t="s">
        <v>136</v>
      </c>
      <c r="E11" s="11" t="n">
        <v>2027</v>
      </c>
      <c r="F11" s="9"/>
      <c r="G11" s="9"/>
      <c r="H11" s="9" t="s">
        <v>782</v>
      </c>
      <c r="I11" s="9" t="s">
        <v>798</v>
      </c>
      <c r="J11" s="9" t="s">
        <v>783</v>
      </c>
      <c r="K11" s="9" t="s">
        <v>806</v>
      </c>
      <c r="L11" s="10" t="s">
        <v>800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807</v>
      </c>
      <c r="B12" s="10" t="s">
        <v>796</v>
      </c>
      <c r="C12" s="10" t="s">
        <v>808</v>
      </c>
      <c r="D12" s="10" t="s">
        <v>136</v>
      </c>
      <c r="E12" s="11" t="n">
        <v>2028</v>
      </c>
      <c r="F12" s="9"/>
      <c r="G12" s="9"/>
      <c r="H12" s="9" t="s">
        <v>782</v>
      </c>
      <c r="I12" s="9" t="s">
        <v>798</v>
      </c>
      <c r="J12" s="9" t="s">
        <v>783</v>
      </c>
      <c r="K12" s="9" t="s">
        <v>809</v>
      </c>
      <c r="L12" s="10" t="s">
        <v>800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810</v>
      </c>
      <c r="B13" s="10" t="s">
        <v>796</v>
      </c>
      <c r="C13" s="10" t="s">
        <v>811</v>
      </c>
      <c r="D13" s="10" t="s">
        <v>136</v>
      </c>
      <c r="E13" s="11" t="n">
        <v>2029</v>
      </c>
      <c r="F13" s="9"/>
      <c r="G13" s="9"/>
      <c r="H13" s="9" t="s">
        <v>782</v>
      </c>
      <c r="I13" s="9" t="s">
        <v>798</v>
      </c>
      <c r="J13" s="9" t="s">
        <v>783</v>
      </c>
      <c r="K13" s="9" t="s">
        <v>812</v>
      </c>
      <c r="L13" s="10" t="s">
        <v>800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813</v>
      </c>
      <c r="B14" s="10" t="s">
        <v>796</v>
      </c>
      <c r="C14" s="10" t="s">
        <v>814</v>
      </c>
      <c r="D14" s="10" t="s">
        <v>136</v>
      </c>
      <c r="E14" s="11" t="n">
        <v>2030</v>
      </c>
      <c r="F14" s="9"/>
      <c r="G14" s="9"/>
      <c r="H14" s="9" t="s">
        <v>782</v>
      </c>
      <c r="I14" s="9" t="s">
        <v>798</v>
      </c>
      <c r="J14" s="9" t="s">
        <v>783</v>
      </c>
      <c r="K14" s="9" t="s">
        <v>815</v>
      </c>
      <c r="L14" s="10" t="s">
        <v>800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816</v>
      </c>
      <c r="B15" s="10" t="s">
        <v>817</v>
      </c>
      <c r="C15" s="9" t="s">
        <v>55</v>
      </c>
      <c r="D15" s="10" t="s">
        <v>136</v>
      </c>
      <c r="E15" s="11" t="n">
        <v>2026</v>
      </c>
      <c r="F15" s="9"/>
      <c r="G15" s="9"/>
      <c r="H15" s="9" t="s">
        <v>818</v>
      </c>
      <c r="I15" s="9" t="s">
        <v>819</v>
      </c>
      <c r="J15" s="9" t="s">
        <v>783</v>
      </c>
      <c r="K15" s="9" t="s">
        <v>820</v>
      </c>
      <c r="L15" s="10" t="s">
        <v>821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822</v>
      </c>
      <c r="B16" s="9" t="s">
        <v>823</v>
      </c>
      <c r="C16" s="9" t="s">
        <v>55</v>
      </c>
      <c r="D16" s="10" t="s">
        <v>104</v>
      </c>
      <c r="E16" s="11" t="n">
        <v>0</v>
      </c>
      <c r="F16" s="9"/>
      <c r="G16" s="9"/>
      <c r="H16" s="9" t="s">
        <v>782</v>
      </c>
      <c r="I16" s="9" t="s">
        <v>824</v>
      </c>
      <c r="J16" s="9" t="s">
        <v>783</v>
      </c>
      <c r="K16" s="9" t="s">
        <v>825</v>
      </c>
      <c r="L16" s="10" t="s">
        <v>826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827</v>
      </c>
      <c r="B17" s="9" t="s">
        <v>828</v>
      </c>
      <c r="C17" s="9" t="s">
        <v>55</v>
      </c>
      <c r="D17" s="10" t="s">
        <v>104</v>
      </c>
      <c r="E17" s="11" t="n">
        <v>0.3</v>
      </c>
      <c r="F17" s="9"/>
      <c r="G17" s="9"/>
      <c r="H17" s="9" t="s">
        <v>782</v>
      </c>
      <c r="I17" s="9" t="s">
        <v>824</v>
      </c>
      <c r="J17" s="9" t="s">
        <v>783</v>
      </c>
      <c r="K17" s="9" t="s">
        <v>825</v>
      </c>
      <c r="L17" s="9" t="s">
        <v>829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830</v>
      </c>
      <c r="B18" s="9" t="s">
        <v>831</v>
      </c>
      <c r="C18" s="9" t="s">
        <v>55</v>
      </c>
      <c r="D18" s="10" t="s">
        <v>104</v>
      </c>
      <c r="E18" s="11" t="n">
        <v>0.8</v>
      </c>
      <c r="F18" s="9"/>
      <c r="G18" s="9"/>
      <c r="H18" s="9" t="s">
        <v>782</v>
      </c>
      <c r="I18" s="9" t="s">
        <v>824</v>
      </c>
      <c r="J18" s="9" t="s">
        <v>783</v>
      </c>
      <c r="K18" s="9" t="s">
        <v>825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832</v>
      </c>
      <c r="B19" s="9" t="s">
        <v>833</v>
      </c>
      <c r="C19" s="9" t="s">
        <v>395</v>
      </c>
      <c r="D19" s="9" t="s">
        <v>149</v>
      </c>
      <c r="E19" s="11" t="n">
        <v>2.5</v>
      </c>
      <c r="F19" s="11" t="n">
        <v>1.5</v>
      </c>
      <c r="G19" s="11" t="n">
        <v>4</v>
      </c>
      <c r="H19" s="9" t="s">
        <v>834</v>
      </c>
      <c r="I19" s="9" t="s">
        <v>55</v>
      </c>
      <c r="J19" s="9" t="s">
        <v>783</v>
      </c>
      <c r="K19" s="9" t="s">
        <v>835</v>
      </c>
      <c r="L19" s="9" t="s">
        <v>836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837</v>
      </c>
      <c r="B20" s="9" t="s">
        <v>838</v>
      </c>
      <c r="C20" s="9" t="s">
        <v>395</v>
      </c>
      <c r="D20" s="9" t="s">
        <v>149</v>
      </c>
      <c r="E20" s="11" t="n">
        <v>1.5</v>
      </c>
      <c r="F20" s="11" t="n">
        <v>1</v>
      </c>
      <c r="G20" s="11" t="n">
        <v>2.5</v>
      </c>
      <c r="H20" s="9" t="s">
        <v>834</v>
      </c>
      <c r="I20" s="9" t="s">
        <v>55</v>
      </c>
      <c r="J20" s="9" t="s">
        <v>783</v>
      </c>
      <c r="K20" s="9" t="s">
        <v>839</v>
      </c>
      <c r="L20" s="9" t="s">
        <v>836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840</v>
      </c>
      <c r="B21" s="9" t="s">
        <v>841</v>
      </c>
      <c r="C21" s="9" t="s">
        <v>395</v>
      </c>
      <c r="D21" s="9" t="s">
        <v>149</v>
      </c>
      <c r="E21" s="11" t="n">
        <v>0.2</v>
      </c>
      <c r="F21" s="11" t="n">
        <v>0.1</v>
      </c>
      <c r="G21" s="11" t="n">
        <v>0.4</v>
      </c>
      <c r="H21" s="9" t="s">
        <v>834</v>
      </c>
      <c r="I21" s="9" t="s">
        <v>55</v>
      </c>
      <c r="J21" s="9" t="s">
        <v>783</v>
      </c>
      <c r="K21" s="9" t="s">
        <v>842</v>
      </c>
      <c r="L21" s="9" t="s">
        <v>836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843</v>
      </c>
      <c r="B22" s="9" t="s">
        <v>844</v>
      </c>
      <c r="C22" s="9" t="s">
        <v>395</v>
      </c>
      <c r="D22" s="9" t="s">
        <v>149</v>
      </c>
      <c r="E22" s="11" t="n">
        <v>14</v>
      </c>
      <c r="F22" s="11" t="n">
        <v>8</v>
      </c>
      <c r="G22" s="11" t="n">
        <v>20</v>
      </c>
      <c r="H22" s="9" t="s">
        <v>834</v>
      </c>
      <c r="I22" s="9" t="s">
        <v>55</v>
      </c>
      <c r="J22" s="9" t="s">
        <v>783</v>
      </c>
      <c r="K22" s="9" t="s">
        <v>845</v>
      </c>
      <c r="L22" s="9" t="s">
        <v>836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846</v>
      </c>
      <c r="B23" s="9" t="s">
        <v>847</v>
      </c>
      <c r="C23" s="9" t="s">
        <v>395</v>
      </c>
      <c r="D23" s="9" t="s">
        <v>149</v>
      </c>
      <c r="E23" s="11" t="n">
        <v>8</v>
      </c>
      <c r="F23" s="11" t="n">
        <v>5</v>
      </c>
      <c r="G23" s="11" t="n">
        <v>10</v>
      </c>
      <c r="H23" s="9" t="s">
        <v>834</v>
      </c>
      <c r="I23" s="9" t="s">
        <v>55</v>
      </c>
      <c r="J23" s="9" t="s">
        <v>783</v>
      </c>
      <c r="K23" s="9" t="s">
        <v>848</v>
      </c>
      <c r="L23" s="9" t="s">
        <v>836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849</v>
      </c>
      <c r="B24" s="9" t="s">
        <v>850</v>
      </c>
      <c r="C24" s="9" t="s">
        <v>395</v>
      </c>
      <c r="D24" s="9" t="s">
        <v>149</v>
      </c>
      <c r="E24" s="11" t="n">
        <v>1</v>
      </c>
      <c r="F24" s="11" t="n">
        <v>0.5</v>
      </c>
      <c r="G24" s="11" t="n">
        <v>2</v>
      </c>
      <c r="H24" s="9" t="s">
        <v>834</v>
      </c>
      <c r="I24" s="9" t="s">
        <v>55</v>
      </c>
      <c r="J24" s="9" t="s">
        <v>783</v>
      </c>
      <c r="K24" s="9" t="s">
        <v>851</v>
      </c>
      <c r="L24" s="9" t="s">
        <v>836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852</v>
      </c>
      <c r="B25" s="10" t="s">
        <v>853</v>
      </c>
      <c r="C25" s="9" t="s">
        <v>55</v>
      </c>
      <c r="D25" s="10" t="s">
        <v>854</v>
      </c>
      <c r="E25" s="11" t="n">
        <v>-0.3</v>
      </c>
      <c r="F25" s="11" t="n">
        <v>-0.45</v>
      </c>
      <c r="G25" s="11" t="n">
        <v>-0.15</v>
      </c>
      <c r="H25" s="9" t="s">
        <v>818</v>
      </c>
      <c r="I25" s="9" t="s">
        <v>855</v>
      </c>
      <c r="J25" s="9" t="s">
        <v>783</v>
      </c>
      <c r="K25" s="9" t="s">
        <v>856</v>
      </c>
      <c r="L25" s="9" t="s">
        <v>857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858</v>
      </c>
      <c r="B26" s="10" t="s">
        <v>859</v>
      </c>
      <c r="C26" s="9" t="s">
        <v>55</v>
      </c>
      <c r="D26" s="10" t="s">
        <v>854</v>
      </c>
      <c r="E26" s="11" t="n">
        <v>-0.4</v>
      </c>
      <c r="F26" s="11" t="n">
        <v>-0.6</v>
      </c>
      <c r="G26" s="11" t="n">
        <v>-0.2</v>
      </c>
      <c r="H26" s="9" t="s">
        <v>818</v>
      </c>
      <c r="I26" s="9" t="s">
        <v>855</v>
      </c>
      <c r="J26" s="9" t="s">
        <v>783</v>
      </c>
      <c r="K26" s="9" t="s">
        <v>860</v>
      </c>
      <c r="L26" s="9" t="s">
        <v>857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861</v>
      </c>
      <c r="B27" s="10" t="s">
        <v>862</v>
      </c>
      <c r="C27" s="9" t="s">
        <v>55</v>
      </c>
      <c r="D27" s="10" t="s">
        <v>854</v>
      </c>
      <c r="E27" s="11" t="n">
        <v>-0.4</v>
      </c>
      <c r="F27" s="11" t="n">
        <v>-0.6</v>
      </c>
      <c r="G27" s="11" t="n">
        <v>-0.2</v>
      </c>
      <c r="H27" s="9" t="s">
        <v>818</v>
      </c>
      <c r="I27" s="9" t="s">
        <v>855</v>
      </c>
      <c r="J27" s="9" t="s">
        <v>783</v>
      </c>
      <c r="K27" s="9" t="s">
        <v>863</v>
      </c>
      <c r="L27" s="9" t="s">
        <v>857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864</v>
      </c>
      <c r="B28" s="9" t="s">
        <v>865</v>
      </c>
      <c r="C28" s="10" t="s">
        <v>866</v>
      </c>
      <c r="D28" s="10" t="s">
        <v>104</v>
      </c>
      <c r="E28" s="11" t="n">
        <v>0.4</v>
      </c>
      <c r="F28" s="11" t="n">
        <v>0.25</v>
      </c>
      <c r="G28" s="11" t="n">
        <v>0.5</v>
      </c>
      <c r="H28" s="9" t="s">
        <v>818</v>
      </c>
      <c r="I28" s="9" t="s">
        <v>55</v>
      </c>
      <c r="J28" s="9" t="s">
        <v>783</v>
      </c>
      <c r="K28" s="9" t="s">
        <v>867</v>
      </c>
      <c r="L28" s="9" t="s">
        <v>868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869</v>
      </c>
      <c r="B29" s="9" t="s">
        <v>865</v>
      </c>
      <c r="C29" s="10" t="s">
        <v>870</v>
      </c>
      <c r="D29" s="10" t="s">
        <v>104</v>
      </c>
      <c r="E29" s="11" t="n">
        <v>0.15</v>
      </c>
      <c r="F29" s="11" t="n">
        <v>0.08</v>
      </c>
      <c r="G29" s="11" t="n">
        <v>0.25</v>
      </c>
      <c r="H29" s="9" t="s">
        <v>818</v>
      </c>
      <c r="I29" s="9" t="s">
        <v>55</v>
      </c>
      <c r="J29" s="9" t="s">
        <v>783</v>
      </c>
      <c r="K29" s="9" t="s">
        <v>867</v>
      </c>
      <c r="L29" s="9" t="s">
        <v>868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871</v>
      </c>
      <c r="B30" s="9" t="s">
        <v>872</v>
      </c>
      <c r="C30" s="10" t="s">
        <v>866</v>
      </c>
      <c r="D30" s="10" t="s">
        <v>104</v>
      </c>
      <c r="E30" s="11" t="n">
        <v>0.4</v>
      </c>
      <c r="F30" s="11" t="n">
        <v>0.3</v>
      </c>
      <c r="G30" s="11" t="n">
        <v>0.5</v>
      </c>
      <c r="H30" s="9" t="s">
        <v>818</v>
      </c>
      <c r="I30" s="9" t="s">
        <v>55</v>
      </c>
      <c r="J30" s="9" t="s">
        <v>783</v>
      </c>
      <c r="K30" s="9" t="s">
        <v>873</v>
      </c>
      <c r="L30" s="9" t="s">
        <v>868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874</v>
      </c>
      <c r="B31" s="9" t="s">
        <v>872</v>
      </c>
      <c r="C31" s="10" t="s">
        <v>870</v>
      </c>
      <c r="D31" s="10" t="s">
        <v>104</v>
      </c>
      <c r="E31" s="11" t="n">
        <v>0.45</v>
      </c>
      <c r="F31" s="11" t="n">
        <v>0.35</v>
      </c>
      <c r="G31" s="11" t="n">
        <v>0.55</v>
      </c>
      <c r="H31" s="9" t="s">
        <v>818</v>
      </c>
      <c r="I31" s="9" t="s">
        <v>55</v>
      </c>
      <c r="J31" s="9" t="s">
        <v>783</v>
      </c>
      <c r="K31" s="9" t="s">
        <v>873</v>
      </c>
      <c r="L31" s="9" t="s">
        <v>868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875</v>
      </c>
      <c r="B32" s="10" t="s">
        <v>876</v>
      </c>
      <c r="C32" s="9" t="s">
        <v>55</v>
      </c>
      <c r="D32" s="10" t="s">
        <v>104</v>
      </c>
      <c r="E32" s="11" t="n">
        <v>0.2</v>
      </c>
      <c r="F32" s="11" t="n">
        <v>0.1</v>
      </c>
      <c r="G32" s="11" t="n">
        <v>0.35</v>
      </c>
      <c r="H32" s="9" t="s">
        <v>834</v>
      </c>
      <c r="I32" s="9" t="s">
        <v>55</v>
      </c>
      <c r="J32" s="9" t="s">
        <v>783</v>
      </c>
      <c r="K32" s="9" t="s">
        <v>877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878</v>
      </c>
      <c r="B33" s="10" t="s">
        <v>879</v>
      </c>
      <c r="C33" s="9" t="s">
        <v>55</v>
      </c>
      <c r="D33" s="10" t="s">
        <v>104</v>
      </c>
      <c r="E33" s="11" t="n">
        <v>0.55</v>
      </c>
      <c r="F33" s="11" t="n">
        <v>0.3</v>
      </c>
      <c r="G33" s="11" t="n">
        <v>0.75</v>
      </c>
      <c r="H33" s="9" t="s">
        <v>818</v>
      </c>
      <c r="I33" s="9" t="s">
        <v>55</v>
      </c>
      <c r="J33" s="9" t="s">
        <v>783</v>
      </c>
      <c r="K33" s="9" t="s">
        <v>880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881</v>
      </c>
      <c r="B34" s="10" t="s">
        <v>882</v>
      </c>
      <c r="C34" s="9" t="s">
        <v>55</v>
      </c>
      <c r="D34" s="10" t="s">
        <v>104</v>
      </c>
      <c r="E34" s="11" t="n">
        <v>0.2</v>
      </c>
      <c r="F34" s="11" t="n">
        <v>0.1</v>
      </c>
      <c r="G34" s="11" t="n">
        <v>0.3</v>
      </c>
      <c r="H34" s="9" t="s">
        <v>818</v>
      </c>
      <c r="I34" s="9" t="s">
        <v>55</v>
      </c>
      <c r="J34" s="9" t="s">
        <v>783</v>
      </c>
      <c r="K34" s="9" t="s">
        <v>883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884</v>
      </c>
      <c r="B35" s="10" t="s">
        <v>885</v>
      </c>
      <c r="C35" s="9" t="s">
        <v>55</v>
      </c>
      <c r="D35" s="9" t="s">
        <v>886</v>
      </c>
      <c r="E35" s="11" t="n">
        <v>10</v>
      </c>
      <c r="F35" s="11" t="n">
        <v>5</v>
      </c>
      <c r="G35" s="11" t="n">
        <v>30</v>
      </c>
      <c r="H35" s="9" t="s">
        <v>818</v>
      </c>
      <c r="I35" s="9" t="s">
        <v>55</v>
      </c>
      <c r="J35" s="9" t="s">
        <v>783</v>
      </c>
      <c r="K35" s="9" t="s">
        <v>887</v>
      </c>
      <c r="L35" s="10" t="s">
        <v>888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889</v>
      </c>
      <c r="B36" s="10" t="s">
        <v>890</v>
      </c>
      <c r="C36" s="9" t="s">
        <v>395</v>
      </c>
      <c r="D36" s="10" t="s">
        <v>854</v>
      </c>
      <c r="E36" s="11" t="n">
        <v>0</v>
      </c>
      <c r="F36" s="9"/>
      <c r="G36" s="9"/>
      <c r="H36" s="9" t="s">
        <v>818</v>
      </c>
      <c r="I36" s="9" t="s">
        <v>55</v>
      </c>
      <c r="J36" s="9" t="s">
        <v>783</v>
      </c>
      <c r="K36" s="9" t="s">
        <v>891</v>
      </c>
      <c r="L36" s="9" t="s">
        <v>892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893</v>
      </c>
      <c r="B37" s="10" t="s">
        <v>890</v>
      </c>
      <c r="C37" s="9" t="s">
        <v>407</v>
      </c>
      <c r="D37" s="10" t="s">
        <v>854</v>
      </c>
      <c r="E37" s="11" t="n">
        <v>1.34</v>
      </c>
      <c r="F37" s="9"/>
      <c r="G37" s="9"/>
      <c r="H37" s="9" t="s">
        <v>818</v>
      </c>
      <c r="I37" s="9" t="s">
        <v>55</v>
      </c>
      <c r="J37" s="9" t="s">
        <v>783</v>
      </c>
      <c r="K37" s="9" t="s">
        <v>891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894</v>
      </c>
      <c r="B38" s="10" t="s">
        <v>890</v>
      </c>
      <c r="C38" s="9" t="s">
        <v>895</v>
      </c>
      <c r="D38" s="10" t="s">
        <v>854</v>
      </c>
      <c r="E38" s="11" t="n">
        <v>0.45</v>
      </c>
      <c r="F38" s="9"/>
      <c r="G38" s="9"/>
      <c r="H38" s="9" t="s">
        <v>818</v>
      </c>
      <c r="I38" s="9" t="s">
        <v>55</v>
      </c>
      <c r="J38" s="9" t="s">
        <v>783</v>
      </c>
      <c r="K38" s="9" t="s">
        <v>891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896</v>
      </c>
      <c r="B39" s="10" t="s">
        <v>890</v>
      </c>
      <c r="C39" s="9" t="s">
        <v>897</v>
      </c>
      <c r="D39" s="10" t="s">
        <v>854</v>
      </c>
      <c r="E39" s="11" t="n">
        <v>0.35</v>
      </c>
      <c r="F39" s="9"/>
      <c r="G39" s="9"/>
      <c r="H39" s="9" t="s">
        <v>818</v>
      </c>
      <c r="I39" s="9" t="s">
        <v>55</v>
      </c>
      <c r="J39" s="9" t="s">
        <v>783</v>
      </c>
      <c r="K39" s="9" t="s">
        <v>891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898</v>
      </c>
      <c r="B40" s="10" t="s">
        <v>890</v>
      </c>
      <c r="C40" s="9" t="s">
        <v>899</v>
      </c>
      <c r="D40" s="10" t="s">
        <v>854</v>
      </c>
      <c r="E40" s="11" t="n">
        <v>0.25</v>
      </c>
      <c r="F40" s="9"/>
      <c r="G40" s="9"/>
      <c r="H40" s="9" t="s">
        <v>818</v>
      </c>
      <c r="I40" s="9" t="s">
        <v>55</v>
      </c>
      <c r="J40" s="9" t="s">
        <v>783</v>
      </c>
      <c r="K40" s="9" t="s">
        <v>891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900</v>
      </c>
      <c r="B41" s="10" t="s">
        <v>890</v>
      </c>
      <c r="C41" s="9" t="s">
        <v>901</v>
      </c>
      <c r="D41" s="10" t="s">
        <v>854</v>
      </c>
      <c r="E41" s="11" t="n">
        <v>0.2</v>
      </c>
      <c r="F41" s="9"/>
      <c r="G41" s="9"/>
      <c r="H41" s="9" t="s">
        <v>818</v>
      </c>
      <c r="I41" s="9" t="s">
        <v>55</v>
      </c>
      <c r="J41" s="9" t="s">
        <v>783</v>
      </c>
      <c r="K41" s="9" t="s">
        <v>891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902</v>
      </c>
      <c r="B42" s="10" t="s">
        <v>903</v>
      </c>
      <c r="C42" s="9" t="s">
        <v>55</v>
      </c>
      <c r="D42" s="10" t="s">
        <v>544</v>
      </c>
      <c r="E42" s="11" t="n">
        <v>0.5</v>
      </c>
      <c r="F42" s="9"/>
      <c r="G42" s="9"/>
      <c r="H42" s="9" t="s">
        <v>818</v>
      </c>
      <c r="I42" s="9" t="s">
        <v>55</v>
      </c>
      <c r="J42" s="9" t="s">
        <v>783</v>
      </c>
      <c r="K42" s="9" t="s">
        <v>891</v>
      </c>
      <c r="L42" s="10" t="s">
        <v>904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905</v>
      </c>
      <c r="B43" s="10" t="s">
        <v>906</v>
      </c>
      <c r="C43" s="9" t="s">
        <v>55</v>
      </c>
      <c r="D43" s="10" t="s">
        <v>544</v>
      </c>
      <c r="E43" s="11" t="n">
        <v>1.5</v>
      </c>
      <c r="F43" s="9"/>
      <c r="G43" s="9"/>
      <c r="H43" s="9" t="s">
        <v>818</v>
      </c>
      <c r="I43" s="9" t="s">
        <v>55</v>
      </c>
      <c r="J43" s="9" t="s">
        <v>783</v>
      </c>
      <c r="K43" s="9" t="s">
        <v>891</v>
      </c>
      <c r="L43" s="10" t="s">
        <v>904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907</v>
      </c>
      <c r="B44" s="10" t="s">
        <v>908</v>
      </c>
      <c r="C44" s="9" t="s">
        <v>395</v>
      </c>
      <c r="D44" s="10" t="s">
        <v>854</v>
      </c>
      <c r="E44" s="11" t="n">
        <v>0</v>
      </c>
      <c r="F44" s="9"/>
      <c r="G44" s="9"/>
      <c r="H44" s="9" t="s">
        <v>818</v>
      </c>
      <c r="I44" s="9" t="s">
        <v>55</v>
      </c>
      <c r="J44" s="9" t="s">
        <v>783</v>
      </c>
      <c r="K44" s="9" t="s">
        <v>909</v>
      </c>
      <c r="L44" s="9" t="s">
        <v>892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910</v>
      </c>
      <c r="B45" s="10" t="s">
        <v>908</v>
      </c>
      <c r="C45" s="9" t="s">
        <v>407</v>
      </c>
      <c r="D45" s="10" t="s">
        <v>854</v>
      </c>
      <c r="E45" s="11" t="n">
        <v>0.2</v>
      </c>
      <c r="F45" s="9"/>
      <c r="G45" s="9"/>
      <c r="H45" s="9" t="s">
        <v>818</v>
      </c>
      <c r="I45" s="9" t="s">
        <v>55</v>
      </c>
      <c r="J45" s="9" t="s">
        <v>783</v>
      </c>
      <c r="K45" s="9" t="s">
        <v>909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911</v>
      </c>
      <c r="B46" s="10" t="s">
        <v>908</v>
      </c>
      <c r="C46" s="9" t="s">
        <v>895</v>
      </c>
      <c r="D46" s="10" t="s">
        <v>854</v>
      </c>
      <c r="E46" s="11" t="n">
        <v>0.15</v>
      </c>
      <c r="F46" s="9"/>
      <c r="G46" s="9"/>
      <c r="H46" s="9" t="s">
        <v>818</v>
      </c>
      <c r="I46" s="9" t="s">
        <v>55</v>
      </c>
      <c r="J46" s="9" t="s">
        <v>783</v>
      </c>
      <c r="K46" s="9" t="s">
        <v>909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912</v>
      </c>
      <c r="B47" s="10" t="s">
        <v>908</v>
      </c>
      <c r="C47" s="9" t="s">
        <v>897</v>
      </c>
      <c r="D47" s="10" t="s">
        <v>854</v>
      </c>
      <c r="E47" s="11" t="n">
        <v>0.12</v>
      </c>
      <c r="F47" s="9"/>
      <c r="G47" s="9"/>
      <c r="H47" s="9" t="s">
        <v>818</v>
      </c>
      <c r="I47" s="9" t="s">
        <v>55</v>
      </c>
      <c r="J47" s="9" t="s">
        <v>783</v>
      </c>
      <c r="K47" s="9" t="s">
        <v>909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913</v>
      </c>
      <c r="B48" s="10" t="s">
        <v>908</v>
      </c>
      <c r="C48" s="9" t="s">
        <v>899</v>
      </c>
      <c r="D48" s="10" t="s">
        <v>854</v>
      </c>
      <c r="E48" s="11" t="n">
        <v>0.1</v>
      </c>
      <c r="F48" s="9"/>
      <c r="G48" s="9"/>
      <c r="H48" s="9" t="s">
        <v>818</v>
      </c>
      <c r="I48" s="9" t="s">
        <v>55</v>
      </c>
      <c r="J48" s="9" t="s">
        <v>783</v>
      </c>
      <c r="K48" s="9" t="s">
        <v>909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914</v>
      </c>
      <c r="B49" s="10" t="s">
        <v>908</v>
      </c>
      <c r="C49" s="9" t="s">
        <v>901</v>
      </c>
      <c r="D49" s="10" t="s">
        <v>854</v>
      </c>
      <c r="E49" s="11" t="n">
        <v>0.08</v>
      </c>
      <c r="F49" s="9"/>
      <c r="G49" s="9"/>
      <c r="H49" s="9" t="s">
        <v>818</v>
      </c>
      <c r="I49" s="9" t="s">
        <v>55</v>
      </c>
      <c r="J49" s="9" t="s">
        <v>783</v>
      </c>
      <c r="K49" s="9" t="s">
        <v>909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915</v>
      </c>
      <c r="B50" s="10" t="s">
        <v>916</v>
      </c>
      <c r="C50" s="9" t="s">
        <v>55</v>
      </c>
      <c r="D50" s="10" t="s">
        <v>544</v>
      </c>
      <c r="E50" s="11" t="n">
        <v>0.5</v>
      </c>
      <c r="F50" s="9"/>
      <c r="G50" s="9"/>
      <c r="H50" s="9" t="s">
        <v>818</v>
      </c>
      <c r="I50" s="9" t="s">
        <v>55</v>
      </c>
      <c r="J50" s="9" t="s">
        <v>783</v>
      </c>
      <c r="K50" s="9" t="s">
        <v>909</v>
      </c>
      <c r="L50" s="10" t="s">
        <v>904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917</v>
      </c>
      <c r="B51" s="10" t="s">
        <v>918</v>
      </c>
      <c r="C51" s="9" t="s">
        <v>55</v>
      </c>
      <c r="D51" s="10" t="s">
        <v>544</v>
      </c>
      <c r="E51" s="11" t="n">
        <v>1.5</v>
      </c>
      <c r="F51" s="9"/>
      <c r="G51" s="9"/>
      <c r="H51" s="9" t="s">
        <v>818</v>
      </c>
      <c r="I51" s="9" t="s">
        <v>55</v>
      </c>
      <c r="J51" s="9" t="s">
        <v>783</v>
      </c>
      <c r="K51" s="9" t="s">
        <v>909</v>
      </c>
      <c r="L51" s="10" t="s">
        <v>904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919</v>
      </c>
      <c r="B52" s="10" t="s">
        <v>920</v>
      </c>
      <c r="C52" s="9" t="s">
        <v>55</v>
      </c>
      <c r="D52" s="10" t="s">
        <v>921</v>
      </c>
      <c r="E52" s="11" t="n">
        <v>-0.7</v>
      </c>
      <c r="F52" s="11" t="n">
        <v>-1.05</v>
      </c>
      <c r="G52" s="11" t="n">
        <v>-0.35</v>
      </c>
      <c r="H52" s="9" t="s">
        <v>818</v>
      </c>
      <c r="I52" s="9" t="s">
        <v>855</v>
      </c>
      <c r="J52" s="9" t="s">
        <v>783</v>
      </c>
      <c r="K52" s="9" t="s">
        <v>922</v>
      </c>
      <c r="L52" s="10" t="s">
        <v>923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924</v>
      </c>
      <c r="B53" s="10" t="s">
        <v>925</v>
      </c>
      <c r="C53" s="9" t="s">
        <v>55</v>
      </c>
      <c r="D53" s="10" t="s">
        <v>921</v>
      </c>
      <c r="E53" s="11" t="n">
        <v>-0.3</v>
      </c>
      <c r="F53" s="11" t="n">
        <v>-0.45</v>
      </c>
      <c r="G53" s="11" t="n">
        <v>-0.15</v>
      </c>
      <c r="H53" s="9" t="s">
        <v>818</v>
      </c>
      <c r="I53" s="9" t="s">
        <v>855</v>
      </c>
      <c r="J53" s="9" t="s">
        <v>783</v>
      </c>
      <c r="K53" s="9" t="s">
        <v>926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927</v>
      </c>
      <c r="B54" s="10" t="s">
        <v>928</v>
      </c>
      <c r="C54" s="9" t="s">
        <v>55</v>
      </c>
      <c r="D54" s="10" t="s">
        <v>929</v>
      </c>
      <c r="E54" s="9" t="s">
        <v>930</v>
      </c>
      <c r="F54" s="9"/>
      <c r="G54" s="9"/>
      <c r="H54" s="9" t="s">
        <v>782</v>
      </c>
      <c r="I54" s="9" t="s">
        <v>931</v>
      </c>
      <c r="J54" s="9" t="s">
        <v>783</v>
      </c>
      <c r="K54" s="9" t="s">
        <v>932</v>
      </c>
      <c r="L54" s="10" t="s">
        <v>933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934</v>
      </c>
      <c r="B55" s="10" t="s">
        <v>935</v>
      </c>
      <c r="C55" s="9" t="s">
        <v>936</v>
      </c>
      <c r="D55" s="10" t="s">
        <v>177</v>
      </c>
      <c r="E55" s="9" t="s">
        <v>937</v>
      </c>
      <c r="F55" s="9"/>
      <c r="G55" s="9"/>
      <c r="H55" s="9" t="s">
        <v>818</v>
      </c>
      <c r="I55" s="9" t="s">
        <v>55</v>
      </c>
      <c r="J55" s="9" t="s">
        <v>783</v>
      </c>
      <c r="K55" s="9" t="s">
        <v>938</v>
      </c>
      <c r="L55" s="9" t="s">
        <v>939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940</v>
      </c>
      <c r="B56" s="10" t="s">
        <v>941</v>
      </c>
      <c r="C56" s="9" t="s">
        <v>942</v>
      </c>
      <c r="D56" s="10" t="s">
        <v>177</v>
      </c>
      <c r="E56" s="9" t="s">
        <v>937</v>
      </c>
      <c r="F56" s="9"/>
      <c r="G56" s="9"/>
      <c r="H56" s="9" t="s">
        <v>818</v>
      </c>
      <c r="I56" s="9" t="s">
        <v>55</v>
      </c>
      <c r="J56" s="9" t="s">
        <v>783</v>
      </c>
      <c r="K56" s="9" t="s">
        <v>938</v>
      </c>
      <c r="L56" s="9" t="s">
        <v>939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943</v>
      </c>
      <c r="B57" s="10" t="s">
        <v>944</v>
      </c>
      <c r="C57" s="9" t="s">
        <v>945</v>
      </c>
      <c r="D57" s="10" t="s">
        <v>177</v>
      </c>
      <c r="E57" s="9" t="s">
        <v>946</v>
      </c>
      <c r="F57" s="9"/>
      <c r="G57" s="9"/>
      <c r="H57" s="9" t="s">
        <v>818</v>
      </c>
      <c r="I57" s="9" t="s">
        <v>55</v>
      </c>
      <c r="J57" s="9" t="s">
        <v>783</v>
      </c>
      <c r="K57" s="9" t="s">
        <v>938</v>
      </c>
      <c r="L57" s="9" t="s">
        <v>939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947</v>
      </c>
      <c r="B58" s="10" t="s">
        <v>948</v>
      </c>
      <c r="C58" s="9" t="s">
        <v>949</v>
      </c>
      <c r="D58" s="10" t="s">
        <v>177</v>
      </c>
      <c r="E58" s="9" t="s">
        <v>950</v>
      </c>
      <c r="F58" s="9"/>
      <c r="G58" s="9"/>
      <c r="H58" s="9" t="s">
        <v>818</v>
      </c>
      <c r="I58" s="9" t="s">
        <v>55</v>
      </c>
      <c r="J58" s="9" t="s">
        <v>783</v>
      </c>
      <c r="K58" s="9" t="s">
        <v>938</v>
      </c>
      <c r="L58" s="9" t="s">
        <v>939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951</v>
      </c>
      <c r="B59" s="10" t="s">
        <v>952</v>
      </c>
      <c r="C59" s="9" t="s">
        <v>953</v>
      </c>
      <c r="D59" s="10" t="s">
        <v>177</v>
      </c>
      <c r="E59" s="9" t="s">
        <v>946</v>
      </c>
      <c r="F59" s="9"/>
      <c r="G59" s="9"/>
      <c r="H59" s="9" t="s">
        <v>818</v>
      </c>
      <c r="I59" s="9" t="s">
        <v>55</v>
      </c>
      <c r="J59" s="9" t="s">
        <v>783</v>
      </c>
      <c r="K59" s="9" t="s">
        <v>938</v>
      </c>
      <c r="L59" s="9" t="s">
        <v>939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954</v>
      </c>
      <c r="B60" s="9" t="s">
        <v>955</v>
      </c>
      <c r="C60" s="9" t="s">
        <v>395</v>
      </c>
      <c r="D60" s="9" t="s">
        <v>242</v>
      </c>
      <c r="E60" s="11" t="n">
        <v>600</v>
      </c>
      <c r="F60" s="9"/>
      <c r="G60" s="9"/>
      <c r="H60" s="9" t="s">
        <v>834</v>
      </c>
      <c r="I60" s="9" t="s">
        <v>55</v>
      </c>
      <c r="J60" s="9" t="s">
        <v>783</v>
      </c>
      <c r="K60" s="9" t="s">
        <v>956</v>
      </c>
      <c r="L60" s="10" t="s">
        <v>957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958</v>
      </c>
      <c r="B61" s="9" t="s">
        <v>955</v>
      </c>
      <c r="C61" s="9" t="s">
        <v>895</v>
      </c>
      <c r="D61" s="9" t="s">
        <v>242</v>
      </c>
      <c r="E61" s="11" t="n">
        <v>1250</v>
      </c>
      <c r="F61" s="9"/>
      <c r="G61" s="9"/>
      <c r="H61" s="9" t="s">
        <v>818</v>
      </c>
      <c r="I61" s="9" t="s">
        <v>55</v>
      </c>
      <c r="J61" s="9" t="s">
        <v>783</v>
      </c>
      <c r="K61" s="9" t="s">
        <v>956</v>
      </c>
      <c r="L61" s="9" t="s">
        <v>959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960</v>
      </c>
      <c r="B62" s="9" t="s">
        <v>955</v>
      </c>
      <c r="C62" s="9" t="s">
        <v>897</v>
      </c>
      <c r="D62" s="9" t="s">
        <v>242</v>
      </c>
      <c r="E62" s="11" t="n">
        <v>1500</v>
      </c>
      <c r="F62" s="9"/>
      <c r="G62" s="9"/>
      <c r="H62" s="9" t="s">
        <v>818</v>
      </c>
      <c r="I62" s="9" t="s">
        <v>55</v>
      </c>
      <c r="J62" s="9" t="s">
        <v>783</v>
      </c>
      <c r="K62" s="9" t="s">
        <v>956</v>
      </c>
      <c r="L62" s="9" t="s">
        <v>959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961</v>
      </c>
      <c r="B63" s="9" t="s">
        <v>955</v>
      </c>
      <c r="C63" s="9" t="s">
        <v>899</v>
      </c>
      <c r="D63" s="9" t="s">
        <v>242</v>
      </c>
      <c r="E63" s="11" t="n">
        <v>1700</v>
      </c>
      <c r="F63" s="9"/>
      <c r="G63" s="9"/>
      <c r="H63" s="9" t="s">
        <v>818</v>
      </c>
      <c r="I63" s="9" t="s">
        <v>55</v>
      </c>
      <c r="J63" s="9" t="s">
        <v>783</v>
      </c>
      <c r="K63" s="9" t="s">
        <v>956</v>
      </c>
      <c r="L63" s="9" t="s">
        <v>959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962</v>
      </c>
      <c r="B64" s="9" t="s">
        <v>955</v>
      </c>
      <c r="C64" s="9" t="s">
        <v>901</v>
      </c>
      <c r="D64" s="9" t="s">
        <v>242</v>
      </c>
      <c r="E64" s="11" t="n">
        <v>1850</v>
      </c>
      <c r="F64" s="9"/>
      <c r="G64" s="9"/>
      <c r="H64" s="9" t="s">
        <v>818</v>
      </c>
      <c r="I64" s="9" t="s">
        <v>55</v>
      </c>
      <c r="J64" s="9" t="s">
        <v>783</v>
      </c>
      <c r="K64" s="9" t="s">
        <v>956</v>
      </c>
      <c r="L64" s="9" t="s">
        <v>959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963</v>
      </c>
      <c r="B65" s="9" t="s">
        <v>964</v>
      </c>
      <c r="C65" s="9" t="s">
        <v>55</v>
      </c>
      <c r="D65" s="10" t="s">
        <v>544</v>
      </c>
      <c r="E65" s="11" t="n">
        <v>0.8</v>
      </c>
      <c r="F65" s="9"/>
      <c r="G65" s="9"/>
      <c r="H65" s="9" t="s">
        <v>818</v>
      </c>
      <c r="I65" s="9" t="s">
        <v>55</v>
      </c>
      <c r="J65" s="9" t="s">
        <v>783</v>
      </c>
      <c r="K65" s="9" t="s">
        <v>956</v>
      </c>
      <c r="L65" s="10" t="s">
        <v>965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966</v>
      </c>
      <c r="B66" s="9" t="s">
        <v>967</v>
      </c>
      <c r="C66" s="9" t="s">
        <v>55</v>
      </c>
      <c r="D66" s="10" t="s">
        <v>544</v>
      </c>
      <c r="E66" s="11" t="n">
        <v>1.2</v>
      </c>
      <c r="F66" s="9"/>
      <c r="G66" s="9"/>
      <c r="H66" s="9" t="s">
        <v>818</v>
      </c>
      <c r="I66" s="9" t="s">
        <v>55</v>
      </c>
      <c r="J66" s="9" t="s">
        <v>783</v>
      </c>
      <c r="K66" s="9" t="s">
        <v>956</v>
      </c>
      <c r="L66" s="10" t="s">
        <v>965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968</v>
      </c>
      <c r="B67" s="9" t="s">
        <v>969</v>
      </c>
      <c r="C67" s="9" t="s">
        <v>395</v>
      </c>
      <c r="D67" s="9" t="s">
        <v>242</v>
      </c>
      <c r="E67" s="11" t="n">
        <v>2</v>
      </c>
      <c r="F67" s="9"/>
      <c r="G67" s="9"/>
      <c r="H67" s="9" t="s">
        <v>818</v>
      </c>
      <c r="I67" s="9" t="s">
        <v>55</v>
      </c>
      <c r="J67" s="9" t="s">
        <v>783</v>
      </c>
      <c r="K67" s="9" t="s">
        <v>970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971</v>
      </c>
      <c r="B68" s="9" t="s">
        <v>969</v>
      </c>
      <c r="C68" s="9" t="s">
        <v>407</v>
      </c>
      <c r="D68" s="9" t="s">
        <v>242</v>
      </c>
      <c r="E68" s="11" t="n">
        <v>10</v>
      </c>
      <c r="F68" s="9"/>
      <c r="G68" s="9"/>
      <c r="H68" s="9" t="s">
        <v>818</v>
      </c>
      <c r="I68" s="9" t="s">
        <v>55</v>
      </c>
      <c r="J68" s="9" t="s">
        <v>783</v>
      </c>
      <c r="K68" s="9" t="s">
        <v>970</v>
      </c>
      <c r="L68" s="9" t="s">
        <v>959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972</v>
      </c>
      <c r="B69" s="9" t="s">
        <v>969</v>
      </c>
      <c r="C69" s="9" t="s">
        <v>895</v>
      </c>
      <c r="D69" s="9" t="s">
        <v>242</v>
      </c>
      <c r="E69" s="11" t="n">
        <v>22</v>
      </c>
      <c r="F69" s="9"/>
      <c r="G69" s="9"/>
      <c r="H69" s="9" t="s">
        <v>818</v>
      </c>
      <c r="I69" s="9" t="s">
        <v>55</v>
      </c>
      <c r="J69" s="9" t="s">
        <v>783</v>
      </c>
      <c r="K69" s="9" t="s">
        <v>970</v>
      </c>
      <c r="L69" s="9" t="s">
        <v>959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973</v>
      </c>
      <c r="B70" s="9" t="s">
        <v>969</v>
      </c>
      <c r="C70" s="9" t="s">
        <v>897</v>
      </c>
      <c r="D70" s="9" t="s">
        <v>242</v>
      </c>
      <c r="E70" s="11" t="n">
        <v>35</v>
      </c>
      <c r="F70" s="9"/>
      <c r="G70" s="9"/>
      <c r="H70" s="9" t="s">
        <v>818</v>
      </c>
      <c r="I70" s="9" t="s">
        <v>55</v>
      </c>
      <c r="J70" s="9" t="s">
        <v>783</v>
      </c>
      <c r="K70" s="9" t="s">
        <v>970</v>
      </c>
      <c r="L70" s="9" t="s">
        <v>959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974</v>
      </c>
      <c r="B71" s="9" t="s">
        <v>969</v>
      </c>
      <c r="C71" s="9" t="s">
        <v>899</v>
      </c>
      <c r="D71" s="9" t="s">
        <v>242</v>
      </c>
      <c r="E71" s="11" t="n">
        <v>45</v>
      </c>
      <c r="F71" s="9"/>
      <c r="G71" s="9"/>
      <c r="H71" s="9" t="s">
        <v>818</v>
      </c>
      <c r="I71" s="9" t="s">
        <v>55</v>
      </c>
      <c r="J71" s="9" t="s">
        <v>783</v>
      </c>
      <c r="K71" s="9" t="s">
        <v>970</v>
      </c>
      <c r="L71" s="9" t="s">
        <v>959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975</v>
      </c>
      <c r="B72" s="9" t="s">
        <v>969</v>
      </c>
      <c r="C72" s="9" t="s">
        <v>901</v>
      </c>
      <c r="D72" s="9" t="s">
        <v>242</v>
      </c>
      <c r="E72" s="11" t="n">
        <v>55</v>
      </c>
      <c r="F72" s="9"/>
      <c r="G72" s="9"/>
      <c r="H72" s="9" t="s">
        <v>818</v>
      </c>
      <c r="I72" s="9" t="s">
        <v>55</v>
      </c>
      <c r="J72" s="9" t="s">
        <v>783</v>
      </c>
      <c r="K72" s="9" t="s">
        <v>970</v>
      </c>
      <c r="L72" s="9" t="s">
        <v>959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976</v>
      </c>
      <c r="B73" s="9" t="s">
        <v>977</v>
      </c>
      <c r="C73" s="9" t="s">
        <v>55</v>
      </c>
      <c r="D73" s="10" t="s">
        <v>544</v>
      </c>
      <c r="E73" s="11" t="n">
        <v>0.6</v>
      </c>
      <c r="F73" s="9"/>
      <c r="G73" s="9"/>
      <c r="H73" s="9" t="s">
        <v>818</v>
      </c>
      <c r="I73" s="9" t="s">
        <v>55</v>
      </c>
      <c r="J73" s="9" t="s">
        <v>783</v>
      </c>
      <c r="K73" s="9" t="s">
        <v>970</v>
      </c>
      <c r="L73" s="10" t="s">
        <v>965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978</v>
      </c>
      <c r="B74" s="9" t="s">
        <v>979</v>
      </c>
      <c r="C74" s="9" t="s">
        <v>55</v>
      </c>
      <c r="D74" s="10" t="s">
        <v>544</v>
      </c>
      <c r="E74" s="11" t="n">
        <v>1.5</v>
      </c>
      <c r="F74" s="9"/>
      <c r="G74" s="9"/>
      <c r="H74" s="9" t="s">
        <v>818</v>
      </c>
      <c r="I74" s="9" t="s">
        <v>55</v>
      </c>
      <c r="J74" s="9" t="s">
        <v>783</v>
      </c>
      <c r="K74" s="9" t="s">
        <v>970</v>
      </c>
      <c r="L74" s="10" t="s">
        <v>965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980</v>
      </c>
      <c r="B75" s="9" t="s">
        <v>981</v>
      </c>
      <c r="C75" s="9" t="s">
        <v>407</v>
      </c>
      <c r="D75" s="9" t="s">
        <v>242</v>
      </c>
      <c r="E75" s="11" t="n">
        <v>46</v>
      </c>
      <c r="F75" s="9"/>
      <c r="G75" s="9"/>
      <c r="H75" s="9" t="s">
        <v>818</v>
      </c>
      <c r="I75" s="9" t="s">
        <v>55</v>
      </c>
      <c r="J75" s="9" t="s">
        <v>783</v>
      </c>
      <c r="K75" s="9" t="s">
        <v>982</v>
      </c>
      <c r="L75" s="9" t="s">
        <v>959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983</v>
      </c>
      <c r="B76" s="9" t="s">
        <v>981</v>
      </c>
      <c r="C76" s="9" t="s">
        <v>895</v>
      </c>
      <c r="D76" s="9" t="s">
        <v>242</v>
      </c>
      <c r="E76" s="11" t="n">
        <v>52</v>
      </c>
      <c r="F76" s="9"/>
      <c r="G76" s="9"/>
      <c r="H76" s="9" t="s">
        <v>818</v>
      </c>
      <c r="I76" s="9" t="s">
        <v>55</v>
      </c>
      <c r="J76" s="9" t="s">
        <v>783</v>
      </c>
      <c r="K76" s="9" t="s">
        <v>982</v>
      </c>
      <c r="L76" s="9" t="s">
        <v>959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984</v>
      </c>
      <c r="B77" s="9" t="s">
        <v>981</v>
      </c>
      <c r="C77" s="9" t="s">
        <v>897</v>
      </c>
      <c r="D77" s="9" t="s">
        <v>242</v>
      </c>
      <c r="E77" s="11" t="n">
        <v>57</v>
      </c>
      <c r="F77" s="9"/>
      <c r="G77" s="9"/>
      <c r="H77" s="9" t="s">
        <v>818</v>
      </c>
      <c r="I77" s="9" t="s">
        <v>55</v>
      </c>
      <c r="J77" s="9" t="s">
        <v>783</v>
      </c>
      <c r="K77" s="9" t="s">
        <v>982</v>
      </c>
      <c r="L77" s="9" t="s">
        <v>959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985</v>
      </c>
      <c r="B78" s="9" t="s">
        <v>981</v>
      </c>
      <c r="C78" s="9" t="s">
        <v>899</v>
      </c>
      <c r="D78" s="9" t="s">
        <v>242</v>
      </c>
      <c r="E78" s="11" t="n">
        <v>61</v>
      </c>
      <c r="F78" s="9"/>
      <c r="G78" s="9"/>
      <c r="H78" s="9" t="s">
        <v>818</v>
      </c>
      <c r="I78" s="9" t="s">
        <v>55</v>
      </c>
      <c r="J78" s="9" t="s">
        <v>783</v>
      </c>
      <c r="K78" s="9" t="s">
        <v>982</v>
      </c>
      <c r="L78" s="9" t="s">
        <v>959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986</v>
      </c>
      <c r="B79" s="9" t="s">
        <v>981</v>
      </c>
      <c r="C79" s="9" t="s">
        <v>901</v>
      </c>
      <c r="D79" s="9" t="s">
        <v>242</v>
      </c>
      <c r="E79" s="11" t="n">
        <v>64</v>
      </c>
      <c r="F79" s="9"/>
      <c r="G79" s="9"/>
      <c r="H79" s="9" t="s">
        <v>818</v>
      </c>
      <c r="I79" s="9" t="s">
        <v>55</v>
      </c>
      <c r="J79" s="9" t="s">
        <v>783</v>
      </c>
      <c r="K79" s="9" t="s">
        <v>982</v>
      </c>
      <c r="L79" s="9" t="s">
        <v>959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987</v>
      </c>
      <c r="B80" s="9" t="s">
        <v>988</v>
      </c>
      <c r="C80" s="9" t="s">
        <v>55</v>
      </c>
      <c r="D80" s="10" t="s">
        <v>544</v>
      </c>
      <c r="E80" s="11" t="n">
        <v>0.85</v>
      </c>
      <c r="F80" s="9"/>
      <c r="G80" s="9"/>
      <c r="H80" s="9" t="s">
        <v>818</v>
      </c>
      <c r="I80" s="9" t="s">
        <v>55</v>
      </c>
      <c r="J80" s="9" t="s">
        <v>783</v>
      </c>
      <c r="K80" s="9" t="s">
        <v>982</v>
      </c>
      <c r="L80" s="10" t="s">
        <v>965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989</v>
      </c>
      <c r="B81" s="9" t="s">
        <v>990</v>
      </c>
      <c r="C81" s="9" t="s">
        <v>55</v>
      </c>
      <c r="D81" s="10" t="s">
        <v>544</v>
      </c>
      <c r="E81" s="11" t="n">
        <v>1.15</v>
      </c>
      <c r="F81" s="9"/>
      <c r="G81" s="9"/>
      <c r="H81" s="9" t="s">
        <v>818</v>
      </c>
      <c r="I81" s="9" t="s">
        <v>55</v>
      </c>
      <c r="J81" s="9" t="s">
        <v>783</v>
      </c>
      <c r="K81" s="9" t="s">
        <v>982</v>
      </c>
      <c r="L81" s="10" t="s">
        <v>965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991</v>
      </c>
      <c r="B82" s="9" t="s">
        <v>992</v>
      </c>
      <c r="C82" s="9" t="s">
        <v>395</v>
      </c>
      <c r="D82" s="9" t="s">
        <v>242</v>
      </c>
      <c r="E82" s="11" t="n">
        <v>3</v>
      </c>
      <c r="F82" s="9"/>
      <c r="G82" s="9"/>
      <c r="H82" s="9" t="s">
        <v>818</v>
      </c>
      <c r="I82" s="9" t="s">
        <v>55</v>
      </c>
      <c r="J82" s="9" t="s">
        <v>783</v>
      </c>
      <c r="K82" s="9" t="s">
        <v>993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994</v>
      </c>
      <c r="B83" s="9" t="s">
        <v>992</v>
      </c>
      <c r="C83" s="9" t="s">
        <v>407</v>
      </c>
      <c r="D83" s="9" t="s">
        <v>242</v>
      </c>
      <c r="E83" s="11" t="n">
        <v>14</v>
      </c>
      <c r="F83" s="9"/>
      <c r="G83" s="9"/>
      <c r="H83" s="9" t="s">
        <v>818</v>
      </c>
      <c r="I83" s="9" t="s">
        <v>55</v>
      </c>
      <c r="J83" s="9" t="s">
        <v>783</v>
      </c>
      <c r="K83" s="9" t="s">
        <v>993</v>
      </c>
      <c r="L83" s="9" t="s">
        <v>959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995</v>
      </c>
      <c r="B84" s="9" t="s">
        <v>992</v>
      </c>
      <c r="C84" s="9" t="s">
        <v>895</v>
      </c>
      <c r="D84" s="9" t="s">
        <v>242</v>
      </c>
      <c r="E84" s="11" t="n">
        <v>26</v>
      </c>
      <c r="F84" s="9"/>
      <c r="G84" s="9"/>
      <c r="H84" s="9" t="s">
        <v>818</v>
      </c>
      <c r="I84" s="9" t="s">
        <v>55</v>
      </c>
      <c r="J84" s="9" t="s">
        <v>783</v>
      </c>
      <c r="K84" s="9" t="s">
        <v>993</v>
      </c>
      <c r="L84" s="9" t="s">
        <v>959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996</v>
      </c>
      <c r="B85" s="9" t="s">
        <v>992</v>
      </c>
      <c r="C85" s="9" t="s">
        <v>897</v>
      </c>
      <c r="D85" s="9" t="s">
        <v>242</v>
      </c>
      <c r="E85" s="11" t="n">
        <v>38</v>
      </c>
      <c r="F85" s="9"/>
      <c r="G85" s="9"/>
      <c r="H85" s="9" t="s">
        <v>818</v>
      </c>
      <c r="I85" s="9" t="s">
        <v>55</v>
      </c>
      <c r="J85" s="9" t="s">
        <v>783</v>
      </c>
      <c r="K85" s="9" t="s">
        <v>993</v>
      </c>
      <c r="L85" s="9" t="s">
        <v>959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997</v>
      </c>
      <c r="B86" s="9" t="s">
        <v>992</v>
      </c>
      <c r="C86" s="9" t="s">
        <v>899</v>
      </c>
      <c r="D86" s="9" t="s">
        <v>242</v>
      </c>
      <c r="E86" s="11" t="n">
        <v>48</v>
      </c>
      <c r="F86" s="9"/>
      <c r="G86" s="9"/>
      <c r="H86" s="9" t="s">
        <v>818</v>
      </c>
      <c r="I86" s="9" t="s">
        <v>55</v>
      </c>
      <c r="J86" s="9" t="s">
        <v>783</v>
      </c>
      <c r="K86" s="9" t="s">
        <v>993</v>
      </c>
      <c r="L86" s="9" t="s">
        <v>959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998</v>
      </c>
      <c r="B87" s="9" t="s">
        <v>992</v>
      </c>
      <c r="C87" s="9" t="s">
        <v>901</v>
      </c>
      <c r="D87" s="9" t="s">
        <v>242</v>
      </c>
      <c r="E87" s="11" t="n">
        <v>56</v>
      </c>
      <c r="F87" s="9"/>
      <c r="G87" s="9"/>
      <c r="H87" s="9" t="s">
        <v>818</v>
      </c>
      <c r="I87" s="9" t="s">
        <v>55</v>
      </c>
      <c r="J87" s="9" t="s">
        <v>783</v>
      </c>
      <c r="K87" s="9" t="s">
        <v>993</v>
      </c>
      <c r="L87" s="9" t="s">
        <v>959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999</v>
      </c>
      <c r="B88" s="9" t="s">
        <v>1000</v>
      </c>
      <c r="C88" s="9" t="s">
        <v>55</v>
      </c>
      <c r="D88" s="10" t="s">
        <v>544</v>
      </c>
      <c r="E88" s="11" t="n">
        <v>0.7</v>
      </c>
      <c r="F88" s="9"/>
      <c r="G88" s="9"/>
      <c r="H88" s="9" t="s">
        <v>818</v>
      </c>
      <c r="I88" s="9" t="s">
        <v>55</v>
      </c>
      <c r="J88" s="9" t="s">
        <v>783</v>
      </c>
      <c r="K88" s="9" t="s">
        <v>993</v>
      </c>
      <c r="L88" s="10" t="s">
        <v>965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1001</v>
      </c>
      <c r="B89" s="9" t="s">
        <v>1002</v>
      </c>
      <c r="C89" s="9" t="s">
        <v>55</v>
      </c>
      <c r="D89" s="10" t="s">
        <v>544</v>
      </c>
      <c r="E89" s="11" t="n">
        <v>1.3</v>
      </c>
      <c r="F89" s="9"/>
      <c r="G89" s="9"/>
      <c r="H89" s="9" t="s">
        <v>818</v>
      </c>
      <c r="I89" s="9" t="s">
        <v>55</v>
      </c>
      <c r="J89" s="9" t="s">
        <v>783</v>
      </c>
      <c r="K89" s="9" t="s">
        <v>993</v>
      </c>
      <c r="L89" s="10" t="s">
        <v>965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1003</v>
      </c>
      <c r="B90" s="9" t="s">
        <v>1004</v>
      </c>
      <c r="C90" s="10" t="s">
        <v>1005</v>
      </c>
      <c r="D90" s="9" t="s">
        <v>224</v>
      </c>
      <c r="E90" s="11" t="n">
        <v>6</v>
      </c>
      <c r="F90" s="11" t="n">
        <v>4</v>
      </c>
      <c r="G90" s="11" t="n">
        <v>8</v>
      </c>
      <c r="H90" s="9" t="s">
        <v>818</v>
      </c>
      <c r="I90" s="9" t="s">
        <v>55</v>
      </c>
      <c r="J90" s="9" t="s">
        <v>783</v>
      </c>
      <c r="K90" s="9" t="s">
        <v>1006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1007</v>
      </c>
      <c r="B91" s="9" t="s">
        <v>1008</v>
      </c>
      <c r="C91" s="9" t="s">
        <v>395</v>
      </c>
      <c r="D91" s="9" t="s">
        <v>224</v>
      </c>
      <c r="E91" s="11" t="n">
        <v>19.5</v>
      </c>
      <c r="F91" s="11" t="n">
        <v>18</v>
      </c>
      <c r="G91" s="11" t="n">
        <v>20</v>
      </c>
      <c r="H91" s="9" t="s">
        <v>818</v>
      </c>
      <c r="I91" s="9" t="s">
        <v>55</v>
      </c>
      <c r="J91" s="9" t="s">
        <v>783</v>
      </c>
      <c r="K91" s="9" t="s">
        <v>1009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1010</v>
      </c>
      <c r="B92" s="9" t="s">
        <v>1008</v>
      </c>
      <c r="C92" s="9" t="s">
        <v>1011</v>
      </c>
      <c r="D92" s="9" t="s">
        <v>224</v>
      </c>
      <c r="E92" s="11" t="n">
        <v>19</v>
      </c>
      <c r="F92" s="11" t="n">
        <v>17</v>
      </c>
      <c r="G92" s="11" t="n">
        <v>20</v>
      </c>
      <c r="H92" s="9" t="s">
        <v>818</v>
      </c>
      <c r="I92" s="9" t="s">
        <v>55</v>
      </c>
      <c r="J92" s="9" t="s">
        <v>783</v>
      </c>
      <c r="K92" s="9" t="s">
        <v>1009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1012</v>
      </c>
      <c r="B93" s="9" t="s">
        <v>1013</v>
      </c>
      <c r="C93" s="9" t="s">
        <v>395</v>
      </c>
      <c r="D93" s="9" t="s">
        <v>224</v>
      </c>
      <c r="E93" s="11" t="n">
        <v>200</v>
      </c>
      <c r="F93" s="11" t="n">
        <v>200</v>
      </c>
      <c r="G93" s="11" t="n">
        <v>200</v>
      </c>
      <c r="H93" s="9" t="s">
        <v>818</v>
      </c>
      <c r="I93" s="9" t="s">
        <v>55</v>
      </c>
      <c r="J93" s="9" t="s">
        <v>783</v>
      </c>
      <c r="K93" s="9" t="s">
        <v>1014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1015</v>
      </c>
      <c r="B94" s="9" t="s">
        <v>1013</v>
      </c>
      <c r="C94" s="9" t="s">
        <v>1011</v>
      </c>
      <c r="D94" s="9" t="s">
        <v>224</v>
      </c>
      <c r="E94" s="11" t="n">
        <v>150</v>
      </c>
      <c r="F94" s="11" t="n">
        <v>120</v>
      </c>
      <c r="G94" s="11" t="n">
        <v>190</v>
      </c>
      <c r="H94" s="9" t="s">
        <v>818</v>
      </c>
      <c r="I94" s="9" t="s">
        <v>55</v>
      </c>
      <c r="J94" s="9" t="s">
        <v>783</v>
      </c>
      <c r="K94" s="9" t="s">
        <v>1014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1016</v>
      </c>
      <c r="B95" s="9" t="s">
        <v>1017</v>
      </c>
      <c r="C95" s="10" t="s">
        <v>1005</v>
      </c>
      <c r="D95" s="9" t="s">
        <v>224</v>
      </c>
      <c r="E95" s="11" t="n">
        <v>30</v>
      </c>
      <c r="F95" s="11" t="n">
        <v>22</v>
      </c>
      <c r="G95" s="11" t="n">
        <v>45</v>
      </c>
      <c r="H95" s="9" t="s">
        <v>818</v>
      </c>
      <c r="I95" s="9" t="s">
        <v>55</v>
      </c>
      <c r="J95" s="9" t="s">
        <v>783</v>
      </c>
      <c r="K95" s="9" t="s">
        <v>1018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1019</v>
      </c>
      <c r="B96" s="10" t="s">
        <v>1020</v>
      </c>
      <c r="C96" s="9" t="s">
        <v>395</v>
      </c>
      <c r="D96" s="10" t="s">
        <v>1021</v>
      </c>
      <c r="E96" s="11" t="n">
        <v>1.7</v>
      </c>
      <c r="F96" s="9"/>
      <c r="G96" s="9"/>
      <c r="H96" s="9" t="s">
        <v>818</v>
      </c>
      <c r="I96" s="9" t="s">
        <v>55</v>
      </c>
      <c r="J96" s="9" t="s">
        <v>783</v>
      </c>
      <c r="K96" s="9" t="s">
        <v>1022</v>
      </c>
      <c r="L96" s="9" t="s">
        <v>1023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1024</v>
      </c>
      <c r="B97" s="10" t="s">
        <v>1020</v>
      </c>
      <c r="C97" s="9" t="s">
        <v>407</v>
      </c>
      <c r="D97" s="10" t="s">
        <v>1021</v>
      </c>
      <c r="E97" s="11" t="n">
        <v>1.7</v>
      </c>
      <c r="F97" s="9"/>
      <c r="G97" s="9"/>
      <c r="H97" s="9" t="s">
        <v>818</v>
      </c>
      <c r="I97" s="9" t="s">
        <v>55</v>
      </c>
      <c r="J97" s="9" t="s">
        <v>783</v>
      </c>
      <c r="K97" s="9" t="s">
        <v>1022</v>
      </c>
      <c r="L97" s="9" t="s">
        <v>1023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1025</v>
      </c>
      <c r="B98" s="10" t="s">
        <v>1026</v>
      </c>
      <c r="C98" s="9" t="s">
        <v>395</v>
      </c>
      <c r="D98" s="10" t="s">
        <v>1021</v>
      </c>
      <c r="E98" s="11" t="n">
        <v>5.3</v>
      </c>
      <c r="F98" s="9"/>
      <c r="G98" s="9"/>
      <c r="H98" s="9" t="s">
        <v>818</v>
      </c>
      <c r="I98" s="9" t="s">
        <v>55</v>
      </c>
      <c r="J98" s="9" t="s">
        <v>783</v>
      </c>
      <c r="K98" s="9" t="s">
        <v>1027</v>
      </c>
      <c r="L98" s="9" t="s">
        <v>1023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1028</v>
      </c>
      <c r="B99" s="10" t="s">
        <v>1026</v>
      </c>
      <c r="C99" s="9" t="s">
        <v>407</v>
      </c>
      <c r="D99" s="10" t="s">
        <v>1021</v>
      </c>
      <c r="E99" s="11" t="n">
        <v>5.7</v>
      </c>
      <c r="F99" s="9"/>
      <c r="G99" s="9"/>
      <c r="H99" s="9" t="s">
        <v>818</v>
      </c>
      <c r="I99" s="9" t="s">
        <v>55</v>
      </c>
      <c r="J99" s="9" t="s">
        <v>783</v>
      </c>
      <c r="K99" s="9" t="s">
        <v>1027</v>
      </c>
      <c r="L99" s="9" t="s">
        <v>1023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1029</v>
      </c>
      <c r="B100" s="10" t="s">
        <v>1030</v>
      </c>
      <c r="C100" s="9" t="s">
        <v>395</v>
      </c>
      <c r="D100" s="10" t="s">
        <v>1021</v>
      </c>
      <c r="E100" s="11" t="n">
        <v>13.4</v>
      </c>
      <c r="F100" s="9"/>
      <c r="G100" s="9"/>
      <c r="H100" s="9" t="s">
        <v>818</v>
      </c>
      <c r="I100" s="9" t="s">
        <v>55</v>
      </c>
      <c r="J100" s="9" t="s">
        <v>783</v>
      </c>
      <c r="K100" s="9" t="s">
        <v>1031</v>
      </c>
      <c r="L100" s="9" t="s">
        <v>1023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1032</v>
      </c>
      <c r="B101" s="10" t="s">
        <v>1030</v>
      </c>
      <c r="C101" s="9" t="s">
        <v>407</v>
      </c>
      <c r="D101" s="10" t="s">
        <v>1021</v>
      </c>
      <c r="E101" s="11" t="n">
        <v>17.9</v>
      </c>
      <c r="F101" s="9"/>
      <c r="G101" s="9"/>
      <c r="H101" s="9" t="s">
        <v>818</v>
      </c>
      <c r="I101" s="9" t="s">
        <v>55</v>
      </c>
      <c r="J101" s="9" t="s">
        <v>783</v>
      </c>
      <c r="K101" s="9" t="s">
        <v>1031</v>
      </c>
      <c r="L101" s="9" t="s">
        <v>1023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1033</v>
      </c>
      <c r="B102" s="10" t="s">
        <v>1034</v>
      </c>
      <c r="C102" s="9" t="s">
        <v>395</v>
      </c>
      <c r="D102" s="10" t="s">
        <v>1021</v>
      </c>
      <c r="E102" s="11" t="n">
        <v>41</v>
      </c>
      <c r="F102" s="9"/>
      <c r="G102" s="9"/>
      <c r="H102" s="9" t="s">
        <v>818</v>
      </c>
      <c r="I102" s="9" t="s">
        <v>55</v>
      </c>
      <c r="J102" s="9" t="s">
        <v>783</v>
      </c>
      <c r="K102" s="9" t="s">
        <v>1035</v>
      </c>
      <c r="L102" s="9" t="s">
        <v>1023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1036</v>
      </c>
      <c r="B103" s="10" t="s">
        <v>1034</v>
      </c>
      <c r="C103" s="9" t="s">
        <v>407</v>
      </c>
      <c r="D103" s="10" t="s">
        <v>1021</v>
      </c>
      <c r="E103" s="11" t="n">
        <v>51.4</v>
      </c>
      <c r="F103" s="9"/>
      <c r="G103" s="9"/>
      <c r="H103" s="9" t="s">
        <v>818</v>
      </c>
      <c r="I103" s="9" t="s">
        <v>55</v>
      </c>
      <c r="J103" s="9" t="s">
        <v>783</v>
      </c>
      <c r="K103" s="9" t="s">
        <v>1035</v>
      </c>
      <c r="L103" s="9" t="s">
        <v>1023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1037</v>
      </c>
      <c r="B104" s="10" t="s">
        <v>1038</v>
      </c>
      <c r="C104" s="9" t="s">
        <v>395</v>
      </c>
      <c r="D104" s="10" t="s">
        <v>1021</v>
      </c>
      <c r="E104" s="11" t="n">
        <v>10.7</v>
      </c>
      <c r="F104" s="9"/>
      <c r="G104" s="9"/>
      <c r="H104" s="9" t="s">
        <v>818</v>
      </c>
      <c r="I104" s="9" t="s">
        <v>55</v>
      </c>
      <c r="J104" s="9" t="s">
        <v>783</v>
      </c>
      <c r="K104" s="9" t="s">
        <v>1039</v>
      </c>
      <c r="L104" s="9" t="s">
        <v>1023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1040</v>
      </c>
      <c r="B105" s="10" t="s">
        <v>1038</v>
      </c>
      <c r="C105" s="9" t="s">
        <v>407</v>
      </c>
      <c r="D105" s="10" t="s">
        <v>1021</v>
      </c>
      <c r="E105" s="11" t="n">
        <v>14.3</v>
      </c>
      <c r="F105" s="9"/>
      <c r="G105" s="9"/>
      <c r="H105" s="9" t="s">
        <v>818</v>
      </c>
      <c r="I105" s="9" t="s">
        <v>55</v>
      </c>
      <c r="J105" s="9" t="s">
        <v>783</v>
      </c>
      <c r="K105" s="9" t="s">
        <v>1039</v>
      </c>
      <c r="L105" s="9" t="s">
        <v>1023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1041</v>
      </c>
      <c r="B106" s="10" t="s">
        <v>1042</v>
      </c>
      <c r="C106" s="9" t="s">
        <v>395</v>
      </c>
      <c r="D106" s="9" t="s">
        <v>886</v>
      </c>
      <c r="E106" s="11" t="n">
        <v>2</v>
      </c>
      <c r="F106" s="9"/>
      <c r="G106" s="9"/>
      <c r="H106" s="9" t="s">
        <v>818</v>
      </c>
      <c r="I106" s="9" t="s">
        <v>55</v>
      </c>
      <c r="J106" s="9" t="s">
        <v>783</v>
      </c>
      <c r="K106" s="9" t="s">
        <v>1043</v>
      </c>
      <c r="L106" s="9" t="s">
        <v>1023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1044</v>
      </c>
      <c r="B107" s="10" t="s">
        <v>1042</v>
      </c>
      <c r="C107" s="9" t="s">
        <v>407</v>
      </c>
      <c r="D107" s="9" t="s">
        <v>886</v>
      </c>
      <c r="E107" s="11" t="n">
        <v>2.94</v>
      </c>
      <c r="F107" s="9"/>
      <c r="G107" s="9"/>
      <c r="H107" s="9" t="s">
        <v>818</v>
      </c>
      <c r="I107" s="9" t="s">
        <v>55</v>
      </c>
      <c r="J107" s="9" t="s">
        <v>783</v>
      </c>
      <c r="K107" s="9" t="s">
        <v>1043</v>
      </c>
      <c r="L107" s="9" t="s">
        <v>1023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1045</v>
      </c>
      <c r="B108" s="10" t="s">
        <v>1046</v>
      </c>
      <c r="C108" s="9" t="s">
        <v>395</v>
      </c>
      <c r="D108" s="9" t="s">
        <v>886</v>
      </c>
      <c r="E108" s="11" t="n">
        <v>3</v>
      </c>
      <c r="F108" s="9"/>
      <c r="G108" s="9"/>
      <c r="H108" s="9" t="s">
        <v>818</v>
      </c>
      <c r="I108" s="9" t="s">
        <v>55</v>
      </c>
      <c r="J108" s="9" t="s">
        <v>783</v>
      </c>
      <c r="K108" s="9" t="s">
        <v>1047</v>
      </c>
      <c r="L108" s="9" t="s">
        <v>1023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1048</v>
      </c>
      <c r="B109" s="10" t="s">
        <v>1046</v>
      </c>
      <c r="C109" s="9" t="s">
        <v>407</v>
      </c>
      <c r="D109" s="9" t="s">
        <v>886</v>
      </c>
      <c r="E109" s="11" t="n">
        <v>4.39</v>
      </c>
      <c r="F109" s="9"/>
      <c r="G109" s="9"/>
      <c r="H109" s="9" t="s">
        <v>818</v>
      </c>
      <c r="I109" s="9" t="s">
        <v>55</v>
      </c>
      <c r="J109" s="9" t="s">
        <v>783</v>
      </c>
      <c r="K109" s="9" t="s">
        <v>1047</v>
      </c>
      <c r="L109" s="9" t="s">
        <v>1023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1049</v>
      </c>
      <c r="B110" s="10" t="s">
        <v>1050</v>
      </c>
      <c r="C110" s="9" t="s">
        <v>395</v>
      </c>
      <c r="D110" s="9" t="s">
        <v>886</v>
      </c>
      <c r="E110" s="11" t="n">
        <v>4</v>
      </c>
      <c r="F110" s="9"/>
      <c r="G110" s="9"/>
      <c r="H110" s="9" t="s">
        <v>818</v>
      </c>
      <c r="I110" s="9" t="s">
        <v>55</v>
      </c>
      <c r="J110" s="9" t="s">
        <v>783</v>
      </c>
      <c r="K110" s="9" t="s">
        <v>1051</v>
      </c>
      <c r="L110" s="9" t="s">
        <v>1023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1052</v>
      </c>
      <c r="B111" s="10" t="s">
        <v>1050</v>
      </c>
      <c r="C111" s="9" t="s">
        <v>407</v>
      </c>
      <c r="D111" s="9" t="s">
        <v>886</v>
      </c>
      <c r="E111" s="11" t="n">
        <v>6.15</v>
      </c>
      <c r="F111" s="9"/>
      <c r="G111" s="9"/>
      <c r="H111" s="9" t="s">
        <v>818</v>
      </c>
      <c r="I111" s="9" t="s">
        <v>55</v>
      </c>
      <c r="J111" s="9" t="s">
        <v>783</v>
      </c>
      <c r="K111" s="9" t="s">
        <v>1051</v>
      </c>
      <c r="L111" s="9" t="s">
        <v>1023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1053</v>
      </c>
      <c r="B112" s="10" t="s">
        <v>1054</v>
      </c>
      <c r="C112" s="9" t="s">
        <v>395</v>
      </c>
      <c r="D112" s="9" t="s">
        <v>886</v>
      </c>
      <c r="E112" s="11" t="n">
        <v>10</v>
      </c>
      <c r="F112" s="9"/>
      <c r="G112" s="9"/>
      <c r="H112" s="9" t="s">
        <v>818</v>
      </c>
      <c r="I112" s="9" t="s">
        <v>55</v>
      </c>
      <c r="J112" s="9" t="s">
        <v>783</v>
      </c>
      <c r="K112" s="9" t="s">
        <v>1055</v>
      </c>
      <c r="L112" s="9" t="s">
        <v>1023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1056</v>
      </c>
      <c r="B113" s="10" t="s">
        <v>1054</v>
      </c>
      <c r="C113" s="9" t="s">
        <v>407</v>
      </c>
      <c r="D113" s="9" t="s">
        <v>886</v>
      </c>
      <c r="E113" s="11" t="n">
        <v>15.6</v>
      </c>
      <c r="F113" s="9"/>
      <c r="G113" s="9"/>
      <c r="H113" s="9" t="s">
        <v>818</v>
      </c>
      <c r="I113" s="9" t="s">
        <v>55</v>
      </c>
      <c r="J113" s="9" t="s">
        <v>783</v>
      </c>
      <c r="K113" s="9" t="s">
        <v>1055</v>
      </c>
      <c r="L113" s="9" t="s">
        <v>1023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1057</v>
      </c>
      <c r="B114" s="10" t="s">
        <v>1058</v>
      </c>
      <c r="C114" s="9" t="s">
        <v>395</v>
      </c>
      <c r="D114" s="9" t="s">
        <v>886</v>
      </c>
      <c r="E114" s="11" t="n">
        <v>4</v>
      </c>
      <c r="F114" s="9"/>
      <c r="G114" s="9"/>
      <c r="H114" s="9" t="s">
        <v>818</v>
      </c>
      <c r="I114" s="9" t="s">
        <v>55</v>
      </c>
      <c r="J114" s="9" t="s">
        <v>783</v>
      </c>
      <c r="K114" s="9" t="s">
        <v>1059</v>
      </c>
      <c r="L114" s="9" t="s">
        <v>1023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1060</v>
      </c>
      <c r="B115" s="10" t="s">
        <v>1058</v>
      </c>
      <c r="C115" s="9" t="s">
        <v>407</v>
      </c>
      <c r="D115" s="9" t="s">
        <v>886</v>
      </c>
      <c r="E115" s="11" t="n">
        <v>5.94</v>
      </c>
      <c r="F115" s="9"/>
      <c r="G115" s="9"/>
      <c r="H115" s="9" t="s">
        <v>818</v>
      </c>
      <c r="I115" s="9" t="s">
        <v>55</v>
      </c>
      <c r="J115" s="9" t="s">
        <v>783</v>
      </c>
      <c r="K115" s="9" t="s">
        <v>1059</v>
      </c>
      <c r="L115" s="9" t="s">
        <v>1023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1061</v>
      </c>
      <c r="B116" s="10" t="s">
        <v>1062</v>
      </c>
      <c r="C116" s="9" t="s">
        <v>55</v>
      </c>
      <c r="D116" s="10" t="s">
        <v>854</v>
      </c>
      <c r="E116" s="11" t="n">
        <v>0.1</v>
      </c>
      <c r="F116" s="11" t="n">
        <v>0.05</v>
      </c>
      <c r="G116" s="11" t="n">
        <v>0.2</v>
      </c>
      <c r="H116" s="9" t="s">
        <v>818</v>
      </c>
      <c r="I116" s="9" t="s">
        <v>55</v>
      </c>
      <c r="J116" s="9" t="s">
        <v>783</v>
      </c>
      <c r="K116" s="9" t="s">
        <v>1063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1064</v>
      </c>
      <c r="B117" s="10" t="s">
        <v>1065</v>
      </c>
      <c r="C117" s="9" t="s">
        <v>55</v>
      </c>
      <c r="D117" s="10" t="s">
        <v>854</v>
      </c>
      <c r="E117" s="11" t="n">
        <v>0.15</v>
      </c>
      <c r="F117" s="11" t="n">
        <v>0.1</v>
      </c>
      <c r="G117" s="11" t="n">
        <v>0.25</v>
      </c>
      <c r="H117" s="9" t="s">
        <v>818</v>
      </c>
      <c r="I117" s="9" t="s">
        <v>855</v>
      </c>
      <c r="J117" s="9" t="s">
        <v>783</v>
      </c>
      <c r="K117" s="9" t="s">
        <v>1066</v>
      </c>
      <c r="L117" s="10" t="s">
        <v>1067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1068</v>
      </c>
      <c r="B118" s="10" t="s">
        <v>1069</v>
      </c>
      <c r="C118" s="9" t="s">
        <v>395</v>
      </c>
      <c r="D118" s="10" t="s">
        <v>104</v>
      </c>
      <c r="E118" s="11" t="n">
        <v>0</v>
      </c>
      <c r="F118" s="11" t="n">
        <v>0</v>
      </c>
      <c r="G118" s="11" t="n">
        <v>0</v>
      </c>
      <c r="H118" s="9" t="s">
        <v>818</v>
      </c>
      <c r="I118" s="9" t="s">
        <v>1070</v>
      </c>
      <c r="J118" s="9" t="s">
        <v>783</v>
      </c>
      <c r="K118" s="9" t="s">
        <v>1071</v>
      </c>
      <c r="L118" s="9" t="s">
        <v>1072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1073</v>
      </c>
      <c r="B119" s="10" t="s">
        <v>1069</v>
      </c>
      <c r="C119" s="9" t="s">
        <v>407</v>
      </c>
      <c r="D119" s="10" t="s">
        <v>104</v>
      </c>
      <c r="E119" s="11" t="n">
        <v>0.25</v>
      </c>
      <c r="F119" s="11" t="n">
        <v>0.15</v>
      </c>
      <c r="G119" s="11" t="n">
        <v>0.35</v>
      </c>
      <c r="H119" s="9" t="s">
        <v>818</v>
      </c>
      <c r="I119" s="9" t="s">
        <v>1070</v>
      </c>
      <c r="J119" s="9" t="s">
        <v>783</v>
      </c>
      <c r="K119" s="9" t="s">
        <v>1071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1074</v>
      </c>
      <c r="B120" s="10" t="s">
        <v>1069</v>
      </c>
      <c r="C120" s="9" t="s">
        <v>895</v>
      </c>
      <c r="D120" s="10" t="s">
        <v>104</v>
      </c>
      <c r="E120" s="11" t="n">
        <v>0.35</v>
      </c>
      <c r="F120" s="11" t="n">
        <v>0.25</v>
      </c>
      <c r="G120" s="11" t="n">
        <v>0.5</v>
      </c>
      <c r="H120" s="9" t="s">
        <v>818</v>
      </c>
      <c r="I120" s="9" t="s">
        <v>1070</v>
      </c>
      <c r="J120" s="9" t="s">
        <v>783</v>
      </c>
      <c r="K120" s="9" t="s">
        <v>1071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1075</v>
      </c>
      <c r="B121" s="10" t="s">
        <v>1069</v>
      </c>
      <c r="C121" s="9" t="s">
        <v>897</v>
      </c>
      <c r="D121" s="10" t="s">
        <v>104</v>
      </c>
      <c r="E121" s="11" t="n">
        <v>0.4</v>
      </c>
      <c r="F121" s="11" t="n">
        <v>0.3</v>
      </c>
      <c r="G121" s="11" t="n">
        <v>0.6</v>
      </c>
      <c r="H121" s="9" t="s">
        <v>818</v>
      </c>
      <c r="I121" s="9" t="s">
        <v>1070</v>
      </c>
      <c r="J121" s="9" t="s">
        <v>783</v>
      </c>
      <c r="K121" s="9" t="s">
        <v>1071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1076</v>
      </c>
      <c r="B122" s="10" t="s">
        <v>1069</v>
      </c>
      <c r="C122" s="9" t="s">
        <v>899</v>
      </c>
      <c r="D122" s="10" t="s">
        <v>104</v>
      </c>
      <c r="E122" s="11" t="n">
        <v>0.45</v>
      </c>
      <c r="F122" s="11" t="n">
        <v>0.3</v>
      </c>
      <c r="G122" s="11" t="n">
        <v>0.65</v>
      </c>
      <c r="H122" s="9" t="s">
        <v>818</v>
      </c>
      <c r="I122" s="9" t="s">
        <v>1070</v>
      </c>
      <c r="J122" s="9" t="s">
        <v>783</v>
      </c>
      <c r="K122" s="9" t="s">
        <v>1071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1077</v>
      </c>
      <c r="B123" s="10" t="s">
        <v>1069</v>
      </c>
      <c r="C123" s="9" t="s">
        <v>901</v>
      </c>
      <c r="D123" s="10" t="s">
        <v>104</v>
      </c>
      <c r="E123" s="11" t="n">
        <v>0.5</v>
      </c>
      <c r="F123" s="11" t="n">
        <v>0.35</v>
      </c>
      <c r="G123" s="11" t="n">
        <v>0.7</v>
      </c>
      <c r="H123" s="9" t="s">
        <v>818</v>
      </c>
      <c r="I123" s="9" t="s">
        <v>1070</v>
      </c>
      <c r="J123" s="9" t="s">
        <v>783</v>
      </c>
      <c r="K123" s="9" t="s">
        <v>1071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1078</v>
      </c>
      <c r="B124" s="10" t="s">
        <v>1079</v>
      </c>
      <c r="C124" s="9" t="s">
        <v>395</v>
      </c>
      <c r="D124" s="9" t="s">
        <v>1080</v>
      </c>
      <c r="E124" s="11" t="n">
        <v>0</v>
      </c>
      <c r="F124" s="11" t="n">
        <v>0</v>
      </c>
      <c r="G124" s="11" t="n">
        <v>0</v>
      </c>
      <c r="H124" s="9" t="s">
        <v>834</v>
      </c>
      <c r="I124" s="9" t="s">
        <v>1070</v>
      </c>
      <c r="J124" s="9" t="s">
        <v>783</v>
      </c>
      <c r="K124" s="9" t="s">
        <v>1081</v>
      </c>
      <c r="L124" s="10" t="s">
        <v>1082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1083</v>
      </c>
      <c r="B125" s="10" t="s">
        <v>1079</v>
      </c>
      <c r="C125" s="9" t="s">
        <v>407</v>
      </c>
      <c r="D125" s="9" t="s">
        <v>1080</v>
      </c>
      <c r="E125" s="11" t="n">
        <v>3</v>
      </c>
      <c r="F125" s="11" t="n">
        <v>1.5</v>
      </c>
      <c r="G125" s="11" t="n">
        <v>5</v>
      </c>
      <c r="H125" s="9" t="s">
        <v>834</v>
      </c>
      <c r="I125" s="9" t="s">
        <v>1070</v>
      </c>
      <c r="J125" s="9" t="s">
        <v>783</v>
      </c>
      <c r="K125" s="9" t="s">
        <v>1081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1084</v>
      </c>
      <c r="B126" s="10" t="s">
        <v>1079</v>
      </c>
      <c r="C126" s="9" t="s">
        <v>895</v>
      </c>
      <c r="D126" s="9" t="s">
        <v>1080</v>
      </c>
      <c r="E126" s="11" t="n">
        <v>4</v>
      </c>
      <c r="F126" s="11" t="n">
        <v>2</v>
      </c>
      <c r="G126" s="11" t="n">
        <v>6</v>
      </c>
      <c r="H126" s="9" t="s">
        <v>834</v>
      </c>
      <c r="I126" s="9" t="s">
        <v>1070</v>
      </c>
      <c r="J126" s="9" t="s">
        <v>783</v>
      </c>
      <c r="K126" s="9" t="s">
        <v>1081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1085</v>
      </c>
      <c r="B127" s="10" t="s">
        <v>1079</v>
      </c>
      <c r="C127" s="9" t="s">
        <v>897</v>
      </c>
      <c r="D127" s="9" t="s">
        <v>1080</v>
      </c>
      <c r="E127" s="11" t="n">
        <v>4.5</v>
      </c>
      <c r="F127" s="11" t="n">
        <v>2.5</v>
      </c>
      <c r="G127" s="11" t="n">
        <v>7.5</v>
      </c>
      <c r="H127" s="9" t="s">
        <v>834</v>
      </c>
      <c r="I127" s="9" t="s">
        <v>1070</v>
      </c>
      <c r="J127" s="9" t="s">
        <v>783</v>
      </c>
      <c r="K127" s="9" t="s">
        <v>1081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1086</v>
      </c>
      <c r="B128" s="10" t="s">
        <v>1079</v>
      </c>
      <c r="C128" s="9" t="s">
        <v>899</v>
      </c>
      <c r="D128" s="9" t="s">
        <v>1080</v>
      </c>
      <c r="E128" s="11" t="n">
        <v>5</v>
      </c>
      <c r="F128" s="11" t="n">
        <v>3</v>
      </c>
      <c r="G128" s="11" t="n">
        <v>9</v>
      </c>
      <c r="H128" s="9" t="s">
        <v>834</v>
      </c>
      <c r="I128" s="9" t="s">
        <v>1070</v>
      </c>
      <c r="J128" s="9" t="s">
        <v>783</v>
      </c>
      <c r="K128" s="9" t="s">
        <v>1081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1087</v>
      </c>
      <c r="B129" s="10" t="s">
        <v>1079</v>
      </c>
      <c r="C129" s="9" t="s">
        <v>901</v>
      </c>
      <c r="D129" s="9" t="s">
        <v>1080</v>
      </c>
      <c r="E129" s="11" t="n">
        <v>5.5</v>
      </c>
      <c r="F129" s="11" t="n">
        <v>3.5</v>
      </c>
      <c r="G129" s="11" t="n">
        <v>11</v>
      </c>
      <c r="H129" s="9" t="s">
        <v>834</v>
      </c>
      <c r="I129" s="9" t="s">
        <v>1070</v>
      </c>
      <c r="J129" s="9" t="s">
        <v>783</v>
      </c>
      <c r="K129" s="9" t="s">
        <v>1081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1088</v>
      </c>
      <c r="B130" s="10" t="s">
        <v>1089</v>
      </c>
      <c r="C130" s="9" t="s">
        <v>55</v>
      </c>
      <c r="D130" s="9" t="s">
        <v>52</v>
      </c>
      <c r="E130" s="11" t="n">
        <v>0</v>
      </c>
      <c r="F130" s="9"/>
      <c r="G130" s="9"/>
      <c r="H130" s="9" t="s">
        <v>818</v>
      </c>
      <c r="I130" s="9" t="s">
        <v>55</v>
      </c>
      <c r="J130" s="9" t="s">
        <v>783</v>
      </c>
      <c r="K130" s="9" t="s">
        <v>1090</v>
      </c>
      <c r="L130" s="10" t="s">
        <v>1091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1092</v>
      </c>
      <c r="B131" s="10" t="s">
        <v>1093</v>
      </c>
      <c r="C131" s="9" t="s">
        <v>55</v>
      </c>
      <c r="D131" s="10" t="s">
        <v>921</v>
      </c>
      <c r="E131" s="11" t="n">
        <v>-0.35</v>
      </c>
      <c r="F131" s="9"/>
      <c r="G131" s="9"/>
      <c r="H131" s="9" t="s">
        <v>782</v>
      </c>
      <c r="I131" s="9" t="s">
        <v>855</v>
      </c>
      <c r="J131" s="9" t="s">
        <v>783</v>
      </c>
      <c r="K131" s="9" t="s">
        <v>1094</v>
      </c>
      <c r="L131" s="10" t="s">
        <v>1095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1096</v>
      </c>
      <c r="B132" s="10" t="s">
        <v>1097</v>
      </c>
      <c r="C132" s="9" t="s">
        <v>55</v>
      </c>
      <c r="D132" s="10" t="s">
        <v>921</v>
      </c>
      <c r="E132" s="11" t="n">
        <v>-0.15</v>
      </c>
      <c r="F132" s="9"/>
      <c r="G132" s="9"/>
      <c r="H132" s="9" t="s">
        <v>782</v>
      </c>
      <c r="I132" s="9" t="s">
        <v>855</v>
      </c>
      <c r="J132" s="9" t="s">
        <v>783</v>
      </c>
      <c r="K132" s="9" t="s">
        <v>1098</v>
      </c>
      <c r="L132" s="10" t="s">
        <v>1095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1099</v>
      </c>
      <c r="B133" s="10" t="s">
        <v>1100</v>
      </c>
      <c r="C133" s="9" t="s">
        <v>55</v>
      </c>
      <c r="D133" s="10" t="s">
        <v>854</v>
      </c>
      <c r="E133" s="11" t="n">
        <v>0.25</v>
      </c>
      <c r="F133" s="9"/>
      <c r="G133" s="9"/>
      <c r="H133" s="9" t="s">
        <v>782</v>
      </c>
      <c r="I133" s="9" t="s">
        <v>855</v>
      </c>
      <c r="J133" s="9" t="s">
        <v>783</v>
      </c>
      <c r="K133" s="9" t="s">
        <v>1101</v>
      </c>
      <c r="L133" s="10" t="s">
        <v>1095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1102</v>
      </c>
      <c r="B134" s="10" t="s">
        <v>1103</v>
      </c>
      <c r="C134" s="9" t="s">
        <v>55</v>
      </c>
      <c r="D134" s="10" t="s">
        <v>854</v>
      </c>
      <c r="E134" s="11" t="n">
        <v>-0.45</v>
      </c>
      <c r="F134" s="9"/>
      <c r="G134" s="9"/>
      <c r="H134" s="9" t="s">
        <v>782</v>
      </c>
      <c r="I134" s="9" t="s">
        <v>855</v>
      </c>
      <c r="J134" s="9" t="s">
        <v>783</v>
      </c>
      <c r="K134" s="9" t="s">
        <v>1104</v>
      </c>
      <c r="L134" s="10" t="s">
        <v>1095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1105</v>
      </c>
      <c r="B135" s="10" t="s">
        <v>1106</v>
      </c>
      <c r="C135" s="9" t="s">
        <v>55</v>
      </c>
      <c r="D135" s="10" t="s">
        <v>854</v>
      </c>
      <c r="E135" s="11" t="n">
        <v>-0.6</v>
      </c>
      <c r="F135" s="9"/>
      <c r="G135" s="9"/>
      <c r="H135" s="9" t="s">
        <v>782</v>
      </c>
      <c r="I135" s="9" t="s">
        <v>855</v>
      </c>
      <c r="J135" s="9" t="s">
        <v>783</v>
      </c>
      <c r="K135" s="9" t="s">
        <v>1107</v>
      </c>
      <c r="L135" s="10" t="s">
        <v>1095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1108</v>
      </c>
      <c r="B136" s="10" t="s">
        <v>1109</v>
      </c>
      <c r="C136" s="9" t="s">
        <v>55</v>
      </c>
      <c r="D136" s="10" t="s">
        <v>854</v>
      </c>
      <c r="E136" s="11" t="n">
        <v>-0.6</v>
      </c>
      <c r="F136" s="9"/>
      <c r="G136" s="9"/>
      <c r="H136" s="9" t="s">
        <v>782</v>
      </c>
      <c r="I136" s="9" t="s">
        <v>855</v>
      </c>
      <c r="J136" s="9" t="s">
        <v>783</v>
      </c>
      <c r="K136" s="9" t="s">
        <v>1110</v>
      </c>
      <c r="L136" s="10" t="s">
        <v>1095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1111</v>
      </c>
      <c r="B137" s="10" t="s">
        <v>1112</v>
      </c>
      <c r="C137" s="9" t="s">
        <v>55</v>
      </c>
      <c r="D137" s="10" t="s">
        <v>921</v>
      </c>
      <c r="E137" s="11" t="n">
        <v>-0.7</v>
      </c>
      <c r="F137" s="9"/>
      <c r="G137" s="9"/>
      <c r="H137" s="9" t="s">
        <v>782</v>
      </c>
      <c r="I137" s="9" t="s">
        <v>855</v>
      </c>
      <c r="J137" s="9" t="s">
        <v>783</v>
      </c>
      <c r="K137" s="9" t="s">
        <v>1113</v>
      </c>
      <c r="L137" s="10" t="s">
        <v>1095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1114</v>
      </c>
      <c r="B138" s="10" t="s">
        <v>1115</v>
      </c>
      <c r="C138" s="9" t="s">
        <v>55</v>
      </c>
      <c r="D138" s="10" t="s">
        <v>921</v>
      </c>
      <c r="E138" s="11" t="n">
        <v>-0.3</v>
      </c>
      <c r="F138" s="9"/>
      <c r="G138" s="9"/>
      <c r="H138" s="9" t="s">
        <v>782</v>
      </c>
      <c r="I138" s="9" t="s">
        <v>855</v>
      </c>
      <c r="J138" s="9" t="s">
        <v>783</v>
      </c>
      <c r="K138" s="9" t="s">
        <v>1116</v>
      </c>
      <c r="L138" s="10" t="s">
        <v>1095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1117</v>
      </c>
      <c r="B139" s="10" t="s">
        <v>1118</v>
      </c>
      <c r="C139" s="9" t="s">
        <v>55</v>
      </c>
      <c r="D139" s="10" t="s">
        <v>854</v>
      </c>
      <c r="E139" s="11" t="n">
        <v>0.15</v>
      </c>
      <c r="F139" s="9"/>
      <c r="G139" s="9"/>
      <c r="H139" s="9" t="s">
        <v>782</v>
      </c>
      <c r="I139" s="9" t="s">
        <v>855</v>
      </c>
      <c r="J139" s="9" t="s">
        <v>783</v>
      </c>
      <c r="K139" s="9" t="s">
        <v>1119</v>
      </c>
      <c r="L139" s="10" t="s">
        <v>1095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1120</v>
      </c>
      <c r="B140" s="10" t="s">
        <v>1121</v>
      </c>
      <c r="C140" s="9" t="s">
        <v>55</v>
      </c>
      <c r="D140" s="10" t="s">
        <v>854</v>
      </c>
      <c r="E140" s="11" t="n">
        <v>-0.3</v>
      </c>
      <c r="F140" s="9"/>
      <c r="G140" s="9"/>
      <c r="H140" s="9" t="s">
        <v>782</v>
      </c>
      <c r="I140" s="9" t="s">
        <v>855</v>
      </c>
      <c r="J140" s="9" t="s">
        <v>783</v>
      </c>
      <c r="K140" s="9" t="s">
        <v>1122</v>
      </c>
      <c r="L140" s="10" t="s">
        <v>1095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1123</v>
      </c>
      <c r="B141" s="10" t="s">
        <v>1124</v>
      </c>
      <c r="C141" s="9" t="s">
        <v>55</v>
      </c>
      <c r="D141" s="10" t="s">
        <v>854</v>
      </c>
      <c r="E141" s="11" t="n">
        <v>-0.4</v>
      </c>
      <c r="F141" s="9"/>
      <c r="G141" s="9"/>
      <c r="H141" s="9" t="s">
        <v>782</v>
      </c>
      <c r="I141" s="9" t="s">
        <v>855</v>
      </c>
      <c r="J141" s="9" t="s">
        <v>783</v>
      </c>
      <c r="K141" s="9" t="s">
        <v>1125</v>
      </c>
      <c r="L141" s="10" t="s">
        <v>1095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1126</v>
      </c>
      <c r="B142" s="10" t="s">
        <v>1127</v>
      </c>
      <c r="C142" s="9" t="s">
        <v>55</v>
      </c>
      <c r="D142" s="10" t="s">
        <v>854</v>
      </c>
      <c r="E142" s="11" t="n">
        <v>-0.4</v>
      </c>
      <c r="F142" s="9"/>
      <c r="G142" s="9"/>
      <c r="H142" s="9" t="s">
        <v>782</v>
      </c>
      <c r="I142" s="9" t="s">
        <v>855</v>
      </c>
      <c r="J142" s="9" t="s">
        <v>783</v>
      </c>
      <c r="K142" s="9" t="s">
        <v>1128</v>
      </c>
      <c r="L142" s="10" t="s">
        <v>1095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1129</v>
      </c>
      <c r="B143" s="10" t="s">
        <v>1130</v>
      </c>
      <c r="C143" s="9" t="s">
        <v>55</v>
      </c>
      <c r="D143" s="10" t="s">
        <v>921</v>
      </c>
      <c r="E143" s="11" t="n">
        <v>-1.05</v>
      </c>
      <c r="F143" s="9"/>
      <c r="G143" s="9"/>
      <c r="H143" s="9" t="s">
        <v>782</v>
      </c>
      <c r="I143" s="9" t="s">
        <v>855</v>
      </c>
      <c r="J143" s="9" t="s">
        <v>783</v>
      </c>
      <c r="K143" s="9" t="s">
        <v>1131</v>
      </c>
      <c r="L143" s="10" t="s">
        <v>1095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1132</v>
      </c>
      <c r="B144" s="10" t="s">
        <v>1133</v>
      </c>
      <c r="C144" s="9" t="s">
        <v>55</v>
      </c>
      <c r="D144" s="10" t="s">
        <v>921</v>
      </c>
      <c r="E144" s="11" t="n">
        <v>-0.45</v>
      </c>
      <c r="F144" s="9"/>
      <c r="G144" s="9"/>
      <c r="H144" s="9" t="s">
        <v>782</v>
      </c>
      <c r="I144" s="9" t="s">
        <v>855</v>
      </c>
      <c r="J144" s="9" t="s">
        <v>783</v>
      </c>
      <c r="K144" s="9" t="s">
        <v>1134</v>
      </c>
      <c r="L144" s="10" t="s">
        <v>1095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1135</v>
      </c>
      <c r="B145" s="10" t="s">
        <v>1136</v>
      </c>
      <c r="C145" s="9" t="s">
        <v>55</v>
      </c>
      <c r="D145" s="10" t="s">
        <v>854</v>
      </c>
      <c r="E145" s="11" t="n">
        <v>0.1</v>
      </c>
      <c r="F145" s="9"/>
      <c r="G145" s="9"/>
      <c r="H145" s="9" t="s">
        <v>782</v>
      </c>
      <c r="I145" s="9" t="s">
        <v>855</v>
      </c>
      <c r="J145" s="9" t="s">
        <v>783</v>
      </c>
      <c r="K145" s="9" t="s">
        <v>1137</v>
      </c>
      <c r="L145" s="10" t="s">
        <v>1095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1138</v>
      </c>
      <c r="B146" s="10" t="s">
        <v>1139</v>
      </c>
      <c r="C146" s="9" t="s">
        <v>55</v>
      </c>
      <c r="D146" s="10" t="s">
        <v>854</v>
      </c>
      <c r="E146" s="11" t="n">
        <v>-0.3</v>
      </c>
      <c r="F146" s="9"/>
      <c r="G146" s="9"/>
      <c r="H146" s="9" t="s">
        <v>782</v>
      </c>
      <c r="I146" s="9" t="s">
        <v>855</v>
      </c>
      <c r="J146" s="9" t="s">
        <v>783</v>
      </c>
      <c r="K146" s="9" t="s">
        <v>1140</v>
      </c>
      <c r="L146" s="10" t="s">
        <v>1095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1141</v>
      </c>
      <c r="B147" s="10" t="s">
        <v>1142</v>
      </c>
      <c r="C147" s="9" t="s">
        <v>55</v>
      </c>
      <c r="D147" s="10" t="s">
        <v>854</v>
      </c>
      <c r="E147" s="11" t="n">
        <v>-0.4</v>
      </c>
      <c r="F147" s="9"/>
      <c r="G147" s="9"/>
      <c r="H147" s="9" t="s">
        <v>782</v>
      </c>
      <c r="I147" s="9" t="s">
        <v>855</v>
      </c>
      <c r="J147" s="9" t="s">
        <v>783</v>
      </c>
      <c r="K147" s="9" t="s">
        <v>1143</v>
      </c>
      <c r="L147" s="10" t="s">
        <v>1095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1144</v>
      </c>
      <c r="B148" s="10" t="s">
        <v>1145</v>
      </c>
      <c r="C148" s="9" t="s">
        <v>55</v>
      </c>
      <c r="D148" s="10" t="s">
        <v>854</v>
      </c>
      <c r="E148" s="11" t="n">
        <v>-0.4</v>
      </c>
      <c r="F148" s="9"/>
      <c r="G148" s="9"/>
      <c r="H148" s="9" t="s">
        <v>782</v>
      </c>
      <c r="I148" s="9" t="s">
        <v>855</v>
      </c>
      <c r="J148" s="9" t="s">
        <v>783</v>
      </c>
      <c r="K148" s="9" t="s">
        <v>1146</v>
      </c>
      <c r="L148" s="10" t="s">
        <v>1095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1147</v>
      </c>
      <c r="B149" s="10" t="s">
        <v>1148</v>
      </c>
      <c r="C149" s="9" t="s">
        <v>1149</v>
      </c>
      <c r="D149" s="10" t="s">
        <v>104</v>
      </c>
      <c r="E149" s="11" t="n">
        <v>0.9</v>
      </c>
      <c r="F149" s="9"/>
      <c r="G149" s="9"/>
      <c r="H149" s="9" t="s">
        <v>818</v>
      </c>
      <c r="I149" s="9" t="s">
        <v>55</v>
      </c>
      <c r="J149" s="10" t="s">
        <v>1150</v>
      </c>
      <c r="K149" s="9" t="s">
        <v>1151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1152</v>
      </c>
      <c r="B150" s="10" t="s">
        <v>1148</v>
      </c>
      <c r="C150" s="9" t="s">
        <v>1153</v>
      </c>
      <c r="D150" s="10" t="s">
        <v>104</v>
      </c>
      <c r="E150" s="11" t="n">
        <v>0.1</v>
      </c>
      <c r="F150" s="9"/>
      <c r="G150" s="9"/>
      <c r="H150" s="9" t="s">
        <v>818</v>
      </c>
      <c r="I150" s="9" t="s">
        <v>55</v>
      </c>
      <c r="J150" s="10" t="s">
        <v>1150</v>
      </c>
      <c r="K150" s="9" t="s">
        <v>1151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1154</v>
      </c>
      <c r="B151" s="10" t="s">
        <v>1148</v>
      </c>
      <c r="C151" s="9" t="s">
        <v>1155</v>
      </c>
      <c r="D151" s="10" t="s">
        <v>104</v>
      </c>
      <c r="E151" s="11" t="n">
        <v>0</v>
      </c>
      <c r="F151" s="9"/>
      <c r="G151" s="9"/>
      <c r="H151" s="9" t="s">
        <v>818</v>
      </c>
      <c r="I151" s="9" t="s">
        <v>55</v>
      </c>
      <c r="J151" s="10" t="s">
        <v>1150</v>
      </c>
      <c r="K151" s="9" t="s">
        <v>1151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1156</v>
      </c>
      <c r="B152" s="10" t="s">
        <v>1148</v>
      </c>
      <c r="C152" s="10" t="s">
        <v>1157</v>
      </c>
      <c r="D152" s="10" t="s">
        <v>104</v>
      </c>
      <c r="E152" s="11" t="n">
        <v>0.25</v>
      </c>
      <c r="F152" s="9"/>
      <c r="G152" s="9"/>
      <c r="H152" s="9" t="s">
        <v>818</v>
      </c>
      <c r="I152" s="9" t="s">
        <v>55</v>
      </c>
      <c r="J152" s="10" t="s">
        <v>1150</v>
      </c>
      <c r="K152" s="9" t="s">
        <v>1151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1158</v>
      </c>
      <c r="B153" s="10" t="s">
        <v>1148</v>
      </c>
      <c r="C153" s="10" t="s">
        <v>1159</v>
      </c>
      <c r="D153" s="10" t="s">
        <v>104</v>
      </c>
      <c r="E153" s="11" t="n">
        <v>0.4</v>
      </c>
      <c r="F153" s="9"/>
      <c r="G153" s="9"/>
      <c r="H153" s="9" t="s">
        <v>818</v>
      </c>
      <c r="I153" s="9" t="s">
        <v>55</v>
      </c>
      <c r="J153" s="10" t="s">
        <v>1150</v>
      </c>
      <c r="K153" s="9" t="s">
        <v>1151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1160</v>
      </c>
      <c r="B154" s="10" t="s">
        <v>1161</v>
      </c>
      <c r="C154" s="9" t="s">
        <v>1149</v>
      </c>
      <c r="D154" s="10" t="s">
        <v>104</v>
      </c>
      <c r="E154" s="11" t="n">
        <v>0.85</v>
      </c>
      <c r="F154" s="9"/>
      <c r="G154" s="9"/>
      <c r="H154" s="9" t="s">
        <v>818</v>
      </c>
      <c r="I154" s="9" t="s">
        <v>55</v>
      </c>
      <c r="J154" s="10" t="s">
        <v>1150</v>
      </c>
      <c r="K154" s="9" t="s">
        <v>1162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1163</v>
      </c>
      <c r="B155" s="10" t="s">
        <v>1161</v>
      </c>
      <c r="C155" s="9" t="s">
        <v>1153</v>
      </c>
      <c r="D155" s="10" t="s">
        <v>104</v>
      </c>
      <c r="E155" s="11" t="n">
        <v>0.15</v>
      </c>
      <c r="F155" s="9"/>
      <c r="G155" s="9"/>
      <c r="H155" s="9" t="s">
        <v>818</v>
      </c>
      <c r="I155" s="9" t="s">
        <v>55</v>
      </c>
      <c r="J155" s="10" t="s">
        <v>1150</v>
      </c>
      <c r="K155" s="9" t="s">
        <v>1162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1164</v>
      </c>
      <c r="B156" s="10" t="s">
        <v>1161</v>
      </c>
      <c r="C156" s="9" t="s">
        <v>1155</v>
      </c>
      <c r="D156" s="10" t="s">
        <v>104</v>
      </c>
      <c r="E156" s="11" t="n">
        <v>0</v>
      </c>
      <c r="F156" s="9"/>
      <c r="G156" s="9"/>
      <c r="H156" s="9" t="s">
        <v>818</v>
      </c>
      <c r="I156" s="9" t="s">
        <v>55</v>
      </c>
      <c r="J156" s="10" t="s">
        <v>1150</v>
      </c>
      <c r="K156" s="9" t="s">
        <v>1162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1165</v>
      </c>
      <c r="B157" s="10" t="s">
        <v>1161</v>
      </c>
      <c r="C157" s="10" t="s">
        <v>1157</v>
      </c>
      <c r="D157" s="10" t="s">
        <v>104</v>
      </c>
      <c r="E157" s="11" t="n">
        <v>0.25</v>
      </c>
      <c r="F157" s="9"/>
      <c r="G157" s="9"/>
      <c r="H157" s="9" t="s">
        <v>818</v>
      </c>
      <c r="I157" s="9" t="s">
        <v>55</v>
      </c>
      <c r="J157" s="10" t="s">
        <v>1150</v>
      </c>
      <c r="K157" s="9" t="s">
        <v>1162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1166</v>
      </c>
      <c r="B158" s="10" t="s">
        <v>1161</v>
      </c>
      <c r="C158" s="10" t="s">
        <v>1159</v>
      </c>
      <c r="D158" s="10" t="s">
        <v>104</v>
      </c>
      <c r="E158" s="11" t="n">
        <v>0.4</v>
      </c>
      <c r="F158" s="9"/>
      <c r="G158" s="9"/>
      <c r="H158" s="9" t="s">
        <v>818</v>
      </c>
      <c r="I158" s="9" t="s">
        <v>55</v>
      </c>
      <c r="J158" s="10" t="s">
        <v>1150</v>
      </c>
      <c r="K158" s="9" t="s">
        <v>1162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1167</v>
      </c>
      <c r="B159" s="10" t="s">
        <v>1168</v>
      </c>
      <c r="C159" s="9" t="s">
        <v>1149</v>
      </c>
      <c r="D159" s="10" t="s">
        <v>104</v>
      </c>
      <c r="E159" s="11" t="n">
        <v>0.35</v>
      </c>
      <c r="F159" s="9"/>
      <c r="G159" s="9"/>
      <c r="H159" s="9" t="s">
        <v>818</v>
      </c>
      <c r="I159" s="9" t="s">
        <v>55</v>
      </c>
      <c r="J159" s="10" t="s">
        <v>1150</v>
      </c>
      <c r="K159" s="9" t="s">
        <v>1169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1170</v>
      </c>
      <c r="B160" s="10" t="s">
        <v>1168</v>
      </c>
      <c r="C160" s="9" t="s">
        <v>1153</v>
      </c>
      <c r="D160" s="10" t="s">
        <v>104</v>
      </c>
      <c r="E160" s="11" t="n">
        <v>0.6</v>
      </c>
      <c r="F160" s="9"/>
      <c r="G160" s="9"/>
      <c r="H160" s="9" t="s">
        <v>818</v>
      </c>
      <c r="I160" s="9" t="s">
        <v>55</v>
      </c>
      <c r="J160" s="10" t="s">
        <v>1150</v>
      </c>
      <c r="K160" s="9" t="s">
        <v>1169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1171</v>
      </c>
      <c r="B161" s="10" t="s">
        <v>1168</v>
      </c>
      <c r="C161" s="9" t="s">
        <v>1155</v>
      </c>
      <c r="D161" s="10" t="s">
        <v>104</v>
      </c>
      <c r="E161" s="11" t="n">
        <v>0.05</v>
      </c>
      <c r="F161" s="9"/>
      <c r="G161" s="9"/>
      <c r="H161" s="9" t="s">
        <v>818</v>
      </c>
      <c r="I161" s="9" t="s">
        <v>55</v>
      </c>
      <c r="J161" s="10" t="s">
        <v>1150</v>
      </c>
      <c r="K161" s="9" t="s">
        <v>1169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1172</v>
      </c>
      <c r="B162" s="10" t="s">
        <v>1168</v>
      </c>
      <c r="C162" s="10" t="s">
        <v>1157</v>
      </c>
      <c r="D162" s="10" t="s">
        <v>104</v>
      </c>
      <c r="E162" s="11" t="n">
        <v>0.4</v>
      </c>
      <c r="F162" s="9"/>
      <c r="G162" s="9"/>
      <c r="H162" s="9" t="s">
        <v>818</v>
      </c>
      <c r="I162" s="9" t="s">
        <v>55</v>
      </c>
      <c r="J162" s="10" t="s">
        <v>1150</v>
      </c>
      <c r="K162" s="9" t="s">
        <v>1169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1173</v>
      </c>
      <c r="B163" s="10" t="s">
        <v>1168</v>
      </c>
      <c r="C163" s="10" t="s">
        <v>1159</v>
      </c>
      <c r="D163" s="10" t="s">
        <v>104</v>
      </c>
      <c r="E163" s="11" t="n">
        <v>0.5</v>
      </c>
      <c r="F163" s="9"/>
      <c r="G163" s="9"/>
      <c r="H163" s="9" t="s">
        <v>818</v>
      </c>
      <c r="I163" s="9" t="s">
        <v>55</v>
      </c>
      <c r="J163" s="10" t="s">
        <v>1150</v>
      </c>
      <c r="K163" s="9" t="s">
        <v>1169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1174</v>
      </c>
      <c r="B164" s="10" t="s">
        <v>1175</v>
      </c>
      <c r="C164" s="9" t="s">
        <v>1149</v>
      </c>
      <c r="D164" s="10" t="s">
        <v>104</v>
      </c>
      <c r="E164" s="11" t="n">
        <v>0.1</v>
      </c>
      <c r="F164" s="9"/>
      <c r="G164" s="9"/>
      <c r="H164" s="9" t="s">
        <v>818</v>
      </c>
      <c r="I164" s="9" t="s">
        <v>55</v>
      </c>
      <c r="J164" s="10" t="s">
        <v>1150</v>
      </c>
      <c r="K164" s="9" t="s">
        <v>1176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1177</v>
      </c>
      <c r="B165" s="10" t="s">
        <v>1175</v>
      </c>
      <c r="C165" s="9" t="s">
        <v>1153</v>
      </c>
      <c r="D165" s="10" t="s">
        <v>104</v>
      </c>
      <c r="E165" s="11" t="n">
        <v>0.5</v>
      </c>
      <c r="F165" s="9"/>
      <c r="G165" s="9"/>
      <c r="H165" s="9" t="s">
        <v>818</v>
      </c>
      <c r="I165" s="9" t="s">
        <v>55</v>
      </c>
      <c r="J165" s="10" t="s">
        <v>1150</v>
      </c>
      <c r="K165" s="9" t="s">
        <v>1176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1178</v>
      </c>
      <c r="B166" s="10" t="s">
        <v>1175</v>
      </c>
      <c r="C166" s="9" t="s">
        <v>1155</v>
      </c>
      <c r="D166" s="10" t="s">
        <v>104</v>
      </c>
      <c r="E166" s="11" t="n">
        <v>0.4</v>
      </c>
      <c r="F166" s="9"/>
      <c r="G166" s="9"/>
      <c r="H166" s="9" t="s">
        <v>818</v>
      </c>
      <c r="I166" s="9" t="s">
        <v>55</v>
      </c>
      <c r="J166" s="10" t="s">
        <v>1150</v>
      </c>
      <c r="K166" s="9" t="s">
        <v>1176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1179</v>
      </c>
      <c r="B167" s="10" t="s">
        <v>1175</v>
      </c>
      <c r="C167" s="10" t="s">
        <v>1157</v>
      </c>
      <c r="D167" s="10" t="s">
        <v>104</v>
      </c>
      <c r="E167" s="11" t="n">
        <v>0.5</v>
      </c>
      <c r="F167" s="9"/>
      <c r="G167" s="9"/>
      <c r="H167" s="9" t="s">
        <v>818</v>
      </c>
      <c r="I167" s="9" t="s">
        <v>55</v>
      </c>
      <c r="J167" s="10" t="s">
        <v>1150</v>
      </c>
      <c r="K167" s="9" t="s">
        <v>1176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1180</v>
      </c>
      <c r="B168" s="10" t="s">
        <v>1175</v>
      </c>
      <c r="C168" s="10" t="s">
        <v>1159</v>
      </c>
      <c r="D168" s="10" t="s">
        <v>104</v>
      </c>
      <c r="E168" s="11" t="n">
        <v>0.6</v>
      </c>
      <c r="F168" s="9"/>
      <c r="G168" s="9"/>
      <c r="H168" s="9" t="s">
        <v>818</v>
      </c>
      <c r="I168" s="9" t="s">
        <v>55</v>
      </c>
      <c r="J168" s="10" t="s">
        <v>1150</v>
      </c>
      <c r="K168" s="9" t="s">
        <v>1176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1181</v>
      </c>
      <c r="B169" s="10" t="s">
        <v>1182</v>
      </c>
      <c r="C169" s="9" t="s">
        <v>1149</v>
      </c>
      <c r="D169" s="10" t="s">
        <v>104</v>
      </c>
      <c r="E169" s="11" t="n">
        <v>0.3</v>
      </c>
      <c r="F169" s="9"/>
      <c r="G169" s="9"/>
      <c r="H169" s="9" t="s">
        <v>818</v>
      </c>
      <c r="I169" s="9" t="s">
        <v>55</v>
      </c>
      <c r="J169" s="10" t="s">
        <v>1150</v>
      </c>
      <c r="K169" s="9" t="s">
        <v>1183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1184</v>
      </c>
      <c r="B170" s="10" t="s">
        <v>1182</v>
      </c>
      <c r="C170" s="9" t="s">
        <v>1153</v>
      </c>
      <c r="D170" s="10" t="s">
        <v>104</v>
      </c>
      <c r="E170" s="11" t="n">
        <v>0.65</v>
      </c>
      <c r="F170" s="9"/>
      <c r="G170" s="9"/>
      <c r="H170" s="9" t="s">
        <v>818</v>
      </c>
      <c r="I170" s="9" t="s">
        <v>55</v>
      </c>
      <c r="J170" s="10" t="s">
        <v>1150</v>
      </c>
      <c r="K170" s="9" t="s">
        <v>1183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1185</v>
      </c>
      <c r="B171" s="10" t="s">
        <v>1182</v>
      </c>
      <c r="C171" s="9" t="s">
        <v>1155</v>
      </c>
      <c r="D171" s="10" t="s">
        <v>104</v>
      </c>
      <c r="E171" s="11" t="n">
        <v>0.05</v>
      </c>
      <c r="F171" s="9"/>
      <c r="G171" s="9"/>
      <c r="H171" s="9" t="s">
        <v>818</v>
      </c>
      <c r="I171" s="9" t="s">
        <v>55</v>
      </c>
      <c r="J171" s="10" t="s">
        <v>1150</v>
      </c>
      <c r="K171" s="9" t="s">
        <v>1183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1186</v>
      </c>
      <c r="B172" s="10" t="s">
        <v>1182</v>
      </c>
      <c r="C172" s="10" t="s">
        <v>1157</v>
      </c>
      <c r="D172" s="10" t="s">
        <v>104</v>
      </c>
      <c r="E172" s="11" t="n">
        <v>0.35</v>
      </c>
      <c r="F172" s="9"/>
      <c r="G172" s="9"/>
      <c r="H172" s="9" t="s">
        <v>818</v>
      </c>
      <c r="I172" s="9" t="s">
        <v>55</v>
      </c>
      <c r="J172" s="10" t="s">
        <v>1150</v>
      </c>
      <c r="K172" s="9" t="s">
        <v>1183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1187</v>
      </c>
      <c r="B173" s="10" t="s">
        <v>1182</v>
      </c>
      <c r="C173" s="10" t="s">
        <v>1159</v>
      </c>
      <c r="D173" s="10" t="s">
        <v>104</v>
      </c>
      <c r="E173" s="11" t="n">
        <v>0.55</v>
      </c>
      <c r="F173" s="9"/>
      <c r="G173" s="9"/>
      <c r="H173" s="9" t="s">
        <v>818</v>
      </c>
      <c r="I173" s="9" t="s">
        <v>55</v>
      </c>
      <c r="J173" s="10" t="s">
        <v>1150</v>
      </c>
      <c r="K173" s="9" t="s">
        <v>1183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1188</v>
      </c>
      <c r="B174" s="9" t="s">
        <v>1189</v>
      </c>
      <c r="C174" s="9" t="s">
        <v>55</v>
      </c>
      <c r="D174" s="10" t="s">
        <v>104</v>
      </c>
      <c r="E174" s="11" t="n">
        <v>0.5</v>
      </c>
      <c r="F174" s="11" t="n">
        <v>0.3</v>
      </c>
      <c r="G174" s="11" t="n">
        <v>0.65</v>
      </c>
      <c r="H174" s="9" t="s">
        <v>818</v>
      </c>
      <c r="I174" s="9" t="s">
        <v>1190</v>
      </c>
      <c r="J174" s="9" t="s">
        <v>783</v>
      </c>
      <c r="K174" s="9" t="s">
        <v>1191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1192</v>
      </c>
      <c r="B175" s="10" t="s">
        <v>1193</v>
      </c>
      <c r="C175" s="9" t="s">
        <v>55</v>
      </c>
      <c r="D175" s="10" t="s">
        <v>1194</v>
      </c>
      <c r="E175" s="9" t="s">
        <v>1195</v>
      </c>
      <c r="F175" s="9"/>
      <c r="G175" s="9"/>
      <c r="H175" s="9" t="s">
        <v>782</v>
      </c>
      <c r="I175" s="9" t="s">
        <v>1196</v>
      </c>
      <c r="J175" s="9" t="s">
        <v>783</v>
      </c>
      <c r="K175" s="9" t="s">
        <v>1197</v>
      </c>
      <c r="L175" s="10" t="s">
        <v>1198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1199</v>
      </c>
      <c r="B176" s="10" t="s">
        <v>1200</v>
      </c>
      <c r="C176" s="9" t="s">
        <v>55</v>
      </c>
      <c r="D176" s="10" t="s">
        <v>136</v>
      </c>
      <c r="E176" s="11" t="n">
        <v>2025</v>
      </c>
      <c r="F176" s="11" t="n">
        <v>2025</v>
      </c>
      <c r="G176" s="11" t="n">
        <v>2026</v>
      </c>
      <c r="H176" s="9" t="s">
        <v>834</v>
      </c>
      <c r="I176" s="9" t="s">
        <v>1201</v>
      </c>
      <c r="J176" s="9" t="s">
        <v>783</v>
      </c>
      <c r="K176" s="9" t="s">
        <v>340</v>
      </c>
      <c r="L176" s="9" t="s">
        <v>1202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1203</v>
      </c>
      <c r="B177" s="10" t="s">
        <v>1204</v>
      </c>
      <c r="C177" s="9" t="s">
        <v>55</v>
      </c>
      <c r="D177" s="10" t="s">
        <v>136</v>
      </c>
      <c r="E177" s="11" t="n">
        <v>2030</v>
      </c>
      <c r="F177" s="11" t="n">
        <v>2029</v>
      </c>
      <c r="G177" s="11" t="n">
        <v>2032</v>
      </c>
      <c r="H177" s="9" t="s">
        <v>818</v>
      </c>
      <c r="I177" s="9" t="s">
        <v>1205</v>
      </c>
      <c r="J177" s="9" t="s">
        <v>783</v>
      </c>
      <c r="K177" s="9" t="s">
        <v>340</v>
      </c>
      <c r="L177" s="9" t="s">
        <v>1206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1207</v>
      </c>
      <c r="B178" s="10" t="s">
        <v>1208</v>
      </c>
      <c r="C178" s="9" t="s">
        <v>55</v>
      </c>
      <c r="D178" s="9" t="s">
        <v>52</v>
      </c>
      <c r="E178" s="11" t="n">
        <v>20</v>
      </c>
      <c r="F178" s="11" t="n">
        <v>20</v>
      </c>
      <c r="G178" s="11" t="n">
        <v>25</v>
      </c>
      <c r="H178" s="9" t="s">
        <v>818</v>
      </c>
      <c r="I178" s="9" t="s">
        <v>1205</v>
      </c>
      <c r="J178" s="9" t="s">
        <v>783</v>
      </c>
      <c r="K178" s="9" t="s">
        <v>409</v>
      </c>
      <c r="L178" s="9" t="s">
        <v>1209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1210</v>
      </c>
      <c r="B179" s="10" t="s">
        <v>1211</v>
      </c>
      <c r="C179" s="9" t="s">
        <v>55</v>
      </c>
      <c r="D179" s="10" t="s">
        <v>136</v>
      </c>
      <c r="E179" s="11" t="n">
        <v>2031</v>
      </c>
      <c r="F179" s="11" t="n">
        <v>2029</v>
      </c>
      <c r="G179" s="11" t="n">
        <v>2032</v>
      </c>
      <c r="H179" s="9" t="s">
        <v>818</v>
      </c>
      <c r="I179" s="9" t="s">
        <v>1205</v>
      </c>
      <c r="J179" s="9" t="s">
        <v>783</v>
      </c>
      <c r="K179" s="9" t="s">
        <v>409</v>
      </c>
      <c r="L179" s="9" t="s">
        <v>1212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1213</v>
      </c>
      <c r="B180" s="10" t="s">
        <v>1214</v>
      </c>
      <c r="C180" s="9" t="s">
        <v>395</v>
      </c>
      <c r="D180" s="9" t="s">
        <v>52</v>
      </c>
      <c r="E180" s="11" t="n">
        <v>0</v>
      </c>
      <c r="F180" s="9"/>
      <c r="G180" s="9"/>
      <c r="H180" s="9" t="s">
        <v>818</v>
      </c>
      <c r="I180" s="9" t="s">
        <v>55</v>
      </c>
      <c r="J180" s="9" t="s">
        <v>783</v>
      </c>
      <c r="K180" s="9" t="s">
        <v>1215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1216</v>
      </c>
      <c r="B181" s="10" t="s">
        <v>1214</v>
      </c>
      <c r="C181" s="9" t="s">
        <v>407</v>
      </c>
      <c r="D181" s="9" t="s">
        <v>52</v>
      </c>
      <c r="E181" s="11" t="n">
        <v>20</v>
      </c>
      <c r="F181" s="9"/>
      <c r="G181" s="9"/>
      <c r="H181" s="9" t="s">
        <v>818</v>
      </c>
      <c r="I181" s="9" t="s">
        <v>55</v>
      </c>
      <c r="J181" s="9" t="s">
        <v>783</v>
      </c>
      <c r="K181" s="9" t="s">
        <v>1215</v>
      </c>
      <c r="L181" s="10" t="s">
        <v>1217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1218</v>
      </c>
      <c r="B182" s="10" t="s">
        <v>1214</v>
      </c>
      <c r="C182" s="9" t="s">
        <v>895</v>
      </c>
      <c r="D182" s="9" t="s">
        <v>52</v>
      </c>
      <c r="E182" s="11" t="n">
        <v>30</v>
      </c>
      <c r="F182" s="9"/>
      <c r="G182" s="9"/>
      <c r="H182" s="9" t="s">
        <v>818</v>
      </c>
      <c r="I182" s="9" t="s">
        <v>55</v>
      </c>
      <c r="J182" s="9" t="s">
        <v>783</v>
      </c>
      <c r="K182" s="9" t="s">
        <v>1215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1219</v>
      </c>
      <c r="B183" s="10" t="s">
        <v>1214</v>
      </c>
      <c r="C183" s="9" t="s">
        <v>897</v>
      </c>
      <c r="D183" s="9" t="s">
        <v>52</v>
      </c>
      <c r="E183" s="11" t="n">
        <v>45</v>
      </c>
      <c r="F183" s="9"/>
      <c r="G183" s="9"/>
      <c r="H183" s="9" t="s">
        <v>818</v>
      </c>
      <c r="I183" s="9" t="s">
        <v>55</v>
      </c>
      <c r="J183" s="9" t="s">
        <v>783</v>
      </c>
      <c r="K183" s="9" t="s">
        <v>1215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1220</v>
      </c>
      <c r="B184" s="10" t="s">
        <v>1214</v>
      </c>
      <c r="C184" s="9" t="s">
        <v>899</v>
      </c>
      <c r="D184" s="9" t="s">
        <v>52</v>
      </c>
      <c r="E184" s="11" t="n">
        <v>60</v>
      </c>
      <c r="F184" s="9"/>
      <c r="G184" s="9"/>
      <c r="H184" s="9" t="s">
        <v>818</v>
      </c>
      <c r="I184" s="9" t="s">
        <v>55</v>
      </c>
      <c r="J184" s="9" t="s">
        <v>783</v>
      </c>
      <c r="K184" s="9" t="s">
        <v>1215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1221</v>
      </c>
      <c r="B185" s="10" t="s">
        <v>1214</v>
      </c>
      <c r="C185" s="9" t="s">
        <v>901</v>
      </c>
      <c r="D185" s="9" t="s">
        <v>52</v>
      </c>
      <c r="E185" s="11" t="n">
        <v>70</v>
      </c>
      <c r="F185" s="9"/>
      <c r="G185" s="9"/>
      <c r="H185" s="9" t="s">
        <v>818</v>
      </c>
      <c r="I185" s="9" t="s">
        <v>55</v>
      </c>
      <c r="J185" s="9" t="s">
        <v>783</v>
      </c>
      <c r="K185" s="9" t="s">
        <v>1215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1222</v>
      </c>
      <c r="B186" s="10" t="s">
        <v>1223</v>
      </c>
      <c r="C186" s="9" t="s">
        <v>55</v>
      </c>
      <c r="D186" s="10" t="s">
        <v>544</v>
      </c>
      <c r="E186" s="11" t="n">
        <v>0.6</v>
      </c>
      <c r="F186" s="9"/>
      <c r="G186" s="9"/>
      <c r="H186" s="9" t="s">
        <v>818</v>
      </c>
      <c r="I186" s="9" t="s">
        <v>55</v>
      </c>
      <c r="J186" s="9" t="s">
        <v>783</v>
      </c>
      <c r="K186" s="9" t="s">
        <v>1215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1224</v>
      </c>
      <c r="B187" s="10" t="s">
        <v>1225</v>
      </c>
      <c r="C187" s="9" t="s">
        <v>55</v>
      </c>
      <c r="D187" s="10" t="s">
        <v>544</v>
      </c>
      <c r="E187" s="11" t="n">
        <v>1.5</v>
      </c>
      <c r="F187" s="9"/>
      <c r="G187" s="9"/>
      <c r="H187" s="9" t="s">
        <v>818</v>
      </c>
      <c r="I187" s="9" t="s">
        <v>55</v>
      </c>
      <c r="J187" s="9" t="s">
        <v>783</v>
      </c>
      <c r="K187" s="9" t="s">
        <v>1215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1226</v>
      </c>
      <c r="B188" s="10" t="s">
        <v>1227</v>
      </c>
      <c r="C188" s="9" t="s">
        <v>55</v>
      </c>
      <c r="D188" s="10" t="s">
        <v>104</v>
      </c>
      <c r="E188" s="11" t="n">
        <v>0</v>
      </c>
      <c r="F188" s="11" t="n">
        <v>0</v>
      </c>
      <c r="G188" s="11" t="n">
        <v>0.3</v>
      </c>
      <c r="H188" s="9" t="s">
        <v>818</v>
      </c>
      <c r="I188" s="9" t="s">
        <v>1228</v>
      </c>
      <c r="J188" s="9" t="s">
        <v>783</v>
      </c>
      <c r="K188" s="9" t="s">
        <v>1229</v>
      </c>
      <c r="L188" s="10" t="s">
        <v>1230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1231</v>
      </c>
      <c r="B189" s="10" t="s">
        <v>1232</v>
      </c>
      <c r="C189" s="9" t="s">
        <v>407</v>
      </c>
      <c r="D189" s="10" t="s">
        <v>104</v>
      </c>
      <c r="E189" s="11" t="n">
        <v>0.33</v>
      </c>
      <c r="F189" s="9"/>
      <c r="G189" s="9"/>
      <c r="H189" s="9" t="s">
        <v>818</v>
      </c>
      <c r="I189" s="9" t="s">
        <v>1233</v>
      </c>
      <c r="J189" s="9" t="s">
        <v>1234</v>
      </c>
      <c r="K189" s="9" t="s">
        <v>1235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1236</v>
      </c>
      <c r="B190" s="10" t="s">
        <v>1232</v>
      </c>
      <c r="C190" s="9" t="s">
        <v>895</v>
      </c>
      <c r="D190" s="10" t="s">
        <v>104</v>
      </c>
      <c r="E190" s="11" t="n">
        <v>0.265</v>
      </c>
      <c r="F190" s="9"/>
      <c r="G190" s="9"/>
      <c r="H190" s="9" t="s">
        <v>818</v>
      </c>
      <c r="I190" s="9" t="s">
        <v>1233</v>
      </c>
      <c r="J190" s="9" t="s">
        <v>1234</v>
      </c>
      <c r="K190" s="9" t="s">
        <v>1235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1237</v>
      </c>
      <c r="B191" s="10" t="s">
        <v>1232</v>
      </c>
      <c r="C191" s="9" t="s">
        <v>897</v>
      </c>
      <c r="D191" s="10" t="s">
        <v>104</v>
      </c>
      <c r="E191" s="11" t="n">
        <v>0.22</v>
      </c>
      <c r="F191" s="9"/>
      <c r="G191" s="9"/>
      <c r="H191" s="9" t="s">
        <v>818</v>
      </c>
      <c r="I191" s="9" t="s">
        <v>1233</v>
      </c>
      <c r="J191" s="9" t="s">
        <v>1234</v>
      </c>
      <c r="K191" s="9" t="s">
        <v>1235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1238</v>
      </c>
      <c r="B192" s="10" t="s">
        <v>1232</v>
      </c>
      <c r="C192" s="9" t="s">
        <v>899</v>
      </c>
      <c r="D192" s="10" t="s">
        <v>104</v>
      </c>
      <c r="E192" s="11" t="n">
        <v>0.18</v>
      </c>
      <c r="F192" s="9"/>
      <c r="G192" s="9"/>
      <c r="H192" s="9" t="s">
        <v>818</v>
      </c>
      <c r="I192" s="9" t="s">
        <v>1233</v>
      </c>
      <c r="J192" s="9" t="s">
        <v>1234</v>
      </c>
      <c r="K192" s="9" t="s">
        <v>1235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1239</v>
      </c>
      <c r="B193" s="10" t="s">
        <v>1232</v>
      </c>
      <c r="C193" s="9" t="s">
        <v>901</v>
      </c>
      <c r="D193" s="10" t="s">
        <v>104</v>
      </c>
      <c r="E193" s="11" t="n">
        <v>0.14</v>
      </c>
      <c r="F193" s="9"/>
      <c r="G193" s="9"/>
      <c r="H193" s="9" t="s">
        <v>818</v>
      </c>
      <c r="I193" s="9" t="s">
        <v>1233</v>
      </c>
      <c r="J193" s="9" t="s">
        <v>1234</v>
      </c>
      <c r="K193" s="9" t="s">
        <v>1235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1240</v>
      </c>
      <c r="B194" s="10" t="s">
        <v>1241</v>
      </c>
      <c r="C194" s="9" t="s">
        <v>55</v>
      </c>
      <c r="D194" s="10" t="s">
        <v>544</v>
      </c>
      <c r="E194" s="11" t="n">
        <v>0.8</v>
      </c>
      <c r="F194" s="9"/>
      <c r="G194" s="9"/>
      <c r="H194" s="9" t="s">
        <v>818</v>
      </c>
      <c r="I194" s="9" t="s">
        <v>1233</v>
      </c>
      <c r="J194" s="9" t="s">
        <v>1242</v>
      </c>
      <c r="K194" s="9" t="s">
        <v>1235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1243</v>
      </c>
      <c r="B195" s="10" t="s">
        <v>1244</v>
      </c>
      <c r="C195" s="9" t="s">
        <v>55</v>
      </c>
      <c r="D195" s="10" t="s">
        <v>544</v>
      </c>
      <c r="E195" s="11" t="n">
        <v>1.3</v>
      </c>
      <c r="F195" s="9"/>
      <c r="G195" s="9"/>
      <c r="H195" s="9" t="s">
        <v>818</v>
      </c>
      <c r="I195" s="9" t="s">
        <v>1233</v>
      </c>
      <c r="J195" s="9" t="s">
        <v>1242</v>
      </c>
      <c r="K195" s="9" t="s">
        <v>1235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1245</v>
      </c>
      <c r="B196" s="10" t="s">
        <v>1246</v>
      </c>
      <c r="C196" s="9" t="s">
        <v>55</v>
      </c>
      <c r="D196" s="9" t="s">
        <v>52</v>
      </c>
      <c r="E196" s="11" t="n">
        <v>10</v>
      </c>
      <c r="F196" s="11" t="n">
        <v>5</v>
      </c>
      <c r="G196" s="11" t="n">
        <v>20</v>
      </c>
      <c r="H196" s="9" t="s">
        <v>818</v>
      </c>
      <c r="I196" s="9" t="s">
        <v>1247</v>
      </c>
      <c r="J196" s="9" t="s">
        <v>783</v>
      </c>
      <c r="K196" s="9" t="s">
        <v>1248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1249</v>
      </c>
      <c r="B197" s="10" t="s">
        <v>1250</v>
      </c>
      <c r="C197" s="9" t="s">
        <v>55</v>
      </c>
      <c r="D197" s="10" t="s">
        <v>544</v>
      </c>
      <c r="E197" s="11" t="n">
        <v>0.6</v>
      </c>
      <c r="F197" s="11" t="n">
        <v>0.4</v>
      </c>
      <c r="G197" s="11" t="n">
        <v>1</v>
      </c>
      <c r="H197" s="9" t="s">
        <v>818</v>
      </c>
      <c r="I197" s="9" t="s">
        <v>55</v>
      </c>
      <c r="J197" s="9" t="s">
        <v>1251</v>
      </c>
      <c r="K197" s="9" t="s">
        <v>1252</v>
      </c>
      <c r="L197" s="9" t="s">
        <v>1253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1254</v>
      </c>
      <c r="B198" s="10" t="s">
        <v>1255</v>
      </c>
      <c r="C198" s="9" t="s">
        <v>395</v>
      </c>
      <c r="D198" s="10" t="s">
        <v>104</v>
      </c>
      <c r="E198" s="11" t="n">
        <v>0.6</v>
      </c>
      <c r="F198" s="9"/>
      <c r="G198" s="9"/>
      <c r="H198" s="9" t="s">
        <v>818</v>
      </c>
      <c r="I198" s="9" t="s">
        <v>1256</v>
      </c>
      <c r="J198" s="9" t="s">
        <v>1257</v>
      </c>
      <c r="K198" s="9" t="s">
        <v>1258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1259</v>
      </c>
      <c r="B199" s="10" t="s">
        <v>1255</v>
      </c>
      <c r="C199" s="9" t="s">
        <v>407</v>
      </c>
      <c r="D199" s="10" t="s">
        <v>104</v>
      </c>
      <c r="E199" s="11" t="n">
        <v>0.35</v>
      </c>
      <c r="F199" s="9"/>
      <c r="G199" s="9"/>
      <c r="H199" s="9" t="s">
        <v>818</v>
      </c>
      <c r="I199" s="9" t="s">
        <v>1256</v>
      </c>
      <c r="J199" s="9" t="s">
        <v>1257</v>
      </c>
      <c r="K199" s="9" t="s">
        <v>1258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1260</v>
      </c>
      <c r="B200" s="10" t="s">
        <v>1255</v>
      </c>
      <c r="C200" s="9" t="s">
        <v>895</v>
      </c>
      <c r="D200" s="10" t="s">
        <v>104</v>
      </c>
      <c r="E200" s="11" t="n">
        <v>0.15</v>
      </c>
      <c r="F200" s="9"/>
      <c r="G200" s="9"/>
      <c r="H200" s="9" t="s">
        <v>818</v>
      </c>
      <c r="I200" s="9" t="s">
        <v>1256</v>
      </c>
      <c r="J200" s="9" t="s">
        <v>1257</v>
      </c>
      <c r="K200" s="9" t="s">
        <v>1258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1261</v>
      </c>
      <c r="B201" s="10" t="s">
        <v>1255</v>
      </c>
      <c r="C201" s="9" t="s">
        <v>897</v>
      </c>
      <c r="D201" s="10" t="s">
        <v>104</v>
      </c>
      <c r="E201" s="11" t="n">
        <v>0.05</v>
      </c>
      <c r="F201" s="9"/>
      <c r="G201" s="9"/>
      <c r="H201" s="9" t="s">
        <v>818</v>
      </c>
      <c r="I201" s="9" t="s">
        <v>1256</v>
      </c>
      <c r="J201" s="9" t="s">
        <v>1257</v>
      </c>
      <c r="K201" s="9" t="s">
        <v>1258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1262</v>
      </c>
      <c r="B202" s="10" t="s">
        <v>1255</v>
      </c>
      <c r="C202" s="9" t="s">
        <v>899</v>
      </c>
      <c r="D202" s="10" t="s">
        <v>104</v>
      </c>
      <c r="E202" s="11" t="n">
        <v>0</v>
      </c>
      <c r="F202" s="9"/>
      <c r="G202" s="9"/>
      <c r="H202" s="9" t="s">
        <v>818</v>
      </c>
      <c r="I202" s="9" t="s">
        <v>1256</v>
      </c>
      <c r="J202" s="9" t="s">
        <v>1257</v>
      </c>
      <c r="K202" s="9" t="s">
        <v>1258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1263</v>
      </c>
      <c r="B203" s="10" t="s">
        <v>1255</v>
      </c>
      <c r="C203" s="9" t="s">
        <v>901</v>
      </c>
      <c r="D203" s="10" t="s">
        <v>104</v>
      </c>
      <c r="E203" s="11" t="n">
        <v>0</v>
      </c>
      <c r="F203" s="9"/>
      <c r="G203" s="9"/>
      <c r="H203" s="9" t="s">
        <v>818</v>
      </c>
      <c r="I203" s="9" t="s">
        <v>1256</v>
      </c>
      <c r="J203" s="9" t="s">
        <v>1257</v>
      </c>
      <c r="K203" s="9" t="s">
        <v>1258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1264</v>
      </c>
      <c r="B204" s="10" t="s">
        <v>1265</v>
      </c>
      <c r="C204" s="9" t="s">
        <v>395</v>
      </c>
      <c r="D204" s="10" t="s">
        <v>104</v>
      </c>
      <c r="E204" s="11" t="n">
        <v>0.4</v>
      </c>
      <c r="F204" s="9"/>
      <c r="G204" s="9"/>
      <c r="H204" s="9" t="s">
        <v>818</v>
      </c>
      <c r="I204" s="9" t="s">
        <v>1256</v>
      </c>
      <c r="J204" s="9" t="s">
        <v>1257</v>
      </c>
      <c r="K204" s="9" t="s">
        <v>1266</v>
      </c>
      <c r="L204" s="9" t="s">
        <v>1267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1268</v>
      </c>
      <c r="B205" s="10" t="s">
        <v>1265</v>
      </c>
      <c r="C205" s="9" t="s">
        <v>407</v>
      </c>
      <c r="D205" s="10" t="s">
        <v>104</v>
      </c>
      <c r="E205" s="11" t="n">
        <v>0.55</v>
      </c>
      <c r="F205" s="9"/>
      <c r="G205" s="9"/>
      <c r="H205" s="9" t="s">
        <v>818</v>
      </c>
      <c r="I205" s="9" t="s">
        <v>1256</v>
      </c>
      <c r="J205" s="9" t="s">
        <v>1257</v>
      </c>
      <c r="K205" s="9" t="s">
        <v>1266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1269</v>
      </c>
      <c r="B206" s="10" t="s">
        <v>1265</v>
      </c>
      <c r="C206" s="9" t="s">
        <v>895</v>
      </c>
      <c r="D206" s="10" t="s">
        <v>104</v>
      </c>
      <c r="E206" s="11" t="n">
        <v>0.45</v>
      </c>
      <c r="F206" s="9"/>
      <c r="G206" s="9"/>
      <c r="H206" s="9" t="s">
        <v>818</v>
      </c>
      <c r="I206" s="9" t="s">
        <v>1256</v>
      </c>
      <c r="J206" s="9" t="s">
        <v>1257</v>
      </c>
      <c r="K206" s="9" t="s">
        <v>1266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1270</v>
      </c>
      <c r="B207" s="10" t="s">
        <v>1265</v>
      </c>
      <c r="C207" s="9" t="s">
        <v>897</v>
      </c>
      <c r="D207" s="10" t="s">
        <v>104</v>
      </c>
      <c r="E207" s="11" t="n">
        <v>0.3</v>
      </c>
      <c r="F207" s="9"/>
      <c r="G207" s="9"/>
      <c r="H207" s="9" t="s">
        <v>818</v>
      </c>
      <c r="I207" s="9" t="s">
        <v>1256</v>
      </c>
      <c r="J207" s="9" t="s">
        <v>1257</v>
      </c>
      <c r="K207" s="9" t="s">
        <v>1266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1271</v>
      </c>
      <c r="B208" s="10" t="s">
        <v>1265</v>
      </c>
      <c r="C208" s="9" t="s">
        <v>899</v>
      </c>
      <c r="D208" s="10" t="s">
        <v>104</v>
      </c>
      <c r="E208" s="11" t="n">
        <v>0.2</v>
      </c>
      <c r="F208" s="9"/>
      <c r="G208" s="9"/>
      <c r="H208" s="9" t="s">
        <v>818</v>
      </c>
      <c r="I208" s="9" t="s">
        <v>1256</v>
      </c>
      <c r="J208" s="9" t="s">
        <v>1257</v>
      </c>
      <c r="K208" s="9" t="s">
        <v>1266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1272</v>
      </c>
      <c r="B209" s="10" t="s">
        <v>1265</v>
      </c>
      <c r="C209" s="9" t="s">
        <v>901</v>
      </c>
      <c r="D209" s="10" t="s">
        <v>104</v>
      </c>
      <c r="E209" s="11" t="n">
        <v>0.1</v>
      </c>
      <c r="F209" s="9"/>
      <c r="G209" s="9"/>
      <c r="H209" s="9" t="s">
        <v>818</v>
      </c>
      <c r="I209" s="9" t="s">
        <v>1256</v>
      </c>
      <c r="J209" s="9" t="s">
        <v>1257</v>
      </c>
      <c r="K209" s="9" t="s">
        <v>1266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1273</v>
      </c>
      <c r="B210" s="10" t="s">
        <v>1274</v>
      </c>
      <c r="C210" s="9" t="s">
        <v>395</v>
      </c>
      <c r="D210" s="10" t="s">
        <v>104</v>
      </c>
      <c r="E210" s="11" t="n">
        <v>0</v>
      </c>
      <c r="F210" s="9"/>
      <c r="G210" s="9"/>
      <c r="H210" s="9" t="s">
        <v>818</v>
      </c>
      <c r="I210" s="9" t="s">
        <v>1256</v>
      </c>
      <c r="J210" s="9" t="s">
        <v>1257</v>
      </c>
      <c r="K210" s="9" t="s">
        <v>1275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1276</v>
      </c>
      <c r="B211" s="10" t="s">
        <v>1274</v>
      </c>
      <c r="C211" s="9" t="s">
        <v>407</v>
      </c>
      <c r="D211" s="10" t="s">
        <v>104</v>
      </c>
      <c r="E211" s="11" t="n">
        <v>0.05</v>
      </c>
      <c r="F211" s="9"/>
      <c r="G211" s="9"/>
      <c r="H211" s="9" t="s">
        <v>818</v>
      </c>
      <c r="I211" s="9" t="s">
        <v>1256</v>
      </c>
      <c r="J211" s="9" t="s">
        <v>1257</v>
      </c>
      <c r="K211" s="9" t="s">
        <v>1275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1277</v>
      </c>
      <c r="B212" s="10" t="s">
        <v>1274</v>
      </c>
      <c r="C212" s="9" t="s">
        <v>895</v>
      </c>
      <c r="D212" s="10" t="s">
        <v>104</v>
      </c>
      <c r="E212" s="11" t="n">
        <v>0.3</v>
      </c>
      <c r="F212" s="9"/>
      <c r="G212" s="9"/>
      <c r="H212" s="9" t="s">
        <v>818</v>
      </c>
      <c r="I212" s="9" t="s">
        <v>1256</v>
      </c>
      <c r="J212" s="9" t="s">
        <v>1257</v>
      </c>
      <c r="K212" s="9" t="s">
        <v>1275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1278</v>
      </c>
      <c r="B213" s="10" t="s">
        <v>1274</v>
      </c>
      <c r="C213" s="9" t="s">
        <v>897</v>
      </c>
      <c r="D213" s="10" t="s">
        <v>104</v>
      </c>
      <c r="E213" s="11" t="n">
        <v>0.45</v>
      </c>
      <c r="F213" s="9"/>
      <c r="G213" s="9"/>
      <c r="H213" s="9" t="s">
        <v>818</v>
      </c>
      <c r="I213" s="9" t="s">
        <v>1256</v>
      </c>
      <c r="J213" s="9" t="s">
        <v>1257</v>
      </c>
      <c r="K213" s="9" t="s">
        <v>1275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1279</v>
      </c>
      <c r="B214" s="10" t="s">
        <v>1274</v>
      </c>
      <c r="C214" s="9" t="s">
        <v>899</v>
      </c>
      <c r="D214" s="10" t="s">
        <v>104</v>
      </c>
      <c r="E214" s="11" t="n">
        <v>0.5</v>
      </c>
      <c r="F214" s="9"/>
      <c r="G214" s="9"/>
      <c r="H214" s="9" t="s">
        <v>818</v>
      </c>
      <c r="I214" s="9" t="s">
        <v>1256</v>
      </c>
      <c r="J214" s="9" t="s">
        <v>1257</v>
      </c>
      <c r="K214" s="9" t="s">
        <v>1275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1280</v>
      </c>
      <c r="B215" s="10" t="s">
        <v>1274</v>
      </c>
      <c r="C215" s="9" t="s">
        <v>901</v>
      </c>
      <c r="D215" s="10" t="s">
        <v>104</v>
      </c>
      <c r="E215" s="11" t="n">
        <v>0.45</v>
      </c>
      <c r="F215" s="9"/>
      <c r="G215" s="9"/>
      <c r="H215" s="9" t="s">
        <v>818</v>
      </c>
      <c r="I215" s="9" t="s">
        <v>1256</v>
      </c>
      <c r="J215" s="9" t="s">
        <v>1257</v>
      </c>
      <c r="K215" s="9" t="s">
        <v>1275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1281</v>
      </c>
      <c r="B216" s="10" t="s">
        <v>1282</v>
      </c>
      <c r="C216" s="9" t="s">
        <v>395</v>
      </c>
      <c r="D216" s="10" t="s">
        <v>104</v>
      </c>
      <c r="E216" s="11" t="n">
        <v>0</v>
      </c>
      <c r="F216" s="9"/>
      <c r="G216" s="9"/>
      <c r="H216" s="9" t="s">
        <v>818</v>
      </c>
      <c r="I216" s="9" t="s">
        <v>1256</v>
      </c>
      <c r="J216" s="9" t="s">
        <v>1257</v>
      </c>
      <c r="K216" s="9" t="s">
        <v>1283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1284</v>
      </c>
      <c r="B217" s="10" t="s">
        <v>1282</v>
      </c>
      <c r="C217" s="9" t="s">
        <v>407</v>
      </c>
      <c r="D217" s="10" t="s">
        <v>104</v>
      </c>
      <c r="E217" s="11" t="n">
        <v>0</v>
      </c>
      <c r="F217" s="9"/>
      <c r="G217" s="9"/>
      <c r="H217" s="9" t="s">
        <v>818</v>
      </c>
      <c r="I217" s="9" t="s">
        <v>1256</v>
      </c>
      <c r="J217" s="9" t="s">
        <v>1257</v>
      </c>
      <c r="K217" s="9" t="s">
        <v>1283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1285</v>
      </c>
      <c r="B218" s="10" t="s">
        <v>1282</v>
      </c>
      <c r="C218" s="9" t="s">
        <v>895</v>
      </c>
      <c r="D218" s="10" t="s">
        <v>104</v>
      </c>
      <c r="E218" s="11" t="n">
        <v>0</v>
      </c>
      <c r="F218" s="9"/>
      <c r="G218" s="9"/>
      <c r="H218" s="9" t="s">
        <v>818</v>
      </c>
      <c r="I218" s="9" t="s">
        <v>1256</v>
      </c>
      <c r="J218" s="9" t="s">
        <v>1257</v>
      </c>
      <c r="K218" s="9" t="s">
        <v>1283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1286</v>
      </c>
      <c r="B219" s="10" t="s">
        <v>1282</v>
      </c>
      <c r="C219" s="9" t="s">
        <v>897</v>
      </c>
      <c r="D219" s="10" t="s">
        <v>104</v>
      </c>
      <c r="E219" s="11" t="n">
        <v>0.05</v>
      </c>
      <c r="F219" s="9"/>
      <c r="G219" s="9"/>
      <c r="H219" s="9" t="s">
        <v>818</v>
      </c>
      <c r="I219" s="9" t="s">
        <v>1256</v>
      </c>
      <c r="J219" s="9" t="s">
        <v>1257</v>
      </c>
      <c r="K219" s="9" t="s">
        <v>1283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1287</v>
      </c>
      <c r="B220" s="10" t="s">
        <v>1282</v>
      </c>
      <c r="C220" s="9" t="s">
        <v>899</v>
      </c>
      <c r="D220" s="10" t="s">
        <v>104</v>
      </c>
      <c r="E220" s="11" t="n">
        <v>0.1</v>
      </c>
      <c r="F220" s="9"/>
      <c r="G220" s="9"/>
      <c r="H220" s="9" t="s">
        <v>818</v>
      </c>
      <c r="I220" s="9" t="s">
        <v>1256</v>
      </c>
      <c r="J220" s="9" t="s">
        <v>1257</v>
      </c>
      <c r="K220" s="9" t="s">
        <v>1283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1288</v>
      </c>
      <c r="B221" s="10" t="s">
        <v>1282</v>
      </c>
      <c r="C221" s="9" t="s">
        <v>901</v>
      </c>
      <c r="D221" s="10" t="s">
        <v>104</v>
      </c>
      <c r="E221" s="11" t="n">
        <v>0.2</v>
      </c>
      <c r="F221" s="9"/>
      <c r="G221" s="9"/>
      <c r="H221" s="9" t="s">
        <v>818</v>
      </c>
      <c r="I221" s="9" t="s">
        <v>1256</v>
      </c>
      <c r="J221" s="9" t="s">
        <v>1257</v>
      </c>
      <c r="K221" s="9" t="s">
        <v>1283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1289</v>
      </c>
      <c r="B222" s="10" t="s">
        <v>1290</v>
      </c>
      <c r="C222" s="9" t="s">
        <v>55</v>
      </c>
      <c r="D222" s="9" t="s">
        <v>1291</v>
      </c>
      <c r="E222" s="11" t="n">
        <v>12</v>
      </c>
      <c r="F222" s="11" t="n">
        <v>8</v>
      </c>
      <c r="G222" s="11" t="n">
        <v>20</v>
      </c>
      <c r="H222" s="9" t="s">
        <v>834</v>
      </c>
      <c r="I222" s="9" t="s">
        <v>1292</v>
      </c>
      <c r="J222" s="9" t="s">
        <v>1293</v>
      </c>
      <c r="K222" s="9" t="s">
        <v>1294</v>
      </c>
      <c r="L222" s="10" t="s">
        <v>1295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1296</v>
      </c>
      <c r="B223" s="9" t="s">
        <v>1297</v>
      </c>
      <c r="C223" s="9" t="s">
        <v>55</v>
      </c>
      <c r="D223" s="9" t="s">
        <v>52</v>
      </c>
      <c r="E223" s="11" t="n">
        <v>1.41</v>
      </c>
      <c r="F223" s="11" t="n">
        <v>0</v>
      </c>
      <c r="G223" s="11" t="n">
        <v>2.91</v>
      </c>
      <c r="H223" s="9" t="s">
        <v>818</v>
      </c>
      <c r="I223" s="9" t="s">
        <v>1298</v>
      </c>
      <c r="J223" s="9" t="s">
        <v>1299</v>
      </c>
      <c r="K223" s="9" t="s">
        <v>1300</v>
      </c>
      <c r="L223" s="10" t="s">
        <v>1301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1302</v>
      </c>
      <c r="B224" s="10" t="s">
        <v>1303</v>
      </c>
      <c r="C224" s="9" t="s">
        <v>55</v>
      </c>
      <c r="D224" s="10" t="s">
        <v>104</v>
      </c>
      <c r="E224" s="11" t="n">
        <v>0.1</v>
      </c>
      <c r="F224" s="9"/>
      <c r="G224" s="9"/>
      <c r="H224" s="9" t="s">
        <v>818</v>
      </c>
      <c r="I224" s="9" t="s">
        <v>55</v>
      </c>
      <c r="J224" s="9" t="s">
        <v>783</v>
      </c>
      <c r="K224" s="9" t="s">
        <v>1304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1305</v>
      </c>
      <c r="B225" s="10" t="s">
        <v>1306</v>
      </c>
      <c r="C225" s="9" t="s">
        <v>55</v>
      </c>
      <c r="D225" s="10" t="s">
        <v>104</v>
      </c>
      <c r="E225" s="11" t="n">
        <v>0.3</v>
      </c>
      <c r="F225" s="9"/>
      <c r="G225" s="9"/>
      <c r="H225" s="9" t="s">
        <v>818</v>
      </c>
      <c r="I225" s="9" t="s">
        <v>1307</v>
      </c>
      <c r="J225" s="9" t="s">
        <v>783</v>
      </c>
      <c r="K225" s="9" t="s">
        <v>1308</v>
      </c>
      <c r="L225" s="9" t="s">
        <v>1309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1310</v>
      </c>
      <c r="B226" s="10" t="s">
        <v>1311</v>
      </c>
      <c r="C226" s="9" t="s">
        <v>55</v>
      </c>
      <c r="D226" s="10" t="s">
        <v>544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818</v>
      </c>
      <c r="I226" s="9" t="s">
        <v>1312</v>
      </c>
      <c r="J226" s="9" t="s">
        <v>783</v>
      </c>
      <c r="K226" s="9" t="s">
        <v>1313</v>
      </c>
      <c r="L226" s="10" t="s">
        <v>1314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1315</v>
      </c>
      <c r="B227" s="10" t="s">
        <v>1316</v>
      </c>
      <c r="C227" s="9" t="s">
        <v>55</v>
      </c>
      <c r="D227" s="10" t="s">
        <v>544</v>
      </c>
      <c r="E227" s="11" t="n">
        <v>0.857142857142857</v>
      </c>
      <c r="F227" s="11" t="n">
        <v>0.8</v>
      </c>
      <c r="G227" s="11" t="n">
        <v>0.942857142857143</v>
      </c>
      <c r="H227" s="9" t="s">
        <v>818</v>
      </c>
      <c r="I227" s="9" t="s">
        <v>1312</v>
      </c>
      <c r="J227" s="9" t="s">
        <v>783</v>
      </c>
      <c r="K227" s="9" t="s">
        <v>1317</v>
      </c>
      <c r="L227" s="10" t="s">
        <v>1318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1319</v>
      </c>
      <c r="B228" s="9" t="s">
        <v>1320</v>
      </c>
      <c r="C228" s="9" t="s">
        <v>55</v>
      </c>
      <c r="D228" s="10" t="s">
        <v>104</v>
      </c>
      <c r="E228" s="11" t="n">
        <v>0.008</v>
      </c>
      <c r="F228" s="11" t="n">
        <v>0.005</v>
      </c>
      <c r="G228" s="11" t="n">
        <v>0.01</v>
      </c>
      <c r="H228" s="9" t="s">
        <v>818</v>
      </c>
      <c r="I228" s="9" t="s">
        <v>1321</v>
      </c>
      <c r="J228" s="9" t="s">
        <v>783</v>
      </c>
      <c r="K228" s="9" t="s">
        <v>1322</v>
      </c>
      <c r="L228" s="9" t="s">
        <v>1323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1324</v>
      </c>
      <c r="B229" s="9" t="s">
        <v>1325</v>
      </c>
      <c r="C229" s="9" t="s">
        <v>55</v>
      </c>
      <c r="D229" s="9" t="s">
        <v>111</v>
      </c>
      <c r="E229" s="11" t="n">
        <v>5</v>
      </c>
      <c r="F229" s="11" t="n">
        <v>3.8</v>
      </c>
      <c r="G229" s="11" t="n">
        <v>6.1</v>
      </c>
      <c r="H229" s="9" t="s">
        <v>818</v>
      </c>
      <c r="I229" s="9" t="s">
        <v>1326</v>
      </c>
      <c r="J229" s="9" t="s">
        <v>783</v>
      </c>
      <c r="K229" s="9" t="s">
        <v>1327</v>
      </c>
      <c r="L229" s="9" t="s">
        <v>1328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1329</v>
      </c>
      <c r="B230" s="10" t="s">
        <v>1330</v>
      </c>
      <c r="C230" s="9" t="s">
        <v>55</v>
      </c>
      <c r="D230" s="10" t="s">
        <v>1331</v>
      </c>
      <c r="E230" s="11" t="n">
        <v>525600</v>
      </c>
      <c r="F230" s="11" t="n">
        <v>525600</v>
      </c>
      <c r="G230" s="11" t="n">
        <v>525600</v>
      </c>
      <c r="H230" s="9" t="s">
        <v>782</v>
      </c>
      <c r="I230" s="9" t="s">
        <v>1312</v>
      </c>
      <c r="J230" s="9" t="s">
        <v>783</v>
      </c>
      <c r="K230" s="9" t="s">
        <v>1332</v>
      </c>
      <c r="L230" s="10" t="s">
        <v>1333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1334</v>
      </c>
      <c r="B231" s="10" t="s">
        <v>1335</v>
      </c>
      <c r="C231" s="9" t="s">
        <v>55</v>
      </c>
      <c r="D231" s="9" t="s">
        <v>1336</v>
      </c>
      <c r="E231" s="11" t="n">
        <v>1000</v>
      </c>
      <c r="F231" s="11" t="n">
        <v>1000</v>
      </c>
      <c r="G231" s="11" t="n">
        <v>1000</v>
      </c>
      <c r="H231" s="9" t="s">
        <v>782</v>
      </c>
      <c r="I231" s="9" t="s">
        <v>1312</v>
      </c>
      <c r="J231" s="9" t="s">
        <v>783</v>
      </c>
      <c r="K231" s="9" t="s">
        <v>1337</v>
      </c>
      <c r="L231" s="10" t="s">
        <v>1338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1339</v>
      </c>
      <c r="B232" s="9" t="s">
        <v>1340</v>
      </c>
      <c r="C232" s="9" t="s">
        <v>895</v>
      </c>
      <c r="D232" s="10" t="s">
        <v>104</v>
      </c>
      <c r="E232" s="11" t="n">
        <v>0.008</v>
      </c>
      <c r="F232" s="11" t="n">
        <v>0.005</v>
      </c>
      <c r="G232" s="11" t="n">
        <v>0.02</v>
      </c>
      <c r="H232" s="9" t="s">
        <v>818</v>
      </c>
      <c r="I232" s="9" t="s">
        <v>1341</v>
      </c>
      <c r="J232" s="9" t="s">
        <v>783</v>
      </c>
      <c r="K232" s="9" t="s">
        <v>1322</v>
      </c>
      <c r="L232" s="9" t="s">
        <v>1342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1343</v>
      </c>
      <c r="B233" s="9" t="s">
        <v>1340</v>
      </c>
      <c r="C233" s="9" t="s">
        <v>897</v>
      </c>
      <c r="D233" s="10" t="s">
        <v>104</v>
      </c>
      <c r="E233" s="11" t="n">
        <v>0.008</v>
      </c>
      <c r="F233" s="11" t="n">
        <v>0.005</v>
      </c>
      <c r="G233" s="11" t="n">
        <v>0.02</v>
      </c>
      <c r="H233" s="9" t="s">
        <v>818</v>
      </c>
      <c r="I233" s="9" t="s">
        <v>1341</v>
      </c>
      <c r="J233" s="9" t="s">
        <v>783</v>
      </c>
      <c r="K233" s="9" t="s">
        <v>1322</v>
      </c>
      <c r="L233" s="9" t="s">
        <v>1342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1344</v>
      </c>
      <c r="B234" s="9" t="s">
        <v>1340</v>
      </c>
      <c r="C234" s="9" t="s">
        <v>899</v>
      </c>
      <c r="D234" s="10" t="s">
        <v>104</v>
      </c>
      <c r="E234" s="11" t="n">
        <v>0.008</v>
      </c>
      <c r="F234" s="11" t="n">
        <v>0.005</v>
      </c>
      <c r="G234" s="11" t="n">
        <v>0.02</v>
      </c>
      <c r="H234" s="9" t="s">
        <v>818</v>
      </c>
      <c r="I234" s="9" t="s">
        <v>1341</v>
      </c>
      <c r="J234" s="9" t="s">
        <v>783</v>
      </c>
      <c r="K234" s="9" t="s">
        <v>1322</v>
      </c>
      <c r="L234" s="9" t="s">
        <v>1342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1345</v>
      </c>
      <c r="B235" s="9" t="s">
        <v>1340</v>
      </c>
      <c r="C235" s="9" t="s">
        <v>901</v>
      </c>
      <c r="D235" s="10" t="s">
        <v>104</v>
      </c>
      <c r="E235" s="11" t="n">
        <v>0.008</v>
      </c>
      <c r="F235" s="11" t="n">
        <v>0.005</v>
      </c>
      <c r="G235" s="11" t="n">
        <v>0.02</v>
      </c>
      <c r="H235" s="9" t="s">
        <v>818</v>
      </c>
      <c r="I235" s="9" t="s">
        <v>1341</v>
      </c>
      <c r="J235" s="9" t="s">
        <v>783</v>
      </c>
      <c r="K235" s="9" t="s">
        <v>1322</v>
      </c>
      <c r="L235" s="9" t="s">
        <v>1342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1346</v>
      </c>
      <c r="B236" s="10" t="s">
        <v>1347</v>
      </c>
      <c r="C236" s="9" t="s">
        <v>55</v>
      </c>
      <c r="D236" s="9" t="s">
        <v>359</v>
      </c>
      <c r="E236" s="11" t="n">
        <v>2</v>
      </c>
      <c r="F236" s="11" t="n">
        <v>2</v>
      </c>
      <c r="G236" s="11" t="n">
        <v>5</v>
      </c>
      <c r="H236" s="9" t="s">
        <v>818</v>
      </c>
      <c r="I236" s="9" t="s">
        <v>1348</v>
      </c>
      <c r="J236" s="9" t="s">
        <v>783</v>
      </c>
      <c r="K236" s="9" t="s">
        <v>1349</v>
      </c>
      <c r="L236" s="9" t="s">
        <v>1350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1351</v>
      </c>
      <c r="B237" s="9" t="s">
        <v>1352</v>
      </c>
      <c r="C237" s="9" t="s">
        <v>55</v>
      </c>
      <c r="D237" s="10" t="s">
        <v>104</v>
      </c>
      <c r="E237" s="11" t="n">
        <v>1</v>
      </c>
      <c r="F237" s="11" t="n">
        <v>0</v>
      </c>
      <c r="G237" s="11" t="n">
        <v>1</v>
      </c>
      <c r="H237" s="9" t="s">
        <v>818</v>
      </c>
      <c r="I237" s="9" t="s">
        <v>1353</v>
      </c>
      <c r="J237" s="9" t="s">
        <v>783</v>
      </c>
      <c r="K237" s="9" t="s">
        <v>1354</v>
      </c>
      <c r="L237" s="9" t="s">
        <v>1355</v>
      </c>
      <c r="M237" s="9" t="n">
        <f aca="false">IF(AND(ISNUMBER($E237),ISNUMBER($F237),ISNUMBER($G237)),IF(AND($F237&lt;=$E237,$E237&lt;=$G237),0,1),0)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1" t="s">
        <v>1356</v>
      </c>
    </row>
    <row r="2" customFormat="false" ht="15" hidden="false" customHeight="false" outlineLevel="0" collapsed="false">
      <c r="A2" s="12" t="s">
        <v>1357</v>
      </c>
    </row>
    <row r="3" customFormat="false" ht="15" hidden="false" customHeight="false" outlineLevel="0" collapsed="false">
      <c r="A3" s="2" t="s">
        <v>1358</v>
      </c>
    </row>
    <row r="4" customFormat="false" ht="39.55" hidden="false" customHeight="false" outlineLevel="0" collapsed="false">
      <c r="A4" s="8" t="s">
        <v>1359</v>
      </c>
      <c r="B4" s="8" t="s">
        <v>1360</v>
      </c>
      <c r="C4" s="8" t="s">
        <v>1361</v>
      </c>
      <c r="D4" s="7" t="s">
        <v>1362</v>
      </c>
      <c r="E4" s="8" t="s">
        <v>1363</v>
      </c>
      <c r="F4" s="8" t="s">
        <v>30</v>
      </c>
      <c r="G4" s="8" t="s">
        <v>630</v>
      </c>
    </row>
    <row r="5" customFormat="false" ht="15" hidden="false" customHeight="false" outlineLevel="0" collapsed="false">
      <c r="A5" s="9" t="s">
        <v>1364</v>
      </c>
      <c r="B5" s="9" t="s">
        <v>1365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242</v>
      </c>
      <c r="G5" s="12" t="s">
        <v>1366</v>
      </c>
    </row>
    <row r="6" customFormat="false" ht="15" hidden="false" customHeight="false" outlineLevel="0" collapsed="false">
      <c r="A6" s="9" t="s">
        <v>1367</v>
      </c>
      <c r="B6" s="9" t="s">
        <v>1368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242</v>
      </c>
      <c r="G6" s="12" t="s">
        <v>1369</v>
      </c>
    </row>
    <row r="7" customFormat="false" ht="15" hidden="false" customHeight="false" outlineLevel="0" collapsed="false">
      <c r="A7" s="9" t="s">
        <v>1370</v>
      </c>
      <c r="B7" s="9" t="s">
        <v>1371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242</v>
      </c>
      <c r="G7" s="2" t="s">
        <v>1372</v>
      </c>
    </row>
    <row r="8" customFormat="false" ht="15" hidden="false" customHeight="false" outlineLevel="0" collapsed="false">
      <c r="A8" s="9" t="s">
        <v>1373</v>
      </c>
      <c r="B8" s="9" t="s">
        <v>1374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242</v>
      </c>
      <c r="G8" s="12" t="s">
        <v>1375</v>
      </c>
    </row>
    <row r="9" customFormat="false" ht="15" hidden="false" customHeight="false" outlineLevel="0" collapsed="false">
      <c r="A9" s="9" t="s">
        <v>1376</v>
      </c>
      <c r="B9" s="9" t="s">
        <v>1377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104</v>
      </c>
      <c r="G9" s="12" t="s">
        <v>1378</v>
      </c>
    </row>
    <row r="10" customFormat="false" ht="15" hidden="false" customHeight="false" outlineLevel="0" collapsed="false">
      <c r="A10" s="9" t="s">
        <v>1379</v>
      </c>
      <c r="B10" s="10" t="s">
        <v>1380</v>
      </c>
      <c r="C10" s="13" t="n">
        <f aca="false">C9-MIN(C9,SRC_OAI!$E$100)</f>
        <v>0</v>
      </c>
      <c r="F10" s="9"/>
      <c r="G10" s="12" t="s">
        <v>1381</v>
      </c>
    </row>
    <row r="11" customFormat="false" ht="15" hidden="false" customHeight="false" outlineLevel="0" collapsed="false">
      <c r="A11" s="9" t="s">
        <v>1382</v>
      </c>
      <c r="B11" s="9" t="s">
        <v>1383</v>
      </c>
      <c r="C11" s="13" t="n">
        <f aca="false">(D9-SRC_OAI!$E$100)</f>
        <v>0.00408450704225352</v>
      </c>
      <c r="F11" s="10" t="s">
        <v>104</v>
      </c>
      <c r="G11" s="2" t="s">
        <v>1384</v>
      </c>
    </row>
    <row r="12" customFormat="false" ht="15" hidden="false" customHeight="false" outlineLevel="0" collapsed="false">
      <c r="A12" s="9" t="s">
        <v>1385</v>
      </c>
      <c r="B12" s="9" t="s">
        <v>1386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1387</v>
      </c>
      <c r="G12" s="12" t="s">
        <v>1388</v>
      </c>
    </row>
    <row r="13" customFormat="false" ht="15" hidden="false" customHeight="false" outlineLevel="0" collapsed="false">
      <c r="A13" s="9" t="s">
        <v>1389</v>
      </c>
      <c r="B13" s="9" t="s">
        <v>1390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1387</v>
      </c>
      <c r="G13" s="12" t="s">
        <v>1391</v>
      </c>
    </row>
    <row r="14" customFormat="false" ht="15" hidden="false" customHeight="false" outlineLevel="0" collapsed="false">
      <c r="A14" s="9" t="s">
        <v>1392</v>
      </c>
      <c r="B14" s="9" t="s">
        <v>1393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242</v>
      </c>
      <c r="G14" s="12" t="s">
        <v>1394</v>
      </c>
    </row>
    <row r="15" customFormat="false" ht="15" hidden="false" customHeight="false" outlineLevel="0" collapsed="false">
      <c r="A15" s="9" t="s">
        <v>1395</v>
      </c>
      <c r="B15" s="9" t="s">
        <v>1396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242</v>
      </c>
      <c r="G15" s="12" t="s">
        <v>1394</v>
      </c>
    </row>
    <row r="16" customFormat="false" ht="15" hidden="false" customHeight="false" outlineLevel="0" collapsed="false">
      <c r="A16" s="9" t="s">
        <v>1321</v>
      </c>
      <c r="B16" s="9" t="s">
        <v>1397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242</v>
      </c>
      <c r="G16" s="12" t="s">
        <v>1394</v>
      </c>
    </row>
    <row r="17" customFormat="false" ht="15" hidden="false" customHeight="false" outlineLevel="0" collapsed="false">
      <c r="A17" s="9" t="s">
        <v>1205</v>
      </c>
      <c r="B17" s="9" t="s">
        <v>1398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242</v>
      </c>
      <c r="G17" s="12" t="s">
        <v>1394</v>
      </c>
    </row>
    <row r="18" customFormat="false" ht="15" hidden="false" customHeight="false" outlineLevel="0" collapsed="false">
      <c r="A18" s="9" t="s">
        <v>1399</v>
      </c>
      <c r="B18" s="9" t="s">
        <v>1400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104</v>
      </c>
      <c r="G18" s="12" t="s">
        <v>1401</v>
      </c>
    </row>
    <row r="19" customFormat="false" ht="15" hidden="false" customHeight="false" outlineLevel="0" collapsed="false">
      <c r="A19" s="9" t="s">
        <v>1341</v>
      </c>
      <c r="B19" s="9" t="s">
        <v>1402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104</v>
      </c>
      <c r="G19" s="12" t="s">
        <v>1401</v>
      </c>
    </row>
    <row r="20" customFormat="false" ht="15" hidden="false" customHeight="false" outlineLevel="0" collapsed="false">
      <c r="A20" s="9" t="s">
        <v>1201</v>
      </c>
      <c r="B20" s="9" t="s">
        <v>1403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104</v>
      </c>
      <c r="G20" s="12" t="s">
        <v>1401</v>
      </c>
    </row>
    <row r="21" customFormat="false" ht="15" hidden="false" customHeight="false" outlineLevel="0" collapsed="false">
      <c r="A21" s="9" t="s">
        <v>1404</v>
      </c>
      <c r="B21" s="9" t="s">
        <v>1405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104</v>
      </c>
      <c r="G21" s="12" t="s">
        <v>1401</v>
      </c>
    </row>
    <row r="22" customFormat="false" ht="15" hidden="false" customHeight="false" outlineLevel="0" collapsed="false">
      <c r="A22" s="9" t="s">
        <v>1406</v>
      </c>
      <c r="B22" s="9" t="s">
        <v>1407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1387</v>
      </c>
      <c r="G22" s="12" t="s">
        <v>1391</v>
      </c>
    </row>
    <row r="23" customFormat="false" ht="15" hidden="false" customHeight="false" outlineLevel="0" collapsed="false">
      <c r="A23" s="9" t="s">
        <v>1408</v>
      </c>
      <c r="B23" s="9" t="s">
        <v>1409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1387</v>
      </c>
      <c r="G23" s="12" t="s">
        <v>1391</v>
      </c>
    </row>
    <row r="24" customFormat="false" ht="15" hidden="false" customHeight="false" outlineLevel="0" collapsed="false">
      <c r="A24" s="9" t="s">
        <v>1410</v>
      </c>
      <c r="B24" s="9" t="s">
        <v>1411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1387</v>
      </c>
      <c r="G24" s="12" t="s">
        <v>1391</v>
      </c>
    </row>
    <row r="25" customFormat="false" ht="15" hidden="false" customHeight="false" outlineLevel="0" collapsed="false">
      <c r="A25" s="9" t="s">
        <v>1412</v>
      </c>
      <c r="B25" s="9" t="s">
        <v>1413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1387</v>
      </c>
      <c r="G25" s="12" t="s">
        <v>1391</v>
      </c>
    </row>
    <row r="26" customFormat="false" ht="15" hidden="false" customHeight="false" outlineLevel="0" collapsed="false">
      <c r="A26" s="9" t="s">
        <v>1414</v>
      </c>
      <c r="B26" s="9" t="s">
        <v>1415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1416</v>
      </c>
      <c r="G26" s="12" t="s">
        <v>1417</v>
      </c>
    </row>
    <row r="27" customFormat="false" ht="15" hidden="false" customHeight="false" outlineLevel="0" collapsed="false">
      <c r="A27" s="9" t="s">
        <v>1418</v>
      </c>
      <c r="B27" s="9" t="s">
        <v>1419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1416</v>
      </c>
      <c r="G27" s="12" t="s">
        <v>1420</v>
      </c>
    </row>
    <row r="28" customFormat="false" ht="15" hidden="false" customHeight="false" outlineLevel="0" collapsed="false">
      <c r="A28" s="9" t="s">
        <v>1421</v>
      </c>
      <c r="B28" s="9" t="s">
        <v>1422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1416</v>
      </c>
      <c r="G28" s="12" t="s">
        <v>1423</v>
      </c>
    </row>
    <row r="29" customFormat="false" ht="15" hidden="false" customHeight="false" outlineLevel="0" collapsed="false">
      <c r="A29" s="9" t="s">
        <v>1424</v>
      </c>
      <c r="B29" s="9" t="s">
        <v>1425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52</v>
      </c>
      <c r="G29" s="12" t="s">
        <v>1426</v>
      </c>
    </row>
    <row r="30" customFormat="false" ht="15" hidden="false" customHeight="false" outlineLevel="0" collapsed="false">
      <c r="A30" s="9" t="s">
        <v>1427</v>
      </c>
      <c r="B30" s="9" t="s">
        <v>1428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359</v>
      </c>
      <c r="G30" s="12" t="s">
        <v>1429</v>
      </c>
    </row>
    <row r="31" customFormat="false" ht="15" hidden="false" customHeight="false" outlineLevel="0" collapsed="false">
      <c r="A31" s="9" t="s">
        <v>1430</v>
      </c>
      <c r="B31" s="9" t="s">
        <v>1431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52</v>
      </c>
      <c r="G31" s="12" t="s">
        <v>1432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17.15" hidden="false" customHeight="false" outlineLevel="0" collapsed="false">
      <c r="A1" s="1" t="s">
        <v>1433</v>
      </c>
    </row>
    <row r="2" customFormat="false" ht="15" hidden="false" customHeight="false" outlineLevel="0" collapsed="false">
      <c r="A2" s="12" t="s">
        <v>1434</v>
      </c>
    </row>
    <row r="4" customFormat="false" ht="15" hidden="false" customHeight="false" outlineLevel="0" collapsed="false">
      <c r="A4" s="8" t="s">
        <v>1359</v>
      </c>
      <c r="B4" s="8" t="s">
        <v>1435</v>
      </c>
      <c r="C4" s="8" t="s">
        <v>1361</v>
      </c>
      <c r="D4" s="8" t="s">
        <v>1436</v>
      </c>
      <c r="E4" s="8" t="s">
        <v>1437</v>
      </c>
      <c r="F4" s="8" t="s">
        <v>630</v>
      </c>
    </row>
    <row r="5" customFormat="false" ht="15" hidden="false" customHeight="false" outlineLevel="0" collapsed="false">
      <c r="A5" s="9" t="s">
        <v>1438</v>
      </c>
      <c r="B5" s="9" t="s">
        <v>1439</v>
      </c>
      <c r="C5" s="9" t="n">
        <f aca="false">SUMPRODUCT(--(LEN(SRC_OAI!$A$5:$A$400)&gt;0))</f>
        <v>106</v>
      </c>
      <c r="D5" s="9" t="n">
        <v>106</v>
      </c>
      <c r="E5" s="9" t="str">
        <f aca="false">IF(C5=D5,"OK","ERR")</f>
        <v>OK</v>
      </c>
      <c r="F5" s="2" t="s">
        <v>1440</v>
      </c>
    </row>
    <row r="6" customFormat="false" ht="15" hidden="false" customHeight="false" outlineLevel="0" collapsed="false">
      <c r="A6" s="9" t="s">
        <v>1441</v>
      </c>
      <c r="B6" s="9" t="s">
        <v>1442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1443</v>
      </c>
    </row>
    <row r="7" customFormat="false" ht="15" hidden="false" customHeight="false" outlineLevel="0" collapsed="false">
      <c r="A7" s="9" t="s">
        <v>1444</v>
      </c>
      <c r="B7" s="9" t="s">
        <v>1445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1446</v>
      </c>
      <c r="B8" s="9" t="s">
        <v>1447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1448</v>
      </c>
    </row>
    <row r="9" customFormat="false" ht="15" hidden="false" customHeight="false" outlineLevel="0" collapsed="false">
      <c r="A9" s="9" t="s">
        <v>1449</v>
      </c>
      <c r="B9" s="9" t="s">
        <v>1450</v>
      </c>
      <c r="C9" s="9" t="n">
        <f aca="false">SUMPRODUCT(--(LEN(Inputs!$A$5:$A$600)&gt;0))</f>
        <v>233</v>
      </c>
      <c r="D9" s="9" t="n">
        <v>233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1451</v>
      </c>
      <c r="B10" s="9" t="s">
        <v>1452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1453</v>
      </c>
    </row>
    <row r="11" customFormat="false" ht="15" hidden="false" customHeight="false" outlineLevel="0" collapsed="false">
      <c r="A11" s="9" t="s">
        <v>1454</v>
      </c>
      <c r="B11" s="9" t="s">
        <v>1455</v>
      </c>
      <c r="C11" s="9" t="n">
        <f aca="false">COUNTIF(TK_Link!$F$10:$F$200,"OK")</f>
        <v>37</v>
      </c>
      <c r="E11" s="9" t="s">
        <v>1456</v>
      </c>
      <c r="F11" s="2" t="s">
        <v>1457</v>
      </c>
    </row>
    <row r="12" customFormat="false" ht="15" hidden="false" customHeight="false" outlineLevel="0" collapsed="false">
      <c r="A12" s="9" t="s">
        <v>1458</v>
      </c>
      <c r="B12" s="9" t="s">
        <v>1459</v>
      </c>
      <c r="C12" s="9" t="n">
        <f aca="false">COUNTIF(TK_Link!$F$10:$F$200,"待 v5.15 合併")</f>
        <v>11</v>
      </c>
      <c r="D12" s="9" t="n">
        <v>11</v>
      </c>
      <c r="E12" s="9" t="str">
        <f aca="false">IF(C12=D12,"OK","ERR")</f>
        <v>OK</v>
      </c>
      <c r="F12" s="12" t="s">
        <v>1460</v>
      </c>
    </row>
    <row r="13" customFormat="false" ht="15" hidden="false" customHeight="false" outlineLevel="0" collapsed="false">
      <c r="A13" s="9" t="s">
        <v>1461</v>
      </c>
      <c r="B13" s="9" t="s">
        <v>1462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1463</v>
      </c>
      <c r="B14" s="9" t="s">
        <v>1464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1465</v>
      </c>
    </row>
    <row r="15" customFormat="false" ht="15" hidden="false" customHeight="false" outlineLevel="0" collapsed="false">
      <c r="A15" s="9" t="s">
        <v>1466</v>
      </c>
      <c r="B15" s="9" t="s">
        <v>1467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1468</v>
      </c>
    </row>
    <row r="16" customFormat="false" ht="15" hidden="false" customHeight="false" outlineLevel="0" collapsed="false">
      <c r="A16" s="9" t="s">
        <v>1469</v>
      </c>
      <c r="B16" s="9" t="s">
        <v>1470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1471</v>
      </c>
    </row>
    <row r="17" customFormat="false" ht="15" hidden="false" customHeight="false" outlineLevel="0" collapsed="false">
      <c r="A17" s="9" t="s">
        <v>1472</v>
      </c>
      <c r="B17" s="10" t="s">
        <v>1473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1474</v>
      </c>
    </row>
    <row r="18" customFormat="false" ht="15" hidden="false" customHeight="false" outlineLevel="0" collapsed="false">
      <c r="A18" s="9" t="s">
        <v>1475</v>
      </c>
      <c r="B18" s="10" t="s">
        <v>1476</v>
      </c>
      <c r="C18" s="9" t="n">
        <f aca="false">IF(SRC_OAI_060-SRC_OAI_059+1&gt;0,SRC_OAI_058/(SRC_OAI_060-SRC_OAI_059+1)/SRC_OAI_061,"期間無效")</f>
        <v>13.3333333333333</v>
      </c>
      <c r="E18" s="9" t="s">
        <v>1456</v>
      </c>
      <c r="F18" s="12" t="s">
        <v>1477</v>
      </c>
    </row>
    <row r="19" customFormat="false" ht="15" hidden="false" customHeight="false" outlineLevel="0" collapsed="false">
      <c r="A19" s="9" t="s">
        <v>1478</v>
      </c>
      <c r="B19" s="10" t="s">
        <v>1479</v>
      </c>
      <c r="C19" s="9" t="n">
        <f aca="false">IF(SRC_OAI_067-SRC_OAI_066+1&gt;0,SRC_OAI_065/(SRC_OAI_067-SRC_OAI_066+1)/SRC_OAI_068,"期間無效")</f>
        <v>6.25</v>
      </c>
      <c r="E19" s="9" t="s">
        <v>1456</v>
      </c>
      <c r="F19" s="2" t="s">
        <v>1480</v>
      </c>
    </row>
    <row r="20" customFormat="false" ht="15" hidden="false" customHeight="false" outlineLevel="0" collapsed="false">
      <c r="A20" s="9" t="s">
        <v>1481</v>
      </c>
      <c r="B20" s="10" t="s">
        <v>1482</v>
      </c>
      <c r="C20" s="9" t="n">
        <f aca="false">SRC_OAI_047-SRC_OAI_003</f>
        <v>0.9</v>
      </c>
      <c r="E20" s="9" t="s">
        <v>1456</v>
      </c>
      <c r="F20" s="2" t="s">
        <v>1483</v>
      </c>
    </row>
    <row r="21" customFormat="false" ht="15" hidden="false" customHeight="false" outlineLevel="0" collapsed="false">
      <c r="A21" s="9" t="s">
        <v>1484</v>
      </c>
      <c r="B21" s="10" t="s">
        <v>1485</v>
      </c>
      <c r="C21" s="9" t="n">
        <f aca="false">SRC_OAI_087-C22</f>
        <v>7.18</v>
      </c>
      <c r="E21" s="9" t="s">
        <v>1456</v>
      </c>
      <c r="F21" s="2" t="s">
        <v>1486</v>
      </c>
    </row>
    <row r="22" customFormat="false" ht="15" hidden="false" customHeight="false" outlineLevel="0" collapsed="false">
      <c r="A22" s="9" t="s">
        <v>1487</v>
      </c>
      <c r="B22" s="9" t="s">
        <v>1488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1489</v>
      </c>
    </row>
    <row r="23" customFormat="false" ht="15" hidden="false" customHeight="false" outlineLevel="0" collapsed="false">
      <c r="A23" s="9" t="s">
        <v>1490</v>
      </c>
      <c r="B23" s="9" t="s">
        <v>1491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1492</v>
      </c>
    </row>
    <row r="24" customFormat="false" ht="15" hidden="false" customHeight="false" outlineLevel="0" collapsed="false">
      <c r="A24" s="9" t="s">
        <v>1493</v>
      </c>
      <c r="B24" s="9" t="s">
        <v>1494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1495</v>
      </c>
    </row>
    <row r="25" customFormat="false" ht="15" hidden="false" customHeight="false" outlineLevel="0" collapsed="false">
      <c r="A25" s="9" t="s">
        <v>1496</v>
      </c>
      <c r="B25" s="9" t="s">
        <v>1497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1498</v>
      </c>
    </row>
    <row r="26" customFormat="false" ht="15" hidden="false" customHeight="false" outlineLevel="0" collapsed="false">
      <c r="A26" s="9" t="s">
        <v>1499</v>
      </c>
      <c r="B26" s="9" t="s">
        <v>1500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1501</v>
      </c>
    </row>
    <row r="27" customFormat="false" ht="15" hidden="false" customHeight="false" outlineLevel="0" collapsed="false">
      <c r="A27" s="9" t="s">
        <v>1502</v>
      </c>
      <c r="B27" s="9" t="s">
        <v>1503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1504</v>
      </c>
    </row>
    <row r="28" customFormat="false" ht="15" hidden="false" customHeight="false" outlineLevel="0" collapsed="false">
      <c r="A28" s="9" t="s">
        <v>1505</v>
      </c>
      <c r="B28" s="9" t="s">
        <v>1506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1507</v>
      </c>
    </row>
    <row r="29" customFormat="false" ht="15" hidden="false" customHeight="false" outlineLevel="0" collapsed="false">
      <c r="A29" s="9" t="s">
        <v>1508</v>
      </c>
      <c r="B29" s="9" t="s">
        <v>1509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1510</v>
      </c>
    </row>
    <row r="30" customFormat="false" ht="15" hidden="false" customHeight="false" outlineLevel="0" collapsed="false">
      <c r="A30" s="9" t="s">
        <v>1511</v>
      </c>
      <c r="B30" s="9" t="s">
        <v>1512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1513</v>
      </c>
    </row>
    <row r="31" customFormat="false" ht="15" hidden="false" customHeight="false" outlineLevel="0" collapsed="false">
      <c r="A31" s="9" t="s">
        <v>1514</v>
      </c>
      <c r="B31" s="9" t="s">
        <v>1515</v>
      </c>
      <c r="C31" s="9" t="str">
        <f aca="false">"待 P2"</f>
        <v>待 P2</v>
      </c>
      <c r="E31" s="9" t="s">
        <v>1516</v>
      </c>
      <c r="F31" s="12" t="s">
        <v>1517</v>
      </c>
    </row>
    <row r="33" customFormat="false" ht="15" hidden="false" customHeight="false" outlineLevel="0" collapsed="false">
      <c r="A33" s="5" t="s">
        <v>1518</v>
      </c>
      <c r="C33" s="9" t="n">
        <f aca="false">COUNTIF($E$5:$E$31,"ERR")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17.15" hidden="false" customHeight="false" outlineLevel="0" collapsed="false">
      <c r="A1" s="1" t="s">
        <v>1519</v>
      </c>
    </row>
    <row r="2" customFormat="false" ht="15" hidden="false" customHeight="false" outlineLevel="0" collapsed="false">
      <c r="A2" s="2" t="s">
        <v>1520</v>
      </c>
    </row>
    <row r="4" customFormat="false" ht="15" hidden="false" customHeight="false" outlineLevel="0" collapsed="false">
      <c r="A4" s="7" t="s">
        <v>43</v>
      </c>
      <c r="B4" s="7" t="s">
        <v>1521</v>
      </c>
      <c r="C4" s="8" t="s">
        <v>1522</v>
      </c>
      <c r="D4" s="8" t="s">
        <v>1523</v>
      </c>
      <c r="E4" s="8" t="s">
        <v>1524</v>
      </c>
    </row>
    <row r="5" customFormat="false" ht="15" hidden="false" customHeight="false" outlineLevel="0" collapsed="false">
      <c r="A5" s="9" t="s">
        <v>1525</v>
      </c>
      <c r="B5" s="9" t="s">
        <v>1526</v>
      </c>
      <c r="C5" s="10" t="s">
        <v>1527</v>
      </c>
      <c r="D5" s="9" t="s">
        <v>55</v>
      </c>
      <c r="E5" s="10" t="s">
        <v>1528</v>
      </c>
    </row>
    <row r="6" customFormat="false" ht="15" hidden="false" customHeight="false" outlineLevel="0" collapsed="false">
      <c r="A6" s="9" t="s">
        <v>1529</v>
      </c>
      <c r="B6" s="9" t="s">
        <v>1530</v>
      </c>
      <c r="C6" s="10" t="s">
        <v>1527</v>
      </c>
      <c r="D6" s="9" t="s">
        <v>55</v>
      </c>
      <c r="E6" s="10" t="s">
        <v>1531</v>
      </c>
    </row>
    <row r="7" customFormat="false" ht="15" hidden="false" customHeight="false" outlineLevel="0" collapsed="false">
      <c r="A7" s="9" t="s">
        <v>1532</v>
      </c>
      <c r="B7" s="9" t="s">
        <v>1533</v>
      </c>
      <c r="C7" s="10" t="s">
        <v>1527</v>
      </c>
      <c r="D7" s="9" t="s">
        <v>55</v>
      </c>
      <c r="E7" s="10" t="s">
        <v>1534</v>
      </c>
    </row>
    <row r="8" customFormat="false" ht="15" hidden="false" customHeight="false" outlineLevel="0" collapsed="false">
      <c r="A8" s="9" t="s">
        <v>799</v>
      </c>
      <c r="B8" s="9" t="s">
        <v>395</v>
      </c>
      <c r="C8" s="9" t="s">
        <v>10</v>
      </c>
      <c r="D8" s="9" t="s">
        <v>795</v>
      </c>
      <c r="E8" s="9"/>
    </row>
    <row r="9" customFormat="false" ht="15" hidden="false" customHeight="false" outlineLevel="0" collapsed="false">
      <c r="A9" s="9" t="s">
        <v>803</v>
      </c>
      <c r="B9" s="9" t="s">
        <v>407</v>
      </c>
      <c r="C9" s="9" t="s">
        <v>10</v>
      </c>
      <c r="D9" s="9" t="s">
        <v>801</v>
      </c>
      <c r="E9" s="9"/>
    </row>
    <row r="10" customFormat="false" ht="15" hidden="false" customHeight="false" outlineLevel="0" collapsed="false">
      <c r="A10" s="9" t="s">
        <v>806</v>
      </c>
      <c r="B10" s="9" t="s">
        <v>895</v>
      </c>
      <c r="C10" s="9" t="s">
        <v>10</v>
      </c>
      <c r="D10" s="9" t="s">
        <v>804</v>
      </c>
      <c r="E10" s="9"/>
    </row>
    <row r="11" customFormat="false" ht="15" hidden="false" customHeight="false" outlineLevel="0" collapsed="false">
      <c r="A11" s="9" t="s">
        <v>809</v>
      </c>
      <c r="B11" s="9" t="s">
        <v>897</v>
      </c>
      <c r="C11" s="9" t="s">
        <v>10</v>
      </c>
      <c r="D11" s="9" t="s">
        <v>807</v>
      </c>
      <c r="E11" s="9"/>
    </row>
    <row r="12" customFormat="false" ht="15" hidden="false" customHeight="false" outlineLevel="0" collapsed="false">
      <c r="A12" s="9" t="s">
        <v>812</v>
      </c>
      <c r="B12" s="9" t="s">
        <v>899</v>
      </c>
      <c r="C12" s="9" t="s">
        <v>10</v>
      </c>
      <c r="D12" s="9" t="s">
        <v>810</v>
      </c>
      <c r="E12" s="9"/>
    </row>
    <row r="13" customFormat="false" ht="15" hidden="false" customHeight="false" outlineLevel="0" collapsed="false">
      <c r="A13" s="9" t="s">
        <v>815</v>
      </c>
      <c r="B13" s="9" t="s">
        <v>901</v>
      </c>
      <c r="C13" s="9" t="s">
        <v>10</v>
      </c>
      <c r="D13" s="9" t="s">
        <v>813</v>
      </c>
      <c r="E13" s="9"/>
    </row>
    <row r="14" customFormat="false" ht="15" hidden="false" customHeight="false" outlineLevel="0" collapsed="false">
      <c r="A14" s="9" t="s">
        <v>784</v>
      </c>
      <c r="B14" s="9" t="s">
        <v>395</v>
      </c>
      <c r="C14" s="9" t="s">
        <v>10</v>
      </c>
      <c r="D14" s="9" t="s">
        <v>780</v>
      </c>
      <c r="E14" s="9"/>
    </row>
    <row r="15" customFormat="false" ht="15" hidden="false" customHeight="false" outlineLevel="0" collapsed="false">
      <c r="A15" s="9" t="s">
        <v>787</v>
      </c>
      <c r="B15" s="9" t="s">
        <v>395</v>
      </c>
      <c r="C15" s="9" t="s">
        <v>10</v>
      </c>
      <c r="D15" s="9" t="s">
        <v>785</v>
      </c>
      <c r="E15" s="9"/>
    </row>
    <row r="16" customFormat="false" ht="15" hidden="false" customHeight="false" outlineLevel="0" collapsed="false">
      <c r="A16" s="9" t="s">
        <v>791</v>
      </c>
      <c r="B16" s="9" t="s">
        <v>407</v>
      </c>
      <c r="C16" s="9" t="s">
        <v>10</v>
      </c>
      <c r="D16" s="9" t="s">
        <v>789</v>
      </c>
      <c r="E16" s="9"/>
    </row>
    <row r="17" customFormat="false" ht="15" hidden="false" customHeight="false" outlineLevel="0" collapsed="false">
      <c r="A17" s="9" t="s">
        <v>794</v>
      </c>
      <c r="B17" s="9" t="s">
        <v>895</v>
      </c>
      <c r="C17" s="9" t="s">
        <v>10</v>
      </c>
      <c r="D17" s="9" t="s">
        <v>792</v>
      </c>
      <c r="E17" s="9"/>
    </row>
    <row r="18" customFormat="false" ht="15" hidden="false" customHeight="false" outlineLevel="0" collapsed="false">
      <c r="A18" s="9" t="s">
        <v>1535</v>
      </c>
      <c r="B18" s="9" t="s">
        <v>1536</v>
      </c>
      <c r="C18" s="10" t="s">
        <v>1527</v>
      </c>
      <c r="D18" s="9" t="s">
        <v>55</v>
      </c>
      <c r="E18" s="10" t="s">
        <v>1537</v>
      </c>
    </row>
    <row r="19" customFormat="false" ht="15" hidden="false" customHeight="false" outlineLevel="0" collapsed="false">
      <c r="A19" s="9" t="s">
        <v>1538</v>
      </c>
      <c r="B19" s="9" t="s">
        <v>1539</v>
      </c>
      <c r="C19" s="10" t="s">
        <v>1527</v>
      </c>
      <c r="D19" s="9" t="s">
        <v>55</v>
      </c>
      <c r="E19" s="10" t="s">
        <v>1537</v>
      </c>
    </row>
    <row r="20" customFormat="false" ht="15" hidden="false" customHeight="false" outlineLevel="0" collapsed="false">
      <c r="A20" s="9" t="s">
        <v>1540</v>
      </c>
      <c r="B20" s="9" t="s">
        <v>1541</v>
      </c>
      <c r="C20" s="10" t="s">
        <v>1527</v>
      </c>
      <c r="D20" s="9" t="s">
        <v>55</v>
      </c>
      <c r="E20" s="10" t="s">
        <v>1537</v>
      </c>
    </row>
    <row r="21" customFormat="false" ht="15" hidden="false" customHeight="false" outlineLevel="0" collapsed="false">
      <c r="A21" s="9" t="s">
        <v>1542</v>
      </c>
      <c r="B21" s="9" t="s">
        <v>1543</v>
      </c>
      <c r="C21" s="10" t="s">
        <v>1527</v>
      </c>
      <c r="D21" s="9" t="s">
        <v>55</v>
      </c>
      <c r="E21" s="10" t="s">
        <v>1537</v>
      </c>
    </row>
    <row r="22" customFormat="false" ht="15" hidden="false" customHeight="false" outlineLevel="0" collapsed="false">
      <c r="A22" s="9" t="s">
        <v>1544</v>
      </c>
      <c r="B22" s="9" t="s">
        <v>1545</v>
      </c>
      <c r="C22" s="10" t="s">
        <v>1527</v>
      </c>
      <c r="D22" s="9" t="s">
        <v>55</v>
      </c>
      <c r="E22" s="10" t="s">
        <v>1537</v>
      </c>
    </row>
    <row r="23" customFormat="false" ht="15" hidden="false" customHeight="false" outlineLevel="0" collapsed="false">
      <c r="A23" s="9" t="s">
        <v>1546</v>
      </c>
      <c r="B23" s="9" t="s">
        <v>1547</v>
      </c>
      <c r="C23" s="10" t="s">
        <v>1527</v>
      </c>
      <c r="D23" s="9" t="s">
        <v>55</v>
      </c>
      <c r="E23" s="10" t="s">
        <v>1548</v>
      </c>
    </row>
    <row r="24" customFormat="false" ht="15" hidden="false" customHeight="false" outlineLevel="0" collapsed="false">
      <c r="A24" s="9" t="s">
        <v>1549</v>
      </c>
      <c r="B24" s="9" t="s">
        <v>1550</v>
      </c>
      <c r="C24" s="10" t="s">
        <v>1527</v>
      </c>
      <c r="D24" s="9" t="s">
        <v>55</v>
      </c>
      <c r="E24" s="9" t="s">
        <v>1551</v>
      </c>
    </row>
    <row r="25" customFormat="false" ht="15" hidden="false" customHeight="false" outlineLevel="0" collapsed="false">
      <c r="A25" s="9" t="s">
        <v>1552</v>
      </c>
      <c r="B25" s="9" t="s">
        <v>1553</v>
      </c>
      <c r="C25" s="9" t="s">
        <v>6</v>
      </c>
      <c r="D25" s="9" t="s">
        <v>50</v>
      </c>
      <c r="E25" s="9"/>
    </row>
    <row r="26" customFormat="false" ht="15" hidden="false" customHeight="false" outlineLevel="0" collapsed="false">
      <c r="A26" s="9" t="s">
        <v>1554</v>
      </c>
      <c r="B26" s="9" t="s">
        <v>1555</v>
      </c>
      <c r="C26" s="9" t="s">
        <v>6</v>
      </c>
      <c r="D26" s="9" t="s">
        <v>50</v>
      </c>
      <c r="E26" s="10" t="s">
        <v>1556</v>
      </c>
    </row>
    <row r="27" customFormat="false" ht="15" hidden="false" customHeight="false" outlineLevel="0" collapsed="false">
      <c r="A27" s="9" t="s">
        <v>1557</v>
      </c>
      <c r="B27" s="9" t="s">
        <v>1558</v>
      </c>
      <c r="C27" s="9" t="s">
        <v>6</v>
      </c>
      <c r="D27" s="9" t="s">
        <v>50</v>
      </c>
      <c r="E27" s="10" t="s">
        <v>1556</v>
      </c>
    </row>
    <row r="28" customFormat="false" ht="15" hidden="false" customHeight="false" outlineLevel="0" collapsed="false">
      <c r="A28" s="9" t="s">
        <v>1559</v>
      </c>
      <c r="B28" s="9" t="s">
        <v>1560</v>
      </c>
      <c r="C28" s="9" t="s">
        <v>6</v>
      </c>
      <c r="D28" s="9" t="s">
        <v>66</v>
      </c>
      <c r="E28" s="9"/>
    </row>
    <row r="29" customFormat="false" ht="15" hidden="false" customHeight="false" outlineLevel="0" collapsed="false">
      <c r="A29" s="9" t="s">
        <v>1561</v>
      </c>
      <c r="B29" s="9" t="s">
        <v>1555</v>
      </c>
      <c r="C29" s="9" t="s">
        <v>6</v>
      </c>
      <c r="D29" s="9" t="s">
        <v>66</v>
      </c>
      <c r="E29" s="10" t="s">
        <v>1556</v>
      </c>
    </row>
    <row r="30" customFormat="false" ht="15" hidden="false" customHeight="false" outlineLevel="0" collapsed="false">
      <c r="A30" s="9" t="s">
        <v>1562</v>
      </c>
      <c r="B30" s="9" t="s">
        <v>1563</v>
      </c>
      <c r="C30" s="9" t="s">
        <v>6</v>
      </c>
      <c r="D30" s="9" t="s">
        <v>66</v>
      </c>
      <c r="E30" s="10" t="s">
        <v>1556</v>
      </c>
    </row>
    <row r="31" customFormat="false" ht="15" hidden="false" customHeight="false" outlineLevel="0" collapsed="false">
      <c r="A31" s="9" t="s">
        <v>1564</v>
      </c>
      <c r="B31" s="9" t="s">
        <v>1565</v>
      </c>
      <c r="C31" s="9" t="s">
        <v>6</v>
      </c>
      <c r="D31" s="9" t="s">
        <v>74</v>
      </c>
      <c r="E31" s="9"/>
    </row>
    <row r="32" customFormat="false" ht="15" hidden="false" customHeight="false" outlineLevel="0" collapsed="false">
      <c r="A32" s="9" t="s">
        <v>1566</v>
      </c>
      <c r="B32" s="9" t="s">
        <v>1555</v>
      </c>
      <c r="C32" s="9" t="s">
        <v>6</v>
      </c>
      <c r="D32" s="9" t="s">
        <v>74</v>
      </c>
      <c r="E32" s="10" t="s">
        <v>1556</v>
      </c>
    </row>
    <row r="33" customFormat="false" ht="15" hidden="false" customHeight="false" outlineLevel="0" collapsed="false">
      <c r="A33" s="9" t="s">
        <v>1567</v>
      </c>
      <c r="B33" s="9" t="s">
        <v>1568</v>
      </c>
      <c r="C33" s="9" t="s">
        <v>6</v>
      </c>
      <c r="D33" s="9" t="s">
        <v>74</v>
      </c>
      <c r="E33" s="10" t="s">
        <v>1556</v>
      </c>
    </row>
    <row r="34" customFormat="false" ht="15" hidden="false" customHeight="false" outlineLevel="0" collapsed="false">
      <c r="A34" s="9" t="s">
        <v>1569</v>
      </c>
      <c r="B34" s="9" t="s">
        <v>1570</v>
      </c>
      <c r="C34" s="9" t="s">
        <v>6</v>
      </c>
      <c r="D34" s="9" t="s">
        <v>80</v>
      </c>
      <c r="E34" s="9"/>
    </row>
    <row r="35" customFormat="false" ht="15" hidden="false" customHeight="false" outlineLevel="0" collapsed="false">
      <c r="A35" s="9" t="s">
        <v>1571</v>
      </c>
      <c r="B35" s="9" t="s">
        <v>1555</v>
      </c>
      <c r="C35" s="9" t="s">
        <v>6</v>
      </c>
      <c r="D35" s="9" t="s">
        <v>80</v>
      </c>
      <c r="E35" s="10" t="s">
        <v>1556</v>
      </c>
    </row>
    <row r="36" customFormat="false" ht="15" hidden="false" customHeight="false" outlineLevel="0" collapsed="false">
      <c r="A36" s="9" t="s">
        <v>1572</v>
      </c>
      <c r="B36" s="9" t="s">
        <v>1573</v>
      </c>
      <c r="C36" s="9" t="s">
        <v>6</v>
      </c>
      <c r="D36" s="9" t="s">
        <v>80</v>
      </c>
      <c r="E36" s="10" t="s">
        <v>1556</v>
      </c>
    </row>
    <row r="37" customFormat="false" ht="15" hidden="false" customHeight="false" outlineLevel="0" collapsed="false">
      <c r="A37" s="9" t="s">
        <v>1574</v>
      </c>
      <c r="B37" s="9" t="s">
        <v>1575</v>
      </c>
      <c r="C37" s="9" t="s">
        <v>6</v>
      </c>
      <c r="D37" s="9" t="s">
        <v>88</v>
      </c>
      <c r="E37" s="9"/>
    </row>
    <row r="38" customFormat="false" ht="15" hidden="false" customHeight="false" outlineLevel="0" collapsed="false">
      <c r="A38" s="9" t="s">
        <v>1576</v>
      </c>
      <c r="B38" s="9" t="s">
        <v>1555</v>
      </c>
      <c r="C38" s="9" t="s">
        <v>6</v>
      </c>
      <c r="D38" s="9" t="s">
        <v>88</v>
      </c>
      <c r="E38" s="10" t="s">
        <v>1556</v>
      </c>
    </row>
    <row r="39" customFormat="false" ht="15" hidden="false" customHeight="false" outlineLevel="0" collapsed="false">
      <c r="A39" s="9" t="s">
        <v>1577</v>
      </c>
      <c r="B39" s="9" t="s">
        <v>1578</v>
      </c>
      <c r="C39" s="9" t="s">
        <v>6</v>
      </c>
      <c r="D39" s="9" t="s">
        <v>88</v>
      </c>
      <c r="E39" s="10" t="s">
        <v>1556</v>
      </c>
    </row>
    <row r="40" customFormat="false" ht="15" hidden="false" customHeight="false" outlineLevel="0" collapsed="false">
      <c r="A40" s="9" t="s">
        <v>1579</v>
      </c>
      <c r="B40" s="9" t="s">
        <v>1580</v>
      </c>
      <c r="C40" s="9" t="s">
        <v>6</v>
      </c>
      <c r="D40" s="9" t="s">
        <v>95</v>
      </c>
      <c r="E40" s="9"/>
    </row>
    <row r="41" customFormat="false" ht="15" hidden="false" customHeight="false" outlineLevel="0" collapsed="false">
      <c r="A41" s="9" t="s">
        <v>1581</v>
      </c>
      <c r="B41" s="9" t="s">
        <v>1555</v>
      </c>
      <c r="C41" s="9" t="s">
        <v>6</v>
      </c>
      <c r="D41" s="9" t="s">
        <v>95</v>
      </c>
      <c r="E41" s="10" t="s">
        <v>1556</v>
      </c>
    </row>
    <row r="42" customFormat="false" ht="15" hidden="false" customHeight="false" outlineLevel="0" collapsed="false">
      <c r="A42" s="9" t="s">
        <v>1582</v>
      </c>
      <c r="B42" s="9" t="s">
        <v>1583</v>
      </c>
      <c r="C42" s="9" t="s">
        <v>6</v>
      </c>
      <c r="D42" s="9" t="s">
        <v>95</v>
      </c>
      <c r="E42" s="10" t="s">
        <v>1556</v>
      </c>
    </row>
    <row r="43" customFormat="false" ht="15" hidden="false" customHeight="false" outlineLevel="0" collapsed="false">
      <c r="A43" s="9" t="s">
        <v>1584</v>
      </c>
      <c r="B43" s="9" t="s">
        <v>1585</v>
      </c>
      <c r="C43" s="9" t="s">
        <v>6</v>
      </c>
      <c r="D43" s="9" t="s">
        <v>102</v>
      </c>
      <c r="E43" s="9"/>
    </row>
    <row r="44" customFormat="false" ht="15" hidden="false" customHeight="false" outlineLevel="0" collapsed="false">
      <c r="A44" s="9" t="s">
        <v>1586</v>
      </c>
      <c r="B44" s="9" t="s">
        <v>1555</v>
      </c>
      <c r="C44" s="9" t="s">
        <v>6</v>
      </c>
      <c r="D44" s="9" t="s">
        <v>102</v>
      </c>
      <c r="E44" s="10" t="s">
        <v>1556</v>
      </c>
    </row>
    <row r="45" customFormat="false" ht="15" hidden="false" customHeight="false" outlineLevel="0" collapsed="false">
      <c r="A45" s="9" t="s">
        <v>1587</v>
      </c>
      <c r="B45" s="9" t="s">
        <v>1588</v>
      </c>
      <c r="C45" s="9" t="s">
        <v>6</v>
      </c>
      <c r="D45" s="9" t="s">
        <v>102</v>
      </c>
      <c r="E45" s="10" t="s">
        <v>1556</v>
      </c>
    </row>
    <row r="46" customFormat="false" ht="15" hidden="false" customHeight="false" outlineLevel="0" collapsed="false">
      <c r="A46" s="9" t="s">
        <v>1589</v>
      </c>
      <c r="B46" s="9" t="s">
        <v>1590</v>
      </c>
      <c r="C46" s="9" t="s">
        <v>6</v>
      </c>
      <c r="D46" s="9" t="s">
        <v>109</v>
      </c>
      <c r="E46" s="9"/>
    </row>
    <row r="47" customFormat="false" ht="15" hidden="false" customHeight="false" outlineLevel="0" collapsed="false">
      <c r="A47" s="9" t="s">
        <v>1591</v>
      </c>
      <c r="B47" s="9" t="s">
        <v>1592</v>
      </c>
      <c r="C47" s="9" t="s">
        <v>6</v>
      </c>
      <c r="D47" s="9" t="s">
        <v>109</v>
      </c>
      <c r="E47" s="10" t="s">
        <v>1556</v>
      </c>
    </row>
    <row r="48" customFormat="false" ht="15" hidden="false" customHeight="false" outlineLevel="0" collapsed="false">
      <c r="A48" s="9" t="s">
        <v>1593</v>
      </c>
      <c r="B48" s="9" t="s">
        <v>1555</v>
      </c>
      <c r="C48" s="9" t="s">
        <v>6</v>
      </c>
      <c r="D48" s="9" t="s">
        <v>109</v>
      </c>
      <c r="E48" s="10" t="s">
        <v>1556</v>
      </c>
    </row>
    <row r="49" customFormat="false" ht="15" hidden="false" customHeight="false" outlineLevel="0" collapsed="false">
      <c r="A49" s="9" t="s">
        <v>1594</v>
      </c>
      <c r="B49" s="9" t="s">
        <v>1595</v>
      </c>
      <c r="C49" s="9" t="s">
        <v>6</v>
      </c>
      <c r="D49" s="9" t="s">
        <v>109</v>
      </c>
      <c r="E49" s="10" t="s">
        <v>1556</v>
      </c>
    </row>
    <row r="50" customFormat="false" ht="15" hidden="false" customHeight="false" outlineLevel="0" collapsed="false">
      <c r="A50" s="9" t="s">
        <v>1596</v>
      </c>
      <c r="B50" s="9" t="s">
        <v>1597</v>
      </c>
      <c r="C50" s="10" t="s">
        <v>1598</v>
      </c>
      <c r="D50" s="9" t="s">
        <v>1599</v>
      </c>
      <c r="E50" s="9" t="s">
        <v>1600</v>
      </c>
    </row>
    <row r="51" customFormat="false" ht="15" hidden="false" customHeight="false" outlineLevel="0" collapsed="false">
      <c r="A51" s="9" t="s">
        <v>1601</v>
      </c>
      <c r="B51" s="9" t="s">
        <v>1602</v>
      </c>
      <c r="C51" s="10" t="s">
        <v>1598</v>
      </c>
      <c r="D51" s="9" t="s">
        <v>1599</v>
      </c>
      <c r="E51" s="9" t="s">
        <v>1600</v>
      </c>
    </row>
    <row r="52" customFormat="false" ht="15" hidden="false" customHeight="false" outlineLevel="0" collapsed="false">
      <c r="A52" s="9" t="s">
        <v>1603</v>
      </c>
      <c r="B52" s="9" t="s">
        <v>1604</v>
      </c>
      <c r="C52" s="10" t="s">
        <v>1598</v>
      </c>
      <c r="D52" s="9" t="s">
        <v>1599</v>
      </c>
      <c r="E52" s="9" t="s">
        <v>1600</v>
      </c>
    </row>
    <row r="53" customFormat="false" ht="15" hidden="false" customHeight="false" outlineLevel="0" collapsed="false">
      <c r="A53" s="9" t="s">
        <v>1605</v>
      </c>
      <c r="B53" s="9" t="s">
        <v>1606</v>
      </c>
      <c r="C53" s="10" t="s">
        <v>1598</v>
      </c>
      <c r="D53" s="9" t="s">
        <v>1599</v>
      </c>
      <c r="E53" s="9" t="s">
        <v>1600</v>
      </c>
    </row>
    <row r="54" customFormat="false" ht="15" hidden="false" customHeight="false" outlineLevel="0" collapsed="false">
      <c r="A54" s="9" t="s">
        <v>1607</v>
      </c>
      <c r="B54" s="9" t="s">
        <v>1608</v>
      </c>
      <c r="C54" s="10" t="s">
        <v>1598</v>
      </c>
      <c r="D54" s="9" t="s">
        <v>1599</v>
      </c>
      <c r="E54" s="9" t="s">
        <v>1600</v>
      </c>
    </row>
    <row r="55" customFormat="false" ht="15" hidden="false" customHeight="false" outlineLevel="0" collapsed="false">
      <c r="A55" s="9" t="s">
        <v>1609</v>
      </c>
      <c r="B55" s="9" t="s">
        <v>1610</v>
      </c>
      <c r="C55" s="10" t="s">
        <v>1598</v>
      </c>
      <c r="D55" s="9" t="s">
        <v>1599</v>
      </c>
      <c r="E55" s="9" t="s">
        <v>1600</v>
      </c>
    </row>
    <row r="56" customFormat="false" ht="15" hidden="false" customHeight="false" outlineLevel="0" collapsed="false">
      <c r="A56" s="9" t="s">
        <v>1611</v>
      </c>
      <c r="B56" s="9" t="s">
        <v>1612</v>
      </c>
      <c r="C56" s="10" t="s">
        <v>1598</v>
      </c>
      <c r="D56" s="9" t="s">
        <v>1599</v>
      </c>
      <c r="E56" s="9" t="s">
        <v>1600</v>
      </c>
    </row>
    <row r="57" customFormat="false" ht="15" hidden="false" customHeight="false" outlineLevel="0" collapsed="false">
      <c r="A57" s="9" t="s">
        <v>1613</v>
      </c>
      <c r="B57" s="9" t="s">
        <v>1614</v>
      </c>
      <c r="C57" s="9" t="s">
        <v>6</v>
      </c>
      <c r="D57" s="9" t="s">
        <v>119</v>
      </c>
      <c r="E57" s="9"/>
    </row>
    <row r="58" customFormat="false" ht="15" hidden="false" customHeight="false" outlineLevel="0" collapsed="false">
      <c r="A58" s="9" t="s">
        <v>1615</v>
      </c>
      <c r="B58" s="9" t="s">
        <v>1555</v>
      </c>
      <c r="C58" s="9" t="s">
        <v>6</v>
      </c>
      <c r="D58" s="9" t="s">
        <v>119</v>
      </c>
      <c r="E58" s="10" t="s">
        <v>1556</v>
      </c>
    </row>
    <row r="59" customFormat="false" ht="15" hidden="false" customHeight="false" outlineLevel="0" collapsed="false">
      <c r="A59" s="9" t="s">
        <v>1616</v>
      </c>
      <c r="B59" s="9" t="s">
        <v>1617</v>
      </c>
      <c r="C59" s="9" t="s">
        <v>6</v>
      </c>
      <c r="D59" s="9" t="s">
        <v>119</v>
      </c>
      <c r="E59" s="10" t="s">
        <v>1556</v>
      </c>
    </row>
    <row r="60" customFormat="false" ht="15" hidden="false" customHeight="false" outlineLevel="0" collapsed="false">
      <c r="A60" s="9" t="s">
        <v>1618</v>
      </c>
      <c r="B60" s="9" t="s">
        <v>1619</v>
      </c>
      <c r="C60" s="9" t="s">
        <v>6</v>
      </c>
      <c r="D60" s="9" t="s">
        <v>128</v>
      </c>
      <c r="E60" s="9"/>
    </row>
    <row r="61" customFormat="false" ht="15" hidden="false" customHeight="false" outlineLevel="0" collapsed="false">
      <c r="A61" s="9" t="s">
        <v>1620</v>
      </c>
      <c r="B61" s="9" t="s">
        <v>1555</v>
      </c>
      <c r="C61" s="9" t="s">
        <v>6</v>
      </c>
      <c r="D61" s="9" t="s">
        <v>128</v>
      </c>
      <c r="E61" s="10" t="s">
        <v>1556</v>
      </c>
    </row>
    <row r="62" customFormat="false" ht="15" hidden="false" customHeight="false" outlineLevel="0" collapsed="false">
      <c r="A62" s="9" t="s">
        <v>1621</v>
      </c>
      <c r="B62" s="9" t="s">
        <v>1622</v>
      </c>
      <c r="C62" s="9" t="s">
        <v>6</v>
      </c>
      <c r="D62" s="9" t="s">
        <v>128</v>
      </c>
      <c r="E62" s="10" t="s">
        <v>1556</v>
      </c>
    </row>
    <row r="63" customFormat="false" ht="15" hidden="false" customHeight="false" outlineLevel="0" collapsed="false">
      <c r="A63" s="9" t="s">
        <v>1623</v>
      </c>
      <c r="B63" s="9" t="s">
        <v>901</v>
      </c>
      <c r="C63" s="9" t="s">
        <v>6</v>
      </c>
      <c r="D63" s="9" t="s">
        <v>134</v>
      </c>
      <c r="E63" s="9"/>
    </row>
    <row r="64" customFormat="false" ht="15" hidden="false" customHeight="false" outlineLevel="0" collapsed="false">
      <c r="A64" s="9" t="s">
        <v>1624</v>
      </c>
      <c r="B64" s="9" t="s">
        <v>1625</v>
      </c>
      <c r="C64" s="9" t="s">
        <v>6</v>
      </c>
      <c r="D64" s="9" t="s">
        <v>134</v>
      </c>
      <c r="E64" s="10" t="s">
        <v>1556</v>
      </c>
    </row>
    <row r="65" customFormat="false" ht="15" hidden="false" customHeight="false" outlineLevel="0" collapsed="false">
      <c r="A65" s="9" t="s">
        <v>1626</v>
      </c>
      <c r="B65" s="9" t="s">
        <v>1627</v>
      </c>
      <c r="C65" s="9" t="s">
        <v>6</v>
      </c>
      <c r="D65" s="9" t="s">
        <v>134</v>
      </c>
      <c r="E65" s="10" t="s">
        <v>1556</v>
      </c>
    </row>
    <row r="66" customFormat="false" ht="15" hidden="false" customHeight="false" outlineLevel="0" collapsed="false">
      <c r="A66" s="9" t="s">
        <v>1628</v>
      </c>
      <c r="B66" s="9" t="s">
        <v>407</v>
      </c>
      <c r="C66" s="9" t="s">
        <v>10</v>
      </c>
      <c r="D66" s="9" t="s">
        <v>816</v>
      </c>
      <c r="E66" s="9"/>
    </row>
    <row r="67" customFormat="false" ht="15" hidden="false" customHeight="false" outlineLevel="0" collapsed="false">
      <c r="A67" s="9" t="s">
        <v>1629</v>
      </c>
      <c r="B67" s="9" t="s">
        <v>1630</v>
      </c>
      <c r="C67" s="9" t="s">
        <v>10</v>
      </c>
      <c r="D67" s="9" t="s">
        <v>816</v>
      </c>
      <c r="E67" s="10" t="s">
        <v>1556</v>
      </c>
    </row>
    <row r="68" customFormat="false" ht="15" hidden="false" customHeight="false" outlineLevel="0" collapsed="false">
      <c r="A68" s="9" t="s">
        <v>1631</v>
      </c>
      <c r="B68" s="9" t="s">
        <v>1632</v>
      </c>
      <c r="C68" s="9" t="s">
        <v>10</v>
      </c>
      <c r="D68" s="9" t="s">
        <v>816</v>
      </c>
      <c r="E68" s="10" t="s">
        <v>1556</v>
      </c>
    </row>
    <row r="69" customFormat="false" ht="15" hidden="false" customHeight="false" outlineLevel="0" collapsed="false">
      <c r="A69" s="9" t="s">
        <v>1633</v>
      </c>
      <c r="B69" s="9" t="s">
        <v>1634</v>
      </c>
      <c r="C69" s="9" t="s">
        <v>6</v>
      </c>
      <c r="D69" s="9" t="s">
        <v>142</v>
      </c>
      <c r="E69" s="9"/>
    </row>
    <row r="70" customFormat="false" ht="15" hidden="false" customHeight="false" outlineLevel="0" collapsed="false">
      <c r="A70" s="9" t="s">
        <v>1635</v>
      </c>
      <c r="B70" s="9" t="s">
        <v>1625</v>
      </c>
      <c r="C70" s="9" t="s">
        <v>6</v>
      </c>
      <c r="D70" s="9" t="s">
        <v>142</v>
      </c>
      <c r="E70" s="10" t="s">
        <v>1556</v>
      </c>
    </row>
    <row r="71" customFormat="false" ht="15" hidden="false" customHeight="false" outlineLevel="0" collapsed="false">
      <c r="A71" s="9" t="s">
        <v>1636</v>
      </c>
      <c r="B71" s="9" t="s">
        <v>1637</v>
      </c>
      <c r="C71" s="9" t="s">
        <v>6</v>
      </c>
      <c r="D71" s="9" t="s">
        <v>142</v>
      </c>
      <c r="E71" s="10" t="s">
        <v>1556</v>
      </c>
    </row>
    <row r="72" customFormat="false" ht="15" hidden="false" customHeight="false" outlineLevel="0" collapsed="false">
      <c r="A72" s="9" t="s">
        <v>1638</v>
      </c>
      <c r="B72" s="9" t="s">
        <v>1639</v>
      </c>
      <c r="C72" s="10" t="s">
        <v>1527</v>
      </c>
      <c r="D72" s="9" t="s">
        <v>55</v>
      </c>
      <c r="E72" s="10" t="s">
        <v>1640</v>
      </c>
    </row>
    <row r="73" customFormat="false" ht="15" hidden="false" customHeight="false" outlineLevel="0" collapsed="false">
      <c r="A73" s="9" t="s">
        <v>1641</v>
      </c>
      <c r="B73" s="9" t="s">
        <v>1642</v>
      </c>
      <c r="C73" s="10" t="s">
        <v>1527</v>
      </c>
      <c r="D73" s="9" t="s">
        <v>55</v>
      </c>
      <c r="E73" s="10" t="s">
        <v>1640</v>
      </c>
    </row>
    <row r="74" customFormat="false" ht="15" hidden="false" customHeight="false" outlineLevel="0" collapsed="false">
      <c r="A74" s="9" t="s">
        <v>1643</v>
      </c>
      <c r="B74" s="9" t="s">
        <v>1644</v>
      </c>
      <c r="C74" s="10" t="s">
        <v>1527</v>
      </c>
      <c r="D74" s="9" t="s">
        <v>55</v>
      </c>
      <c r="E74" s="10" t="s">
        <v>1640</v>
      </c>
    </row>
    <row r="75" customFormat="false" ht="15" hidden="false" customHeight="false" outlineLevel="0" collapsed="false">
      <c r="A75" s="9" t="s">
        <v>180</v>
      </c>
      <c r="B75" s="9" t="s">
        <v>1645</v>
      </c>
      <c r="C75" s="9" t="s">
        <v>6</v>
      </c>
      <c r="D75" s="9" t="s">
        <v>174</v>
      </c>
      <c r="E75" s="9"/>
    </row>
    <row r="76" customFormat="false" ht="15" hidden="false" customHeight="false" outlineLevel="0" collapsed="false">
      <c r="A76" s="9" t="s">
        <v>186</v>
      </c>
      <c r="B76" s="9" t="s">
        <v>1646</v>
      </c>
      <c r="C76" s="9" t="s">
        <v>6</v>
      </c>
      <c r="D76" s="9" t="s">
        <v>183</v>
      </c>
      <c r="E76" s="9"/>
    </row>
    <row r="77" customFormat="false" ht="15" hidden="false" customHeight="false" outlineLevel="0" collapsed="false">
      <c r="A77" s="9" t="s">
        <v>190</v>
      </c>
      <c r="B77" s="9" t="s">
        <v>1647</v>
      </c>
      <c r="C77" s="9" t="s">
        <v>6</v>
      </c>
      <c r="D77" s="9" t="s">
        <v>187</v>
      </c>
      <c r="E77" s="9"/>
    </row>
    <row r="78" customFormat="false" ht="15" hidden="false" customHeight="false" outlineLevel="0" collapsed="false">
      <c r="A78" s="9" t="s">
        <v>1648</v>
      </c>
      <c r="B78" s="9" t="s">
        <v>1649</v>
      </c>
      <c r="C78" s="9" t="s">
        <v>6</v>
      </c>
      <c r="D78" s="9" t="s">
        <v>1650</v>
      </c>
      <c r="E78" s="10" t="s">
        <v>1651</v>
      </c>
    </row>
    <row r="79" customFormat="false" ht="15" hidden="false" customHeight="false" outlineLevel="0" collapsed="false">
      <c r="A79" s="9" t="s">
        <v>1652</v>
      </c>
      <c r="B79" s="9" t="s">
        <v>1625</v>
      </c>
      <c r="C79" s="9" t="s">
        <v>6</v>
      </c>
      <c r="D79" s="9" t="s">
        <v>147</v>
      </c>
      <c r="E79" s="10" t="s">
        <v>1556</v>
      </c>
    </row>
    <row r="80" customFormat="false" ht="15" hidden="false" customHeight="false" outlineLevel="0" collapsed="false">
      <c r="A80" s="9" t="s">
        <v>1653</v>
      </c>
      <c r="B80" s="9" t="s">
        <v>1654</v>
      </c>
      <c r="C80" s="9" t="s">
        <v>6</v>
      </c>
      <c r="D80" s="9" t="s">
        <v>147</v>
      </c>
      <c r="E80" s="10" t="s">
        <v>1556</v>
      </c>
    </row>
    <row r="81" customFormat="false" ht="15" hidden="false" customHeight="false" outlineLevel="0" collapsed="false">
      <c r="A81" s="9" t="s">
        <v>1655</v>
      </c>
      <c r="B81" s="9" t="s">
        <v>1656</v>
      </c>
      <c r="C81" s="9" t="s">
        <v>6</v>
      </c>
      <c r="D81" s="9" t="s">
        <v>147</v>
      </c>
      <c r="E81" s="9"/>
    </row>
    <row r="82" customFormat="false" ht="15" hidden="false" customHeight="false" outlineLevel="0" collapsed="false">
      <c r="A82" s="9" t="s">
        <v>1657</v>
      </c>
      <c r="B82" s="9" t="s">
        <v>1658</v>
      </c>
      <c r="C82" s="9" t="s">
        <v>6</v>
      </c>
      <c r="D82" s="9" t="s">
        <v>156</v>
      </c>
      <c r="E82" s="9"/>
    </row>
    <row r="83" customFormat="false" ht="15" hidden="false" customHeight="false" outlineLevel="0" collapsed="false">
      <c r="A83" s="9" t="s">
        <v>1659</v>
      </c>
      <c r="B83" s="9" t="s">
        <v>1660</v>
      </c>
      <c r="C83" s="9" t="s">
        <v>6</v>
      </c>
      <c r="D83" s="9" t="s">
        <v>158</v>
      </c>
      <c r="E83" s="9"/>
    </row>
    <row r="84" customFormat="false" ht="15" hidden="false" customHeight="false" outlineLevel="0" collapsed="false">
      <c r="A84" s="9" t="s">
        <v>1661</v>
      </c>
      <c r="B84" s="9" t="s">
        <v>1662</v>
      </c>
      <c r="C84" s="9" t="s">
        <v>6</v>
      </c>
      <c r="D84" s="9" t="s">
        <v>160</v>
      </c>
      <c r="E84" s="9"/>
    </row>
    <row r="85" customFormat="false" ht="15" hidden="false" customHeight="false" outlineLevel="0" collapsed="false">
      <c r="A85" s="9" t="s">
        <v>1663</v>
      </c>
      <c r="B85" s="9" t="s">
        <v>1614</v>
      </c>
      <c r="C85" s="9" t="s">
        <v>6</v>
      </c>
      <c r="D85" s="9" t="s">
        <v>163</v>
      </c>
      <c r="E85" s="9"/>
    </row>
    <row r="86" customFormat="false" ht="15" hidden="false" customHeight="false" outlineLevel="0" collapsed="false">
      <c r="A86" s="9" t="s">
        <v>1664</v>
      </c>
      <c r="B86" s="9" t="s">
        <v>1656</v>
      </c>
      <c r="C86" s="9" t="s">
        <v>6</v>
      </c>
      <c r="D86" s="9" t="s">
        <v>165</v>
      </c>
      <c r="E86" s="9"/>
    </row>
    <row r="87" customFormat="false" ht="15" hidden="false" customHeight="false" outlineLevel="0" collapsed="false">
      <c r="A87" s="9" t="s">
        <v>1665</v>
      </c>
      <c r="B87" s="9" t="s">
        <v>1666</v>
      </c>
      <c r="C87" s="9" t="s">
        <v>6</v>
      </c>
      <c r="D87" s="9" t="s">
        <v>167</v>
      </c>
      <c r="E87" s="9"/>
    </row>
    <row r="88" customFormat="false" ht="15" hidden="false" customHeight="false" outlineLevel="0" collapsed="false">
      <c r="A88" s="9" t="s">
        <v>1667</v>
      </c>
      <c r="B88" s="9" t="s">
        <v>1668</v>
      </c>
      <c r="C88" s="9" t="s">
        <v>6</v>
      </c>
      <c r="D88" s="9" t="s">
        <v>170</v>
      </c>
      <c r="E88" s="9"/>
    </row>
    <row r="89" customFormat="false" ht="15" hidden="false" customHeight="false" outlineLevel="0" collapsed="false">
      <c r="A89" s="9" t="s">
        <v>1669</v>
      </c>
      <c r="B89" s="9" t="s">
        <v>1670</v>
      </c>
      <c r="C89" s="9" t="s">
        <v>6</v>
      </c>
      <c r="D89" s="9" t="s">
        <v>172</v>
      </c>
      <c r="E89" s="9"/>
    </row>
    <row r="90" customFormat="false" ht="15" hidden="false" customHeight="false" outlineLevel="0" collapsed="false">
      <c r="A90" s="9" t="s">
        <v>1671</v>
      </c>
      <c r="B90" s="9" t="s">
        <v>1625</v>
      </c>
      <c r="C90" s="9" t="s">
        <v>6</v>
      </c>
      <c r="D90" s="9" t="s">
        <v>191</v>
      </c>
      <c r="E90" s="10" t="s">
        <v>1556</v>
      </c>
    </row>
    <row r="91" customFormat="false" ht="15" hidden="false" customHeight="false" outlineLevel="0" collapsed="false">
      <c r="A91" s="9" t="s">
        <v>1672</v>
      </c>
      <c r="B91" s="9" t="s">
        <v>1673</v>
      </c>
      <c r="C91" s="9" t="s">
        <v>6</v>
      </c>
      <c r="D91" s="9" t="s">
        <v>191</v>
      </c>
      <c r="E91" s="10" t="s">
        <v>1556</v>
      </c>
    </row>
    <row r="92" customFormat="false" ht="15" hidden="false" customHeight="false" outlineLevel="0" collapsed="false">
      <c r="A92" s="9" t="s">
        <v>1674</v>
      </c>
      <c r="B92" s="9" t="s">
        <v>1675</v>
      </c>
      <c r="C92" s="9" t="s">
        <v>6</v>
      </c>
      <c r="D92" s="9" t="s">
        <v>191</v>
      </c>
      <c r="E92" s="9"/>
    </row>
    <row r="93" customFormat="false" ht="15" hidden="false" customHeight="false" outlineLevel="0" collapsed="false">
      <c r="A93" s="9" t="s">
        <v>1676</v>
      </c>
      <c r="B93" s="9" t="s">
        <v>1677</v>
      </c>
      <c r="C93" s="9" t="s">
        <v>6</v>
      </c>
      <c r="D93" s="9" t="s">
        <v>199</v>
      </c>
      <c r="E93" s="9"/>
    </row>
    <row r="94" customFormat="false" ht="15" hidden="false" customHeight="false" outlineLevel="0" collapsed="false">
      <c r="A94" s="9" t="s">
        <v>1678</v>
      </c>
      <c r="B94" s="9" t="s">
        <v>1679</v>
      </c>
      <c r="C94" s="9" t="s">
        <v>6</v>
      </c>
      <c r="D94" s="9" t="s">
        <v>203</v>
      </c>
      <c r="E94" s="9"/>
    </row>
    <row r="95" customFormat="false" ht="15" hidden="false" customHeight="false" outlineLevel="0" collapsed="false">
      <c r="A95" s="9" t="s">
        <v>1680</v>
      </c>
      <c r="B95" s="9" t="s">
        <v>1681</v>
      </c>
      <c r="C95" s="9" t="s">
        <v>6</v>
      </c>
      <c r="D95" s="9" t="s">
        <v>207</v>
      </c>
      <c r="E95" s="9"/>
    </row>
    <row r="96" customFormat="false" ht="15" hidden="false" customHeight="false" outlineLevel="0" collapsed="false">
      <c r="A96" s="9" t="s">
        <v>1682</v>
      </c>
      <c r="B96" s="9" t="s">
        <v>1683</v>
      </c>
      <c r="C96" s="9" t="s">
        <v>6</v>
      </c>
      <c r="D96" s="9" t="s">
        <v>211</v>
      </c>
      <c r="E96" s="9"/>
    </row>
    <row r="97" customFormat="false" ht="15" hidden="false" customHeight="false" outlineLevel="0" collapsed="false">
      <c r="A97" s="9" t="s">
        <v>1684</v>
      </c>
      <c r="B97" s="9" t="s">
        <v>1685</v>
      </c>
      <c r="C97" s="9" t="s">
        <v>10</v>
      </c>
      <c r="D97" s="9" t="s">
        <v>1686</v>
      </c>
      <c r="E97" s="10" t="s">
        <v>1687</v>
      </c>
    </row>
    <row r="98" customFormat="false" ht="15" hidden="false" customHeight="false" outlineLevel="0" collapsed="false">
      <c r="A98" s="9" t="s">
        <v>1688</v>
      </c>
      <c r="B98" s="9" t="s">
        <v>1689</v>
      </c>
      <c r="C98" s="9" t="s">
        <v>10</v>
      </c>
      <c r="D98" s="9" t="s">
        <v>832</v>
      </c>
      <c r="E98" s="9"/>
    </row>
    <row r="99" customFormat="false" ht="15" hidden="false" customHeight="false" outlineLevel="0" collapsed="false">
      <c r="A99" s="9" t="s">
        <v>1690</v>
      </c>
      <c r="B99" s="9" t="s">
        <v>1691</v>
      </c>
      <c r="C99" s="10" t="s">
        <v>1598</v>
      </c>
      <c r="D99" s="9" t="s">
        <v>1692</v>
      </c>
      <c r="E99" s="9" t="s">
        <v>1693</v>
      </c>
    </row>
    <row r="100" customFormat="false" ht="15" hidden="false" customHeight="false" outlineLevel="0" collapsed="false">
      <c r="A100" s="9" t="s">
        <v>1694</v>
      </c>
      <c r="B100" s="9" t="s">
        <v>1695</v>
      </c>
      <c r="C100" s="9" t="s">
        <v>10</v>
      </c>
      <c r="D100" s="9" t="s">
        <v>832</v>
      </c>
      <c r="E100" s="9"/>
    </row>
    <row r="101" customFormat="false" ht="15" hidden="false" customHeight="false" outlineLevel="0" collapsed="false">
      <c r="A101" s="9" t="s">
        <v>1696</v>
      </c>
      <c r="B101" s="9" t="s">
        <v>1697</v>
      </c>
      <c r="C101" s="10" t="s">
        <v>1598</v>
      </c>
      <c r="D101" s="9" t="s">
        <v>1692</v>
      </c>
      <c r="E101" s="9" t="s">
        <v>1693</v>
      </c>
    </row>
    <row r="102" customFormat="false" ht="15" hidden="false" customHeight="false" outlineLevel="0" collapsed="false">
      <c r="A102" s="9" t="s">
        <v>1698</v>
      </c>
      <c r="B102" s="9" t="s">
        <v>1699</v>
      </c>
      <c r="C102" s="9" t="s">
        <v>10</v>
      </c>
      <c r="D102" s="9" t="s">
        <v>832</v>
      </c>
      <c r="E102" s="9"/>
    </row>
    <row r="103" customFormat="false" ht="15" hidden="false" customHeight="false" outlineLevel="0" collapsed="false">
      <c r="A103" s="9" t="s">
        <v>1700</v>
      </c>
      <c r="B103" s="9" t="s">
        <v>1565</v>
      </c>
      <c r="C103" s="10" t="s">
        <v>1598</v>
      </c>
      <c r="D103" s="9" t="s">
        <v>1692</v>
      </c>
      <c r="E103" s="9" t="s">
        <v>1693</v>
      </c>
    </row>
    <row r="104" customFormat="false" ht="15" hidden="false" customHeight="false" outlineLevel="0" collapsed="false">
      <c r="A104" s="9" t="s">
        <v>1701</v>
      </c>
      <c r="B104" s="9" t="s">
        <v>1702</v>
      </c>
      <c r="C104" s="9" t="s">
        <v>10</v>
      </c>
      <c r="D104" s="9" t="s">
        <v>1703</v>
      </c>
      <c r="E104" s="10" t="s">
        <v>1556</v>
      </c>
    </row>
    <row r="105" customFormat="false" ht="15" hidden="false" customHeight="false" outlineLevel="0" collapsed="false">
      <c r="A105" s="9" t="s">
        <v>1704</v>
      </c>
      <c r="B105" s="9" t="s">
        <v>1695</v>
      </c>
      <c r="C105" s="9" t="s">
        <v>10</v>
      </c>
      <c r="D105" s="9" t="s">
        <v>837</v>
      </c>
      <c r="E105" s="9"/>
    </row>
    <row r="106" customFormat="false" ht="15" hidden="false" customHeight="false" outlineLevel="0" collapsed="false">
      <c r="A106" s="9" t="s">
        <v>1705</v>
      </c>
      <c r="B106" s="9" t="s">
        <v>1706</v>
      </c>
      <c r="C106" s="10" t="s">
        <v>1598</v>
      </c>
      <c r="D106" s="9" t="s">
        <v>1692</v>
      </c>
      <c r="E106" s="9" t="s">
        <v>1693</v>
      </c>
    </row>
    <row r="107" customFormat="false" ht="15" hidden="false" customHeight="false" outlineLevel="0" collapsed="false">
      <c r="A107" s="9" t="s">
        <v>1707</v>
      </c>
      <c r="B107" s="9" t="s">
        <v>1658</v>
      </c>
      <c r="C107" s="9" t="s">
        <v>10</v>
      </c>
      <c r="D107" s="9" t="s">
        <v>837</v>
      </c>
      <c r="E107" s="9"/>
    </row>
    <row r="108" customFormat="false" ht="15" hidden="false" customHeight="false" outlineLevel="0" collapsed="false">
      <c r="A108" s="9" t="s">
        <v>1708</v>
      </c>
      <c r="B108" s="9" t="s">
        <v>1662</v>
      </c>
      <c r="C108" s="10" t="s">
        <v>1598</v>
      </c>
      <c r="D108" s="9" t="s">
        <v>1692</v>
      </c>
      <c r="E108" s="9" t="s">
        <v>1693</v>
      </c>
    </row>
    <row r="109" customFormat="false" ht="15" hidden="false" customHeight="false" outlineLevel="0" collapsed="false">
      <c r="A109" s="9" t="s">
        <v>1709</v>
      </c>
      <c r="B109" s="9" t="s">
        <v>1689</v>
      </c>
      <c r="C109" s="9" t="s">
        <v>10</v>
      </c>
      <c r="D109" s="9" t="s">
        <v>837</v>
      </c>
      <c r="E109" s="9"/>
    </row>
    <row r="110" customFormat="false" ht="15" hidden="false" customHeight="false" outlineLevel="0" collapsed="false">
      <c r="A110" s="9" t="s">
        <v>1710</v>
      </c>
      <c r="B110" s="9" t="s">
        <v>1689</v>
      </c>
      <c r="C110" s="10" t="s">
        <v>1598</v>
      </c>
      <c r="D110" s="9" t="s">
        <v>1692</v>
      </c>
      <c r="E110" s="9" t="s">
        <v>1693</v>
      </c>
    </row>
    <row r="111" customFormat="false" ht="15" hidden="false" customHeight="false" outlineLevel="0" collapsed="false">
      <c r="A111" s="9" t="s">
        <v>1711</v>
      </c>
      <c r="B111" s="9" t="s">
        <v>1702</v>
      </c>
      <c r="C111" s="9" t="s">
        <v>10</v>
      </c>
      <c r="D111" s="9" t="s">
        <v>1703</v>
      </c>
      <c r="E111" s="10" t="s">
        <v>1556</v>
      </c>
    </row>
    <row r="112" customFormat="false" ht="15" hidden="false" customHeight="false" outlineLevel="0" collapsed="false">
      <c r="A112" s="9" t="s">
        <v>1712</v>
      </c>
      <c r="B112" s="9" t="s">
        <v>1614</v>
      </c>
      <c r="C112" s="9" t="s">
        <v>10</v>
      </c>
      <c r="D112" s="9" t="s">
        <v>840</v>
      </c>
      <c r="E112" s="9"/>
    </row>
    <row r="113" customFormat="false" ht="15" hidden="false" customHeight="false" outlineLevel="0" collapsed="false">
      <c r="A113" s="9" t="s">
        <v>1713</v>
      </c>
      <c r="B113" s="9" t="s">
        <v>1714</v>
      </c>
      <c r="C113" s="10" t="s">
        <v>1598</v>
      </c>
      <c r="D113" s="9" t="s">
        <v>1692</v>
      </c>
      <c r="E113" s="9" t="s">
        <v>1693</v>
      </c>
    </row>
    <row r="114" customFormat="false" ht="15" hidden="false" customHeight="false" outlineLevel="0" collapsed="false">
      <c r="A114" s="9" t="s">
        <v>1715</v>
      </c>
      <c r="B114" s="9" t="s">
        <v>1666</v>
      </c>
      <c r="C114" s="9" t="s">
        <v>10</v>
      </c>
      <c r="D114" s="9" t="s">
        <v>840</v>
      </c>
      <c r="E114" s="9"/>
    </row>
    <row r="115" customFormat="false" ht="15" hidden="false" customHeight="false" outlineLevel="0" collapsed="false">
      <c r="A115" s="9" t="s">
        <v>1716</v>
      </c>
      <c r="B115" s="9" t="s">
        <v>1717</v>
      </c>
      <c r="C115" s="10" t="s">
        <v>1598</v>
      </c>
      <c r="D115" s="9" t="s">
        <v>1692</v>
      </c>
      <c r="E115" s="9" t="s">
        <v>1693</v>
      </c>
    </row>
    <row r="116" customFormat="false" ht="15" hidden="false" customHeight="false" outlineLevel="0" collapsed="false">
      <c r="A116" s="9" t="s">
        <v>1718</v>
      </c>
      <c r="B116" s="9" t="s">
        <v>1717</v>
      </c>
      <c r="C116" s="9" t="s">
        <v>10</v>
      </c>
      <c r="D116" s="9" t="s">
        <v>840</v>
      </c>
      <c r="E116" s="9"/>
    </row>
    <row r="117" customFormat="false" ht="15" hidden="false" customHeight="false" outlineLevel="0" collapsed="false">
      <c r="A117" s="9" t="s">
        <v>1719</v>
      </c>
      <c r="B117" s="9" t="s">
        <v>1720</v>
      </c>
      <c r="C117" s="10" t="s">
        <v>1598</v>
      </c>
      <c r="D117" s="9" t="s">
        <v>1692</v>
      </c>
      <c r="E117" s="9" t="s">
        <v>1693</v>
      </c>
    </row>
    <row r="118" customFormat="false" ht="15" hidden="false" customHeight="false" outlineLevel="0" collapsed="false">
      <c r="A118" s="9" t="s">
        <v>1721</v>
      </c>
      <c r="B118" s="9" t="s">
        <v>1702</v>
      </c>
      <c r="C118" s="9" t="s">
        <v>10</v>
      </c>
      <c r="D118" s="9" t="s">
        <v>1703</v>
      </c>
      <c r="E118" s="10" t="s">
        <v>1556</v>
      </c>
    </row>
    <row r="119" customFormat="false" ht="15" hidden="false" customHeight="false" outlineLevel="0" collapsed="false">
      <c r="A119" s="9" t="s">
        <v>1722</v>
      </c>
      <c r="B119" s="9" t="s">
        <v>1723</v>
      </c>
      <c r="C119" s="9" t="s">
        <v>10</v>
      </c>
      <c r="D119" s="9" t="s">
        <v>843</v>
      </c>
      <c r="E119" s="9"/>
    </row>
    <row r="120" customFormat="false" ht="15" hidden="false" customHeight="false" outlineLevel="0" collapsed="false">
      <c r="A120" s="9" t="s">
        <v>1724</v>
      </c>
      <c r="B120" s="9" t="s">
        <v>1725</v>
      </c>
      <c r="C120" s="10" t="s">
        <v>1598</v>
      </c>
      <c r="D120" s="9" t="s">
        <v>1692</v>
      </c>
      <c r="E120" s="9" t="s">
        <v>1693</v>
      </c>
    </row>
    <row r="121" customFormat="false" ht="15" hidden="false" customHeight="false" outlineLevel="0" collapsed="false">
      <c r="A121" s="9" t="s">
        <v>1726</v>
      </c>
      <c r="B121" s="9" t="s">
        <v>1727</v>
      </c>
      <c r="C121" s="9" t="s">
        <v>10</v>
      </c>
      <c r="D121" s="9" t="s">
        <v>843</v>
      </c>
      <c r="E121" s="9"/>
    </row>
    <row r="122" customFormat="false" ht="15" hidden="false" customHeight="false" outlineLevel="0" collapsed="false">
      <c r="A122" s="9" t="s">
        <v>1728</v>
      </c>
      <c r="B122" s="9" t="s">
        <v>1729</v>
      </c>
      <c r="C122" s="10" t="s">
        <v>1598</v>
      </c>
      <c r="D122" s="9" t="s">
        <v>1692</v>
      </c>
      <c r="E122" s="9" t="s">
        <v>1693</v>
      </c>
    </row>
    <row r="123" customFormat="false" ht="15" hidden="false" customHeight="false" outlineLevel="0" collapsed="false">
      <c r="A123" s="9" t="s">
        <v>1730</v>
      </c>
      <c r="B123" s="9" t="s">
        <v>1731</v>
      </c>
      <c r="C123" s="9" t="s">
        <v>10</v>
      </c>
      <c r="D123" s="9" t="s">
        <v>843</v>
      </c>
      <c r="E123" s="9"/>
    </row>
    <row r="124" customFormat="false" ht="15" hidden="false" customHeight="false" outlineLevel="0" collapsed="false">
      <c r="A124" s="9" t="s">
        <v>1732</v>
      </c>
      <c r="B124" s="9" t="s">
        <v>1733</v>
      </c>
      <c r="C124" s="10" t="s">
        <v>1598</v>
      </c>
      <c r="D124" s="9" t="s">
        <v>1692</v>
      </c>
      <c r="E124" s="9" t="s">
        <v>1693</v>
      </c>
    </row>
    <row r="125" customFormat="false" ht="15" hidden="false" customHeight="false" outlineLevel="0" collapsed="false">
      <c r="A125" s="9" t="s">
        <v>1734</v>
      </c>
      <c r="B125" s="9" t="s">
        <v>1702</v>
      </c>
      <c r="C125" s="9" t="s">
        <v>10</v>
      </c>
      <c r="D125" s="9" t="s">
        <v>1703</v>
      </c>
      <c r="E125" s="10" t="s">
        <v>1556</v>
      </c>
    </row>
    <row r="126" customFormat="false" ht="15" hidden="false" customHeight="false" outlineLevel="0" collapsed="false">
      <c r="A126" s="9" t="s">
        <v>1735</v>
      </c>
      <c r="B126" s="9" t="s">
        <v>1727</v>
      </c>
      <c r="C126" s="9" t="s">
        <v>10</v>
      </c>
      <c r="D126" s="9" t="s">
        <v>846</v>
      </c>
      <c r="E126" s="9"/>
    </row>
    <row r="127" customFormat="false" ht="15" hidden="false" customHeight="false" outlineLevel="0" collapsed="false">
      <c r="A127" s="9" t="s">
        <v>1736</v>
      </c>
      <c r="B127" s="9" t="s">
        <v>1737</v>
      </c>
      <c r="C127" s="10" t="s">
        <v>1598</v>
      </c>
      <c r="D127" s="9" t="s">
        <v>1692</v>
      </c>
      <c r="E127" s="9" t="s">
        <v>1693</v>
      </c>
    </row>
    <row r="128" customFormat="false" ht="15" hidden="false" customHeight="false" outlineLevel="0" collapsed="false">
      <c r="A128" s="9" t="s">
        <v>1738</v>
      </c>
      <c r="B128" s="9" t="s">
        <v>1697</v>
      </c>
      <c r="C128" s="9" t="s">
        <v>10</v>
      </c>
      <c r="D128" s="9" t="s">
        <v>846</v>
      </c>
      <c r="E128" s="9"/>
    </row>
    <row r="129" customFormat="false" ht="15" hidden="false" customHeight="false" outlineLevel="0" collapsed="false">
      <c r="A129" s="9" t="s">
        <v>1739</v>
      </c>
      <c r="B129" s="9" t="s">
        <v>1740</v>
      </c>
      <c r="C129" s="10" t="s">
        <v>1598</v>
      </c>
      <c r="D129" s="9" t="s">
        <v>1692</v>
      </c>
      <c r="E129" s="9" t="s">
        <v>1693</v>
      </c>
    </row>
    <row r="130" customFormat="false" ht="15" hidden="false" customHeight="false" outlineLevel="0" collapsed="false">
      <c r="A130" s="9" t="s">
        <v>1741</v>
      </c>
      <c r="B130" s="9" t="s">
        <v>1656</v>
      </c>
      <c r="C130" s="9" t="s">
        <v>10</v>
      </c>
      <c r="D130" s="9" t="s">
        <v>846</v>
      </c>
      <c r="E130" s="9"/>
    </row>
    <row r="131" customFormat="false" ht="15" hidden="false" customHeight="false" outlineLevel="0" collapsed="false">
      <c r="A131" s="9" t="s">
        <v>1742</v>
      </c>
      <c r="B131" s="9" t="s">
        <v>1743</v>
      </c>
      <c r="C131" s="10" t="s">
        <v>1598</v>
      </c>
      <c r="D131" s="9" t="s">
        <v>1692</v>
      </c>
      <c r="E131" s="9" t="s">
        <v>1693</v>
      </c>
    </row>
    <row r="132" customFormat="false" ht="15" hidden="false" customHeight="false" outlineLevel="0" collapsed="false">
      <c r="A132" s="9" t="s">
        <v>1744</v>
      </c>
      <c r="B132" s="9" t="s">
        <v>1702</v>
      </c>
      <c r="C132" s="9" t="s">
        <v>10</v>
      </c>
      <c r="D132" s="9" t="s">
        <v>1703</v>
      </c>
      <c r="E132" s="10" t="s">
        <v>1556</v>
      </c>
    </row>
    <row r="133" customFormat="false" ht="15" hidden="false" customHeight="false" outlineLevel="0" collapsed="false">
      <c r="A133" s="9" t="s">
        <v>1745</v>
      </c>
      <c r="B133" s="9" t="s">
        <v>1658</v>
      </c>
      <c r="C133" s="9" t="s">
        <v>10</v>
      </c>
      <c r="D133" s="9" t="s">
        <v>849</v>
      </c>
      <c r="E133" s="9"/>
    </row>
    <row r="134" customFormat="false" ht="15" hidden="false" customHeight="false" outlineLevel="0" collapsed="false">
      <c r="A134" s="9" t="s">
        <v>1746</v>
      </c>
      <c r="B134" s="9" t="s">
        <v>1747</v>
      </c>
      <c r="C134" s="10" t="s">
        <v>1598</v>
      </c>
      <c r="D134" s="9" t="s">
        <v>1692</v>
      </c>
      <c r="E134" s="9" t="s">
        <v>1693</v>
      </c>
    </row>
    <row r="135" customFormat="false" ht="15" hidden="false" customHeight="false" outlineLevel="0" collapsed="false">
      <c r="A135" s="9" t="s">
        <v>1748</v>
      </c>
      <c r="B135" s="9" t="s">
        <v>1670</v>
      </c>
      <c r="C135" s="9" t="s">
        <v>10</v>
      </c>
      <c r="D135" s="9" t="s">
        <v>849</v>
      </c>
      <c r="E135" s="9"/>
    </row>
    <row r="136" customFormat="false" ht="15" hidden="false" customHeight="false" outlineLevel="0" collapsed="false">
      <c r="A136" s="9" t="s">
        <v>1749</v>
      </c>
      <c r="B136" s="9" t="s">
        <v>1689</v>
      </c>
      <c r="C136" s="10" t="s">
        <v>1598</v>
      </c>
      <c r="D136" s="9" t="s">
        <v>1692</v>
      </c>
      <c r="E136" s="9" t="s">
        <v>1693</v>
      </c>
    </row>
    <row r="137" customFormat="false" ht="15" hidden="false" customHeight="false" outlineLevel="0" collapsed="false">
      <c r="A137" s="9" t="s">
        <v>1750</v>
      </c>
      <c r="B137" s="9" t="s">
        <v>1662</v>
      </c>
      <c r="C137" s="9" t="s">
        <v>10</v>
      </c>
      <c r="D137" s="9" t="s">
        <v>849</v>
      </c>
      <c r="E137" s="9"/>
    </row>
    <row r="138" customFormat="false" ht="15" hidden="false" customHeight="false" outlineLevel="0" collapsed="false">
      <c r="A138" s="9" t="s">
        <v>1751</v>
      </c>
      <c r="B138" s="9" t="s">
        <v>1697</v>
      </c>
      <c r="C138" s="10" t="s">
        <v>1598</v>
      </c>
      <c r="D138" s="9" t="s">
        <v>1692</v>
      </c>
      <c r="E138" s="9" t="s">
        <v>1693</v>
      </c>
    </row>
    <row r="139" customFormat="false" ht="15" hidden="false" customHeight="false" outlineLevel="0" collapsed="false">
      <c r="A139" s="9" t="s">
        <v>1752</v>
      </c>
      <c r="B139" s="9" t="s">
        <v>1702</v>
      </c>
      <c r="C139" s="9" t="s">
        <v>10</v>
      </c>
      <c r="D139" s="9" t="s">
        <v>1703</v>
      </c>
      <c r="E139" s="10" t="s">
        <v>1556</v>
      </c>
    </row>
    <row r="140" customFormat="false" ht="15" hidden="false" customHeight="false" outlineLevel="0" collapsed="false">
      <c r="A140" s="9" t="s">
        <v>1753</v>
      </c>
      <c r="B140" s="9" t="s">
        <v>1754</v>
      </c>
      <c r="C140" s="9" t="s">
        <v>10</v>
      </c>
      <c r="D140" s="9" t="s">
        <v>1755</v>
      </c>
      <c r="E140" s="10" t="s">
        <v>1756</v>
      </c>
    </row>
    <row r="141" customFormat="false" ht="15" hidden="false" customHeight="false" outlineLevel="0" collapsed="false">
      <c r="A141" s="9" t="s">
        <v>1757</v>
      </c>
      <c r="B141" s="9" t="s">
        <v>1758</v>
      </c>
      <c r="C141" s="9" t="s">
        <v>10</v>
      </c>
      <c r="D141" s="9" t="s">
        <v>852</v>
      </c>
      <c r="E141" s="9"/>
    </row>
    <row r="142" customFormat="false" ht="15" hidden="false" customHeight="false" outlineLevel="0" collapsed="false">
      <c r="A142" s="9" t="s">
        <v>1759</v>
      </c>
      <c r="B142" s="9" t="s">
        <v>1760</v>
      </c>
      <c r="C142" s="9" t="s">
        <v>10</v>
      </c>
      <c r="D142" s="9" t="s">
        <v>852</v>
      </c>
      <c r="E142" s="9"/>
    </row>
    <row r="143" customFormat="false" ht="15" hidden="false" customHeight="false" outlineLevel="0" collapsed="false">
      <c r="A143" s="9" t="s">
        <v>1761</v>
      </c>
      <c r="B143" s="9" t="s">
        <v>1762</v>
      </c>
      <c r="C143" s="9" t="s">
        <v>10</v>
      </c>
      <c r="D143" s="9" t="s">
        <v>852</v>
      </c>
      <c r="E143" s="9"/>
    </row>
    <row r="144" customFormat="false" ht="15" hidden="false" customHeight="false" outlineLevel="0" collapsed="false">
      <c r="A144" s="9" t="s">
        <v>1763</v>
      </c>
      <c r="B144" s="9" t="s">
        <v>1630</v>
      </c>
      <c r="C144" s="9" t="s">
        <v>10</v>
      </c>
      <c r="D144" s="9" t="s">
        <v>852</v>
      </c>
      <c r="E144" s="10" t="s">
        <v>1556</v>
      </c>
    </row>
    <row r="145" customFormat="false" ht="15" hidden="false" customHeight="false" outlineLevel="0" collapsed="false">
      <c r="A145" s="9" t="s">
        <v>1764</v>
      </c>
      <c r="B145" s="9" t="s">
        <v>1765</v>
      </c>
      <c r="C145" s="9" t="s">
        <v>10</v>
      </c>
      <c r="D145" s="9" t="s">
        <v>858</v>
      </c>
      <c r="E145" s="9"/>
    </row>
    <row r="146" customFormat="false" ht="15" hidden="false" customHeight="false" outlineLevel="0" collapsed="false">
      <c r="A146" s="9" t="s">
        <v>1766</v>
      </c>
      <c r="B146" s="9" t="s">
        <v>1767</v>
      </c>
      <c r="C146" s="9" t="s">
        <v>10</v>
      </c>
      <c r="D146" s="9" t="s">
        <v>858</v>
      </c>
      <c r="E146" s="9"/>
    </row>
    <row r="147" customFormat="false" ht="15" hidden="false" customHeight="false" outlineLevel="0" collapsed="false">
      <c r="A147" s="9" t="s">
        <v>1768</v>
      </c>
      <c r="B147" s="9" t="s">
        <v>1769</v>
      </c>
      <c r="C147" s="9" t="s">
        <v>10</v>
      </c>
      <c r="D147" s="9" t="s">
        <v>858</v>
      </c>
      <c r="E147" s="9"/>
    </row>
    <row r="148" customFormat="false" ht="15" hidden="false" customHeight="false" outlineLevel="0" collapsed="false">
      <c r="A148" s="9" t="s">
        <v>1770</v>
      </c>
      <c r="B148" s="9" t="s">
        <v>1630</v>
      </c>
      <c r="C148" s="9" t="s">
        <v>10</v>
      </c>
      <c r="D148" s="9" t="s">
        <v>858</v>
      </c>
      <c r="E148" s="10" t="s">
        <v>1556</v>
      </c>
    </row>
    <row r="149" customFormat="false" ht="15" hidden="false" customHeight="false" outlineLevel="0" collapsed="false">
      <c r="A149" s="9" t="s">
        <v>1771</v>
      </c>
      <c r="B149" s="9" t="s">
        <v>1765</v>
      </c>
      <c r="C149" s="9" t="s">
        <v>10</v>
      </c>
      <c r="D149" s="9" t="s">
        <v>861</v>
      </c>
      <c r="E149" s="9"/>
    </row>
    <row r="150" customFormat="false" ht="15" hidden="false" customHeight="false" outlineLevel="0" collapsed="false">
      <c r="A150" s="9" t="s">
        <v>1772</v>
      </c>
      <c r="B150" s="9" t="s">
        <v>1767</v>
      </c>
      <c r="C150" s="9" t="s">
        <v>10</v>
      </c>
      <c r="D150" s="9" t="s">
        <v>861</v>
      </c>
      <c r="E150" s="9"/>
    </row>
    <row r="151" customFormat="false" ht="15" hidden="false" customHeight="false" outlineLevel="0" collapsed="false">
      <c r="A151" s="9" t="s">
        <v>1773</v>
      </c>
      <c r="B151" s="9" t="s">
        <v>1769</v>
      </c>
      <c r="C151" s="9" t="s">
        <v>10</v>
      </c>
      <c r="D151" s="9" t="s">
        <v>861</v>
      </c>
      <c r="E151" s="9"/>
    </row>
    <row r="152" customFormat="false" ht="15" hidden="false" customHeight="false" outlineLevel="0" collapsed="false">
      <c r="A152" s="9" t="s">
        <v>1774</v>
      </c>
      <c r="B152" s="9" t="s">
        <v>1630</v>
      </c>
      <c r="C152" s="9" t="s">
        <v>10</v>
      </c>
      <c r="D152" s="9" t="s">
        <v>861</v>
      </c>
      <c r="E152" s="10" t="s">
        <v>1556</v>
      </c>
    </row>
    <row r="153" customFormat="false" ht="15" hidden="false" customHeight="false" outlineLevel="0" collapsed="false">
      <c r="A153" s="9" t="s">
        <v>1775</v>
      </c>
      <c r="B153" s="9" t="s">
        <v>1666</v>
      </c>
      <c r="C153" s="9" t="s">
        <v>6</v>
      </c>
      <c r="D153" s="9" t="s">
        <v>215</v>
      </c>
      <c r="E153" s="9"/>
    </row>
    <row r="154" customFormat="false" ht="15" hidden="false" customHeight="false" outlineLevel="0" collapsed="false">
      <c r="A154" s="9" t="s">
        <v>1776</v>
      </c>
      <c r="B154" s="9" t="s">
        <v>1625</v>
      </c>
      <c r="C154" s="9" t="s">
        <v>6</v>
      </c>
      <c r="D154" s="9" t="s">
        <v>215</v>
      </c>
      <c r="E154" s="10" t="s">
        <v>1556</v>
      </c>
    </row>
    <row r="155" customFormat="false" ht="15" hidden="false" customHeight="false" outlineLevel="0" collapsed="false">
      <c r="A155" s="9" t="s">
        <v>1777</v>
      </c>
      <c r="B155" s="9" t="s">
        <v>1778</v>
      </c>
      <c r="C155" s="9" t="s">
        <v>6</v>
      </c>
      <c r="D155" s="9" t="s">
        <v>215</v>
      </c>
      <c r="E155" s="10" t="s">
        <v>1556</v>
      </c>
    </row>
    <row r="156" customFormat="false" ht="15" hidden="false" customHeight="false" outlineLevel="0" collapsed="false">
      <c r="A156" s="9" t="s">
        <v>1779</v>
      </c>
      <c r="B156" s="9" t="s">
        <v>1717</v>
      </c>
      <c r="C156" s="9" t="s">
        <v>10</v>
      </c>
      <c r="D156" s="9" t="s">
        <v>864</v>
      </c>
      <c r="E156" s="9"/>
    </row>
    <row r="157" customFormat="false" ht="15" hidden="false" customHeight="false" outlineLevel="0" collapsed="false">
      <c r="A157" s="9" t="s">
        <v>1780</v>
      </c>
      <c r="B157" s="9" t="s">
        <v>1781</v>
      </c>
      <c r="C157" s="9" t="s">
        <v>10</v>
      </c>
      <c r="D157" s="9" t="s">
        <v>869</v>
      </c>
      <c r="E157" s="9"/>
    </row>
    <row r="158" customFormat="false" ht="15" hidden="false" customHeight="false" outlineLevel="0" collapsed="false">
      <c r="A158" s="9" t="s">
        <v>1782</v>
      </c>
      <c r="B158" s="9" t="s">
        <v>1783</v>
      </c>
      <c r="C158" s="9" t="s">
        <v>10</v>
      </c>
      <c r="D158" s="9" t="s">
        <v>864</v>
      </c>
      <c r="E158" s="9"/>
    </row>
    <row r="159" customFormat="false" ht="15" hidden="false" customHeight="false" outlineLevel="0" collapsed="false">
      <c r="A159" s="9" t="s">
        <v>1784</v>
      </c>
      <c r="B159" s="9" t="s">
        <v>1785</v>
      </c>
      <c r="C159" s="9" t="s">
        <v>10</v>
      </c>
      <c r="D159" s="9" t="s">
        <v>869</v>
      </c>
      <c r="E159" s="9"/>
    </row>
    <row r="160" customFormat="false" ht="15" hidden="false" customHeight="false" outlineLevel="0" collapsed="false">
      <c r="A160" s="9" t="s">
        <v>1786</v>
      </c>
      <c r="B160" s="9" t="s">
        <v>1670</v>
      </c>
      <c r="C160" s="9" t="s">
        <v>10</v>
      </c>
      <c r="D160" s="9" t="s">
        <v>864</v>
      </c>
      <c r="E160" s="9"/>
    </row>
    <row r="161" customFormat="false" ht="15" hidden="false" customHeight="false" outlineLevel="0" collapsed="false">
      <c r="A161" s="9" t="s">
        <v>1787</v>
      </c>
      <c r="B161" s="9" t="s">
        <v>1783</v>
      </c>
      <c r="C161" s="9" t="s">
        <v>10</v>
      </c>
      <c r="D161" s="9" t="s">
        <v>869</v>
      </c>
      <c r="E161" s="9"/>
    </row>
    <row r="162" customFormat="false" ht="15" hidden="false" customHeight="false" outlineLevel="0" collapsed="false">
      <c r="A162" s="9" t="s">
        <v>1788</v>
      </c>
      <c r="B162" s="9" t="s">
        <v>1630</v>
      </c>
      <c r="C162" s="9" t="s">
        <v>10</v>
      </c>
      <c r="D162" s="9" t="s">
        <v>869</v>
      </c>
      <c r="E162" s="10" t="s">
        <v>1556</v>
      </c>
    </row>
    <row r="163" customFormat="false" ht="15" hidden="false" customHeight="false" outlineLevel="0" collapsed="false">
      <c r="A163" s="9" t="s">
        <v>1789</v>
      </c>
      <c r="B163" s="9" t="s">
        <v>1717</v>
      </c>
      <c r="C163" s="9" t="s">
        <v>10</v>
      </c>
      <c r="D163" s="9" t="s">
        <v>871</v>
      </c>
      <c r="E163" s="9"/>
    </row>
    <row r="164" customFormat="false" ht="15" hidden="false" customHeight="false" outlineLevel="0" collapsed="false">
      <c r="A164" s="9" t="s">
        <v>1790</v>
      </c>
      <c r="B164" s="9" t="s">
        <v>1791</v>
      </c>
      <c r="C164" s="9" t="s">
        <v>10</v>
      </c>
      <c r="D164" s="9" t="s">
        <v>874</v>
      </c>
      <c r="E164" s="9"/>
    </row>
    <row r="165" customFormat="false" ht="15" hidden="false" customHeight="false" outlineLevel="0" collapsed="false">
      <c r="A165" s="9" t="s">
        <v>1792</v>
      </c>
      <c r="B165" s="9" t="s">
        <v>1793</v>
      </c>
      <c r="C165" s="9" t="s">
        <v>10</v>
      </c>
      <c r="D165" s="9" t="s">
        <v>871</v>
      </c>
      <c r="E165" s="9"/>
    </row>
    <row r="166" customFormat="false" ht="15" hidden="false" customHeight="false" outlineLevel="0" collapsed="false">
      <c r="A166" s="9" t="s">
        <v>1794</v>
      </c>
      <c r="B166" s="9" t="s">
        <v>1795</v>
      </c>
      <c r="C166" s="9" t="s">
        <v>10</v>
      </c>
      <c r="D166" s="9" t="s">
        <v>874</v>
      </c>
      <c r="E166" s="9"/>
    </row>
    <row r="167" customFormat="false" ht="15" hidden="false" customHeight="false" outlineLevel="0" collapsed="false">
      <c r="A167" s="9" t="s">
        <v>1796</v>
      </c>
      <c r="B167" s="9" t="s">
        <v>1670</v>
      </c>
      <c r="C167" s="9" t="s">
        <v>10</v>
      </c>
      <c r="D167" s="9" t="s">
        <v>871</v>
      </c>
      <c r="E167" s="9"/>
    </row>
    <row r="168" customFormat="false" ht="15" hidden="false" customHeight="false" outlineLevel="0" collapsed="false">
      <c r="A168" s="9" t="s">
        <v>1797</v>
      </c>
      <c r="B168" s="9" t="s">
        <v>1798</v>
      </c>
      <c r="C168" s="9" t="s">
        <v>10</v>
      </c>
      <c r="D168" s="9" t="s">
        <v>874</v>
      </c>
      <c r="E168" s="9"/>
    </row>
    <row r="169" customFormat="false" ht="15" hidden="false" customHeight="false" outlineLevel="0" collapsed="false">
      <c r="A169" s="9" t="s">
        <v>1799</v>
      </c>
      <c r="B169" s="9" t="s">
        <v>1630</v>
      </c>
      <c r="C169" s="9" t="s">
        <v>10</v>
      </c>
      <c r="D169" s="9" t="s">
        <v>874</v>
      </c>
      <c r="E169" s="10" t="s">
        <v>1556</v>
      </c>
    </row>
    <row r="170" customFormat="false" ht="15" hidden="false" customHeight="false" outlineLevel="0" collapsed="false">
      <c r="A170" s="9" t="s">
        <v>1800</v>
      </c>
      <c r="B170" s="9" t="s">
        <v>1614</v>
      </c>
      <c r="C170" s="10" t="s">
        <v>1598</v>
      </c>
      <c r="D170" s="9" t="s">
        <v>1801</v>
      </c>
      <c r="E170" s="9" t="s">
        <v>1802</v>
      </c>
    </row>
    <row r="171" customFormat="false" ht="15" hidden="false" customHeight="false" outlineLevel="0" collapsed="false">
      <c r="A171" s="9" t="s">
        <v>1803</v>
      </c>
      <c r="B171" s="9" t="s">
        <v>1717</v>
      </c>
      <c r="C171" s="10" t="s">
        <v>1598</v>
      </c>
      <c r="D171" s="9" t="s">
        <v>1801</v>
      </c>
      <c r="E171" s="9" t="s">
        <v>1802</v>
      </c>
    </row>
    <row r="172" customFormat="false" ht="15" hidden="false" customHeight="false" outlineLevel="0" collapsed="false">
      <c r="A172" s="9" t="s">
        <v>1804</v>
      </c>
      <c r="B172" s="9" t="s">
        <v>1666</v>
      </c>
      <c r="C172" s="10" t="s">
        <v>1598</v>
      </c>
      <c r="D172" s="9" t="s">
        <v>1801</v>
      </c>
      <c r="E172" s="9" t="s">
        <v>1802</v>
      </c>
    </row>
    <row r="173" customFormat="false" ht="15" hidden="false" customHeight="false" outlineLevel="0" collapsed="false">
      <c r="A173" s="9" t="s">
        <v>1805</v>
      </c>
      <c r="B173" s="9" t="s">
        <v>1783</v>
      </c>
      <c r="C173" s="10" t="s">
        <v>1598</v>
      </c>
      <c r="D173" s="9" t="s">
        <v>1801</v>
      </c>
      <c r="E173" s="9" t="s">
        <v>1802</v>
      </c>
    </row>
    <row r="174" customFormat="false" ht="15" hidden="false" customHeight="false" outlineLevel="0" collapsed="false">
      <c r="A174" s="9" t="s">
        <v>1806</v>
      </c>
      <c r="B174" s="9" t="s">
        <v>1795</v>
      </c>
      <c r="C174" s="10" t="s">
        <v>1598</v>
      </c>
      <c r="D174" s="9" t="s">
        <v>1801</v>
      </c>
      <c r="E174" s="9" t="s">
        <v>1802</v>
      </c>
    </row>
    <row r="175" customFormat="false" ht="15" hidden="false" customHeight="false" outlineLevel="0" collapsed="false">
      <c r="A175" s="9" t="s">
        <v>1807</v>
      </c>
      <c r="B175" s="9" t="s">
        <v>1798</v>
      </c>
      <c r="C175" s="10" t="s">
        <v>1598</v>
      </c>
      <c r="D175" s="9" t="s">
        <v>1801</v>
      </c>
      <c r="E175" s="9" t="s">
        <v>1802</v>
      </c>
    </row>
    <row r="176" customFormat="false" ht="15" hidden="false" customHeight="false" outlineLevel="0" collapsed="false">
      <c r="A176" s="9" t="s">
        <v>1808</v>
      </c>
      <c r="B176" s="9" t="s">
        <v>1630</v>
      </c>
      <c r="C176" s="10" t="s">
        <v>1598</v>
      </c>
      <c r="D176" s="9" t="s">
        <v>1801</v>
      </c>
      <c r="E176" s="9" t="s">
        <v>1802</v>
      </c>
    </row>
    <row r="177" customFormat="false" ht="15" hidden="false" customHeight="false" outlineLevel="0" collapsed="false">
      <c r="A177" s="9" t="s">
        <v>1809</v>
      </c>
      <c r="B177" s="9" t="s">
        <v>1810</v>
      </c>
      <c r="C177" s="10" t="s">
        <v>1598</v>
      </c>
      <c r="D177" s="9" t="s">
        <v>1801</v>
      </c>
      <c r="E177" s="9" t="s">
        <v>1802</v>
      </c>
    </row>
    <row r="178" customFormat="false" ht="15" hidden="false" customHeight="false" outlineLevel="0" collapsed="false">
      <c r="A178" s="9" t="s">
        <v>1811</v>
      </c>
      <c r="B178" s="9" t="s">
        <v>1614</v>
      </c>
      <c r="C178" s="9" t="s">
        <v>10</v>
      </c>
      <c r="D178" s="9" t="s">
        <v>875</v>
      </c>
      <c r="E178" s="9"/>
    </row>
    <row r="179" customFormat="false" ht="15" hidden="false" customHeight="false" outlineLevel="0" collapsed="false">
      <c r="A179" s="9" t="s">
        <v>1812</v>
      </c>
      <c r="B179" s="9" t="s">
        <v>1666</v>
      </c>
      <c r="C179" s="9" t="s">
        <v>10</v>
      </c>
      <c r="D179" s="9" t="s">
        <v>875</v>
      </c>
      <c r="E179" s="9"/>
    </row>
    <row r="180" customFormat="false" ht="15" hidden="false" customHeight="false" outlineLevel="0" collapsed="false">
      <c r="A180" s="9" t="s">
        <v>1813</v>
      </c>
      <c r="B180" s="9" t="s">
        <v>1795</v>
      </c>
      <c r="C180" s="9" t="s">
        <v>10</v>
      </c>
      <c r="D180" s="9" t="s">
        <v>875</v>
      </c>
      <c r="E180" s="9"/>
    </row>
    <row r="181" customFormat="false" ht="15" hidden="false" customHeight="false" outlineLevel="0" collapsed="false">
      <c r="A181" s="9" t="s">
        <v>1814</v>
      </c>
      <c r="B181" s="9" t="s">
        <v>1815</v>
      </c>
      <c r="C181" s="9" t="s">
        <v>10</v>
      </c>
      <c r="D181" s="9" t="s">
        <v>875</v>
      </c>
      <c r="E181" s="10" t="s">
        <v>1556</v>
      </c>
    </row>
    <row r="182" customFormat="false" ht="15" hidden="false" customHeight="false" outlineLevel="0" collapsed="false">
      <c r="A182" s="9" t="s">
        <v>1816</v>
      </c>
      <c r="B182" s="9" t="s">
        <v>1817</v>
      </c>
      <c r="C182" s="9" t="s">
        <v>10</v>
      </c>
      <c r="D182" s="9" t="s">
        <v>875</v>
      </c>
      <c r="E182" s="10" t="s">
        <v>1556</v>
      </c>
    </row>
    <row r="183" customFormat="false" ht="15" hidden="false" customHeight="false" outlineLevel="0" collapsed="false">
      <c r="A183" s="9" t="s">
        <v>1818</v>
      </c>
      <c r="B183" s="9" t="s">
        <v>1798</v>
      </c>
      <c r="C183" s="9" t="s">
        <v>10</v>
      </c>
      <c r="D183" s="9" t="s">
        <v>878</v>
      </c>
      <c r="E183" s="9"/>
    </row>
    <row r="184" customFormat="false" ht="15" hidden="false" customHeight="false" outlineLevel="0" collapsed="false">
      <c r="A184" s="9" t="s">
        <v>1819</v>
      </c>
      <c r="B184" s="9" t="s">
        <v>1793</v>
      </c>
      <c r="C184" s="9" t="s">
        <v>10</v>
      </c>
      <c r="D184" s="9" t="s">
        <v>878</v>
      </c>
      <c r="E184" s="9"/>
    </row>
    <row r="185" customFormat="false" ht="15" hidden="false" customHeight="false" outlineLevel="0" collapsed="false">
      <c r="A185" s="9" t="s">
        <v>1820</v>
      </c>
      <c r="B185" s="9" t="s">
        <v>1821</v>
      </c>
      <c r="C185" s="9" t="s">
        <v>10</v>
      </c>
      <c r="D185" s="9" t="s">
        <v>878</v>
      </c>
      <c r="E185" s="9"/>
    </row>
    <row r="186" customFormat="false" ht="15" hidden="false" customHeight="false" outlineLevel="0" collapsed="false">
      <c r="A186" s="9" t="s">
        <v>1822</v>
      </c>
      <c r="B186" s="9" t="s">
        <v>1630</v>
      </c>
      <c r="C186" s="9" t="s">
        <v>10</v>
      </c>
      <c r="D186" s="9" t="s">
        <v>878</v>
      </c>
      <c r="E186" s="10" t="s">
        <v>1556</v>
      </c>
    </row>
    <row r="187" customFormat="false" ht="15" hidden="false" customHeight="false" outlineLevel="0" collapsed="false">
      <c r="A187" s="9" t="s">
        <v>1823</v>
      </c>
      <c r="B187" s="9" t="s">
        <v>1614</v>
      </c>
      <c r="C187" s="9" t="s">
        <v>10</v>
      </c>
      <c r="D187" s="9" t="s">
        <v>881</v>
      </c>
      <c r="E187" s="9"/>
    </row>
    <row r="188" customFormat="false" ht="15" hidden="false" customHeight="false" outlineLevel="0" collapsed="false">
      <c r="A188" s="9" t="s">
        <v>1824</v>
      </c>
      <c r="B188" s="9" t="s">
        <v>1666</v>
      </c>
      <c r="C188" s="9" t="s">
        <v>10</v>
      </c>
      <c r="D188" s="9" t="s">
        <v>881</v>
      </c>
      <c r="E188" s="9"/>
    </row>
    <row r="189" customFormat="false" ht="15" hidden="false" customHeight="false" outlineLevel="0" collapsed="false">
      <c r="A189" s="9" t="s">
        <v>1825</v>
      </c>
      <c r="B189" s="9" t="s">
        <v>1793</v>
      </c>
      <c r="C189" s="9" t="s">
        <v>10</v>
      </c>
      <c r="D189" s="9" t="s">
        <v>881</v>
      </c>
      <c r="E189" s="9"/>
    </row>
    <row r="190" customFormat="false" ht="15" hidden="false" customHeight="false" outlineLevel="0" collapsed="false">
      <c r="A190" s="9" t="s">
        <v>1826</v>
      </c>
      <c r="B190" s="9" t="s">
        <v>1630</v>
      </c>
      <c r="C190" s="9" t="s">
        <v>10</v>
      </c>
      <c r="D190" s="9" t="s">
        <v>881</v>
      </c>
      <c r="E190" s="10" t="s">
        <v>1556</v>
      </c>
    </row>
    <row r="191" customFormat="false" ht="15" hidden="false" customHeight="false" outlineLevel="0" collapsed="false">
      <c r="A191" s="9" t="s">
        <v>1827</v>
      </c>
      <c r="B191" s="9" t="s">
        <v>1828</v>
      </c>
      <c r="C191" s="9" t="s">
        <v>10</v>
      </c>
      <c r="D191" s="9" t="s">
        <v>881</v>
      </c>
      <c r="E191" s="10" t="s">
        <v>1556</v>
      </c>
    </row>
    <row r="192" customFormat="false" ht="15" hidden="false" customHeight="false" outlineLevel="0" collapsed="false">
      <c r="A192" s="9" t="s">
        <v>1829</v>
      </c>
      <c r="B192" s="9" t="s">
        <v>1830</v>
      </c>
      <c r="C192" s="9" t="s">
        <v>10</v>
      </c>
      <c r="D192" s="9" t="s">
        <v>884</v>
      </c>
      <c r="E192" s="9"/>
    </row>
    <row r="193" customFormat="false" ht="15" hidden="false" customHeight="false" outlineLevel="0" collapsed="false">
      <c r="A193" s="9" t="s">
        <v>1831</v>
      </c>
      <c r="B193" s="9" t="s">
        <v>1832</v>
      </c>
      <c r="C193" s="9" t="s">
        <v>10</v>
      </c>
      <c r="D193" s="9" t="s">
        <v>884</v>
      </c>
      <c r="E193" s="9"/>
    </row>
    <row r="194" customFormat="false" ht="15" hidden="false" customHeight="false" outlineLevel="0" collapsed="false">
      <c r="A194" s="9" t="s">
        <v>1833</v>
      </c>
      <c r="B194" s="9" t="s">
        <v>1834</v>
      </c>
      <c r="C194" s="9" t="s">
        <v>10</v>
      </c>
      <c r="D194" s="9" t="s">
        <v>884</v>
      </c>
      <c r="E194" s="9"/>
    </row>
    <row r="195" customFormat="false" ht="15" hidden="false" customHeight="false" outlineLevel="0" collapsed="false">
      <c r="A195" s="9" t="s">
        <v>1835</v>
      </c>
      <c r="B195" s="9" t="s">
        <v>1836</v>
      </c>
      <c r="C195" s="9" t="s">
        <v>10</v>
      </c>
      <c r="D195" s="9" t="s">
        <v>884</v>
      </c>
      <c r="E195" s="10" t="s">
        <v>1556</v>
      </c>
    </row>
    <row r="196" customFormat="false" ht="15" hidden="false" customHeight="false" outlineLevel="0" collapsed="false">
      <c r="A196" s="9" t="s">
        <v>1837</v>
      </c>
      <c r="B196" s="9" t="s">
        <v>1630</v>
      </c>
      <c r="C196" s="9" t="s">
        <v>10</v>
      </c>
      <c r="D196" s="9" t="s">
        <v>884</v>
      </c>
      <c r="E196" s="10" t="s">
        <v>1556</v>
      </c>
    </row>
    <row r="197" customFormat="false" ht="15" hidden="false" customHeight="false" outlineLevel="0" collapsed="false">
      <c r="A197" s="9" t="s">
        <v>1838</v>
      </c>
      <c r="B197" s="9" t="s">
        <v>1839</v>
      </c>
      <c r="C197" s="9" t="s">
        <v>10</v>
      </c>
      <c r="D197" s="9" t="s">
        <v>884</v>
      </c>
      <c r="E197" s="10" t="s">
        <v>1556</v>
      </c>
    </row>
    <row r="198" customFormat="false" ht="15" hidden="false" customHeight="false" outlineLevel="0" collapsed="false">
      <c r="A198" s="9" t="s">
        <v>1840</v>
      </c>
      <c r="B198" s="9" t="s">
        <v>1841</v>
      </c>
      <c r="C198" s="9" t="s">
        <v>10</v>
      </c>
      <c r="D198" s="9" t="s">
        <v>1842</v>
      </c>
      <c r="E198" s="10" t="s">
        <v>1843</v>
      </c>
    </row>
    <row r="199" customFormat="false" ht="15" hidden="false" customHeight="false" outlineLevel="0" collapsed="false">
      <c r="A199" s="9" t="s">
        <v>1844</v>
      </c>
      <c r="B199" s="9" t="s">
        <v>1634</v>
      </c>
      <c r="C199" s="9" t="s">
        <v>10</v>
      </c>
      <c r="D199" s="9" t="s">
        <v>889</v>
      </c>
      <c r="E199" s="9"/>
    </row>
    <row r="200" customFormat="false" ht="15" hidden="false" customHeight="false" outlineLevel="0" collapsed="false">
      <c r="A200" s="9" t="s">
        <v>1845</v>
      </c>
      <c r="B200" s="9" t="s">
        <v>1846</v>
      </c>
      <c r="C200" s="9" t="s">
        <v>10</v>
      </c>
      <c r="D200" s="9" t="s">
        <v>893</v>
      </c>
      <c r="E200" s="9"/>
    </row>
    <row r="201" customFormat="false" ht="15" hidden="false" customHeight="false" outlineLevel="0" collapsed="false">
      <c r="A201" s="9" t="s">
        <v>1847</v>
      </c>
      <c r="B201" s="9" t="s">
        <v>1791</v>
      </c>
      <c r="C201" s="9" t="s">
        <v>10</v>
      </c>
      <c r="D201" s="9" t="s">
        <v>894</v>
      </c>
      <c r="E201" s="9"/>
    </row>
    <row r="202" customFormat="false" ht="15" hidden="false" customHeight="false" outlineLevel="0" collapsed="false">
      <c r="A202" s="9" t="s">
        <v>1848</v>
      </c>
      <c r="B202" s="9" t="s">
        <v>1795</v>
      </c>
      <c r="C202" s="9" t="s">
        <v>10</v>
      </c>
      <c r="D202" s="9" t="s">
        <v>896</v>
      </c>
      <c r="E202" s="9"/>
    </row>
    <row r="203" customFormat="false" ht="15" hidden="false" customHeight="false" outlineLevel="0" collapsed="false">
      <c r="A203" s="9" t="s">
        <v>1849</v>
      </c>
      <c r="B203" s="9" t="s">
        <v>1783</v>
      </c>
      <c r="C203" s="9" t="s">
        <v>10</v>
      </c>
      <c r="D203" s="9" t="s">
        <v>898</v>
      </c>
      <c r="E203" s="9"/>
    </row>
    <row r="204" customFormat="false" ht="15" hidden="false" customHeight="false" outlineLevel="0" collapsed="false">
      <c r="A204" s="9" t="s">
        <v>1850</v>
      </c>
      <c r="B204" s="9" t="s">
        <v>1614</v>
      </c>
      <c r="C204" s="9" t="s">
        <v>10</v>
      </c>
      <c r="D204" s="9" t="s">
        <v>900</v>
      </c>
      <c r="E204" s="9"/>
    </row>
    <row r="205" customFormat="false" ht="15" hidden="false" customHeight="false" outlineLevel="0" collapsed="false">
      <c r="A205" s="9" t="s">
        <v>1851</v>
      </c>
      <c r="B205" s="9" t="s">
        <v>1630</v>
      </c>
      <c r="C205" s="9" t="s">
        <v>10</v>
      </c>
      <c r="D205" s="9" t="s">
        <v>905</v>
      </c>
      <c r="E205" s="10" t="s">
        <v>1556</v>
      </c>
    </row>
    <row r="206" customFormat="false" ht="15" hidden="false" customHeight="false" outlineLevel="0" collapsed="false">
      <c r="A206" s="9" t="s">
        <v>1852</v>
      </c>
      <c r="B206" s="9" t="s">
        <v>1670</v>
      </c>
      <c r="C206" s="9" t="s">
        <v>10</v>
      </c>
      <c r="D206" s="9" t="s">
        <v>902</v>
      </c>
      <c r="E206" s="9"/>
    </row>
    <row r="207" customFormat="false" ht="15" hidden="false" customHeight="false" outlineLevel="0" collapsed="false">
      <c r="A207" s="9" t="s">
        <v>1853</v>
      </c>
      <c r="B207" s="9" t="s">
        <v>1695</v>
      </c>
      <c r="C207" s="9" t="s">
        <v>10</v>
      </c>
      <c r="D207" s="9" t="s">
        <v>905</v>
      </c>
      <c r="E207" s="9"/>
    </row>
    <row r="208" customFormat="false" ht="15" hidden="false" customHeight="false" outlineLevel="0" collapsed="false">
      <c r="A208" s="9" t="s">
        <v>1854</v>
      </c>
      <c r="B208" s="9" t="s">
        <v>1634</v>
      </c>
      <c r="C208" s="9" t="s">
        <v>10</v>
      </c>
      <c r="D208" s="9" t="s">
        <v>907</v>
      </c>
      <c r="E208" s="9"/>
    </row>
    <row r="209" customFormat="false" ht="15" hidden="false" customHeight="false" outlineLevel="0" collapsed="false">
      <c r="A209" s="9" t="s">
        <v>1855</v>
      </c>
      <c r="B209" s="9" t="s">
        <v>1614</v>
      </c>
      <c r="C209" s="9" t="s">
        <v>10</v>
      </c>
      <c r="D209" s="9" t="s">
        <v>910</v>
      </c>
      <c r="E209" s="9"/>
    </row>
    <row r="210" customFormat="false" ht="15" hidden="false" customHeight="false" outlineLevel="0" collapsed="false">
      <c r="A210" s="9" t="s">
        <v>1856</v>
      </c>
      <c r="B210" s="9" t="s">
        <v>1781</v>
      </c>
      <c r="C210" s="9" t="s">
        <v>10</v>
      </c>
      <c r="D210" s="9" t="s">
        <v>911</v>
      </c>
      <c r="E210" s="9"/>
    </row>
    <row r="211" customFormat="false" ht="15" hidden="false" customHeight="false" outlineLevel="0" collapsed="false">
      <c r="A211" s="9" t="s">
        <v>1857</v>
      </c>
      <c r="B211" s="9" t="s">
        <v>1858</v>
      </c>
      <c r="C211" s="9" t="s">
        <v>10</v>
      </c>
      <c r="D211" s="9" t="s">
        <v>912</v>
      </c>
      <c r="E211" s="9"/>
    </row>
    <row r="212" customFormat="false" ht="15" hidden="false" customHeight="false" outlineLevel="0" collapsed="false">
      <c r="A212" s="9" t="s">
        <v>1859</v>
      </c>
      <c r="B212" s="9" t="s">
        <v>1666</v>
      </c>
      <c r="C212" s="9" t="s">
        <v>10</v>
      </c>
      <c r="D212" s="9" t="s">
        <v>913</v>
      </c>
      <c r="E212" s="9"/>
    </row>
    <row r="213" customFormat="false" ht="15" hidden="false" customHeight="false" outlineLevel="0" collapsed="false">
      <c r="A213" s="9" t="s">
        <v>1860</v>
      </c>
      <c r="B213" s="9" t="s">
        <v>1785</v>
      </c>
      <c r="C213" s="9" t="s">
        <v>10</v>
      </c>
      <c r="D213" s="9" t="s">
        <v>914</v>
      </c>
      <c r="E213" s="9"/>
    </row>
    <row r="214" customFormat="false" ht="15" hidden="false" customHeight="false" outlineLevel="0" collapsed="false">
      <c r="A214" s="9" t="s">
        <v>1861</v>
      </c>
      <c r="B214" s="9" t="s">
        <v>1630</v>
      </c>
      <c r="C214" s="9" t="s">
        <v>10</v>
      </c>
      <c r="D214" s="9" t="s">
        <v>917</v>
      </c>
      <c r="E214" s="10" t="s">
        <v>1556</v>
      </c>
    </row>
    <row r="215" customFormat="false" ht="15" hidden="false" customHeight="false" outlineLevel="0" collapsed="false">
      <c r="A215" s="9" t="s">
        <v>1862</v>
      </c>
      <c r="B215" s="9" t="s">
        <v>1670</v>
      </c>
      <c r="C215" s="9" t="s">
        <v>10</v>
      </c>
      <c r="D215" s="9" t="s">
        <v>915</v>
      </c>
      <c r="E215" s="9"/>
    </row>
    <row r="216" customFormat="false" ht="15" hidden="false" customHeight="false" outlineLevel="0" collapsed="false">
      <c r="A216" s="9" t="s">
        <v>1863</v>
      </c>
      <c r="B216" s="9" t="s">
        <v>1695</v>
      </c>
      <c r="C216" s="9" t="s">
        <v>10</v>
      </c>
      <c r="D216" s="9" t="s">
        <v>917</v>
      </c>
      <c r="E216" s="9"/>
    </row>
    <row r="217" customFormat="false" ht="15" hidden="false" customHeight="false" outlineLevel="0" collapsed="false">
      <c r="A217" s="9" t="s">
        <v>1864</v>
      </c>
      <c r="B217" s="9" t="s">
        <v>1865</v>
      </c>
      <c r="C217" s="9" t="s">
        <v>10</v>
      </c>
      <c r="D217" s="9" t="s">
        <v>919</v>
      </c>
      <c r="E217" s="9"/>
    </row>
    <row r="218" customFormat="false" ht="15" hidden="false" customHeight="false" outlineLevel="0" collapsed="false">
      <c r="A218" s="9" t="s">
        <v>1866</v>
      </c>
      <c r="B218" s="9" t="s">
        <v>1867</v>
      </c>
      <c r="C218" s="9" t="s">
        <v>10</v>
      </c>
      <c r="D218" s="9" t="s">
        <v>919</v>
      </c>
      <c r="E218" s="9"/>
    </row>
    <row r="219" customFormat="false" ht="15" hidden="false" customHeight="false" outlineLevel="0" collapsed="false">
      <c r="A219" s="9" t="s">
        <v>1868</v>
      </c>
      <c r="B219" s="9" t="s">
        <v>1869</v>
      </c>
      <c r="C219" s="9" t="s">
        <v>10</v>
      </c>
      <c r="D219" s="9" t="s">
        <v>919</v>
      </c>
      <c r="E219" s="9"/>
    </row>
    <row r="220" customFormat="false" ht="15" hidden="false" customHeight="false" outlineLevel="0" collapsed="false">
      <c r="A220" s="9" t="s">
        <v>1870</v>
      </c>
      <c r="B220" s="9" t="s">
        <v>1630</v>
      </c>
      <c r="C220" s="9" t="s">
        <v>10</v>
      </c>
      <c r="D220" s="9" t="s">
        <v>919</v>
      </c>
      <c r="E220" s="10" t="s">
        <v>1556</v>
      </c>
    </row>
    <row r="221" customFormat="false" ht="15" hidden="false" customHeight="false" outlineLevel="0" collapsed="false">
      <c r="A221" s="9" t="s">
        <v>1871</v>
      </c>
      <c r="B221" s="9" t="s">
        <v>1872</v>
      </c>
      <c r="C221" s="9" t="s">
        <v>10</v>
      </c>
      <c r="D221" s="9" t="s">
        <v>919</v>
      </c>
      <c r="E221" s="10" t="s">
        <v>1556</v>
      </c>
    </row>
    <row r="222" customFormat="false" ht="15" hidden="false" customHeight="false" outlineLevel="0" collapsed="false">
      <c r="A222" s="9" t="s">
        <v>1873</v>
      </c>
      <c r="B222" s="9" t="s">
        <v>1758</v>
      </c>
      <c r="C222" s="9" t="s">
        <v>10</v>
      </c>
      <c r="D222" s="9" t="s">
        <v>924</v>
      </c>
      <c r="E222" s="9"/>
    </row>
    <row r="223" customFormat="false" ht="15" hidden="false" customHeight="false" outlineLevel="0" collapsed="false">
      <c r="A223" s="9" t="s">
        <v>1874</v>
      </c>
      <c r="B223" s="9" t="s">
        <v>1760</v>
      </c>
      <c r="C223" s="9" t="s">
        <v>10</v>
      </c>
      <c r="D223" s="9" t="s">
        <v>924</v>
      </c>
      <c r="E223" s="9"/>
    </row>
    <row r="224" customFormat="false" ht="15" hidden="false" customHeight="false" outlineLevel="0" collapsed="false">
      <c r="A224" s="9" t="s">
        <v>1875</v>
      </c>
      <c r="B224" s="9" t="s">
        <v>1762</v>
      </c>
      <c r="C224" s="9" t="s">
        <v>10</v>
      </c>
      <c r="D224" s="9" t="s">
        <v>924</v>
      </c>
      <c r="E224" s="9"/>
    </row>
    <row r="225" customFormat="false" ht="15" hidden="false" customHeight="false" outlineLevel="0" collapsed="false">
      <c r="A225" s="9" t="s">
        <v>1876</v>
      </c>
      <c r="B225" s="9" t="s">
        <v>1630</v>
      </c>
      <c r="C225" s="9" t="s">
        <v>10</v>
      </c>
      <c r="D225" s="9" t="s">
        <v>924</v>
      </c>
      <c r="E225" s="10" t="s">
        <v>1556</v>
      </c>
    </row>
    <row r="226" customFormat="false" ht="15" hidden="false" customHeight="false" outlineLevel="0" collapsed="false">
      <c r="A226" s="9" t="s">
        <v>1877</v>
      </c>
      <c r="B226" s="9" t="s">
        <v>1878</v>
      </c>
      <c r="C226" s="10" t="s">
        <v>1527</v>
      </c>
      <c r="D226" s="9" t="s">
        <v>55</v>
      </c>
      <c r="E226" s="10" t="s">
        <v>1879</v>
      </c>
    </row>
    <row r="227" customFormat="false" ht="15" hidden="false" customHeight="false" outlineLevel="0" collapsed="false">
      <c r="A227" s="9" t="s">
        <v>1880</v>
      </c>
      <c r="B227" s="9" t="s">
        <v>1881</v>
      </c>
      <c r="C227" s="9" t="s">
        <v>10</v>
      </c>
      <c r="D227" s="9" t="s">
        <v>927</v>
      </c>
      <c r="E227" s="9"/>
    </row>
    <row r="228" customFormat="false" ht="15" hidden="false" customHeight="false" outlineLevel="0" collapsed="false">
      <c r="A228" s="9" t="s">
        <v>1882</v>
      </c>
      <c r="B228" s="9" t="s">
        <v>1883</v>
      </c>
      <c r="C228" s="9" t="s">
        <v>10</v>
      </c>
      <c r="D228" s="9" t="s">
        <v>927</v>
      </c>
      <c r="E228" s="10" t="s">
        <v>1556</v>
      </c>
    </row>
    <row r="229" customFormat="false" ht="15" hidden="false" customHeight="false" outlineLevel="0" collapsed="false">
      <c r="A229" s="9" t="s">
        <v>1884</v>
      </c>
      <c r="B229" s="9" t="s">
        <v>1885</v>
      </c>
      <c r="C229" s="9" t="s">
        <v>10</v>
      </c>
      <c r="D229" s="9" t="s">
        <v>927</v>
      </c>
      <c r="E229" s="10" t="s">
        <v>1556</v>
      </c>
    </row>
    <row r="230" customFormat="false" ht="15" hidden="false" customHeight="false" outlineLevel="0" collapsed="false">
      <c r="A230" s="9" t="s">
        <v>1886</v>
      </c>
      <c r="B230" s="9" t="s">
        <v>1887</v>
      </c>
      <c r="C230" s="10" t="s">
        <v>1527</v>
      </c>
      <c r="D230" s="9" t="s">
        <v>55</v>
      </c>
      <c r="E230" s="10" t="s">
        <v>1888</v>
      </c>
    </row>
    <row r="231" customFormat="false" ht="15" hidden="false" customHeight="false" outlineLevel="0" collapsed="false">
      <c r="A231" s="9" t="s">
        <v>1889</v>
      </c>
      <c r="B231" s="9" t="s">
        <v>1890</v>
      </c>
      <c r="C231" s="10" t="s">
        <v>1527</v>
      </c>
      <c r="D231" s="9" t="s">
        <v>55</v>
      </c>
      <c r="E231" s="10" t="s">
        <v>1888</v>
      </c>
    </row>
    <row r="232" customFormat="false" ht="15" hidden="false" customHeight="false" outlineLevel="0" collapsed="false">
      <c r="A232" s="9" t="s">
        <v>1891</v>
      </c>
      <c r="B232" s="9" t="s">
        <v>1892</v>
      </c>
      <c r="C232" s="10" t="s">
        <v>1527</v>
      </c>
      <c r="D232" s="9" t="s">
        <v>55</v>
      </c>
      <c r="E232" s="10" t="s">
        <v>1888</v>
      </c>
    </row>
    <row r="233" customFormat="false" ht="15" hidden="false" customHeight="false" outlineLevel="0" collapsed="false">
      <c r="A233" s="9" t="s">
        <v>1893</v>
      </c>
      <c r="B233" s="9" t="s">
        <v>1894</v>
      </c>
      <c r="C233" s="10" t="s">
        <v>1527</v>
      </c>
      <c r="D233" s="9" t="s">
        <v>55</v>
      </c>
      <c r="E233" s="10" t="s">
        <v>1888</v>
      </c>
    </row>
    <row r="234" customFormat="false" ht="15" hidden="false" customHeight="false" outlineLevel="0" collapsed="false">
      <c r="A234" s="9" t="s">
        <v>1895</v>
      </c>
      <c r="B234" s="9" t="s">
        <v>1896</v>
      </c>
      <c r="C234" s="10" t="s">
        <v>1527</v>
      </c>
      <c r="D234" s="9" t="s">
        <v>55</v>
      </c>
      <c r="E234" s="10" t="s">
        <v>1888</v>
      </c>
    </row>
    <row r="235" customFormat="false" ht="15" hidden="false" customHeight="false" outlineLevel="0" collapsed="false">
      <c r="A235" s="9" t="s">
        <v>1897</v>
      </c>
      <c r="B235" s="9" t="s">
        <v>1898</v>
      </c>
      <c r="C235" s="10" t="s">
        <v>1527</v>
      </c>
      <c r="D235" s="9" t="s">
        <v>55</v>
      </c>
      <c r="E235" s="10" t="s">
        <v>1899</v>
      </c>
    </row>
    <row r="236" customFormat="false" ht="15" hidden="false" customHeight="false" outlineLevel="0" collapsed="false">
      <c r="A236" s="9" t="s">
        <v>1900</v>
      </c>
      <c r="B236" s="9" t="s">
        <v>1898</v>
      </c>
      <c r="C236" s="10" t="s">
        <v>1527</v>
      </c>
      <c r="D236" s="9" t="s">
        <v>55</v>
      </c>
      <c r="E236" s="10" t="s">
        <v>1899</v>
      </c>
    </row>
    <row r="237" customFormat="false" ht="15" hidden="false" customHeight="false" outlineLevel="0" collapsed="false">
      <c r="A237" s="9" t="s">
        <v>1901</v>
      </c>
      <c r="B237" s="9" t="s">
        <v>1898</v>
      </c>
      <c r="C237" s="10" t="s">
        <v>1527</v>
      </c>
      <c r="D237" s="9" t="s">
        <v>55</v>
      </c>
      <c r="E237" s="10" t="s">
        <v>1899</v>
      </c>
    </row>
    <row r="238" customFormat="false" ht="15" hidden="false" customHeight="false" outlineLevel="0" collapsed="false">
      <c r="A238" s="9" t="s">
        <v>1902</v>
      </c>
      <c r="B238" s="9" t="s">
        <v>1898</v>
      </c>
      <c r="C238" s="10" t="s">
        <v>1527</v>
      </c>
      <c r="D238" s="9" t="s">
        <v>55</v>
      </c>
      <c r="E238" s="10" t="s">
        <v>1899</v>
      </c>
    </row>
    <row r="239" customFormat="false" ht="15" hidden="false" customHeight="false" outlineLevel="0" collapsed="false">
      <c r="A239" s="9" t="s">
        <v>1903</v>
      </c>
      <c r="B239" s="9" t="s">
        <v>1904</v>
      </c>
      <c r="C239" s="10" t="s">
        <v>1527</v>
      </c>
      <c r="D239" s="9" t="s">
        <v>55</v>
      </c>
      <c r="E239" s="10" t="s">
        <v>1899</v>
      </c>
    </row>
    <row r="240" customFormat="false" ht="15" hidden="false" customHeight="false" outlineLevel="0" collapsed="false">
      <c r="A240" s="9" t="s">
        <v>1905</v>
      </c>
      <c r="B240" s="9" t="s">
        <v>1906</v>
      </c>
      <c r="C240" s="9" t="s">
        <v>6</v>
      </c>
      <c r="D240" s="9" t="s">
        <v>222</v>
      </c>
      <c r="E240" s="9"/>
    </row>
    <row r="241" customFormat="false" ht="15" hidden="false" customHeight="false" outlineLevel="0" collapsed="false">
      <c r="A241" s="9" t="s">
        <v>1907</v>
      </c>
      <c r="B241" s="9" t="s">
        <v>1908</v>
      </c>
      <c r="C241" s="9" t="s">
        <v>6</v>
      </c>
      <c r="D241" s="9" t="s">
        <v>229</v>
      </c>
      <c r="E241" s="9"/>
    </row>
    <row r="242" customFormat="false" ht="15" hidden="false" customHeight="false" outlineLevel="0" collapsed="false">
      <c r="A242" s="9" t="s">
        <v>1909</v>
      </c>
      <c r="B242" s="9" t="s">
        <v>1910</v>
      </c>
      <c r="C242" s="9" t="s">
        <v>6</v>
      </c>
      <c r="D242" s="9" t="s">
        <v>231</v>
      </c>
      <c r="E242" s="9"/>
    </row>
    <row r="243" customFormat="false" ht="15" hidden="false" customHeight="false" outlineLevel="0" collapsed="false">
      <c r="A243" s="9" t="s">
        <v>1911</v>
      </c>
      <c r="B243" s="9" t="s">
        <v>1912</v>
      </c>
      <c r="C243" s="9" t="s">
        <v>6</v>
      </c>
      <c r="D243" s="9" t="s">
        <v>234</v>
      </c>
      <c r="E243" s="9"/>
    </row>
    <row r="244" customFormat="false" ht="15" hidden="false" customHeight="false" outlineLevel="0" collapsed="false">
      <c r="A244" s="9" t="s">
        <v>1913</v>
      </c>
      <c r="B244" s="9" t="s">
        <v>1908</v>
      </c>
      <c r="C244" s="9" t="s">
        <v>6</v>
      </c>
      <c r="D244" s="9" t="s">
        <v>236</v>
      </c>
      <c r="E244" s="9"/>
    </row>
    <row r="245" customFormat="false" ht="15" hidden="false" customHeight="false" outlineLevel="0" collapsed="false">
      <c r="A245" s="9" t="s">
        <v>1914</v>
      </c>
      <c r="B245" s="9" t="s">
        <v>1915</v>
      </c>
      <c r="C245" s="9" t="s">
        <v>6</v>
      </c>
      <c r="D245" s="9" t="s">
        <v>236</v>
      </c>
      <c r="E245" s="9"/>
    </row>
    <row r="246" customFormat="false" ht="15" hidden="false" customHeight="false" outlineLevel="0" collapsed="false">
      <c r="A246" s="9" t="s">
        <v>1916</v>
      </c>
      <c r="B246" s="9" t="s">
        <v>1625</v>
      </c>
      <c r="C246" s="9" t="s">
        <v>6</v>
      </c>
      <c r="D246" s="9" t="s">
        <v>222</v>
      </c>
      <c r="E246" s="10" t="s">
        <v>1556</v>
      </c>
    </row>
    <row r="247" customFormat="false" ht="15" hidden="false" customHeight="false" outlineLevel="0" collapsed="false">
      <c r="A247" s="9" t="s">
        <v>1917</v>
      </c>
      <c r="B247" s="9" t="s">
        <v>1918</v>
      </c>
      <c r="C247" s="9" t="s">
        <v>6</v>
      </c>
      <c r="D247" s="9" t="s">
        <v>222</v>
      </c>
      <c r="E247" s="10" t="s">
        <v>1556</v>
      </c>
    </row>
    <row r="248" customFormat="false" ht="15" hidden="false" customHeight="false" outlineLevel="0" collapsed="false">
      <c r="A248" s="9" t="s">
        <v>1919</v>
      </c>
      <c r="B248" s="9" t="s">
        <v>1920</v>
      </c>
      <c r="C248" s="9" t="s">
        <v>10</v>
      </c>
      <c r="D248" s="9" t="s">
        <v>1921</v>
      </c>
      <c r="E248" s="10" t="s">
        <v>1922</v>
      </c>
    </row>
    <row r="249" customFormat="false" ht="15" hidden="false" customHeight="false" outlineLevel="0" collapsed="false">
      <c r="A249" s="9" t="s">
        <v>1923</v>
      </c>
      <c r="B249" s="9" t="s">
        <v>1924</v>
      </c>
      <c r="C249" s="9" t="s">
        <v>10</v>
      </c>
      <c r="D249" s="9" t="s">
        <v>954</v>
      </c>
      <c r="E249" s="9"/>
    </row>
    <row r="250" customFormat="false" ht="15" hidden="false" customHeight="false" outlineLevel="0" collapsed="false">
      <c r="A250" s="9" t="s">
        <v>1925</v>
      </c>
      <c r="B250" s="9" t="s">
        <v>1926</v>
      </c>
      <c r="C250" s="10" t="s">
        <v>1598</v>
      </c>
      <c r="D250" s="9" t="s">
        <v>1927</v>
      </c>
      <c r="E250" s="9" t="s">
        <v>1928</v>
      </c>
    </row>
    <row r="251" customFormat="false" ht="15" hidden="false" customHeight="false" outlineLevel="0" collapsed="false">
      <c r="A251" s="9" t="s">
        <v>1929</v>
      </c>
      <c r="B251" s="9" t="s">
        <v>1930</v>
      </c>
      <c r="C251" s="9" t="s">
        <v>10</v>
      </c>
      <c r="D251" s="9" t="s">
        <v>958</v>
      </c>
      <c r="E251" s="9"/>
    </row>
    <row r="252" customFormat="false" ht="15" hidden="false" customHeight="false" outlineLevel="0" collapsed="false">
      <c r="A252" s="9" t="s">
        <v>1931</v>
      </c>
      <c r="B252" s="9" t="s">
        <v>1932</v>
      </c>
      <c r="C252" s="9" t="s">
        <v>10</v>
      </c>
      <c r="D252" s="9" t="s">
        <v>960</v>
      </c>
      <c r="E252" s="9"/>
    </row>
    <row r="253" customFormat="false" ht="15" hidden="false" customHeight="false" outlineLevel="0" collapsed="false">
      <c r="A253" s="9" t="s">
        <v>1933</v>
      </c>
      <c r="B253" s="9" t="s">
        <v>1934</v>
      </c>
      <c r="C253" s="9" t="s">
        <v>10</v>
      </c>
      <c r="D253" s="9" t="s">
        <v>961</v>
      </c>
      <c r="E253" s="9"/>
    </row>
    <row r="254" customFormat="false" ht="15" hidden="false" customHeight="false" outlineLevel="0" collapsed="false">
      <c r="A254" s="9" t="s">
        <v>1935</v>
      </c>
      <c r="B254" s="9" t="s">
        <v>1936</v>
      </c>
      <c r="C254" s="9" t="s">
        <v>10</v>
      </c>
      <c r="D254" s="9" t="s">
        <v>962</v>
      </c>
      <c r="E254" s="9"/>
    </row>
    <row r="255" customFormat="false" ht="15" hidden="false" customHeight="false" outlineLevel="0" collapsed="false">
      <c r="A255" s="9" t="s">
        <v>1937</v>
      </c>
      <c r="B255" s="9" t="s">
        <v>1815</v>
      </c>
      <c r="C255" s="9" t="s">
        <v>10</v>
      </c>
      <c r="D255" s="9" t="s">
        <v>966</v>
      </c>
      <c r="E255" s="10" t="s">
        <v>1556</v>
      </c>
    </row>
    <row r="256" customFormat="false" ht="15" hidden="false" customHeight="false" outlineLevel="0" collapsed="false">
      <c r="A256" s="9" t="s">
        <v>1938</v>
      </c>
      <c r="B256" s="9" t="s">
        <v>1939</v>
      </c>
      <c r="C256" s="9" t="s">
        <v>10</v>
      </c>
      <c r="D256" s="9" t="s">
        <v>966</v>
      </c>
      <c r="E256" s="10" t="s">
        <v>1556</v>
      </c>
    </row>
    <row r="257" customFormat="false" ht="15" hidden="false" customHeight="false" outlineLevel="0" collapsed="false">
      <c r="A257" s="9" t="s">
        <v>1940</v>
      </c>
      <c r="B257" s="9" t="s">
        <v>1720</v>
      </c>
      <c r="C257" s="9" t="s">
        <v>10</v>
      </c>
      <c r="D257" s="9" t="s">
        <v>963</v>
      </c>
      <c r="E257" s="9"/>
    </row>
    <row r="258" customFormat="false" ht="15" hidden="false" customHeight="false" outlineLevel="0" collapsed="false">
      <c r="A258" s="9" t="s">
        <v>1941</v>
      </c>
      <c r="B258" s="9" t="s">
        <v>1942</v>
      </c>
      <c r="C258" s="9" t="s">
        <v>10</v>
      </c>
      <c r="D258" s="9" t="s">
        <v>966</v>
      </c>
      <c r="E258" s="9"/>
    </row>
    <row r="259" customFormat="false" ht="15" hidden="false" customHeight="false" outlineLevel="0" collapsed="false">
      <c r="A259" s="9" t="s">
        <v>1943</v>
      </c>
      <c r="B259" s="9" t="s">
        <v>1944</v>
      </c>
      <c r="C259" s="9" t="s">
        <v>10</v>
      </c>
      <c r="D259" s="9" t="s">
        <v>966</v>
      </c>
      <c r="E259" s="10" t="s">
        <v>1556</v>
      </c>
    </row>
    <row r="260" customFormat="false" ht="15" hidden="false" customHeight="false" outlineLevel="0" collapsed="false">
      <c r="A260" s="9" t="s">
        <v>1945</v>
      </c>
      <c r="B260" s="9" t="s">
        <v>57</v>
      </c>
      <c r="C260" s="9" t="s">
        <v>10</v>
      </c>
      <c r="D260" s="9" t="s">
        <v>968</v>
      </c>
      <c r="E260" s="9"/>
    </row>
    <row r="261" customFormat="false" ht="15" hidden="false" customHeight="false" outlineLevel="0" collapsed="false">
      <c r="A261" s="9" t="s">
        <v>1946</v>
      </c>
      <c r="B261" s="9" t="s">
        <v>1830</v>
      </c>
      <c r="C261" s="9" t="s">
        <v>10</v>
      </c>
      <c r="D261" s="9" t="s">
        <v>971</v>
      </c>
      <c r="E261" s="9"/>
    </row>
    <row r="262" customFormat="false" ht="15" hidden="false" customHeight="false" outlineLevel="0" collapsed="false">
      <c r="A262" s="9" t="s">
        <v>1947</v>
      </c>
      <c r="B262" s="9" t="s">
        <v>1948</v>
      </c>
      <c r="C262" s="9" t="s">
        <v>10</v>
      </c>
      <c r="D262" s="9" t="s">
        <v>972</v>
      </c>
      <c r="E262" s="9"/>
    </row>
    <row r="263" customFormat="false" ht="15" hidden="false" customHeight="false" outlineLevel="0" collapsed="false">
      <c r="A263" s="9" t="s">
        <v>1949</v>
      </c>
      <c r="B263" s="9" t="s">
        <v>1950</v>
      </c>
      <c r="C263" s="9" t="s">
        <v>10</v>
      </c>
      <c r="D263" s="9" t="s">
        <v>973</v>
      </c>
      <c r="E263" s="9"/>
    </row>
    <row r="264" customFormat="false" ht="15" hidden="false" customHeight="false" outlineLevel="0" collapsed="false">
      <c r="A264" s="9" t="s">
        <v>1951</v>
      </c>
      <c r="B264" s="9" t="s">
        <v>1952</v>
      </c>
      <c r="C264" s="9" t="s">
        <v>10</v>
      </c>
      <c r="D264" s="9" t="s">
        <v>974</v>
      </c>
      <c r="E264" s="9"/>
    </row>
    <row r="265" customFormat="false" ht="15" hidden="false" customHeight="false" outlineLevel="0" collapsed="false">
      <c r="A265" s="9" t="s">
        <v>1953</v>
      </c>
      <c r="B265" s="9" t="s">
        <v>1954</v>
      </c>
      <c r="C265" s="9" t="s">
        <v>10</v>
      </c>
      <c r="D265" s="9" t="s">
        <v>975</v>
      </c>
      <c r="E265" s="9"/>
    </row>
    <row r="266" customFormat="false" ht="15" hidden="false" customHeight="false" outlineLevel="0" collapsed="false">
      <c r="A266" s="9" t="s">
        <v>1955</v>
      </c>
      <c r="B266" s="9" t="s">
        <v>1630</v>
      </c>
      <c r="C266" s="9" t="s">
        <v>10</v>
      </c>
      <c r="D266" s="9" t="s">
        <v>978</v>
      </c>
      <c r="E266" s="10" t="s">
        <v>1556</v>
      </c>
    </row>
    <row r="267" customFormat="false" ht="15" hidden="false" customHeight="false" outlineLevel="0" collapsed="false">
      <c r="A267" s="9" t="s">
        <v>1956</v>
      </c>
      <c r="B267" s="9" t="s">
        <v>1585</v>
      </c>
      <c r="C267" s="9" t="s">
        <v>10</v>
      </c>
      <c r="D267" s="9" t="s">
        <v>976</v>
      </c>
      <c r="E267" s="9"/>
    </row>
    <row r="268" customFormat="false" ht="15" hidden="false" customHeight="false" outlineLevel="0" collapsed="false">
      <c r="A268" s="9" t="s">
        <v>1957</v>
      </c>
      <c r="B268" s="9" t="s">
        <v>1695</v>
      </c>
      <c r="C268" s="9" t="s">
        <v>10</v>
      </c>
      <c r="D268" s="9" t="s">
        <v>978</v>
      </c>
      <c r="E268" s="9"/>
    </row>
    <row r="269" customFormat="false" ht="15" hidden="false" customHeight="false" outlineLevel="0" collapsed="false">
      <c r="A269" s="9" t="s">
        <v>1958</v>
      </c>
      <c r="B269" s="9" t="s">
        <v>1959</v>
      </c>
      <c r="C269" s="9" t="s">
        <v>10</v>
      </c>
      <c r="D269" s="9" t="s">
        <v>978</v>
      </c>
      <c r="E269" s="10" t="s">
        <v>1556</v>
      </c>
    </row>
    <row r="270" customFormat="false" ht="15" hidden="false" customHeight="false" outlineLevel="0" collapsed="false">
      <c r="A270" s="9" t="s">
        <v>1960</v>
      </c>
      <c r="B270" s="9" t="s">
        <v>1944</v>
      </c>
      <c r="C270" s="9" t="s">
        <v>10</v>
      </c>
      <c r="D270" s="9" t="s">
        <v>978</v>
      </c>
      <c r="E270" s="10" t="s">
        <v>1556</v>
      </c>
    </row>
    <row r="271" customFormat="false" ht="15" hidden="false" customHeight="false" outlineLevel="0" collapsed="false">
      <c r="A271" s="9" t="s">
        <v>1961</v>
      </c>
      <c r="B271" s="9" t="s">
        <v>1834</v>
      </c>
      <c r="C271" s="10" t="s">
        <v>1598</v>
      </c>
      <c r="D271" s="9" t="s">
        <v>1962</v>
      </c>
      <c r="E271" s="9" t="s">
        <v>1963</v>
      </c>
    </row>
    <row r="272" customFormat="false" ht="15" hidden="false" customHeight="false" outlineLevel="0" collapsed="false">
      <c r="A272" s="9" t="s">
        <v>1964</v>
      </c>
      <c r="B272" s="9" t="s">
        <v>1965</v>
      </c>
      <c r="C272" s="9" t="s">
        <v>10</v>
      </c>
      <c r="D272" s="9" t="s">
        <v>980</v>
      </c>
      <c r="E272" s="9"/>
    </row>
    <row r="273" customFormat="false" ht="15" hidden="false" customHeight="false" outlineLevel="0" collapsed="false">
      <c r="A273" s="9" t="s">
        <v>1966</v>
      </c>
      <c r="B273" s="9" t="s">
        <v>1967</v>
      </c>
      <c r="C273" s="9" t="s">
        <v>10</v>
      </c>
      <c r="D273" s="9" t="s">
        <v>983</v>
      </c>
      <c r="E273" s="9"/>
    </row>
    <row r="274" customFormat="false" ht="15" hidden="false" customHeight="false" outlineLevel="0" collapsed="false">
      <c r="A274" s="9" t="s">
        <v>1968</v>
      </c>
      <c r="B274" s="9" t="s">
        <v>1969</v>
      </c>
      <c r="C274" s="9" t="s">
        <v>10</v>
      </c>
      <c r="D274" s="9" t="s">
        <v>984</v>
      </c>
      <c r="E274" s="9"/>
    </row>
    <row r="275" customFormat="false" ht="15" hidden="false" customHeight="false" outlineLevel="0" collapsed="false">
      <c r="A275" s="9" t="s">
        <v>1970</v>
      </c>
      <c r="B275" s="9" t="s">
        <v>1971</v>
      </c>
      <c r="C275" s="9" t="s">
        <v>10</v>
      </c>
      <c r="D275" s="9" t="s">
        <v>985</v>
      </c>
      <c r="E275" s="9"/>
    </row>
    <row r="276" customFormat="false" ht="15" hidden="false" customHeight="false" outlineLevel="0" collapsed="false">
      <c r="A276" s="9" t="s">
        <v>1972</v>
      </c>
      <c r="B276" s="9" t="s">
        <v>1973</v>
      </c>
      <c r="C276" s="9" t="s">
        <v>10</v>
      </c>
      <c r="D276" s="9" t="s">
        <v>986</v>
      </c>
      <c r="E276" s="9"/>
    </row>
    <row r="277" customFormat="false" ht="15" hidden="false" customHeight="false" outlineLevel="0" collapsed="false">
      <c r="A277" s="9" t="s">
        <v>1974</v>
      </c>
      <c r="B277" s="9" t="s">
        <v>1975</v>
      </c>
      <c r="C277" s="9" t="s">
        <v>10</v>
      </c>
      <c r="D277" s="9" t="s">
        <v>987</v>
      </c>
      <c r="E277" s="9"/>
    </row>
    <row r="278" customFormat="false" ht="15" hidden="false" customHeight="false" outlineLevel="0" collapsed="false">
      <c r="A278" s="9" t="s">
        <v>1976</v>
      </c>
      <c r="B278" s="9" t="s">
        <v>1977</v>
      </c>
      <c r="C278" s="9" t="s">
        <v>10</v>
      </c>
      <c r="D278" s="9" t="s">
        <v>989</v>
      </c>
      <c r="E278" s="9"/>
    </row>
    <row r="279" customFormat="false" ht="15" hidden="false" customHeight="false" outlineLevel="0" collapsed="false">
      <c r="A279" s="9" t="s">
        <v>1978</v>
      </c>
      <c r="B279" s="9" t="s">
        <v>1555</v>
      </c>
      <c r="C279" s="9" t="s">
        <v>10</v>
      </c>
      <c r="D279" s="9" t="s">
        <v>989</v>
      </c>
      <c r="E279" s="10" t="s">
        <v>1556</v>
      </c>
    </row>
    <row r="280" customFormat="false" ht="15" hidden="false" customHeight="false" outlineLevel="0" collapsed="false">
      <c r="A280" s="9" t="s">
        <v>1979</v>
      </c>
      <c r="B280" s="9" t="s">
        <v>1980</v>
      </c>
      <c r="C280" s="9" t="s">
        <v>10</v>
      </c>
      <c r="D280" s="9" t="s">
        <v>989</v>
      </c>
      <c r="E280" s="10" t="s">
        <v>1556</v>
      </c>
    </row>
    <row r="281" customFormat="false" ht="15" hidden="false" customHeight="false" outlineLevel="0" collapsed="false">
      <c r="A281" s="9" t="s">
        <v>1981</v>
      </c>
      <c r="B281" s="9" t="s">
        <v>1944</v>
      </c>
      <c r="C281" s="9" t="s">
        <v>10</v>
      </c>
      <c r="D281" s="9" t="s">
        <v>989</v>
      </c>
      <c r="E281" s="10" t="s">
        <v>1556</v>
      </c>
    </row>
    <row r="282" customFormat="false" ht="15" hidden="false" customHeight="false" outlineLevel="0" collapsed="false">
      <c r="A282" s="9" t="s">
        <v>1982</v>
      </c>
      <c r="B282" s="9" t="s">
        <v>1670</v>
      </c>
      <c r="C282" s="10" t="s">
        <v>1598</v>
      </c>
      <c r="D282" s="9" t="s">
        <v>1983</v>
      </c>
      <c r="E282" s="9" t="s">
        <v>1984</v>
      </c>
    </row>
    <row r="283" customFormat="false" ht="15" hidden="false" customHeight="false" outlineLevel="0" collapsed="false">
      <c r="A283" s="9" t="s">
        <v>1985</v>
      </c>
      <c r="B283" s="9" t="s">
        <v>1658</v>
      </c>
      <c r="C283" s="10" t="s">
        <v>1598</v>
      </c>
      <c r="D283" s="9" t="s">
        <v>1986</v>
      </c>
      <c r="E283" s="9" t="s">
        <v>1987</v>
      </c>
    </row>
    <row r="284" customFormat="false" ht="15" hidden="false" customHeight="false" outlineLevel="0" collapsed="false">
      <c r="A284" s="9" t="s">
        <v>1988</v>
      </c>
      <c r="B284" s="9" t="s">
        <v>1695</v>
      </c>
      <c r="C284" s="10" t="s">
        <v>1598</v>
      </c>
      <c r="D284" s="9" t="s">
        <v>1989</v>
      </c>
      <c r="E284" s="9" t="s">
        <v>1990</v>
      </c>
    </row>
    <row r="285" customFormat="false" ht="15" hidden="false" customHeight="false" outlineLevel="0" collapsed="false">
      <c r="A285" s="9" t="s">
        <v>1991</v>
      </c>
      <c r="B285" s="9" t="s">
        <v>1662</v>
      </c>
      <c r="C285" s="10" t="s">
        <v>1598</v>
      </c>
      <c r="D285" s="9" t="s">
        <v>1992</v>
      </c>
      <c r="E285" s="9" t="s">
        <v>1993</v>
      </c>
    </row>
    <row r="286" customFormat="false" ht="15" hidden="false" customHeight="false" outlineLevel="0" collapsed="false">
      <c r="A286" s="9" t="s">
        <v>1994</v>
      </c>
      <c r="B286" s="9" t="s">
        <v>1689</v>
      </c>
      <c r="C286" s="10" t="s">
        <v>1598</v>
      </c>
      <c r="D286" s="9" t="s">
        <v>1995</v>
      </c>
      <c r="E286" s="9" t="s">
        <v>1996</v>
      </c>
    </row>
    <row r="287" customFormat="false" ht="15" hidden="false" customHeight="false" outlineLevel="0" collapsed="false">
      <c r="A287" s="9" t="s">
        <v>1997</v>
      </c>
      <c r="B287" s="9" t="s">
        <v>1998</v>
      </c>
      <c r="C287" s="10" t="s">
        <v>1598</v>
      </c>
      <c r="D287" s="9" t="s">
        <v>1999</v>
      </c>
      <c r="E287" s="9" t="s">
        <v>2000</v>
      </c>
    </row>
    <row r="288" customFormat="false" ht="15" hidden="false" customHeight="false" outlineLevel="0" collapsed="false">
      <c r="A288" s="9" t="s">
        <v>2001</v>
      </c>
      <c r="B288" s="9" t="s">
        <v>1585</v>
      </c>
      <c r="C288" s="10" t="s">
        <v>1527</v>
      </c>
      <c r="D288" s="9" t="s">
        <v>55</v>
      </c>
      <c r="E288" s="9" t="s">
        <v>2002</v>
      </c>
    </row>
    <row r="289" customFormat="false" ht="15" hidden="false" customHeight="false" outlineLevel="0" collapsed="false">
      <c r="A289" s="9" t="s">
        <v>2003</v>
      </c>
      <c r="B289" s="9" t="s">
        <v>1942</v>
      </c>
      <c r="C289" s="10" t="s">
        <v>1527</v>
      </c>
      <c r="D289" s="9" t="s">
        <v>55</v>
      </c>
      <c r="E289" s="9" t="s">
        <v>2004</v>
      </c>
    </row>
    <row r="290" customFormat="false" ht="15" hidden="false" customHeight="false" outlineLevel="0" collapsed="false">
      <c r="A290" s="9" t="s">
        <v>2005</v>
      </c>
      <c r="B290" s="9" t="s">
        <v>1555</v>
      </c>
      <c r="C290" s="10" t="s">
        <v>1598</v>
      </c>
      <c r="D290" s="9" t="s">
        <v>1983</v>
      </c>
      <c r="E290" s="10" t="s">
        <v>1556</v>
      </c>
    </row>
    <row r="291" customFormat="false" ht="15" hidden="false" customHeight="false" outlineLevel="0" collapsed="false">
      <c r="A291" s="9" t="s">
        <v>2006</v>
      </c>
      <c r="B291" s="9" t="s">
        <v>2007</v>
      </c>
      <c r="C291" s="10" t="s">
        <v>1598</v>
      </c>
      <c r="D291" s="9" t="s">
        <v>1983</v>
      </c>
      <c r="E291" s="10" t="s">
        <v>1556</v>
      </c>
    </row>
    <row r="292" customFormat="false" ht="15" hidden="false" customHeight="false" outlineLevel="0" collapsed="false">
      <c r="A292" s="9" t="s">
        <v>2008</v>
      </c>
      <c r="B292" s="9" t="s">
        <v>1944</v>
      </c>
      <c r="C292" s="10" t="s">
        <v>1598</v>
      </c>
      <c r="D292" s="9" t="s">
        <v>1983</v>
      </c>
      <c r="E292" s="10" t="s">
        <v>1556</v>
      </c>
    </row>
    <row r="293" customFormat="false" ht="15" hidden="false" customHeight="false" outlineLevel="0" collapsed="false">
      <c r="A293" s="9" t="s">
        <v>2009</v>
      </c>
      <c r="B293" s="9" t="s">
        <v>246</v>
      </c>
      <c r="C293" s="9" t="s">
        <v>10</v>
      </c>
      <c r="D293" s="9" t="s">
        <v>991</v>
      </c>
      <c r="E293" s="9"/>
    </row>
    <row r="294" customFormat="false" ht="15" hidden="false" customHeight="false" outlineLevel="0" collapsed="false">
      <c r="A294" s="9" t="s">
        <v>2010</v>
      </c>
      <c r="B294" s="9" t="s">
        <v>2011</v>
      </c>
      <c r="C294" s="9" t="s">
        <v>10</v>
      </c>
      <c r="D294" s="9" t="s">
        <v>994</v>
      </c>
      <c r="E294" s="9"/>
    </row>
    <row r="295" customFormat="false" ht="15" hidden="false" customHeight="false" outlineLevel="0" collapsed="false">
      <c r="A295" s="9" t="s">
        <v>2012</v>
      </c>
      <c r="B295" s="9" t="s">
        <v>2013</v>
      </c>
      <c r="C295" s="9" t="s">
        <v>10</v>
      </c>
      <c r="D295" s="9" t="s">
        <v>995</v>
      </c>
      <c r="E295" s="9"/>
    </row>
    <row r="296" customFormat="false" ht="15" hidden="false" customHeight="false" outlineLevel="0" collapsed="false">
      <c r="A296" s="9" t="s">
        <v>2014</v>
      </c>
      <c r="B296" s="9" t="s">
        <v>1619</v>
      </c>
      <c r="C296" s="9" t="s">
        <v>10</v>
      </c>
      <c r="D296" s="9" t="s">
        <v>996</v>
      </c>
      <c r="E296" s="9"/>
    </row>
    <row r="297" customFormat="false" ht="15" hidden="false" customHeight="false" outlineLevel="0" collapsed="false">
      <c r="A297" s="9" t="s">
        <v>2015</v>
      </c>
      <c r="B297" s="9" t="s">
        <v>2016</v>
      </c>
      <c r="C297" s="9" t="s">
        <v>10</v>
      </c>
      <c r="D297" s="9" t="s">
        <v>997</v>
      </c>
      <c r="E297" s="9"/>
    </row>
    <row r="298" customFormat="false" ht="15" hidden="false" customHeight="false" outlineLevel="0" collapsed="false">
      <c r="A298" s="9" t="s">
        <v>2017</v>
      </c>
      <c r="B298" s="9" t="s">
        <v>2018</v>
      </c>
      <c r="C298" s="9" t="s">
        <v>10</v>
      </c>
      <c r="D298" s="9" t="s">
        <v>998</v>
      </c>
      <c r="E298" s="9"/>
    </row>
    <row r="299" customFormat="false" ht="15" hidden="false" customHeight="false" outlineLevel="0" collapsed="false">
      <c r="A299" s="9" t="s">
        <v>2019</v>
      </c>
      <c r="B299" s="9" t="s">
        <v>1630</v>
      </c>
      <c r="C299" s="9" t="s">
        <v>10</v>
      </c>
      <c r="D299" s="9" t="s">
        <v>1001</v>
      </c>
      <c r="E299" s="10" t="s">
        <v>1556</v>
      </c>
    </row>
    <row r="300" customFormat="false" ht="15" hidden="false" customHeight="false" outlineLevel="0" collapsed="false">
      <c r="A300" s="9" t="s">
        <v>2020</v>
      </c>
      <c r="B300" s="9" t="s">
        <v>2021</v>
      </c>
      <c r="C300" s="9" t="s">
        <v>10</v>
      </c>
      <c r="D300" s="9" t="s">
        <v>1001</v>
      </c>
      <c r="E300" s="10" t="s">
        <v>1556</v>
      </c>
    </row>
    <row r="301" customFormat="false" ht="15" hidden="false" customHeight="false" outlineLevel="0" collapsed="false">
      <c r="A301" s="9" t="s">
        <v>2022</v>
      </c>
      <c r="B301" s="9" t="s">
        <v>2023</v>
      </c>
      <c r="C301" s="9" t="s">
        <v>10</v>
      </c>
      <c r="D301" s="9" t="s">
        <v>999</v>
      </c>
      <c r="E301" s="9"/>
    </row>
    <row r="302" customFormat="false" ht="15" hidden="false" customHeight="false" outlineLevel="0" collapsed="false">
      <c r="A302" s="9" t="s">
        <v>2024</v>
      </c>
      <c r="B302" s="9" t="s">
        <v>2025</v>
      </c>
      <c r="C302" s="9" t="s">
        <v>10</v>
      </c>
      <c r="D302" s="9" t="s">
        <v>1001</v>
      </c>
      <c r="E302" s="9"/>
    </row>
    <row r="303" customFormat="false" ht="15" hidden="false" customHeight="false" outlineLevel="0" collapsed="false">
      <c r="A303" s="9" t="s">
        <v>2026</v>
      </c>
      <c r="B303" s="9" t="s">
        <v>1944</v>
      </c>
      <c r="C303" s="9" t="s">
        <v>10</v>
      </c>
      <c r="D303" s="9" t="s">
        <v>1001</v>
      </c>
      <c r="E303" s="10" t="s">
        <v>1556</v>
      </c>
    </row>
    <row r="304" customFormat="false" ht="15" hidden="false" customHeight="false" outlineLevel="0" collapsed="false">
      <c r="A304" s="9" t="s">
        <v>2027</v>
      </c>
      <c r="B304" s="9" t="s">
        <v>2028</v>
      </c>
      <c r="C304" s="9" t="s">
        <v>10</v>
      </c>
      <c r="D304" s="9" t="s">
        <v>2029</v>
      </c>
      <c r="E304" s="10" t="s">
        <v>2030</v>
      </c>
    </row>
    <row r="305" customFormat="false" ht="15" hidden="false" customHeight="false" outlineLevel="0" collapsed="false">
      <c r="A305" s="9" t="s">
        <v>2031</v>
      </c>
      <c r="B305" s="9" t="s">
        <v>2032</v>
      </c>
      <c r="C305" s="9" t="s">
        <v>10</v>
      </c>
      <c r="D305" s="9" t="s">
        <v>1003</v>
      </c>
      <c r="E305" s="9"/>
    </row>
    <row r="306" customFormat="false" ht="15" hidden="false" customHeight="false" outlineLevel="0" collapsed="false">
      <c r="A306" s="9" t="s">
        <v>2033</v>
      </c>
      <c r="B306" s="9" t="s">
        <v>2034</v>
      </c>
      <c r="C306" s="9" t="s">
        <v>10</v>
      </c>
      <c r="D306" s="9" t="s">
        <v>1003</v>
      </c>
      <c r="E306" s="9"/>
    </row>
    <row r="307" customFormat="false" ht="15" hidden="false" customHeight="false" outlineLevel="0" collapsed="false">
      <c r="A307" s="9" t="s">
        <v>2035</v>
      </c>
      <c r="B307" s="9" t="s">
        <v>1906</v>
      </c>
      <c r="C307" s="9" t="s">
        <v>10</v>
      </c>
      <c r="D307" s="9" t="s">
        <v>1003</v>
      </c>
      <c r="E307" s="9"/>
    </row>
    <row r="308" customFormat="false" ht="15" hidden="false" customHeight="false" outlineLevel="0" collapsed="false">
      <c r="A308" s="9" t="s">
        <v>2036</v>
      </c>
      <c r="B308" s="9" t="s">
        <v>1630</v>
      </c>
      <c r="C308" s="9" t="s">
        <v>10</v>
      </c>
      <c r="D308" s="9" t="s">
        <v>1003</v>
      </c>
      <c r="E308" s="10" t="s">
        <v>1556</v>
      </c>
    </row>
    <row r="309" customFormat="false" ht="15" hidden="false" customHeight="false" outlineLevel="0" collapsed="false">
      <c r="A309" s="9" t="s">
        <v>2037</v>
      </c>
      <c r="B309" s="9" t="s">
        <v>2038</v>
      </c>
      <c r="C309" s="9" t="s">
        <v>10</v>
      </c>
      <c r="D309" s="9" t="s">
        <v>1003</v>
      </c>
      <c r="E309" s="10" t="s">
        <v>1556</v>
      </c>
    </row>
    <row r="310" customFormat="false" ht="15" hidden="false" customHeight="false" outlineLevel="0" collapsed="false">
      <c r="A310" s="9" t="s">
        <v>2039</v>
      </c>
      <c r="B310" s="9" t="s">
        <v>2040</v>
      </c>
      <c r="C310" s="9" t="s">
        <v>10</v>
      </c>
      <c r="D310" s="9" t="s">
        <v>1007</v>
      </c>
      <c r="E310" s="9"/>
    </row>
    <row r="311" customFormat="false" ht="15" hidden="false" customHeight="false" outlineLevel="0" collapsed="false">
      <c r="A311" s="9" t="s">
        <v>2041</v>
      </c>
      <c r="B311" s="9" t="s">
        <v>2042</v>
      </c>
      <c r="C311" s="9" t="s">
        <v>10</v>
      </c>
      <c r="D311" s="9" t="s">
        <v>1010</v>
      </c>
      <c r="E311" s="9"/>
    </row>
    <row r="312" customFormat="false" ht="15" hidden="false" customHeight="false" outlineLevel="0" collapsed="false">
      <c r="A312" s="9" t="s">
        <v>2043</v>
      </c>
      <c r="B312" s="9" t="s">
        <v>2044</v>
      </c>
      <c r="C312" s="9" t="s">
        <v>10</v>
      </c>
      <c r="D312" s="9" t="s">
        <v>1007</v>
      </c>
      <c r="E312" s="9"/>
    </row>
    <row r="313" customFormat="false" ht="15" hidden="false" customHeight="false" outlineLevel="0" collapsed="false">
      <c r="A313" s="9" t="s">
        <v>2045</v>
      </c>
      <c r="B313" s="9" t="s">
        <v>2046</v>
      </c>
      <c r="C313" s="9" t="s">
        <v>10</v>
      </c>
      <c r="D313" s="9" t="s">
        <v>1010</v>
      </c>
      <c r="E313" s="9"/>
    </row>
    <row r="314" customFormat="false" ht="15" hidden="false" customHeight="false" outlineLevel="0" collapsed="false">
      <c r="A314" s="9" t="s">
        <v>2047</v>
      </c>
      <c r="B314" s="9" t="s">
        <v>1908</v>
      </c>
      <c r="C314" s="9" t="s">
        <v>10</v>
      </c>
      <c r="D314" s="9" t="s">
        <v>1007</v>
      </c>
      <c r="E314" s="9"/>
    </row>
    <row r="315" customFormat="false" ht="15" hidden="false" customHeight="false" outlineLevel="0" collapsed="false">
      <c r="A315" s="9" t="s">
        <v>2048</v>
      </c>
      <c r="B315" s="9" t="s">
        <v>1908</v>
      </c>
      <c r="C315" s="9" t="s">
        <v>10</v>
      </c>
      <c r="D315" s="9" t="s">
        <v>1010</v>
      </c>
      <c r="E315" s="9"/>
    </row>
    <row r="316" customFormat="false" ht="15" hidden="false" customHeight="false" outlineLevel="0" collapsed="false">
      <c r="A316" s="9" t="s">
        <v>2049</v>
      </c>
      <c r="B316" s="9" t="s">
        <v>1630</v>
      </c>
      <c r="C316" s="9" t="s">
        <v>10</v>
      </c>
      <c r="D316" s="9" t="s">
        <v>1010</v>
      </c>
      <c r="E316" s="10" t="s">
        <v>1556</v>
      </c>
    </row>
    <row r="317" customFormat="false" ht="15" hidden="false" customHeight="false" outlineLevel="0" collapsed="false">
      <c r="A317" s="9" t="s">
        <v>2050</v>
      </c>
      <c r="B317" s="9" t="s">
        <v>2038</v>
      </c>
      <c r="C317" s="9" t="s">
        <v>10</v>
      </c>
      <c r="D317" s="9" t="s">
        <v>1010</v>
      </c>
      <c r="E317" s="10" t="s">
        <v>1556</v>
      </c>
    </row>
    <row r="318" customFormat="false" ht="15" hidden="false" customHeight="false" outlineLevel="0" collapsed="false">
      <c r="A318" s="9" t="s">
        <v>2051</v>
      </c>
      <c r="B318" s="9" t="s">
        <v>2052</v>
      </c>
      <c r="C318" s="9" t="s">
        <v>10</v>
      </c>
      <c r="D318" s="9" t="s">
        <v>1010</v>
      </c>
      <c r="E318" s="10" t="s">
        <v>1556</v>
      </c>
    </row>
    <row r="319" customFormat="false" ht="15" hidden="false" customHeight="false" outlineLevel="0" collapsed="false">
      <c r="A319" s="9" t="s">
        <v>2053</v>
      </c>
      <c r="B319" s="9" t="s">
        <v>1912</v>
      </c>
      <c r="C319" s="9" t="s">
        <v>10</v>
      </c>
      <c r="D319" s="9" t="s">
        <v>1012</v>
      </c>
      <c r="E319" s="9"/>
    </row>
    <row r="320" customFormat="false" ht="15" hidden="false" customHeight="false" outlineLevel="0" collapsed="false">
      <c r="A320" s="9" t="s">
        <v>2054</v>
      </c>
      <c r="B320" s="9" t="s">
        <v>2055</v>
      </c>
      <c r="C320" s="9" t="s">
        <v>10</v>
      </c>
      <c r="D320" s="9" t="s">
        <v>1015</v>
      </c>
      <c r="E320" s="9"/>
    </row>
    <row r="321" customFormat="false" ht="15" hidden="false" customHeight="false" outlineLevel="0" collapsed="false">
      <c r="A321" s="9" t="s">
        <v>2056</v>
      </c>
      <c r="B321" s="9" t="s">
        <v>1912</v>
      </c>
      <c r="C321" s="9" t="s">
        <v>10</v>
      </c>
      <c r="D321" s="9" t="s">
        <v>1012</v>
      </c>
      <c r="E321" s="9"/>
    </row>
    <row r="322" customFormat="false" ht="15" hidden="false" customHeight="false" outlineLevel="0" collapsed="false">
      <c r="A322" s="9" t="s">
        <v>2057</v>
      </c>
      <c r="B322" s="9" t="s">
        <v>2058</v>
      </c>
      <c r="C322" s="9" t="s">
        <v>10</v>
      </c>
      <c r="D322" s="9" t="s">
        <v>1015</v>
      </c>
      <c r="E322" s="9"/>
    </row>
    <row r="323" customFormat="false" ht="15" hidden="false" customHeight="false" outlineLevel="0" collapsed="false">
      <c r="A323" s="9" t="s">
        <v>2059</v>
      </c>
      <c r="B323" s="9" t="s">
        <v>1912</v>
      </c>
      <c r="C323" s="9" t="s">
        <v>10</v>
      </c>
      <c r="D323" s="9" t="s">
        <v>1012</v>
      </c>
      <c r="E323" s="9"/>
    </row>
    <row r="324" customFormat="false" ht="15" hidden="false" customHeight="false" outlineLevel="0" collapsed="false">
      <c r="A324" s="9" t="s">
        <v>2060</v>
      </c>
      <c r="B324" s="9" t="s">
        <v>2061</v>
      </c>
      <c r="C324" s="9" t="s">
        <v>10</v>
      </c>
      <c r="D324" s="9" t="s">
        <v>1015</v>
      </c>
      <c r="E324" s="9"/>
    </row>
    <row r="325" customFormat="false" ht="15" hidden="false" customHeight="false" outlineLevel="0" collapsed="false">
      <c r="A325" s="9" t="s">
        <v>2062</v>
      </c>
      <c r="B325" s="9" t="s">
        <v>1630</v>
      </c>
      <c r="C325" s="9" t="s">
        <v>10</v>
      </c>
      <c r="D325" s="9" t="s">
        <v>1015</v>
      </c>
      <c r="E325" s="10" t="s">
        <v>1556</v>
      </c>
    </row>
    <row r="326" customFormat="false" ht="15" hidden="false" customHeight="false" outlineLevel="0" collapsed="false">
      <c r="A326" s="9" t="s">
        <v>2063</v>
      </c>
      <c r="B326" s="9" t="s">
        <v>2064</v>
      </c>
      <c r="C326" s="9" t="s">
        <v>10</v>
      </c>
      <c r="D326" s="9" t="s">
        <v>1015</v>
      </c>
      <c r="E326" s="10" t="s">
        <v>1556</v>
      </c>
    </row>
    <row r="327" customFormat="false" ht="15" hidden="false" customHeight="false" outlineLevel="0" collapsed="false">
      <c r="A327" s="9" t="s">
        <v>2065</v>
      </c>
      <c r="B327" s="9" t="s">
        <v>2038</v>
      </c>
      <c r="C327" s="9" t="s">
        <v>10</v>
      </c>
      <c r="D327" s="9" t="s">
        <v>1015</v>
      </c>
      <c r="E327" s="10" t="s">
        <v>1556</v>
      </c>
    </row>
    <row r="328" customFormat="false" ht="15" hidden="false" customHeight="false" outlineLevel="0" collapsed="false">
      <c r="A328" s="9" t="s">
        <v>2066</v>
      </c>
      <c r="B328" s="9" t="s">
        <v>1834</v>
      </c>
      <c r="C328" s="9" t="s">
        <v>10</v>
      </c>
      <c r="D328" s="9" t="s">
        <v>1016</v>
      </c>
      <c r="E328" s="9"/>
    </row>
    <row r="329" customFormat="false" ht="15" hidden="false" customHeight="false" outlineLevel="0" collapsed="false">
      <c r="A329" s="9" t="s">
        <v>2067</v>
      </c>
      <c r="B329" s="9" t="s">
        <v>1948</v>
      </c>
      <c r="C329" s="9" t="s">
        <v>10</v>
      </c>
      <c r="D329" s="9" t="s">
        <v>1016</v>
      </c>
      <c r="E329" s="9"/>
    </row>
    <row r="330" customFormat="false" ht="15" hidden="false" customHeight="false" outlineLevel="0" collapsed="false">
      <c r="A330" s="9" t="s">
        <v>2068</v>
      </c>
      <c r="B330" s="9" t="s">
        <v>1952</v>
      </c>
      <c r="C330" s="9" t="s">
        <v>10</v>
      </c>
      <c r="D330" s="9" t="s">
        <v>1016</v>
      </c>
      <c r="E330" s="9"/>
    </row>
    <row r="331" customFormat="false" ht="15" hidden="false" customHeight="false" outlineLevel="0" collapsed="false">
      <c r="A331" s="9" t="s">
        <v>2069</v>
      </c>
      <c r="B331" s="9" t="s">
        <v>1630</v>
      </c>
      <c r="C331" s="9" t="s">
        <v>10</v>
      </c>
      <c r="D331" s="9" t="s">
        <v>1016</v>
      </c>
      <c r="E331" s="10" t="s">
        <v>1556</v>
      </c>
    </row>
    <row r="332" customFormat="false" ht="15" hidden="false" customHeight="false" outlineLevel="0" collapsed="false">
      <c r="A332" s="9" t="s">
        <v>2070</v>
      </c>
      <c r="B332" s="9" t="s">
        <v>2071</v>
      </c>
      <c r="C332" s="9" t="s">
        <v>10</v>
      </c>
      <c r="D332" s="9" t="s">
        <v>1016</v>
      </c>
      <c r="E332" s="10" t="s">
        <v>1556</v>
      </c>
    </row>
    <row r="333" customFormat="false" ht="15" hidden="false" customHeight="false" outlineLevel="0" collapsed="false">
      <c r="A333" s="9" t="s">
        <v>2072</v>
      </c>
      <c r="B333" s="9" t="s">
        <v>2038</v>
      </c>
      <c r="C333" s="9" t="s">
        <v>10</v>
      </c>
      <c r="D333" s="9" t="s">
        <v>1016</v>
      </c>
      <c r="E333" s="10" t="s">
        <v>1556</v>
      </c>
    </row>
    <row r="334" customFormat="false" ht="15" hidden="false" customHeight="false" outlineLevel="0" collapsed="false">
      <c r="A334" s="9" t="s">
        <v>2073</v>
      </c>
      <c r="B334" s="9" t="s">
        <v>2074</v>
      </c>
      <c r="C334" s="9" t="s">
        <v>10</v>
      </c>
      <c r="D334" s="9" t="s">
        <v>2075</v>
      </c>
      <c r="E334" s="10" t="s">
        <v>1756</v>
      </c>
    </row>
    <row r="335" customFormat="false" ht="15" hidden="false" customHeight="false" outlineLevel="0" collapsed="false">
      <c r="A335" s="9" t="s">
        <v>2076</v>
      </c>
      <c r="B335" s="9" t="s">
        <v>2077</v>
      </c>
      <c r="C335" s="9" t="s">
        <v>10</v>
      </c>
      <c r="D335" s="9" t="s">
        <v>1019</v>
      </c>
      <c r="E335" s="9"/>
    </row>
    <row r="336" customFormat="false" ht="15" hidden="false" customHeight="false" outlineLevel="0" collapsed="false">
      <c r="A336" s="9" t="s">
        <v>2078</v>
      </c>
      <c r="B336" s="9" t="s">
        <v>2077</v>
      </c>
      <c r="C336" s="9" t="s">
        <v>10</v>
      </c>
      <c r="D336" s="9" t="s">
        <v>1024</v>
      </c>
      <c r="E336" s="9"/>
    </row>
    <row r="337" customFormat="false" ht="15" hidden="false" customHeight="false" outlineLevel="0" collapsed="false">
      <c r="A337" s="9" t="s">
        <v>2079</v>
      </c>
      <c r="B337" s="9" t="s">
        <v>2080</v>
      </c>
      <c r="C337" s="9" t="s">
        <v>10</v>
      </c>
      <c r="D337" s="9" t="s">
        <v>1025</v>
      </c>
      <c r="E337" s="9"/>
    </row>
    <row r="338" customFormat="false" ht="15" hidden="false" customHeight="false" outlineLevel="0" collapsed="false">
      <c r="A338" s="9" t="s">
        <v>2081</v>
      </c>
      <c r="B338" s="9" t="s">
        <v>1570</v>
      </c>
      <c r="C338" s="9" t="s">
        <v>10</v>
      </c>
      <c r="D338" s="9" t="s">
        <v>1028</v>
      </c>
      <c r="E338" s="9"/>
    </row>
    <row r="339" customFormat="false" ht="15" hidden="false" customHeight="false" outlineLevel="0" collapsed="false">
      <c r="A339" s="9" t="s">
        <v>2082</v>
      </c>
      <c r="B339" s="9" t="s">
        <v>2083</v>
      </c>
      <c r="C339" s="9" t="s">
        <v>10</v>
      </c>
      <c r="D339" s="9" t="s">
        <v>1029</v>
      </c>
      <c r="E339" s="9"/>
    </row>
    <row r="340" customFormat="false" ht="15" hidden="false" customHeight="false" outlineLevel="0" collapsed="false">
      <c r="A340" s="9" t="s">
        <v>2084</v>
      </c>
      <c r="B340" s="9" t="s">
        <v>2085</v>
      </c>
      <c r="C340" s="9" t="s">
        <v>10</v>
      </c>
      <c r="D340" s="9" t="s">
        <v>1032</v>
      </c>
      <c r="E340" s="9"/>
    </row>
    <row r="341" customFormat="false" ht="15" hidden="false" customHeight="false" outlineLevel="0" collapsed="false">
      <c r="A341" s="9" t="s">
        <v>2086</v>
      </c>
      <c r="B341" s="9" t="s">
        <v>2087</v>
      </c>
      <c r="C341" s="9" t="s">
        <v>10</v>
      </c>
      <c r="D341" s="9" t="s">
        <v>1033</v>
      </c>
      <c r="E341" s="9"/>
    </row>
    <row r="342" customFormat="false" ht="15" hidden="false" customHeight="false" outlineLevel="0" collapsed="false">
      <c r="A342" s="9" t="s">
        <v>2088</v>
      </c>
      <c r="B342" s="9" t="s">
        <v>2089</v>
      </c>
      <c r="C342" s="9" t="s">
        <v>10</v>
      </c>
      <c r="D342" s="9" t="s">
        <v>1036</v>
      </c>
      <c r="E342" s="9"/>
    </row>
    <row r="343" customFormat="false" ht="15" hidden="false" customHeight="false" outlineLevel="0" collapsed="false">
      <c r="A343" s="9" t="s">
        <v>2090</v>
      </c>
      <c r="B343" s="9" t="s">
        <v>2091</v>
      </c>
      <c r="C343" s="9" t="s">
        <v>10</v>
      </c>
      <c r="D343" s="9" t="s">
        <v>1037</v>
      </c>
      <c r="E343" s="9"/>
    </row>
    <row r="344" customFormat="false" ht="15" hidden="false" customHeight="false" outlineLevel="0" collapsed="false">
      <c r="A344" s="9" t="s">
        <v>2092</v>
      </c>
      <c r="B344" s="9" t="s">
        <v>2093</v>
      </c>
      <c r="C344" s="9" t="s">
        <v>10</v>
      </c>
      <c r="D344" s="9" t="s">
        <v>1040</v>
      </c>
      <c r="E344" s="9"/>
    </row>
    <row r="345" customFormat="false" ht="15" hidden="false" customHeight="false" outlineLevel="0" collapsed="false">
      <c r="A345" s="9" t="s">
        <v>2094</v>
      </c>
      <c r="B345" s="9" t="s">
        <v>1630</v>
      </c>
      <c r="C345" s="9" t="s">
        <v>10</v>
      </c>
      <c r="D345" s="9" t="s">
        <v>2095</v>
      </c>
      <c r="E345" s="10" t="s">
        <v>1556</v>
      </c>
    </row>
    <row r="346" customFormat="false" ht="15" hidden="false" customHeight="false" outlineLevel="0" collapsed="false">
      <c r="A346" s="9" t="s">
        <v>2096</v>
      </c>
      <c r="B346" s="9" t="s">
        <v>2097</v>
      </c>
      <c r="C346" s="9" t="s">
        <v>10</v>
      </c>
      <c r="D346" s="9" t="s">
        <v>2095</v>
      </c>
      <c r="E346" s="10" t="s">
        <v>1556</v>
      </c>
    </row>
    <row r="347" customFormat="false" ht="15" hidden="false" customHeight="false" outlineLevel="0" collapsed="false">
      <c r="A347" s="9" t="s">
        <v>2098</v>
      </c>
      <c r="B347" s="9" t="s">
        <v>1612</v>
      </c>
      <c r="C347" s="9" t="s">
        <v>10</v>
      </c>
      <c r="D347" s="9" t="s">
        <v>2095</v>
      </c>
      <c r="E347" s="10" t="s">
        <v>1556</v>
      </c>
    </row>
    <row r="348" customFormat="false" ht="15" hidden="false" customHeight="false" outlineLevel="0" collapsed="false">
      <c r="A348" s="9" t="s">
        <v>2099</v>
      </c>
      <c r="B348" s="9" t="s">
        <v>2100</v>
      </c>
      <c r="C348" s="9" t="s">
        <v>10</v>
      </c>
      <c r="D348" s="9" t="s">
        <v>2101</v>
      </c>
      <c r="E348" s="10" t="s">
        <v>1756</v>
      </c>
    </row>
    <row r="349" customFormat="false" ht="15" hidden="false" customHeight="false" outlineLevel="0" collapsed="false">
      <c r="A349" s="9" t="s">
        <v>2102</v>
      </c>
      <c r="B349" s="9" t="s">
        <v>1662</v>
      </c>
      <c r="C349" s="9" t="s">
        <v>10</v>
      </c>
      <c r="D349" s="9" t="s">
        <v>1041</v>
      </c>
      <c r="E349" s="9"/>
    </row>
    <row r="350" customFormat="false" ht="15" hidden="false" customHeight="false" outlineLevel="0" collapsed="false">
      <c r="A350" s="9" t="s">
        <v>2103</v>
      </c>
      <c r="B350" s="9" t="s">
        <v>2104</v>
      </c>
      <c r="C350" s="9" t="s">
        <v>10</v>
      </c>
      <c r="D350" s="9" t="s">
        <v>1044</v>
      </c>
      <c r="E350" s="9"/>
    </row>
    <row r="351" customFormat="false" ht="15" hidden="false" customHeight="false" outlineLevel="0" collapsed="false">
      <c r="A351" s="9" t="s">
        <v>2105</v>
      </c>
      <c r="B351" s="9" t="s">
        <v>1998</v>
      </c>
      <c r="C351" s="9" t="s">
        <v>10</v>
      </c>
      <c r="D351" s="9" t="s">
        <v>1045</v>
      </c>
      <c r="E351" s="9"/>
    </row>
    <row r="352" customFormat="false" ht="15" hidden="false" customHeight="false" outlineLevel="0" collapsed="false">
      <c r="A352" s="9" t="s">
        <v>2106</v>
      </c>
      <c r="B352" s="9" t="s">
        <v>2107</v>
      </c>
      <c r="C352" s="9" t="s">
        <v>10</v>
      </c>
      <c r="D352" s="9" t="s">
        <v>1048</v>
      </c>
      <c r="E352" s="9"/>
    </row>
    <row r="353" customFormat="false" ht="15" hidden="false" customHeight="false" outlineLevel="0" collapsed="false">
      <c r="A353" s="9" t="s">
        <v>2108</v>
      </c>
      <c r="B353" s="9" t="s">
        <v>1699</v>
      </c>
      <c r="C353" s="9" t="s">
        <v>10</v>
      </c>
      <c r="D353" s="9" t="s">
        <v>1049</v>
      </c>
      <c r="E353" s="9"/>
    </row>
    <row r="354" customFormat="false" ht="15" hidden="false" customHeight="false" outlineLevel="0" collapsed="false">
      <c r="A354" s="9" t="s">
        <v>2109</v>
      </c>
      <c r="B354" s="9" t="s">
        <v>2110</v>
      </c>
      <c r="C354" s="9" t="s">
        <v>10</v>
      </c>
      <c r="D354" s="9" t="s">
        <v>1052</v>
      </c>
      <c r="E354" s="9"/>
    </row>
    <row r="355" customFormat="false" ht="15" hidden="false" customHeight="false" outlineLevel="0" collapsed="false">
      <c r="A355" s="9" t="s">
        <v>2111</v>
      </c>
      <c r="B355" s="9" t="s">
        <v>1656</v>
      </c>
      <c r="C355" s="9" t="s">
        <v>10</v>
      </c>
      <c r="D355" s="9" t="s">
        <v>1053</v>
      </c>
      <c r="E355" s="9"/>
    </row>
    <row r="356" customFormat="false" ht="15" hidden="false" customHeight="false" outlineLevel="0" collapsed="false">
      <c r="A356" s="9" t="s">
        <v>2112</v>
      </c>
      <c r="B356" s="9" t="s">
        <v>2113</v>
      </c>
      <c r="C356" s="9" t="s">
        <v>10</v>
      </c>
      <c r="D356" s="9" t="s">
        <v>1056</v>
      </c>
      <c r="E356" s="9"/>
    </row>
    <row r="357" customFormat="false" ht="15" hidden="false" customHeight="false" outlineLevel="0" collapsed="false">
      <c r="A357" s="9" t="s">
        <v>2114</v>
      </c>
      <c r="B357" s="9" t="s">
        <v>1699</v>
      </c>
      <c r="C357" s="9" t="s">
        <v>10</v>
      </c>
      <c r="D357" s="9" t="s">
        <v>1057</v>
      </c>
      <c r="E357" s="9"/>
    </row>
    <row r="358" customFormat="false" ht="15" hidden="false" customHeight="false" outlineLevel="0" collapsed="false">
      <c r="A358" s="9" t="s">
        <v>2115</v>
      </c>
      <c r="B358" s="9" t="s">
        <v>2116</v>
      </c>
      <c r="C358" s="9" t="s">
        <v>10</v>
      </c>
      <c r="D358" s="9" t="s">
        <v>1060</v>
      </c>
      <c r="E358" s="9"/>
    </row>
    <row r="359" customFormat="false" ht="15" hidden="false" customHeight="false" outlineLevel="0" collapsed="false">
      <c r="A359" s="9" t="s">
        <v>2117</v>
      </c>
      <c r="B359" s="9" t="s">
        <v>1630</v>
      </c>
      <c r="C359" s="9" t="s">
        <v>10</v>
      </c>
      <c r="D359" s="9" t="s">
        <v>2118</v>
      </c>
      <c r="E359" s="10" t="s">
        <v>1556</v>
      </c>
    </row>
    <row r="360" customFormat="false" ht="15" hidden="false" customHeight="false" outlineLevel="0" collapsed="false">
      <c r="A360" s="9" t="s">
        <v>2119</v>
      </c>
      <c r="B360" s="9" t="s">
        <v>2120</v>
      </c>
      <c r="C360" s="9" t="s">
        <v>10</v>
      </c>
      <c r="D360" s="9" t="s">
        <v>2118</v>
      </c>
      <c r="E360" s="10" t="s">
        <v>1556</v>
      </c>
    </row>
    <row r="361" customFormat="false" ht="15" hidden="false" customHeight="false" outlineLevel="0" collapsed="false">
      <c r="A361" s="9" t="s">
        <v>2121</v>
      </c>
      <c r="B361" s="9" t="s">
        <v>1612</v>
      </c>
      <c r="C361" s="9" t="s">
        <v>10</v>
      </c>
      <c r="D361" s="9" t="s">
        <v>2118</v>
      </c>
      <c r="E361" s="10" t="s">
        <v>1556</v>
      </c>
    </row>
    <row r="362" customFormat="false" ht="15" hidden="false" customHeight="false" outlineLevel="0" collapsed="false">
      <c r="A362" s="9" t="s">
        <v>2122</v>
      </c>
      <c r="B362" s="9" t="s">
        <v>1666</v>
      </c>
      <c r="C362" s="9" t="s">
        <v>10</v>
      </c>
      <c r="D362" s="9" t="s">
        <v>1061</v>
      </c>
      <c r="E362" s="9"/>
    </row>
    <row r="363" customFormat="false" ht="15" hidden="false" customHeight="false" outlineLevel="0" collapsed="false">
      <c r="A363" s="9" t="s">
        <v>2123</v>
      </c>
      <c r="B363" s="9" t="s">
        <v>2124</v>
      </c>
      <c r="C363" s="9" t="s">
        <v>10</v>
      </c>
      <c r="D363" s="9" t="s">
        <v>1061</v>
      </c>
      <c r="E363" s="9"/>
    </row>
    <row r="364" customFormat="false" ht="15" hidden="false" customHeight="false" outlineLevel="0" collapsed="false">
      <c r="A364" s="9" t="s">
        <v>2125</v>
      </c>
      <c r="B364" s="9" t="s">
        <v>1614</v>
      </c>
      <c r="C364" s="9" t="s">
        <v>10</v>
      </c>
      <c r="D364" s="9" t="s">
        <v>1061</v>
      </c>
      <c r="E364" s="9"/>
    </row>
    <row r="365" customFormat="false" ht="15" hidden="false" customHeight="false" outlineLevel="0" collapsed="false">
      <c r="A365" s="9" t="s">
        <v>2126</v>
      </c>
      <c r="B365" s="9" t="s">
        <v>1630</v>
      </c>
      <c r="C365" s="9" t="s">
        <v>10</v>
      </c>
      <c r="D365" s="9" t="s">
        <v>1061</v>
      </c>
      <c r="E365" s="10" t="s">
        <v>1556</v>
      </c>
    </row>
    <row r="366" customFormat="false" ht="15" hidden="false" customHeight="false" outlineLevel="0" collapsed="false">
      <c r="A366" s="9" t="s">
        <v>2127</v>
      </c>
      <c r="B366" s="9" t="s">
        <v>1781</v>
      </c>
      <c r="C366" s="9" t="s">
        <v>10</v>
      </c>
      <c r="D366" s="9" t="s">
        <v>1064</v>
      </c>
      <c r="E366" s="9"/>
    </row>
    <row r="367" customFormat="false" ht="15" hidden="false" customHeight="false" outlineLevel="0" collapsed="false">
      <c r="A367" s="9" t="s">
        <v>2128</v>
      </c>
      <c r="B367" s="9" t="s">
        <v>1666</v>
      </c>
      <c r="C367" s="9" t="s">
        <v>10</v>
      </c>
      <c r="D367" s="9" t="s">
        <v>1064</v>
      </c>
      <c r="E367" s="9"/>
    </row>
    <row r="368" customFormat="false" ht="15" hidden="false" customHeight="false" outlineLevel="0" collapsed="false">
      <c r="A368" s="9" t="s">
        <v>2129</v>
      </c>
      <c r="B368" s="9" t="s">
        <v>1783</v>
      </c>
      <c r="C368" s="9" t="s">
        <v>10</v>
      </c>
      <c r="D368" s="9" t="s">
        <v>1064</v>
      </c>
      <c r="E368" s="9"/>
    </row>
    <row r="369" customFormat="false" ht="15" hidden="false" customHeight="false" outlineLevel="0" collapsed="false">
      <c r="A369" s="9" t="s">
        <v>2130</v>
      </c>
      <c r="B369" s="9" t="s">
        <v>1630</v>
      </c>
      <c r="C369" s="9" t="s">
        <v>10</v>
      </c>
      <c r="D369" s="9" t="s">
        <v>1064</v>
      </c>
      <c r="E369" s="10" t="s">
        <v>1556</v>
      </c>
    </row>
    <row r="370" customFormat="false" ht="15" hidden="false" customHeight="false" outlineLevel="0" collapsed="false">
      <c r="A370" s="9" t="s">
        <v>2131</v>
      </c>
      <c r="B370" s="9" t="s">
        <v>1644</v>
      </c>
      <c r="C370" s="9" t="s">
        <v>10</v>
      </c>
      <c r="D370" s="9" t="s">
        <v>934</v>
      </c>
      <c r="E370" s="9"/>
    </row>
    <row r="371" customFormat="false" ht="15" hidden="false" customHeight="false" outlineLevel="0" collapsed="false">
      <c r="A371" s="9" t="s">
        <v>2132</v>
      </c>
      <c r="B371" s="9" t="s">
        <v>1644</v>
      </c>
      <c r="C371" s="9" t="s">
        <v>10</v>
      </c>
      <c r="D371" s="9" t="s">
        <v>940</v>
      </c>
      <c r="E371" s="9"/>
    </row>
    <row r="372" customFormat="false" ht="15" hidden="false" customHeight="false" outlineLevel="0" collapsed="false">
      <c r="A372" s="9" t="s">
        <v>2133</v>
      </c>
      <c r="B372" s="9" t="s">
        <v>1642</v>
      </c>
      <c r="C372" s="9" t="s">
        <v>10</v>
      </c>
      <c r="D372" s="9" t="s">
        <v>943</v>
      </c>
      <c r="E372" s="9"/>
    </row>
    <row r="373" customFormat="false" ht="15" hidden="false" customHeight="false" outlineLevel="0" collapsed="false">
      <c r="A373" s="9" t="s">
        <v>2134</v>
      </c>
      <c r="B373" s="9" t="s">
        <v>1639</v>
      </c>
      <c r="C373" s="9" t="s">
        <v>10</v>
      </c>
      <c r="D373" s="9" t="s">
        <v>947</v>
      </c>
      <c r="E373" s="9"/>
    </row>
    <row r="374" customFormat="false" ht="15" hidden="false" customHeight="false" outlineLevel="0" collapsed="false">
      <c r="A374" s="9" t="s">
        <v>2135</v>
      </c>
      <c r="B374" s="9" t="s">
        <v>1642</v>
      </c>
      <c r="C374" s="9" t="s">
        <v>10</v>
      </c>
      <c r="D374" s="9" t="s">
        <v>951</v>
      </c>
      <c r="E374" s="9"/>
    </row>
    <row r="375" customFormat="false" ht="15" hidden="false" customHeight="false" outlineLevel="0" collapsed="false">
      <c r="A375" s="9" t="s">
        <v>2136</v>
      </c>
      <c r="B375" s="9" t="s">
        <v>1630</v>
      </c>
      <c r="C375" s="9" t="s">
        <v>10</v>
      </c>
      <c r="D375" s="9" t="s">
        <v>2137</v>
      </c>
      <c r="E375" s="10" t="s">
        <v>1556</v>
      </c>
    </row>
    <row r="376" customFormat="false" ht="15" hidden="false" customHeight="false" outlineLevel="0" collapsed="false">
      <c r="A376" s="9" t="s">
        <v>2138</v>
      </c>
      <c r="B376" s="9" t="s">
        <v>2139</v>
      </c>
      <c r="C376" s="9" t="s">
        <v>10</v>
      </c>
      <c r="D376" s="9" t="s">
        <v>2137</v>
      </c>
      <c r="E376" s="10" t="s">
        <v>1556</v>
      </c>
    </row>
    <row r="377" customFormat="false" ht="15" hidden="false" customHeight="false" outlineLevel="0" collapsed="false">
      <c r="A377" s="9" t="s">
        <v>2140</v>
      </c>
      <c r="B377" s="9" t="s">
        <v>2141</v>
      </c>
      <c r="C377" s="9" t="s">
        <v>6</v>
      </c>
      <c r="D377" s="9" t="s">
        <v>240</v>
      </c>
      <c r="E377" s="10" t="s">
        <v>1556</v>
      </c>
    </row>
    <row r="378" customFormat="false" ht="15" hidden="false" customHeight="false" outlineLevel="0" collapsed="false">
      <c r="A378" s="9" t="s">
        <v>2142</v>
      </c>
      <c r="B378" s="9" t="s">
        <v>2143</v>
      </c>
      <c r="C378" s="9" t="s">
        <v>6</v>
      </c>
      <c r="D378" s="9" t="s">
        <v>240</v>
      </c>
      <c r="E378" s="9"/>
    </row>
    <row r="379" customFormat="false" ht="15" hidden="false" customHeight="false" outlineLevel="0" collapsed="false">
      <c r="A379" s="9" t="s">
        <v>2144</v>
      </c>
      <c r="B379" s="9" t="s">
        <v>1555</v>
      </c>
      <c r="C379" s="9" t="s">
        <v>6</v>
      </c>
      <c r="D379" s="9" t="s">
        <v>240</v>
      </c>
      <c r="E379" s="10" t="s">
        <v>1556</v>
      </c>
    </row>
    <row r="380" customFormat="false" ht="15" hidden="false" customHeight="false" outlineLevel="0" collapsed="false">
      <c r="A380" s="9" t="s">
        <v>2145</v>
      </c>
      <c r="B380" s="9" t="s">
        <v>2146</v>
      </c>
      <c r="C380" s="9" t="s">
        <v>6</v>
      </c>
      <c r="D380" s="9" t="s">
        <v>240</v>
      </c>
      <c r="E380" s="10" t="s">
        <v>1556</v>
      </c>
    </row>
    <row r="381" customFormat="false" ht="15" hidden="false" customHeight="false" outlineLevel="0" collapsed="false">
      <c r="A381" s="9" t="s">
        <v>2147</v>
      </c>
      <c r="B381" s="9" t="s">
        <v>1944</v>
      </c>
      <c r="C381" s="9" t="s">
        <v>6</v>
      </c>
      <c r="D381" s="9" t="s">
        <v>240</v>
      </c>
      <c r="E381" s="10" t="s">
        <v>1556</v>
      </c>
    </row>
    <row r="382" customFormat="false" ht="15" hidden="false" customHeight="false" outlineLevel="0" collapsed="false">
      <c r="A382" s="9" t="s">
        <v>2148</v>
      </c>
      <c r="B382" s="9" t="s">
        <v>2149</v>
      </c>
      <c r="C382" s="9" t="s">
        <v>6</v>
      </c>
      <c r="D382" s="9" t="s">
        <v>250</v>
      </c>
      <c r="E382" s="9"/>
    </row>
    <row r="383" customFormat="false" ht="15" hidden="false" customHeight="false" outlineLevel="0" collapsed="false">
      <c r="A383" s="9" t="s">
        <v>2150</v>
      </c>
      <c r="B383" s="9" t="s">
        <v>1555</v>
      </c>
      <c r="C383" s="9" t="s">
        <v>6</v>
      </c>
      <c r="D383" s="9" t="s">
        <v>250</v>
      </c>
      <c r="E383" s="10" t="s">
        <v>1556</v>
      </c>
    </row>
    <row r="384" customFormat="false" ht="15" hidden="false" customHeight="false" outlineLevel="0" collapsed="false">
      <c r="A384" s="9" t="s">
        <v>2151</v>
      </c>
      <c r="B384" s="9" t="s">
        <v>2152</v>
      </c>
      <c r="C384" s="9" t="s">
        <v>6</v>
      </c>
      <c r="D384" s="9" t="s">
        <v>250</v>
      </c>
      <c r="E384" s="10" t="s">
        <v>1556</v>
      </c>
    </row>
    <row r="385" customFormat="false" ht="15" hidden="false" customHeight="false" outlineLevel="0" collapsed="false">
      <c r="A385" s="9" t="s">
        <v>2153</v>
      </c>
      <c r="B385" s="9" t="s">
        <v>1944</v>
      </c>
      <c r="C385" s="9" t="s">
        <v>6</v>
      </c>
      <c r="D385" s="9" t="s">
        <v>250</v>
      </c>
      <c r="E385" s="10" t="s">
        <v>1556</v>
      </c>
    </row>
    <row r="386" customFormat="false" ht="15" hidden="false" customHeight="false" outlineLevel="0" collapsed="false">
      <c r="A386" s="9" t="s">
        <v>2154</v>
      </c>
      <c r="B386" s="9" t="s">
        <v>2155</v>
      </c>
      <c r="C386" s="9" t="s">
        <v>10</v>
      </c>
      <c r="D386" s="9" t="s">
        <v>822</v>
      </c>
      <c r="E386" s="9"/>
    </row>
    <row r="387" customFormat="false" ht="15" hidden="false" customHeight="false" outlineLevel="0" collapsed="false">
      <c r="A387" s="9" t="s">
        <v>2156</v>
      </c>
      <c r="B387" s="9" t="s">
        <v>1793</v>
      </c>
      <c r="C387" s="9" t="s">
        <v>10</v>
      </c>
      <c r="D387" s="9" t="s">
        <v>827</v>
      </c>
      <c r="E387" s="9"/>
    </row>
    <row r="388" customFormat="false" ht="15" hidden="false" customHeight="false" outlineLevel="0" collapsed="false">
      <c r="A388" s="9" t="s">
        <v>2157</v>
      </c>
      <c r="B388" s="9" t="s">
        <v>1720</v>
      </c>
      <c r="C388" s="9" t="s">
        <v>10</v>
      </c>
      <c r="D388" s="9" t="s">
        <v>830</v>
      </c>
      <c r="E388" s="9"/>
    </row>
    <row r="389" customFormat="false" ht="15" hidden="false" customHeight="false" outlineLevel="0" collapsed="false">
      <c r="A389" s="9" t="s">
        <v>2158</v>
      </c>
      <c r="B389" s="9" t="s">
        <v>1883</v>
      </c>
      <c r="C389" s="9" t="s">
        <v>10</v>
      </c>
      <c r="D389" s="9" t="s">
        <v>830</v>
      </c>
      <c r="E389" s="10" t="s">
        <v>1556</v>
      </c>
    </row>
    <row r="390" customFormat="false" ht="15" hidden="false" customHeight="false" outlineLevel="0" collapsed="false">
      <c r="A390" s="9" t="s">
        <v>2159</v>
      </c>
      <c r="B390" s="9" t="s">
        <v>2160</v>
      </c>
      <c r="C390" s="9" t="s">
        <v>10</v>
      </c>
      <c r="D390" s="9" t="s">
        <v>830</v>
      </c>
      <c r="E390" s="10" t="s">
        <v>1556</v>
      </c>
    </row>
    <row r="391" customFormat="false" ht="15" hidden="false" customHeight="false" outlineLevel="0" collapsed="false">
      <c r="A391" s="9" t="s">
        <v>2161</v>
      </c>
      <c r="B391" s="9" t="s">
        <v>2162</v>
      </c>
      <c r="C391" s="9" t="s">
        <v>10</v>
      </c>
      <c r="D391" s="9" t="s">
        <v>2163</v>
      </c>
      <c r="E391" s="10" t="s">
        <v>2164</v>
      </c>
    </row>
    <row r="392" customFormat="false" ht="15" hidden="false" customHeight="false" outlineLevel="0" collapsed="false">
      <c r="A392" s="9" t="s">
        <v>2165</v>
      </c>
      <c r="B392" s="9" t="s">
        <v>1887</v>
      </c>
      <c r="C392" s="10" t="s">
        <v>1527</v>
      </c>
      <c r="D392" s="9" t="s">
        <v>55</v>
      </c>
      <c r="E392" s="10" t="s">
        <v>2166</v>
      </c>
    </row>
    <row r="393" customFormat="false" ht="15" hidden="false" customHeight="false" outlineLevel="0" collapsed="false">
      <c r="A393" s="9" t="s">
        <v>2167</v>
      </c>
      <c r="B393" s="9" t="s">
        <v>1890</v>
      </c>
      <c r="C393" s="10" t="s">
        <v>1527</v>
      </c>
      <c r="D393" s="9" t="s">
        <v>55</v>
      </c>
      <c r="E393" s="10" t="s">
        <v>2166</v>
      </c>
    </row>
    <row r="394" customFormat="false" ht="15" hidden="false" customHeight="false" outlineLevel="0" collapsed="false">
      <c r="A394" s="9" t="s">
        <v>2168</v>
      </c>
      <c r="B394" s="9" t="s">
        <v>1634</v>
      </c>
      <c r="C394" s="9" t="s">
        <v>10</v>
      </c>
      <c r="D394" s="9" t="s">
        <v>1068</v>
      </c>
      <c r="E394" s="9"/>
    </row>
    <row r="395" customFormat="false" ht="15" hidden="false" customHeight="false" outlineLevel="0" collapsed="false">
      <c r="A395" s="9" t="s">
        <v>2169</v>
      </c>
      <c r="B395" s="9" t="s">
        <v>1783</v>
      </c>
      <c r="C395" s="9" t="s">
        <v>10</v>
      </c>
      <c r="D395" s="9" t="s">
        <v>1073</v>
      </c>
      <c r="E395" s="9"/>
    </row>
    <row r="396" customFormat="false" ht="15" hidden="false" customHeight="false" outlineLevel="0" collapsed="false">
      <c r="A396" s="9" t="s">
        <v>2170</v>
      </c>
      <c r="B396" s="9" t="s">
        <v>1795</v>
      </c>
      <c r="C396" s="9" t="s">
        <v>10</v>
      </c>
      <c r="D396" s="9" t="s">
        <v>1074</v>
      </c>
      <c r="E396" s="9"/>
    </row>
    <row r="397" customFormat="false" ht="15" hidden="false" customHeight="false" outlineLevel="0" collapsed="false">
      <c r="A397" s="9" t="s">
        <v>2171</v>
      </c>
      <c r="B397" s="9" t="s">
        <v>1717</v>
      </c>
      <c r="C397" s="9" t="s">
        <v>10</v>
      </c>
      <c r="D397" s="9" t="s">
        <v>1075</v>
      </c>
      <c r="E397" s="9"/>
    </row>
    <row r="398" customFormat="false" ht="15" hidden="false" customHeight="false" outlineLevel="0" collapsed="false">
      <c r="A398" s="9" t="s">
        <v>2172</v>
      </c>
      <c r="B398" s="9" t="s">
        <v>1791</v>
      </c>
      <c r="C398" s="9" t="s">
        <v>10</v>
      </c>
      <c r="D398" s="9" t="s">
        <v>1076</v>
      </c>
      <c r="E398" s="9"/>
    </row>
    <row r="399" customFormat="false" ht="15" hidden="false" customHeight="false" outlineLevel="0" collapsed="false">
      <c r="A399" s="9" t="s">
        <v>2173</v>
      </c>
      <c r="B399" s="9" t="s">
        <v>1670</v>
      </c>
      <c r="C399" s="9" t="s">
        <v>10</v>
      </c>
      <c r="D399" s="9" t="s">
        <v>1077</v>
      </c>
      <c r="E399" s="9"/>
    </row>
    <row r="400" customFormat="false" ht="15" hidden="false" customHeight="false" outlineLevel="0" collapsed="false">
      <c r="A400" s="9" t="s">
        <v>2174</v>
      </c>
      <c r="B400" s="9" t="s">
        <v>1634</v>
      </c>
      <c r="C400" s="9" t="s">
        <v>10</v>
      </c>
      <c r="D400" s="9" t="s">
        <v>1068</v>
      </c>
      <c r="E400" s="9"/>
    </row>
    <row r="401" customFormat="false" ht="15" hidden="false" customHeight="false" outlineLevel="0" collapsed="false">
      <c r="A401" s="9" t="s">
        <v>2175</v>
      </c>
      <c r="B401" s="9" t="s">
        <v>1781</v>
      </c>
      <c r="C401" s="9" t="s">
        <v>10</v>
      </c>
      <c r="D401" s="9" t="s">
        <v>1073</v>
      </c>
      <c r="E401" s="9"/>
    </row>
    <row r="402" customFormat="false" ht="15" hidden="false" customHeight="false" outlineLevel="0" collapsed="false">
      <c r="A402" s="9" t="s">
        <v>2176</v>
      </c>
      <c r="B402" s="9" t="s">
        <v>1783</v>
      </c>
      <c r="C402" s="9" t="s">
        <v>10</v>
      </c>
      <c r="D402" s="9" t="s">
        <v>1074</v>
      </c>
      <c r="E402" s="9"/>
    </row>
    <row r="403" customFormat="false" ht="15" hidden="false" customHeight="false" outlineLevel="0" collapsed="false">
      <c r="A403" s="9" t="s">
        <v>2177</v>
      </c>
      <c r="B403" s="9" t="s">
        <v>1793</v>
      </c>
      <c r="C403" s="9" t="s">
        <v>10</v>
      </c>
      <c r="D403" s="9" t="s">
        <v>1075</v>
      </c>
      <c r="E403" s="9"/>
    </row>
    <row r="404" customFormat="false" ht="15" hidden="false" customHeight="false" outlineLevel="0" collapsed="false">
      <c r="A404" s="9" t="s">
        <v>2178</v>
      </c>
      <c r="B404" s="9" t="s">
        <v>1793</v>
      </c>
      <c r="C404" s="9" t="s">
        <v>10</v>
      </c>
      <c r="D404" s="9" t="s">
        <v>1076</v>
      </c>
      <c r="E404" s="9"/>
    </row>
    <row r="405" customFormat="false" ht="15" hidden="false" customHeight="false" outlineLevel="0" collapsed="false">
      <c r="A405" s="9" t="s">
        <v>2179</v>
      </c>
      <c r="B405" s="9" t="s">
        <v>1795</v>
      </c>
      <c r="C405" s="9" t="s">
        <v>10</v>
      </c>
      <c r="D405" s="9" t="s">
        <v>1077</v>
      </c>
      <c r="E405" s="9"/>
    </row>
    <row r="406" customFormat="false" ht="15" hidden="false" customHeight="false" outlineLevel="0" collapsed="false">
      <c r="A406" s="9" t="s">
        <v>2180</v>
      </c>
      <c r="B406" s="9" t="s">
        <v>1634</v>
      </c>
      <c r="C406" s="9" t="s">
        <v>10</v>
      </c>
      <c r="D406" s="9" t="s">
        <v>1068</v>
      </c>
      <c r="E406" s="9"/>
    </row>
    <row r="407" customFormat="false" ht="15" hidden="false" customHeight="false" outlineLevel="0" collapsed="false">
      <c r="A407" s="9" t="s">
        <v>2181</v>
      </c>
      <c r="B407" s="9" t="s">
        <v>1795</v>
      </c>
      <c r="C407" s="9" t="s">
        <v>10</v>
      </c>
      <c r="D407" s="9" t="s">
        <v>1073</v>
      </c>
      <c r="E407" s="9"/>
    </row>
    <row r="408" customFormat="false" ht="15" hidden="false" customHeight="false" outlineLevel="0" collapsed="false">
      <c r="A408" s="9" t="s">
        <v>2182</v>
      </c>
      <c r="B408" s="9" t="s">
        <v>1670</v>
      </c>
      <c r="C408" s="9" t="s">
        <v>10</v>
      </c>
      <c r="D408" s="9" t="s">
        <v>1074</v>
      </c>
      <c r="E408" s="9"/>
    </row>
    <row r="409" customFormat="false" ht="15" hidden="false" customHeight="false" outlineLevel="0" collapsed="false">
      <c r="A409" s="9" t="s">
        <v>2183</v>
      </c>
      <c r="B409" s="9" t="s">
        <v>1585</v>
      </c>
      <c r="C409" s="9" t="s">
        <v>10</v>
      </c>
      <c r="D409" s="9" t="s">
        <v>1075</v>
      </c>
      <c r="E409" s="9"/>
    </row>
    <row r="410" customFormat="false" ht="15" hidden="false" customHeight="false" outlineLevel="0" collapsed="false">
      <c r="A410" s="9" t="s">
        <v>2184</v>
      </c>
      <c r="B410" s="9" t="s">
        <v>2185</v>
      </c>
      <c r="C410" s="9" t="s">
        <v>10</v>
      </c>
      <c r="D410" s="9" t="s">
        <v>1076</v>
      </c>
      <c r="E410" s="9"/>
    </row>
    <row r="411" customFormat="false" ht="15" hidden="false" customHeight="false" outlineLevel="0" collapsed="false">
      <c r="A411" s="9" t="s">
        <v>2186</v>
      </c>
      <c r="B411" s="9" t="s">
        <v>2023</v>
      </c>
      <c r="C411" s="9" t="s">
        <v>10</v>
      </c>
      <c r="D411" s="9" t="s">
        <v>1077</v>
      </c>
      <c r="E411" s="9"/>
    </row>
    <row r="412" customFormat="false" ht="15" hidden="false" customHeight="false" outlineLevel="0" collapsed="false">
      <c r="A412" s="9" t="s">
        <v>2187</v>
      </c>
      <c r="B412" s="9" t="s">
        <v>1630</v>
      </c>
      <c r="C412" s="9" t="s">
        <v>10</v>
      </c>
      <c r="D412" s="9" t="s">
        <v>1077</v>
      </c>
      <c r="E412" s="10" t="s">
        <v>1556</v>
      </c>
    </row>
    <row r="413" customFormat="false" ht="15" hidden="false" customHeight="false" outlineLevel="0" collapsed="false">
      <c r="A413" s="9" t="s">
        <v>2188</v>
      </c>
      <c r="B413" s="9" t="s">
        <v>2189</v>
      </c>
      <c r="C413" s="9" t="s">
        <v>10</v>
      </c>
      <c r="D413" s="9" t="s">
        <v>1077</v>
      </c>
      <c r="E413" s="10" t="s">
        <v>1556</v>
      </c>
    </row>
    <row r="414" customFormat="false" ht="15" hidden="false" customHeight="false" outlineLevel="0" collapsed="false">
      <c r="A414" s="9" t="s">
        <v>2190</v>
      </c>
      <c r="B414" s="9" t="s">
        <v>1634</v>
      </c>
      <c r="C414" s="9" t="s">
        <v>10</v>
      </c>
      <c r="D414" s="9" t="s">
        <v>1078</v>
      </c>
      <c r="E414" s="9"/>
    </row>
    <row r="415" customFormat="false" ht="15" hidden="false" customHeight="false" outlineLevel="0" collapsed="false">
      <c r="A415" s="9" t="s">
        <v>2191</v>
      </c>
      <c r="B415" s="9" t="s">
        <v>246</v>
      </c>
      <c r="C415" s="9" t="s">
        <v>10</v>
      </c>
      <c r="D415" s="9" t="s">
        <v>1083</v>
      </c>
      <c r="E415" s="9"/>
    </row>
    <row r="416" customFormat="false" ht="15" hidden="false" customHeight="false" outlineLevel="0" collapsed="false">
      <c r="A416" s="9" t="s">
        <v>2192</v>
      </c>
      <c r="B416" s="9" t="s">
        <v>2034</v>
      </c>
      <c r="C416" s="9" t="s">
        <v>10</v>
      </c>
      <c r="D416" s="9" t="s">
        <v>1084</v>
      </c>
      <c r="E416" s="9"/>
    </row>
    <row r="417" customFormat="false" ht="15" hidden="false" customHeight="false" outlineLevel="0" collapsed="false">
      <c r="A417" s="9" t="s">
        <v>2193</v>
      </c>
      <c r="B417" s="9" t="s">
        <v>2194</v>
      </c>
      <c r="C417" s="9" t="s">
        <v>10</v>
      </c>
      <c r="D417" s="9" t="s">
        <v>1085</v>
      </c>
      <c r="E417" s="9"/>
    </row>
    <row r="418" customFormat="false" ht="15" hidden="false" customHeight="false" outlineLevel="0" collapsed="false">
      <c r="A418" s="9" t="s">
        <v>2195</v>
      </c>
      <c r="B418" s="9" t="s">
        <v>1832</v>
      </c>
      <c r="C418" s="9" t="s">
        <v>10</v>
      </c>
      <c r="D418" s="9" t="s">
        <v>1086</v>
      </c>
      <c r="E418" s="9"/>
    </row>
    <row r="419" customFormat="false" ht="15" hidden="false" customHeight="false" outlineLevel="0" collapsed="false">
      <c r="A419" s="9" t="s">
        <v>2196</v>
      </c>
      <c r="B419" s="9" t="s">
        <v>2197</v>
      </c>
      <c r="C419" s="9" t="s">
        <v>10</v>
      </c>
      <c r="D419" s="9" t="s">
        <v>1087</v>
      </c>
      <c r="E419" s="9"/>
    </row>
    <row r="420" customFormat="false" ht="15" hidden="false" customHeight="false" outlineLevel="0" collapsed="false">
      <c r="A420" s="9" t="s">
        <v>2198</v>
      </c>
      <c r="B420" s="9" t="s">
        <v>1634</v>
      </c>
      <c r="C420" s="9" t="s">
        <v>10</v>
      </c>
      <c r="D420" s="9" t="s">
        <v>1078</v>
      </c>
      <c r="E420" s="9"/>
    </row>
    <row r="421" customFormat="false" ht="15" hidden="false" customHeight="false" outlineLevel="0" collapsed="false">
      <c r="A421" s="9" t="s">
        <v>2199</v>
      </c>
      <c r="B421" s="9" t="s">
        <v>1695</v>
      </c>
      <c r="C421" s="9" t="s">
        <v>10</v>
      </c>
      <c r="D421" s="9" t="s">
        <v>1083</v>
      </c>
      <c r="E421" s="9"/>
    </row>
    <row r="422" customFormat="false" ht="15" hidden="false" customHeight="false" outlineLevel="0" collapsed="false">
      <c r="A422" s="9" t="s">
        <v>2200</v>
      </c>
      <c r="B422" s="9" t="s">
        <v>57</v>
      </c>
      <c r="C422" s="9" t="s">
        <v>10</v>
      </c>
      <c r="D422" s="9" t="s">
        <v>1084</v>
      </c>
      <c r="E422" s="9"/>
    </row>
    <row r="423" customFormat="false" ht="15" hidden="false" customHeight="false" outlineLevel="0" collapsed="false">
      <c r="A423" s="9" t="s">
        <v>2201</v>
      </c>
      <c r="B423" s="9" t="s">
        <v>1689</v>
      </c>
      <c r="C423" s="9" t="s">
        <v>10</v>
      </c>
      <c r="D423" s="9" t="s">
        <v>1085</v>
      </c>
      <c r="E423" s="9"/>
    </row>
    <row r="424" customFormat="false" ht="15" hidden="false" customHeight="false" outlineLevel="0" collapsed="false">
      <c r="A424" s="9" t="s">
        <v>2202</v>
      </c>
      <c r="B424" s="9" t="s">
        <v>246</v>
      </c>
      <c r="C424" s="9" t="s">
        <v>10</v>
      </c>
      <c r="D424" s="9" t="s">
        <v>1086</v>
      </c>
      <c r="E424" s="9"/>
    </row>
    <row r="425" customFormat="false" ht="15" hidden="false" customHeight="false" outlineLevel="0" collapsed="false">
      <c r="A425" s="9" t="s">
        <v>2203</v>
      </c>
      <c r="B425" s="9" t="s">
        <v>2204</v>
      </c>
      <c r="C425" s="9" t="s">
        <v>10</v>
      </c>
      <c r="D425" s="9" t="s">
        <v>1087</v>
      </c>
      <c r="E425" s="9"/>
    </row>
    <row r="426" customFormat="false" ht="15" hidden="false" customHeight="false" outlineLevel="0" collapsed="false">
      <c r="A426" s="9" t="s">
        <v>2205</v>
      </c>
      <c r="B426" s="9" t="s">
        <v>1634</v>
      </c>
      <c r="C426" s="9" t="s">
        <v>10</v>
      </c>
      <c r="D426" s="9" t="s">
        <v>1078</v>
      </c>
      <c r="E426" s="9"/>
    </row>
    <row r="427" customFormat="false" ht="15" hidden="false" customHeight="false" outlineLevel="0" collapsed="false">
      <c r="A427" s="9" t="s">
        <v>2206</v>
      </c>
      <c r="B427" s="9" t="s">
        <v>1832</v>
      </c>
      <c r="C427" s="9" t="s">
        <v>10</v>
      </c>
      <c r="D427" s="9" t="s">
        <v>1083</v>
      </c>
      <c r="E427" s="9"/>
    </row>
    <row r="428" customFormat="false" ht="15" hidden="false" customHeight="false" outlineLevel="0" collapsed="false">
      <c r="A428" s="9" t="s">
        <v>2207</v>
      </c>
      <c r="B428" s="9" t="s">
        <v>2032</v>
      </c>
      <c r="C428" s="9" t="s">
        <v>10</v>
      </c>
      <c r="D428" s="9" t="s">
        <v>1084</v>
      </c>
      <c r="E428" s="9"/>
    </row>
    <row r="429" customFormat="false" ht="15" hidden="false" customHeight="false" outlineLevel="0" collapsed="false">
      <c r="A429" s="9" t="s">
        <v>2208</v>
      </c>
      <c r="B429" s="9" t="s">
        <v>1565</v>
      </c>
      <c r="C429" s="9" t="s">
        <v>10</v>
      </c>
      <c r="D429" s="9" t="s">
        <v>1085</v>
      </c>
      <c r="E429" s="9"/>
    </row>
    <row r="430" customFormat="false" ht="15" hidden="false" customHeight="false" outlineLevel="0" collapsed="false">
      <c r="A430" s="9" t="s">
        <v>2209</v>
      </c>
      <c r="B430" s="9" t="s">
        <v>2149</v>
      </c>
      <c r="C430" s="9" t="s">
        <v>10</v>
      </c>
      <c r="D430" s="9" t="s">
        <v>1086</v>
      </c>
      <c r="E430" s="9"/>
    </row>
    <row r="431" customFormat="false" ht="15" hidden="false" customHeight="false" outlineLevel="0" collapsed="false">
      <c r="A431" s="9" t="s">
        <v>2210</v>
      </c>
      <c r="B431" s="9" t="s">
        <v>2211</v>
      </c>
      <c r="C431" s="9" t="s">
        <v>10</v>
      </c>
      <c r="D431" s="9" t="s">
        <v>1087</v>
      </c>
      <c r="E431" s="9"/>
    </row>
    <row r="432" customFormat="false" ht="15" hidden="false" customHeight="false" outlineLevel="0" collapsed="false">
      <c r="A432" s="9" t="s">
        <v>2212</v>
      </c>
      <c r="B432" s="9" t="s">
        <v>2213</v>
      </c>
      <c r="C432" s="9" t="s">
        <v>10</v>
      </c>
      <c r="D432" s="9" t="s">
        <v>1087</v>
      </c>
      <c r="E432" s="10" t="s">
        <v>1556</v>
      </c>
    </row>
    <row r="433" customFormat="false" ht="15" hidden="false" customHeight="false" outlineLevel="0" collapsed="false">
      <c r="A433" s="9" t="s">
        <v>2214</v>
      </c>
      <c r="B433" s="9" t="s">
        <v>1815</v>
      </c>
      <c r="C433" s="9" t="s">
        <v>10</v>
      </c>
      <c r="D433" s="9" t="s">
        <v>1087</v>
      </c>
      <c r="E433" s="10" t="s">
        <v>1556</v>
      </c>
    </row>
    <row r="434" customFormat="false" ht="15" hidden="false" customHeight="false" outlineLevel="0" collapsed="false">
      <c r="A434" s="9" t="s">
        <v>2215</v>
      </c>
      <c r="B434" s="9" t="s">
        <v>2216</v>
      </c>
      <c r="C434" s="9" t="s">
        <v>10</v>
      </c>
      <c r="D434" s="9" t="s">
        <v>1087</v>
      </c>
      <c r="E434" s="10" t="s">
        <v>1556</v>
      </c>
    </row>
    <row r="435" customFormat="false" ht="15" hidden="false" customHeight="false" outlineLevel="0" collapsed="false">
      <c r="A435" s="9" t="s">
        <v>2217</v>
      </c>
      <c r="B435" s="9" t="s">
        <v>1689</v>
      </c>
      <c r="C435" s="9" t="s">
        <v>6</v>
      </c>
      <c r="D435" s="9" t="s">
        <v>254</v>
      </c>
      <c r="E435" s="9"/>
    </row>
    <row r="436" customFormat="false" ht="15" hidden="false" customHeight="false" outlineLevel="0" collapsed="false">
      <c r="A436" s="9" t="s">
        <v>2218</v>
      </c>
      <c r="B436" s="9" t="s">
        <v>2211</v>
      </c>
      <c r="C436" s="9" t="s">
        <v>6</v>
      </c>
      <c r="D436" s="9" t="s">
        <v>261</v>
      </c>
      <c r="E436" s="9"/>
    </row>
    <row r="437" customFormat="false" ht="15" hidden="false" customHeight="false" outlineLevel="0" collapsed="false">
      <c r="A437" s="9" t="s">
        <v>2219</v>
      </c>
      <c r="B437" s="9" t="s">
        <v>1915</v>
      </c>
      <c r="C437" s="9" t="s">
        <v>6</v>
      </c>
      <c r="D437" s="9" t="s">
        <v>263</v>
      </c>
      <c r="E437" s="9"/>
    </row>
    <row r="438" customFormat="false" ht="15" hidden="false" customHeight="false" outlineLevel="0" collapsed="false">
      <c r="A438" s="9" t="s">
        <v>2220</v>
      </c>
      <c r="B438" s="9" t="s">
        <v>2221</v>
      </c>
      <c r="C438" s="9" t="s">
        <v>6</v>
      </c>
      <c r="D438" s="9" t="s">
        <v>265</v>
      </c>
      <c r="E438" s="9"/>
    </row>
    <row r="439" customFormat="false" ht="15" hidden="false" customHeight="false" outlineLevel="0" collapsed="false">
      <c r="A439" s="9" t="s">
        <v>2222</v>
      </c>
      <c r="B439" s="9" t="s">
        <v>1910</v>
      </c>
      <c r="C439" s="9" t="s">
        <v>6</v>
      </c>
      <c r="D439" s="9" t="s">
        <v>267</v>
      </c>
      <c r="E439" s="9"/>
    </row>
    <row r="440" customFormat="false" ht="15" hidden="false" customHeight="false" outlineLevel="0" collapsed="false">
      <c r="A440" s="9" t="s">
        <v>2223</v>
      </c>
      <c r="B440" s="9" t="s">
        <v>1555</v>
      </c>
      <c r="C440" s="9" t="s">
        <v>6</v>
      </c>
      <c r="D440" s="9" t="s">
        <v>254</v>
      </c>
      <c r="E440" s="10" t="s">
        <v>1556</v>
      </c>
    </row>
    <row r="441" customFormat="false" ht="15" hidden="false" customHeight="false" outlineLevel="0" collapsed="false">
      <c r="A441" s="9" t="s">
        <v>2224</v>
      </c>
      <c r="B441" s="9" t="s">
        <v>2225</v>
      </c>
      <c r="C441" s="9" t="s">
        <v>6</v>
      </c>
      <c r="D441" s="9" t="s">
        <v>254</v>
      </c>
      <c r="E441" s="10" t="s">
        <v>1556</v>
      </c>
    </row>
    <row r="442" customFormat="false" ht="15" hidden="false" customHeight="false" outlineLevel="0" collapsed="false">
      <c r="A442" s="9" t="s">
        <v>2226</v>
      </c>
      <c r="B442" s="9" t="s">
        <v>1634</v>
      </c>
      <c r="C442" s="9" t="s">
        <v>10</v>
      </c>
      <c r="D442" s="9" t="s">
        <v>1088</v>
      </c>
      <c r="E442" s="9"/>
    </row>
    <row r="443" customFormat="false" ht="15" hidden="false" customHeight="false" outlineLevel="0" collapsed="false">
      <c r="A443" s="9" t="s">
        <v>2227</v>
      </c>
      <c r="B443" s="9" t="s">
        <v>1630</v>
      </c>
      <c r="C443" s="9" t="s">
        <v>10</v>
      </c>
      <c r="D443" s="9" t="s">
        <v>1088</v>
      </c>
      <c r="E443" s="10" t="s">
        <v>1556</v>
      </c>
    </row>
    <row r="444" customFormat="false" ht="15" hidden="false" customHeight="false" outlineLevel="0" collapsed="false">
      <c r="A444" s="9" t="s">
        <v>2228</v>
      </c>
      <c r="B444" s="9" t="s">
        <v>2229</v>
      </c>
      <c r="C444" s="9" t="s">
        <v>10</v>
      </c>
      <c r="D444" s="9" t="s">
        <v>1088</v>
      </c>
      <c r="E444" s="10" t="s">
        <v>1556</v>
      </c>
    </row>
    <row r="445" customFormat="false" ht="15" hidden="false" customHeight="false" outlineLevel="0" collapsed="false">
      <c r="A445" s="9" t="s">
        <v>2230</v>
      </c>
      <c r="B445" s="9" t="s">
        <v>2231</v>
      </c>
      <c r="C445" s="10" t="s">
        <v>2232</v>
      </c>
      <c r="D445" s="9" t="s">
        <v>2233</v>
      </c>
      <c r="E445" s="10" t="s">
        <v>2234</v>
      </c>
    </row>
    <row r="446" customFormat="false" ht="15" hidden="false" customHeight="false" outlineLevel="0" collapsed="false">
      <c r="A446" s="9" t="s">
        <v>2235</v>
      </c>
      <c r="B446" s="9" t="s">
        <v>2236</v>
      </c>
      <c r="C446" s="10" t="s">
        <v>2232</v>
      </c>
      <c r="D446" s="9" t="s">
        <v>2233</v>
      </c>
      <c r="E446" s="10" t="s">
        <v>2234</v>
      </c>
    </row>
    <row r="447" customFormat="false" ht="15" hidden="false" customHeight="false" outlineLevel="0" collapsed="false">
      <c r="A447" s="9" t="s">
        <v>2237</v>
      </c>
      <c r="B447" s="9" t="s">
        <v>2238</v>
      </c>
      <c r="C447" s="10" t="s">
        <v>2232</v>
      </c>
      <c r="D447" s="9" t="s">
        <v>2233</v>
      </c>
      <c r="E447" s="10" t="s">
        <v>2234</v>
      </c>
    </row>
    <row r="448" customFormat="false" ht="15" hidden="false" customHeight="false" outlineLevel="0" collapsed="false">
      <c r="A448" s="9" t="s">
        <v>2239</v>
      </c>
      <c r="B448" s="9" t="s">
        <v>2240</v>
      </c>
      <c r="C448" s="10" t="s">
        <v>2232</v>
      </c>
      <c r="D448" s="9" t="s">
        <v>2233</v>
      </c>
      <c r="E448" s="10" t="s">
        <v>2234</v>
      </c>
    </row>
    <row r="449" customFormat="false" ht="15" hidden="false" customHeight="false" outlineLevel="0" collapsed="false">
      <c r="A449" s="9" t="s">
        <v>2241</v>
      </c>
      <c r="B449" s="9" t="s">
        <v>2242</v>
      </c>
      <c r="C449" s="10" t="s">
        <v>2232</v>
      </c>
      <c r="D449" s="9" t="s">
        <v>2233</v>
      </c>
      <c r="E449" s="10" t="s">
        <v>2234</v>
      </c>
    </row>
    <row r="450" customFormat="false" ht="15" hidden="false" customHeight="false" outlineLevel="0" collapsed="false">
      <c r="A450" s="9" t="s">
        <v>2243</v>
      </c>
      <c r="B450" s="9" t="s">
        <v>2244</v>
      </c>
      <c r="C450" s="10" t="s">
        <v>2232</v>
      </c>
      <c r="D450" s="9" t="s">
        <v>2233</v>
      </c>
      <c r="E450" s="10" t="s">
        <v>2234</v>
      </c>
    </row>
    <row r="451" customFormat="false" ht="15" hidden="false" customHeight="false" outlineLevel="0" collapsed="false">
      <c r="A451" s="9" t="s">
        <v>2245</v>
      </c>
      <c r="B451" s="9" t="s">
        <v>1608</v>
      </c>
      <c r="C451" s="10" t="s">
        <v>2232</v>
      </c>
      <c r="D451" s="9" t="s">
        <v>2233</v>
      </c>
      <c r="E451" s="10" t="s">
        <v>2234</v>
      </c>
    </row>
    <row r="452" customFormat="false" ht="15" hidden="false" customHeight="false" outlineLevel="0" collapsed="false">
      <c r="A452" s="9" t="s">
        <v>2246</v>
      </c>
      <c r="B452" s="9" t="s">
        <v>2247</v>
      </c>
      <c r="C452" s="10" t="s">
        <v>2232</v>
      </c>
      <c r="D452" s="9" t="s">
        <v>2233</v>
      </c>
      <c r="E452" s="10" t="s">
        <v>2234</v>
      </c>
    </row>
    <row r="453" customFormat="false" ht="15" hidden="false" customHeight="false" outlineLevel="0" collapsed="false">
      <c r="A453" s="9" t="s">
        <v>2248</v>
      </c>
      <c r="B453" s="9" t="s">
        <v>1612</v>
      </c>
      <c r="C453" s="10" t="s">
        <v>2232</v>
      </c>
      <c r="D453" s="9" t="s">
        <v>2233</v>
      </c>
      <c r="E453" s="10" t="s">
        <v>2234</v>
      </c>
    </row>
    <row r="454" customFormat="false" ht="15" hidden="false" customHeight="false" outlineLevel="0" collapsed="false">
      <c r="A454" s="9" t="s">
        <v>2249</v>
      </c>
      <c r="B454" s="9" t="s">
        <v>2250</v>
      </c>
      <c r="C454" s="10" t="s">
        <v>1527</v>
      </c>
      <c r="D454" s="9" t="s">
        <v>55</v>
      </c>
      <c r="E454" s="9" t="s">
        <v>2251</v>
      </c>
    </row>
    <row r="455" customFormat="false" ht="15" hidden="false" customHeight="false" outlineLevel="0" collapsed="false">
      <c r="A455" s="9" t="s">
        <v>2252</v>
      </c>
      <c r="B455" s="9" t="s">
        <v>2253</v>
      </c>
      <c r="C455" s="10" t="s">
        <v>1527</v>
      </c>
      <c r="D455" s="9" t="s">
        <v>55</v>
      </c>
      <c r="E455" s="9" t="s">
        <v>2254</v>
      </c>
    </row>
    <row r="456" customFormat="false" ht="15" hidden="false" customHeight="false" outlineLevel="0" collapsed="false">
      <c r="A456" s="9" t="s">
        <v>2255</v>
      </c>
      <c r="B456" s="9" t="s">
        <v>2256</v>
      </c>
      <c r="C456" s="10" t="s">
        <v>1527</v>
      </c>
      <c r="D456" s="9" t="s">
        <v>55</v>
      </c>
      <c r="E456" s="9" t="s">
        <v>2254</v>
      </c>
    </row>
    <row r="457" customFormat="false" ht="15" hidden="false" customHeight="false" outlineLevel="0" collapsed="false">
      <c r="A457" s="9" t="s">
        <v>2257</v>
      </c>
      <c r="B457" s="9" t="s">
        <v>2258</v>
      </c>
      <c r="C457" s="10" t="s">
        <v>1527</v>
      </c>
      <c r="D457" s="9" t="s">
        <v>55</v>
      </c>
      <c r="E457" s="9" t="s">
        <v>2254</v>
      </c>
    </row>
    <row r="458" customFormat="false" ht="15" hidden="false" customHeight="false" outlineLevel="0" collapsed="false">
      <c r="A458" s="9" t="s">
        <v>2259</v>
      </c>
      <c r="B458" s="9" t="s">
        <v>2260</v>
      </c>
      <c r="C458" s="10" t="s">
        <v>1527</v>
      </c>
      <c r="D458" s="9" t="s">
        <v>55</v>
      </c>
      <c r="E458" s="10" t="s">
        <v>2261</v>
      </c>
    </row>
    <row r="459" customFormat="false" ht="15" hidden="false" customHeight="false" outlineLevel="0" collapsed="false">
      <c r="A459" s="9" t="s">
        <v>2262</v>
      </c>
      <c r="B459" s="9" t="s">
        <v>2263</v>
      </c>
      <c r="C459" s="9" t="s">
        <v>6</v>
      </c>
      <c r="D459" s="9" t="s">
        <v>269</v>
      </c>
      <c r="E459" s="9"/>
    </row>
    <row r="460" customFormat="false" ht="15" hidden="false" customHeight="false" outlineLevel="0" collapsed="false">
      <c r="A460" s="9" t="s">
        <v>2264</v>
      </c>
      <c r="B460" s="9" t="s">
        <v>2265</v>
      </c>
      <c r="C460" s="9" t="s">
        <v>6</v>
      </c>
      <c r="D460" s="9" t="s">
        <v>276</v>
      </c>
      <c r="E460" s="9"/>
    </row>
    <row r="461" customFormat="false" ht="15" hidden="false" customHeight="false" outlineLevel="0" collapsed="false">
      <c r="A461" s="9" t="s">
        <v>2266</v>
      </c>
      <c r="B461" s="9" t="s">
        <v>2267</v>
      </c>
      <c r="C461" s="9" t="s">
        <v>6</v>
      </c>
      <c r="D461" s="9" t="s">
        <v>279</v>
      </c>
      <c r="E461" s="9"/>
    </row>
    <row r="462" customFormat="false" ht="15" hidden="false" customHeight="false" outlineLevel="0" collapsed="false">
      <c r="A462" s="9" t="s">
        <v>2268</v>
      </c>
      <c r="B462" s="9" t="s">
        <v>1555</v>
      </c>
      <c r="C462" s="9" t="s">
        <v>6</v>
      </c>
      <c r="D462" s="9" t="s">
        <v>269</v>
      </c>
      <c r="E462" s="10" t="s">
        <v>1556</v>
      </c>
    </row>
    <row r="463" customFormat="false" ht="15" hidden="false" customHeight="false" outlineLevel="0" collapsed="false">
      <c r="A463" s="9" t="s">
        <v>2269</v>
      </c>
      <c r="B463" s="9" t="s">
        <v>2270</v>
      </c>
      <c r="C463" s="9" t="s">
        <v>6</v>
      </c>
      <c r="D463" s="9" t="s">
        <v>269</v>
      </c>
      <c r="E463" s="10" t="s">
        <v>1556</v>
      </c>
    </row>
    <row r="464" customFormat="false" ht="15" hidden="false" customHeight="false" outlineLevel="0" collapsed="false">
      <c r="A464" s="9" t="s">
        <v>2271</v>
      </c>
      <c r="B464" s="9" t="s">
        <v>2272</v>
      </c>
      <c r="C464" s="10" t="s">
        <v>1598</v>
      </c>
      <c r="D464" s="9" t="s">
        <v>2273</v>
      </c>
      <c r="E464" s="9" t="s">
        <v>2274</v>
      </c>
    </row>
    <row r="465" customFormat="false" ht="15" hidden="false" customHeight="false" outlineLevel="0" collapsed="false">
      <c r="A465" s="9" t="s">
        <v>2275</v>
      </c>
      <c r="B465" s="9" t="s">
        <v>2276</v>
      </c>
      <c r="C465" s="10" t="s">
        <v>1598</v>
      </c>
      <c r="D465" s="9" t="s">
        <v>2273</v>
      </c>
      <c r="E465" s="9" t="s">
        <v>2274</v>
      </c>
    </row>
    <row r="466" customFormat="false" ht="15" hidden="false" customHeight="false" outlineLevel="0" collapsed="false">
      <c r="A466" s="9" t="s">
        <v>2277</v>
      </c>
      <c r="B466" s="9" t="s">
        <v>2263</v>
      </c>
      <c r="C466" s="10" t="s">
        <v>1598</v>
      </c>
      <c r="D466" s="9" t="s">
        <v>2273</v>
      </c>
      <c r="E466" s="9" t="s">
        <v>2274</v>
      </c>
    </row>
    <row r="467" customFormat="false" ht="15" hidden="false" customHeight="false" outlineLevel="0" collapsed="false">
      <c r="A467" s="9" t="s">
        <v>2278</v>
      </c>
      <c r="B467" s="9" t="s">
        <v>1608</v>
      </c>
      <c r="C467" s="10" t="s">
        <v>1598</v>
      </c>
      <c r="D467" s="9" t="s">
        <v>2273</v>
      </c>
      <c r="E467" s="9" t="s">
        <v>2274</v>
      </c>
    </row>
    <row r="468" customFormat="false" ht="15" hidden="false" customHeight="false" outlineLevel="0" collapsed="false">
      <c r="A468" s="9" t="s">
        <v>2279</v>
      </c>
      <c r="B468" s="9" t="s">
        <v>2280</v>
      </c>
      <c r="C468" s="10" t="s">
        <v>1598</v>
      </c>
      <c r="D468" s="9" t="s">
        <v>2273</v>
      </c>
      <c r="E468" s="9" t="s">
        <v>2274</v>
      </c>
    </row>
    <row r="469" customFormat="false" ht="15" hidden="false" customHeight="false" outlineLevel="0" collapsed="false">
      <c r="A469" s="9" t="s">
        <v>2281</v>
      </c>
      <c r="B469" s="9" t="s">
        <v>2282</v>
      </c>
      <c r="C469" s="9" t="s">
        <v>6</v>
      </c>
      <c r="D469" s="9" t="s">
        <v>281</v>
      </c>
      <c r="E469" s="9"/>
    </row>
    <row r="470" customFormat="false" ht="15" hidden="false" customHeight="false" outlineLevel="0" collapsed="false">
      <c r="A470" s="9" t="s">
        <v>2283</v>
      </c>
      <c r="B470" s="9" t="s">
        <v>1543</v>
      </c>
      <c r="C470" s="9" t="s">
        <v>6</v>
      </c>
      <c r="D470" s="9" t="s">
        <v>281</v>
      </c>
      <c r="E470" s="10" t="s">
        <v>1556</v>
      </c>
    </row>
    <row r="471" customFormat="false" ht="15" hidden="false" customHeight="false" outlineLevel="0" collapsed="false">
      <c r="A471" s="9" t="s">
        <v>2284</v>
      </c>
      <c r="B471" s="9" t="s">
        <v>1555</v>
      </c>
      <c r="C471" s="9" t="s">
        <v>6</v>
      </c>
      <c r="D471" s="9" t="s">
        <v>281</v>
      </c>
      <c r="E471" s="10" t="s">
        <v>1556</v>
      </c>
    </row>
    <row r="472" customFormat="false" ht="15" hidden="false" customHeight="false" outlineLevel="0" collapsed="false">
      <c r="A472" s="9" t="s">
        <v>2285</v>
      </c>
      <c r="B472" s="9" t="s">
        <v>2286</v>
      </c>
      <c r="C472" s="9" t="s">
        <v>6</v>
      </c>
      <c r="D472" s="9" t="s">
        <v>281</v>
      </c>
      <c r="E472" s="10" t="s">
        <v>1556</v>
      </c>
    </row>
    <row r="473" customFormat="false" ht="15" hidden="false" customHeight="false" outlineLevel="0" collapsed="false">
      <c r="A473" s="9" t="s">
        <v>2287</v>
      </c>
      <c r="B473" s="9" t="s">
        <v>2288</v>
      </c>
      <c r="C473" s="9" t="s">
        <v>10</v>
      </c>
      <c r="D473" s="9" t="s">
        <v>2289</v>
      </c>
      <c r="E473" s="10" t="s">
        <v>2290</v>
      </c>
    </row>
    <row r="474" customFormat="false" ht="15" hidden="false" customHeight="false" outlineLevel="0" collapsed="false">
      <c r="A474" s="9" t="s">
        <v>1094</v>
      </c>
      <c r="B474" s="9" t="s">
        <v>1869</v>
      </c>
      <c r="C474" s="9" t="s">
        <v>10</v>
      </c>
      <c r="D474" s="9" t="s">
        <v>1092</v>
      </c>
      <c r="E474" s="9"/>
    </row>
    <row r="475" customFormat="false" ht="15" hidden="false" customHeight="false" outlineLevel="0" collapsed="false">
      <c r="A475" s="9" t="s">
        <v>1098</v>
      </c>
      <c r="B475" s="9" t="s">
        <v>1762</v>
      </c>
      <c r="C475" s="9" t="s">
        <v>10</v>
      </c>
      <c r="D475" s="9" t="s">
        <v>1096</v>
      </c>
      <c r="E475" s="9"/>
    </row>
    <row r="476" customFormat="false" ht="15" hidden="false" customHeight="false" outlineLevel="0" collapsed="false">
      <c r="A476" s="9" t="s">
        <v>1104</v>
      </c>
      <c r="B476" s="9" t="s">
        <v>1760</v>
      </c>
      <c r="C476" s="9" t="s">
        <v>10</v>
      </c>
      <c r="D476" s="9" t="s">
        <v>1102</v>
      </c>
      <c r="E476" s="9"/>
    </row>
    <row r="477" customFormat="false" ht="15" hidden="false" customHeight="false" outlineLevel="0" collapsed="false">
      <c r="A477" s="9" t="s">
        <v>1107</v>
      </c>
      <c r="B477" s="9" t="s">
        <v>1767</v>
      </c>
      <c r="C477" s="9" t="s">
        <v>10</v>
      </c>
      <c r="D477" s="9" t="s">
        <v>1105</v>
      </c>
      <c r="E477" s="9"/>
    </row>
    <row r="478" customFormat="false" ht="15" hidden="false" customHeight="false" outlineLevel="0" collapsed="false">
      <c r="A478" s="9" t="s">
        <v>1110</v>
      </c>
      <c r="B478" s="9" t="s">
        <v>1767</v>
      </c>
      <c r="C478" s="9" t="s">
        <v>10</v>
      </c>
      <c r="D478" s="9" t="s">
        <v>1108</v>
      </c>
      <c r="E478" s="9"/>
    </row>
    <row r="479" customFormat="false" ht="15" hidden="false" customHeight="false" outlineLevel="0" collapsed="false">
      <c r="A479" s="9" t="s">
        <v>1101</v>
      </c>
      <c r="B479" s="9" t="s">
        <v>1783</v>
      </c>
      <c r="C479" s="9" t="s">
        <v>10</v>
      </c>
      <c r="D479" s="9" t="s">
        <v>1099</v>
      </c>
      <c r="E479" s="9"/>
    </row>
    <row r="480" customFormat="false" ht="15" hidden="false" customHeight="false" outlineLevel="0" collapsed="false">
      <c r="A480" s="9" t="s">
        <v>1113</v>
      </c>
      <c r="B480" s="9" t="s">
        <v>1865</v>
      </c>
      <c r="C480" s="9" t="s">
        <v>10</v>
      </c>
      <c r="D480" s="9" t="s">
        <v>1111</v>
      </c>
      <c r="E480" s="9"/>
    </row>
    <row r="481" customFormat="false" ht="15" hidden="false" customHeight="false" outlineLevel="0" collapsed="false">
      <c r="A481" s="9" t="s">
        <v>1116</v>
      </c>
      <c r="B481" s="9" t="s">
        <v>1758</v>
      </c>
      <c r="C481" s="9" t="s">
        <v>10</v>
      </c>
      <c r="D481" s="9" t="s">
        <v>1114</v>
      </c>
      <c r="E481" s="9"/>
    </row>
    <row r="482" customFormat="false" ht="15" hidden="false" customHeight="false" outlineLevel="0" collapsed="false">
      <c r="A482" s="9" t="s">
        <v>1122</v>
      </c>
      <c r="B482" s="9" t="s">
        <v>1758</v>
      </c>
      <c r="C482" s="9" t="s">
        <v>10</v>
      </c>
      <c r="D482" s="9" t="s">
        <v>1120</v>
      </c>
      <c r="E482" s="9"/>
    </row>
    <row r="483" customFormat="false" ht="15" hidden="false" customHeight="false" outlineLevel="0" collapsed="false">
      <c r="A483" s="9" t="s">
        <v>1125</v>
      </c>
      <c r="B483" s="9" t="s">
        <v>1765</v>
      </c>
      <c r="C483" s="9" t="s">
        <v>10</v>
      </c>
      <c r="D483" s="9" t="s">
        <v>1123</v>
      </c>
      <c r="E483" s="9"/>
    </row>
    <row r="484" customFormat="false" ht="15" hidden="false" customHeight="false" outlineLevel="0" collapsed="false">
      <c r="A484" s="9" t="s">
        <v>1128</v>
      </c>
      <c r="B484" s="9" t="s">
        <v>1765</v>
      </c>
      <c r="C484" s="9" t="s">
        <v>10</v>
      </c>
      <c r="D484" s="9" t="s">
        <v>1126</v>
      </c>
      <c r="E484" s="9"/>
    </row>
    <row r="485" customFormat="false" ht="15" hidden="false" customHeight="false" outlineLevel="0" collapsed="false">
      <c r="A485" s="9" t="s">
        <v>1119</v>
      </c>
      <c r="B485" s="9" t="s">
        <v>1781</v>
      </c>
      <c r="C485" s="9" t="s">
        <v>10</v>
      </c>
      <c r="D485" s="9" t="s">
        <v>1117</v>
      </c>
      <c r="E485" s="9"/>
    </row>
    <row r="486" customFormat="false" ht="15" hidden="false" customHeight="false" outlineLevel="0" collapsed="false">
      <c r="A486" s="9" t="s">
        <v>1131</v>
      </c>
      <c r="B486" s="9" t="s">
        <v>1867</v>
      </c>
      <c r="C486" s="9" t="s">
        <v>10</v>
      </c>
      <c r="D486" s="9" t="s">
        <v>1129</v>
      </c>
      <c r="E486" s="9"/>
    </row>
    <row r="487" customFormat="false" ht="15" hidden="false" customHeight="false" outlineLevel="0" collapsed="false">
      <c r="A487" s="9" t="s">
        <v>1134</v>
      </c>
      <c r="B487" s="9" t="s">
        <v>1760</v>
      </c>
      <c r="C487" s="9" t="s">
        <v>10</v>
      </c>
      <c r="D487" s="9" t="s">
        <v>1132</v>
      </c>
      <c r="E487" s="9"/>
    </row>
    <row r="488" customFormat="false" ht="15" hidden="false" customHeight="false" outlineLevel="0" collapsed="false">
      <c r="A488" s="9" t="s">
        <v>1140</v>
      </c>
      <c r="B488" s="9" t="s">
        <v>1758</v>
      </c>
      <c r="C488" s="9" t="s">
        <v>10</v>
      </c>
      <c r="D488" s="9" t="s">
        <v>1138</v>
      </c>
      <c r="E488" s="9"/>
    </row>
    <row r="489" customFormat="false" ht="15" hidden="false" customHeight="false" outlineLevel="0" collapsed="false">
      <c r="A489" s="9" t="s">
        <v>1143</v>
      </c>
      <c r="B489" s="9" t="s">
        <v>1765</v>
      </c>
      <c r="C489" s="9" t="s">
        <v>10</v>
      </c>
      <c r="D489" s="9" t="s">
        <v>1141</v>
      </c>
      <c r="E489" s="9"/>
    </row>
    <row r="490" customFormat="false" ht="15" hidden="false" customHeight="false" outlineLevel="0" collapsed="false">
      <c r="A490" s="9" t="s">
        <v>1146</v>
      </c>
      <c r="B490" s="9" t="s">
        <v>1765</v>
      </c>
      <c r="C490" s="9" t="s">
        <v>10</v>
      </c>
      <c r="D490" s="9" t="s">
        <v>1144</v>
      </c>
      <c r="E490" s="9"/>
    </row>
    <row r="491" customFormat="false" ht="15" hidden="false" customHeight="false" outlineLevel="0" collapsed="false">
      <c r="A491" s="9" t="s">
        <v>1137</v>
      </c>
      <c r="B491" s="9" t="s">
        <v>1666</v>
      </c>
      <c r="C491" s="9" t="s">
        <v>10</v>
      </c>
      <c r="D491" s="9" t="s">
        <v>1135</v>
      </c>
      <c r="E491" s="9"/>
    </row>
    <row r="492" customFormat="false" ht="15" hidden="false" customHeight="false" outlineLevel="0" collapsed="false">
      <c r="A492" s="9" t="s">
        <v>2291</v>
      </c>
      <c r="B492" s="9" t="s">
        <v>2292</v>
      </c>
      <c r="C492" s="10" t="s">
        <v>1527</v>
      </c>
      <c r="D492" s="9" t="s">
        <v>55</v>
      </c>
      <c r="E492" s="10" t="s">
        <v>1756</v>
      </c>
    </row>
    <row r="493" customFormat="false" ht="15" hidden="false" customHeight="false" outlineLevel="0" collapsed="false">
      <c r="A493" s="9" t="s">
        <v>2293</v>
      </c>
      <c r="B493" s="9" t="s">
        <v>2294</v>
      </c>
      <c r="C493" s="10" t="s">
        <v>2232</v>
      </c>
      <c r="D493" s="9" t="s">
        <v>2295</v>
      </c>
      <c r="E493" s="10" t="s">
        <v>2296</v>
      </c>
    </row>
    <row r="494" customFormat="false" ht="15" hidden="false" customHeight="false" outlineLevel="0" collapsed="false">
      <c r="A494" s="9" t="s">
        <v>2297</v>
      </c>
      <c r="B494" s="9" t="s">
        <v>2298</v>
      </c>
      <c r="C494" s="10" t="s">
        <v>2232</v>
      </c>
      <c r="D494" s="9" t="s">
        <v>2295</v>
      </c>
      <c r="E494" s="10" t="s">
        <v>2296</v>
      </c>
    </row>
    <row r="495" customFormat="false" ht="15" hidden="false" customHeight="false" outlineLevel="0" collapsed="false">
      <c r="A495" s="9" t="s">
        <v>2299</v>
      </c>
      <c r="B495" s="9" t="s">
        <v>2300</v>
      </c>
      <c r="C495" s="10" t="s">
        <v>2232</v>
      </c>
      <c r="D495" s="9" t="s">
        <v>2295</v>
      </c>
      <c r="E495" s="10" t="s">
        <v>2296</v>
      </c>
    </row>
    <row r="496" customFormat="false" ht="15" hidden="false" customHeight="false" outlineLevel="0" collapsed="false">
      <c r="A496" s="9" t="s">
        <v>2301</v>
      </c>
      <c r="B496" s="9" t="s">
        <v>1795</v>
      </c>
      <c r="C496" s="10" t="s">
        <v>2232</v>
      </c>
      <c r="D496" s="9" t="s">
        <v>2295</v>
      </c>
      <c r="E496" s="10" t="s">
        <v>2296</v>
      </c>
    </row>
    <row r="497" customFormat="false" ht="15" hidden="false" customHeight="false" outlineLevel="0" collapsed="false">
      <c r="A497" s="9" t="s">
        <v>2302</v>
      </c>
      <c r="B497" s="9" t="s">
        <v>2303</v>
      </c>
      <c r="C497" s="10" t="s">
        <v>2232</v>
      </c>
      <c r="D497" s="9" t="s">
        <v>2295</v>
      </c>
      <c r="E497" s="10" t="s">
        <v>2296</v>
      </c>
    </row>
    <row r="498" customFormat="false" ht="15" hidden="false" customHeight="false" outlineLevel="0" collapsed="false">
      <c r="A498" s="9" t="s">
        <v>2304</v>
      </c>
      <c r="B498" s="9" t="s">
        <v>2305</v>
      </c>
      <c r="C498" s="10" t="s">
        <v>2232</v>
      </c>
      <c r="D498" s="9" t="s">
        <v>2295</v>
      </c>
      <c r="E498" s="10" t="s">
        <v>2296</v>
      </c>
    </row>
    <row r="499" customFormat="false" ht="15" hidden="false" customHeight="false" outlineLevel="0" collapsed="false">
      <c r="A499" s="9" t="s">
        <v>2306</v>
      </c>
      <c r="B499" s="9" t="s">
        <v>2104</v>
      </c>
      <c r="C499" s="10" t="s">
        <v>2232</v>
      </c>
      <c r="D499" s="9" t="s">
        <v>2295</v>
      </c>
      <c r="E499" s="10" t="s">
        <v>2296</v>
      </c>
    </row>
    <row r="500" customFormat="false" ht="15" hidden="false" customHeight="false" outlineLevel="0" collapsed="false">
      <c r="A500" s="9" t="s">
        <v>2307</v>
      </c>
      <c r="B500" s="9" t="s">
        <v>2308</v>
      </c>
      <c r="C500" s="10" t="s">
        <v>2232</v>
      </c>
      <c r="D500" s="9" t="s">
        <v>2295</v>
      </c>
      <c r="E500" s="10" t="s">
        <v>2296</v>
      </c>
    </row>
    <row r="501" customFormat="false" ht="15" hidden="false" customHeight="false" outlineLevel="0" collapsed="false">
      <c r="A501" s="9" t="s">
        <v>2309</v>
      </c>
      <c r="B501" s="9" t="s">
        <v>1585</v>
      </c>
      <c r="C501" s="10" t="s">
        <v>2232</v>
      </c>
      <c r="D501" s="9" t="s">
        <v>2295</v>
      </c>
      <c r="E501" s="10" t="s">
        <v>2296</v>
      </c>
    </row>
    <row r="502" customFormat="false" ht="15" hidden="false" customHeight="false" outlineLevel="0" collapsed="false">
      <c r="A502" s="9" t="s">
        <v>2310</v>
      </c>
      <c r="B502" s="9" t="s">
        <v>1717</v>
      </c>
      <c r="C502" s="10" t="s">
        <v>2232</v>
      </c>
      <c r="D502" s="9" t="s">
        <v>2295</v>
      </c>
      <c r="E502" s="10" t="s">
        <v>2296</v>
      </c>
    </row>
    <row r="503" customFormat="false" ht="15" hidden="false" customHeight="false" outlineLevel="0" collapsed="false">
      <c r="A503" s="9" t="s">
        <v>2311</v>
      </c>
      <c r="B503" s="9" t="s">
        <v>1720</v>
      </c>
      <c r="C503" s="10" t="s">
        <v>2232</v>
      </c>
      <c r="D503" s="9" t="s">
        <v>2295</v>
      </c>
      <c r="E503" s="10" t="s">
        <v>2296</v>
      </c>
    </row>
    <row r="504" customFormat="false" ht="15" hidden="false" customHeight="false" outlineLevel="0" collapsed="false">
      <c r="A504" s="9" t="s">
        <v>2312</v>
      </c>
      <c r="B504" s="9" t="s">
        <v>1630</v>
      </c>
      <c r="C504" s="10" t="s">
        <v>2232</v>
      </c>
      <c r="D504" s="9" t="s">
        <v>2295</v>
      </c>
      <c r="E504" s="10" t="s">
        <v>2296</v>
      </c>
    </row>
    <row r="505" customFormat="false" ht="15" hidden="false" customHeight="false" outlineLevel="0" collapsed="false">
      <c r="A505" s="9" t="s">
        <v>2313</v>
      </c>
      <c r="B505" s="9" t="s">
        <v>1608</v>
      </c>
      <c r="C505" s="10" t="s">
        <v>2232</v>
      </c>
      <c r="D505" s="9" t="s">
        <v>2295</v>
      </c>
      <c r="E505" s="10" t="s">
        <v>2296</v>
      </c>
    </row>
    <row r="506" customFormat="false" ht="15" hidden="false" customHeight="false" outlineLevel="0" collapsed="false">
      <c r="A506" s="9" t="s">
        <v>2314</v>
      </c>
      <c r="B506" s="9" t="s">
        <v>2315</v>
      </c>
      <c r="C506" s="10" t="s">
        <v>2232</v>
      </c>
      <c r="D506" s="9" t="s">
        <v>2295</v>
      </c>
      <c r="E506" s="10" t="s">
        <v>2296</v>
      </c>
    </row>
    <row r="507" customFormat="false" ht="15" hidden="false" customHeight="false" outlineLevel="0" collapsed="false">
      <c r="A507" s="9" t="s">
        <v>2316</v>
      </c>
      <c r="B507" s="9" t="s">
        <v>1612</v>
      </c>
      <c r="C507" s="10" t="s">
        <v>2232</v>
      </c>
      <c r="D507" s="9" t="s">
        <v>2295</v>
      </c>
      <c r="E507" s="10" t="s">
        <v>2296</v>
      </c>
    </row>
    <row r="508" customFormat="false" ht="15" hidden="false" customHeight="false" outlineLevel="0" collapsed="false">
      <c r="A508" s="9" t="s">
        <v>2317</v>
      </c>
      <c r="B508" s="9" t="s">
        <v>2318</v>
      </c>
      <c r="C508" s="10" t="s">
        <v>2232</v>
      </c>
      <c r="D508" s="9" t="s">
        <v>2295</v>
      </c>
      <c r="E508" s="10" t="s">
        <v>2296</v>
      </c>
    </row>
    <row r="509" customFormat="false" ht="15" hidden="false" customHeight="false" outlineLevel="0" collapsed="false">
      <c r="A509" s="9" t="s">
        <v>2319</v>
      </c>
      <c r="B509" s="9" t="s">
        <v>2320</v>
      </c>
      <c r="C509" s="10" t="s">
        <v>2232</v>
      </c>
      <c r="D509" s="9" t="s">
        <v>2295</v>
      </c>
      <c r="E509" s="10" t="s">
        <v>2296</v>
      </c>
    </row>
    <row r="510" customFormat="false" ht="15" hidden="false" customHeight="false" outlineLevel="0" collapsed="false">
      <c r="A510" s="9" t="s">
        <v>2321</v>
      </c>
      <c r="B510" s="9" t="s">
        <v>2322</v>
      </c>
      <c r="C510" s="10" t="s">
        <v>2232</v>
      </c>
      <c r="D510" s="9" t="s">
        <v>2295</v>
      </c>
      <c r="E510" s="10" t="s">
        <v>2296</v>
      </c>
    </row>
    <row r="511" customFormat="false" ht="15" hidden="false" customHeight="false" outlineLevel="0" collapsed="false">
      <c r="A511" s="9" t="s">
        <v>2323</v>
      </c>
      <c r="B511" s="9" t="s">
        <v>2324</v>
      </c>
      <c r="C511" s="10" t="s">
        <v>2232</v>
      </c>
      <c r="D511" s="9" t="s">
        <v>2295</v>
      </c>
      <c r="E511" s="10" t="s">
        <v>2296</v>
      </c>
    </row>
    <row r="512" customFormat="false" ht="15" hidden="false" customHeight="false" outlineLevel="0" collapsed="false">
      <c r="A512" s="9" t="s">
        <v>2325</v>
      </c>
      <c r="B512" s="9" t="s">
        <v>2326</v>
      </c>
      <c r="C512" s="10" t="s">
        <v>2232</v>
      </c>
      <c r="D512" s="9" t="s">
        <v>2295</v>
      </c>
      <c r="E512" s="10" t="s">
        <v>2296</v>
      </c>
    </row>
    <row r="513" customFormat="false" ht="15" hidden="false" customHeight="false" outlineLevel="0" collapsed="false">
      <c r="A513" s="9" t="s">
        <v>2327</v>
      </c>
      <c r="B513" s="9" t="s">
        <v>2328</v>
      </c>
      <c r="C513" s="10" t="s">
        <v>2232</v>
      </c>
      <c r="D513" s="9" t="s">
        <v>2295</v>
      </c>
      <c r="E513" s="10" t="s">
        <v>2296</v>
      </c>
    </row>
    <row r="514" customFormat="false" ht="15" hidden="false" customHeight="false" outlineLevel="0" collapsed="false">
      <c r="A514" s="9" t="s">
        <v>2329</v>
      </c>
      <c r="B514" s="9" t="s">
        <v>2330</v>
      </c>
      <c r="C514" s="10" t="s">
        <v>2232</v>
      </c>
      <c r="D514" s="9" t="s">
        <v>2331</v>
      </c>
      <c r="E514" s="10" t="s">
        <v>2296</v>
      </c>
    </row>
    <row r="515" customFormat="false" ht="15" hidden="false" customHeight="false" outlineLevel="0" collapsed="false">
      <c r="A515" s="9" t="s">
        <v>2332</v>
      </c>
      <c r="B515" s="9" t="s">
        <v>2333</v>
      </c>
      <c r="C515" s="10" t="s">
        <v>2232</v>
      </c>
      <c r="D515" s="9" t="s">
        <v>2331</v>
      </c>
      <c r="E515" s="10" t="s">
        <v>2296</v>
      </c>
    </row>
    <row r="516" customFormat="false" ht="15" hidden="false" customHeight="false" outlineLevel="0" collapsed="false">
      <c r="A516" s="9" t="s">
        <v>2334</v>
      </c>
      <c r="B516" s="9" t="s">
        <v>2335</v>
      </c>
      <c r="C516" s="10" t="s">
        <v>2232</v>
      </c>
      <c r="D516" s="9" t="s">
        <v>2331</v>
      </c>
      <c r="E516" s="10" t="s">
        <v>2296</v>
      </c>
    </row>
    <row r="517" customFormat="false" ht="15" hidden="false" customHeight="false" outlineLevel="0" collapsed="false">
      <c r="A517" s="9" t="s">
        <v>2336</v>
      </c>
      <c r="B517" s="9" t="s">
        <v>2337</v>
      </c>
      <c r="C517" s="10" t="s">
        <v>2232</v>
      </c>
      <c r="D517" s="9" t="s">
        <v>2331</v>
      </c>
      <c r="E517" s="10" t="s">
        <v>2296</v>
      </c>
    </row>
    <row r="518" customFormat="false" ht="15" hidden="false" customHeight="false" outlineLevel="0" collapsed="false">
      <c r="A518" s="9" t="s">
        <v>2338</v>
      </c>
      <c r="B518" s="9" t="s">
        <v>2339</v>
      </c>
      <c r="C518" s="10" t="s">
        <v>2232</v>
      </c>
      <c r="D518" s="9" t="s">
        <v>2331</v>
      </c>
      <c r="E518" s="10" t="s">
        <v>2296</v>
      </c>
    </row>
    <row r="519" customFormat="false" ht="15" hidden="false" customHeight="false" outlineLevel="0" collapsed="false">
      <c r="A519" s="9" t="s">
        <v>2340</v>
      </c>
      <c r="B519" s="9" t="s">
        <v>2341</v>
      </c>
      <c r="C519" s="10" t="s">
        <v>2232</v>
      </c>
      <c r="D519" s="9" t="s">
        <v>2331</v>
      </c>
      <c r="E519" s="10" t="s">
        <v>2296</v>
      </c>
    </row>
    <row r="520" customFormat="false" ht="15" hidden="false" customHeight="false" outlineLevel="0" collapsed="false">
      <c r="A520" s="9" t="s">
        <v>2342</v>
      </c>
      <c r="B520" s="9" t="s">
        <v>2343</v>
      </c>
      <c r="C520" s="10" t="s">
        <v>2232</v>
      </c>
      <c r="D520" s="9" t="s">
        <v>2331</v>
      </c>
      <c r="E520" s="10" t="s">
        <v>2296</v>
      </c>
    </row>
    <row r="521" customFormat="false" ht="15" hidden="false" customHeight="false" outlineLevel="0" collapsed="false">
      <c r="A521" s="9" t="s">
        <v>2344</v>
      </c>
      <c r="B521" s="9" t="s">
        <v>2345</v>
      </c>
      <c r="C521" s="10" t="s">
        <v>2232</v>
      </c>
      <c r="D521" s="9" t="s">
        <v>2331</v>
      </c>
      <c r="E521" s="10" t="s">
        <v>2296</v>
      </c>
    </row>
    <row r="522" customFormat="false" ht="15" hidden="false" customHeight="false" outlineLevel="0" collapsed="false">
      <c r="A522" s="9" t="s">
        <v>2346</v>
      </c>
      <c r="B522" s="9" t="s">
        <v>2347</v>
      </c>
      <c r="C522" s="10" t="s">
        <v>2232</v>
      </c>
      <c r="D522" s="9" t="s">
        <v>2331</v>
      </c>
      <c r="E522" s="10" t="s">
        <v>2296</v>
      </c>
    </row>
    <row r="523" customFormat="false" ht="15" hidden="false" customHeight="false" outlineLevel="0" collapsed="false">
      <c r="A523" s="9" t="s">
        <v>2348</v>
      </c>
      <c r="B523" s="9" t="s">
        <v>2349</v>
      </c>
      <c r="C523" s="10" t="s">
        <v>2232</v>
      </c>
      <c r="D523" s="9" t="s">
        <v>2331</v>
      </c>
      <c r="E523" s="10" t="s">
        <v>2296</v>
      </c>
    </row>
    <row r="524" customFormat="false" ht="15" hidden="false" customHeight="false" outlineLevel="0" collapsed="false">
      <c r="A524" s="9" t="s">
        <v>2350</v>
      </c>
      <c r="B524" s="9" t="s">
        <v>2351</v>
      </c>
      <c r="C524" s="10" t="s">
        <v>2232</v>
      </c>
      <c r="D524" s="9" t="s">
        <v>2331</v>
      </c>
      <c r="E524" s="10" t="s">
        <v>2296</v>
      </c>
    </row>
    <row r="525" customFormat="false" ht="15" hidden="false" customHeight="false" outlineLevel="0" collapsed="false">
      <c r="A525" s="9" t="s">
        <v>2352</v>
      </c>
      <c r="B525" s="9" t="s">
        <v>2353</v>
      </c>
      <c r="C525" s="10" t="s">
        <v>2232</v>
      </c>
      <c r="D525" s="9" t="s">
        <v>2331</v>
      </c>
      <c r="E525" s="10" t="s">
        <v>2296</v>
      </c>
    </row>
    <row r="526" customFormat="false" ht="15" hidden="false" customHeight="false" outlineLevel="0" collapsed="false">
      <c r="A526" s="9" t="s">
        <v>2354</v>
      </c>
      <c r="B526" s="9" t="s">
        <v>2355</v>
      </c>
      <c r="C526" s="10" t="s">
        <v>2232</v>
      </c>
      <c r="D526" s="9" t="s">
        <v>2331</v>
      </c>
      <c r="E526" s="10" t="s">
        <v>2296</v>
      </c>
    </row>
    <row r="527" customFormat="false" ht="15" hidden="false" customHeight="false" outlineLevel="0" collapsed="false">
      <c r="A527" s="9" t="s">
        <v>2356</v>
      </c>
      <c r="B527" s="9" t="s">
        <v>2357</v>
      </c>
      <c r="C527" s="10" t="s">
        <v>2232</v>
      </c>
      <c r="D527" s="9" t="s">
        <v>2331</v>
      </c>
      <c r="E527" s="10" t="s">
        <v>2296</v>
      </c>
    </row>
    <row r="528" customFormat="false" ht="15" hidden="false" customHeight="false" outlineLevel="0" collapsed="false">
      <c r="A528" s="9" t="s">
        <v>2358</v>
      </c>
      <c r="B528" s="9" t="s">
        <v>2359</v>
      </c>
      <c r="C528" s="10" t="s">
        <v>2232</v>
      </c>
      <c r="D528" s="9" t="s">
        <v>2331</v>
      </c>
      <c r="E528" s="10" t="s">
        <v>2296</v>
      </c>
    </row>
    <row r="529" customFormat="false" ht="15" hidden="false" customHeight="false" outlineLevel="0" collapsed="false">
      <c r="A529" s="9" t="s">
        <v>2360</v>
      </c>
      <c r="B529" s="9" t="s">
        <v>2361</v>
      </c>
      <c r="C529" s="10" t="s">
        <v>2232</v>
      </c>
      <c r="D529" s="9" t="s">
        <v>2331</v>
      </c>
      <c r="E529" s="10" t="s">
        <v>2296</v>
      </c>
    </row>
    <row r="530" customFormat="false" ht="15" hidden="false" customHeight="false" outlineLevel="0" collapsed="false">
      <c r="A530" s="9" t="s">
        <v>2362</v>
      </c>
      <c r="B530" s="9" t="s">
        <v>1815</v>
      </c>
      <c r="C530" s="10" t="s">
        <v>2232</v>
      </c>
      <c r="D530" s="9" t="s">
        <v>2331</v>
      </c>
      <c r="E530" s="10" t="s">
        <v>2296</v>
      </c>
    </row>
    <row r="531" customFormat="false" ht="15" hidden="false" customHeight="false" outlineLevel="0" collapsed="false">
      <c r="A531" s="9" t="s">
        <v>2363</v>
      </c>
      <c r="B531" s="9" t="s">
        <v>1612</v>
      </c>
      <c r="C531" s="10" t="s">
        <v>2232</v>
      </c>
      <c r="D531" s="9" t="s">
        <v>2331</v>
      </c>
      <c r="E531" s="10" t="s">
        <v>2296</v>
      </c>
    </row>
    <row r="532" customFormat="false" ht="15" hidden="false" customHeight="false" outlineLevel="0" collapsed="false">
      <c r="A532" s="9" t="s">
        <v>2364</v>
      </c>
      <c r="B532" s="9" t="s">
        <v>2365</v>
      </c>
      <c r="C532" s="10" t="s">
        <v>2232</v>
      </c>
      <c r="D532" s="9" t="s">
        <v>2366</v>
      </c>
      <c r="E532" s="10" t="s">
        <v>2296</v>
      </c>
    </row>
    <row r="533" customFormat="false" ht="15" hidden="false" customHeight="false" outlineLevel="0" collapsed="false">
      <c r="A533" s="9" t="s">
        <v>2367</v>
      </c>
      <c r="B533" s="9" t="s">
        <v>1973</v>
      </c>
      <c r="C533" s="10" t="s">
        <v>2232</v>
      </c>
      <c r="D533" s="9" t="s">
        <v>2366</v>
      </c>
      <c r="E533" s="10" t="s">
        <v>2296</v>
      </c>
    </row>
    <row r="534" customFormat="false" ht="15" hidden="false" customHeight="false" outlineLevel="0" collapsed="false">
      <c r="A534" s="9" t="s">
        <v>2368</v>
      </c>
      <c r="B534" s="9" t="s">
        <v>2369</v>
      </c>
      <c r="C534" s="10" t="s">
        <v>2232</v>
      </c>
      <c r="D534" s="9" t="s">
        <v>2366</v>
      </c>
      <c r="E534" s="10" t="s">
        <v>2296</v>
      </c>
    </row>
    <row r="535" customFormat="false" ht="15" hidden="false" customHeight="false" outlineLevel="0" collapsed="false">
      <c r="A535" s="9" t="s">
        <v>2370</v>
      </c>
      <c r="B535" s="9" t="s">
        <v>1630</v>
      </c>
      <c r="C535" s="10" t="s">
        <v>2232</v>
      </c>
      <c r="D535" s="9" t="s">
        <v>2366</v>
      </c>
      <c r="E535" s="10" t="s">
        <v>2296</v>
      </c>
    </row>
    <row r="536" customFormat="false" ht="15" hidden="false" customHeight="false" outlineLevel="0" collapsed="false">
      <c r="A536" s="9" t="s">
        <v>2371</v>
      </c>
      <c r="B536" s="9" t="s">
        <v>1906</v>
      </c>
      <c r="C536" s="10" t="s">
        <v>2232</v>
      </c>
      <c r="D536" s="9" t="s">
        <v>2366</v>
      </c>
      <c r="E536" s="10" t="s">
        <v>2296</v>
      </c>
    </row>
    <row r="537" customFormat="false" ht="15" hidden="false" customHeight="false" outlineLevel="0" collapsed="false">
      <c r="A537" s="9" t="s">
        <v>2372</v>
      </c>
      <c r="B537" s="9" t="s">
        <v>2034</v>
      </c>
      <c r="C537" s="10" t="s">
        <v>2232</v>
      </c>
      <c r="D537" s="9" t="s">
        <v>2366</v>
      </c>
      <c r="E537" s="10" t="s">
        <v>2296</v>
      </c>
    </row>
    <row r="538" customFormat="false" ht="15" hidden="false" customHeight="false" outlineLevel="0" collapsed="false">
      <c r="A538" s="9" t="s">
        <v>2373</v>
      </c>
      <c r="B538" s="9" t="s">
        <v>2374</v>
      </c>
      <c r="C538" s="10" t="s">
        <v>2232</v>
      </c>
      <c r="D538" s="9" t="s">
        <v>2366</v>
      </c>
      <c r="E538" s="10" t="s">
        <v>2296</v>
      </c>
    </row>
    <row r="539" customFormat="false" ht="15" hidden="false" customHeight="false" outlineLevel="0" collapsed="false">
      <c r="A539" s="9" t="s">
        <v>2375</v>
      </c>
      <c r="B539" s="9" t="s">
        <v>1630</v>
      </c>
      <c r="C539" s="10" t="s">
        <v>2232</v>
      </c>
      <c r="D539" s="9" t="s">
        <v>2366</v>
      </c>
      <c r="E539" s="10" t="s">
        <v>2296</v>
      </c>
    </row>
    <row r="540" customFormat="false" ht="15" hidden="false" customHeight="false" outlineLevel="0" collapsed="false">
      <c r="A540" s="9" t="s">
        <v>2376</v>
      </c>
      <c r="B540" s="9" t="s">
        <v>2377</v>
      </c>
      <c r="C540" s="10" t="s">
        <v>2232</v>
      </c>
      <c r="D540" s="9" t="s">
        <v>2366</v>
      </c>
      <c r="E540" s="10" t="s">
        <v>2296</v>
      </c>
    </row>
    <row r="541" customFormat="false" ht="15" hidden="false" customHeight="false" outlineLevel="0" collapsed="false">
      <c r="A541" s="9" t="s">
        <v>2378</v>
      </c>
      <c r="B541" s="9" t="s">
        <v>1630</v>
      </c>
      <c r="C541" s="10" t="s">
        <v>2232</v>
      </c>
      <c r="D541" s="9" t="s">
        <v>2366</v>
      </c>
      <c r="E541" s="10" t="s">
        <v>2296</v>
      </c>
    </row>
    <row r="542" customFormat="false" ht="15" hidden="false" customHeight="false" outlineLevel="0" collapsed="false">
      <c r="A542" s="9" t="s">
        <v>2379</v>
      </c>
      <c r="B542" s="9" t="s">
        <v>1666</v>
      </c>
      <c r="C542" s="10" t="s">
        <v>2232</v>
      </c>
      <c r="D542" s="9" t="s">
        <v>2366</v>
      </c>
      <c r="E542" s="10" t="s">
        <v>2296</v>
      </c>
    </row>
    <row r="543" customFormat="false" ht="15" hidden="false" customHeight="false" outlineLevel="0" collapsed="false">
      <c r="A543" s="9" t="s">
        <v>2380</v>
      </c>
      <c r="B543" s="9" t="s">
        <v>2124</v>
      </c>
      <c r="C543" s="10" t="s">
        <v>2232</v>
      </c>
      <c r="D543" s="9" t="s">
        <v>2366</v>
      </c>
      <c r="E543" s="10" t="s">
        <v>2296</v>
      </c>
    </row>
    <row r="544" customFormat="false" ht="15" hidden="false" customHeight="false" outlineLevel="0" collapsed="false">
      <c r="A544" s="9" t="s">
        <v>2381</v>
      </c>
      <c r="B544" s="9" t="s">
        <v>1614</v>
      </c>
      <c r="C544" s="10" t="s">
        <v>2232</v>
      </c>
      <c r="D544" s="9" t="s">
        <v>2366</v>
      </c>
      <c r="E544" s="10" t="s">
        <v>2296</v>
      </c>
    </row>
    <row r="545" customFormat="false" ht="15" hidden="false" customHeight="false" outlineLevel="0" collapsed="false">
      <c r="A545" s="9" t="s">
        <v>2382</v>
      </c>
      <c r="B545" s="9" t="s">
        <v>1815</v>
      </c>
      <c r="C545" s="10" t="s">
        <v>2232</v>
      </c>
      <c r="D545" s="9" t="s">
        <v>2366</v>
      </c>
      <c r="E545" s="10" t="s">
        <v>2296</v>
      </c>
    </row>
    <row r="546" customFormat="false" ht="15" hidden="false" customHeight="false" outlineLevel="0" collapsed="false">
      <c r="A546" s="9" t="s">
        <v>2383</v>
      </c>
      <c r="B546" s="9" t="s">
        <v>2384</v>
      </c>
      <c r="C546" s="10" t="s">
        <v>2232</v>
      </c>
      <c r="D546" s="9" t="s">
        <v>2366</v>
      </c>
      <c r="E546" s="10" t="s">
        <v>2296</v>
      </c>
    </row>
    <row r="547" customFormat="false" ht="15" hidden="false" customHeight="false" outlineLevel="0" collapsed="false">
      <c r="A547" s="9" t="s">
        <v>2385</v>
      </c>
      <c r="B547" s="9" t="s">
        <v>2386</v>
      </c>
      <c r="C547" s="9" t="s">
        <v>10</v>
      </c>
      <c r="D547" s="9" t="s">
        <v>2387</v>
      </c>
      <c r="E547" s="10" t="s">
        <v>1756</v>
      </c>
    </row>
    <row r="548" customFormat="false" ht="15" hidden="false" customHeight="false" outlineLevel="0" collapsed="false">
      <c r="A548" s="9" t="s">
        <v>2388</v>
      </c>
      <c r="B548" s="9" t="s">
        <v>2389</v>
      </c>
      <c r="C548" s="9" t="s">
        <v>10</v>
      </c>
      <c r="D548" s="9" t="s">
        <v>1147</v>
      </c>
      <c r="E548" s="9"/>
    </row>
    <row r="549" customFormat="false" ht="15" hidden="false" customHeight="false" outlineLevel="0" collapsed="false">
      <c r="A549" s="9" t="s">
        <v>2390</v>
      </c>
      <c r="B549" s="9" t="s">
        <v>1666</v>
      </c>
      <c r="C549" s="9" t="s">
        <v>10</v>
      </c>
      <c r="D549" s="9" t="s">
        <v>1152</v>
      </c>
      <c r="E549" s="9"/>
    </row>
    <row r="550" customFormat="false" ht="15" hidden="false" customHeight="false" outlineLevel="0" collapsed="false">
      <c r="A550" s="9" t="s">
        <v>2391</v>
      </c>
      <c r="B550" s="9" t="s">
        <v>2155</v>
      </c>
      <c r="C550" s="9" t="s">
        <v>10</v>
      </c>
      <c r="D550" s="9" t="s">
        <v>1154</v>
      </c>
      <c r="E550" s="9"/>
    </row>
    <row r="551" customFormat="false" ht="15" hidden="false" customHeight="false" outlineLevel="0" collapsed="false">
      <c r="A551" s="9" t="s">
        <v>2392</v>
      </c>
      <c r="B551" s="9" t="s">
        <v>1783</v>
      </c>
      <c r="C551" s="9" t="s">
        <v>10</v>
      </c>
      <c r="D551" s="9" t="s">
        <v>1156</v>
      </c>
      <c r="E551" s="9"/>
    </row>
    <row r="552" customFormat="false" ht="15" hidden="false" customHeight="false" outlineLevel="0" collapsed="false">
      <c r="A552" s="9" t="s">
        <v>2393</v>
      </c>
      <c r="B552" s="9" t="s">
        <v>1717</v>
      </c>
      <c r="C552" s="9" t="s">
        <v>10</v>
      </c>
      <c r="D552" s="9" t="s">
        <v>1158</v>
      </c>
      <c r="E552" s="9"/>
    </row>
    <row r="553" customFormat="false" ht="15" hidden="false" customHeight="false" outlineLevel="0" collapsed="false">
      <c r="A553" s="9" t="s">
        <v>2394</v>
      </c>
      <c r="B553" s="9" t="s">
        <v>1975</v>
      </c>
      <c r="C553" s="9" t="s">
        <v>10</v>
      </c>
      <c r="D553" s="9" t="s">
        <v>1160</v>
      </c>
      <c r="E553" s="9"/>
    </row>
    <row r="554" customFormat="false" ht="15" hidden="false" customHeight="false" outlineLevel="0" collapsed="false">
      <c r="A554" s="9" t="s">
        <v>2395</v>
      </c>
      <c r="B554" s="9" t="s">
        <v>1781</v>
      </c>
      <c r="C554" s="9" t="s">
        <v>10</v>
      </c>
      <c r="D554" s="9" t="s">
        <v>1163</v>
      </c>
      <c r="E554" s="9"/>
    </row>
    <row r="555" customFormat="false" ht="15" hidden="false" customHeight="false" outlineLevel="0" collapsed="false">
      <c r="A555" s="9" t="s">
        <v>2396</v>
      </c>
      <c r="B555" s="9" t="s">
        <v>2155</v>
      </c>
      <c r="C555" s="9" t="s">
        <v>10</v>
      </c>
      <c r="D555" s="9" t="s">
        <v>1164</v>
      </c>
      <c r="E555" s="9"/>
    </row>
    <row r="556" customFormat="false" ht="15" hidden="false" customHeight="false" outlineLevel="0" collapsed="false">
      <c r="A556" s="9" t="s">
        <v>2397</v>
      </c>
      <c r="B556" s="9" t="s">
        <v>1783</v>
      </c>
      <c r="C556" s="9" t="s">
        <v>10</v>
      </c>
      <c r="D556" s="9" t="s">
        <v>1165</v>
      </c>
      <c r="E556" s="9"/>
    </row>
    <row r="557" customFormat="false" ht="15" hidden="false" customHeight="false" outlineLevel="0" collapsed="false">
      <c r="A557" s="9" t="s">
        <v>2398</v>
      </c>
      <c r="B557" s="9" t="s">
        <v>1717</v>
      </c>
      <c r="C557" s="9" t="s">
        <v>10</v>
      </c>
      <c r="D557" s="9" t="s">
        <v>1166</v>
      </c>
      <c r="E557" s="9"/>
    </row>
    <row r="558" customFormat="false" ht="15" hidden="false" customHeight="false" outlineLevel="0" collapsed="false">
      <c r="A558" s="9" t="s">
        <v>2399</v>
      </c>
      <c r="B558" s="9" t="s">
        <v>1795</v>
      </c>
      <c r="C558" s="9" t="s">
        <v>10</v>
      </c>
      <c r="D558" s="9" t="s">
        <v>1167</v>
      </c>
      <c r="E558" s="9"/>
    </row>
    <row r="559" customFormat="false" ht="15" hidden="false" customHeight="false" outlineLevel="0" collapsed="false">
      <c r="A559" s="9" t="s">
        <v>2400</v>
      </c>
      <c r="B559" s="9" t="s">
        <v>1585</v>
      </c>
      <c r="C559" s="9" t="s">
        <v>10</v>
      </c>
      <c r="D559" s="9" t="s">
        <v>1170</v>
      </c>
      <c r="E559" s="9"/>
    </row>
    <row r="560" customFormat="false" ht="15" hidden="false" customHeight="false" outlineLevel="0" collapsed="false">
      <c r="A560" s="9" t="s">
        <v>2401</v>
      </c>
      <c r="B560" s="9" t="s">
        <v>2124</v>
      </c>
      <c r="C560" s="9" t="s">
        <v>10</v>
      </c>
      <c r="D560" s="9" t="s">
        <v>1171</v>
      </c>
      <c r="E560" s="9"/>
    </row>
    <row r="561" customFormat="false" ht="15" hidden="false" customHeight="false" outlineLevel="0" collapsed="false">
      <c r="A561" s="9" t="s">
        <v>2402</v>
      </c>
      <c r="B561" s="9" t="s">
        <v>1717</v>
      </c>
      <c r="C561" s="9" t="s">
        <v>10</v>
      </c>
      <c r="D561" s="9" t="s">
        <v>1172</v>
      </c>
      <c r="E561" s="9"/>
    </row>
    <row r="562" customFormat="false" ht="15" hidden="false" customHeight="false" outlineLevel="0" collapsed="false">
      <c r="A562" s="9" t="s">
        <v>2403</v>
      </c>
      <c r="B562" s="9" t="s">
        <v>1670</v>
      </c>
      <c r="C562" s="9" t="s">
        <v>10</v>
      </c>
      <c r="D562" s="9" t="s">
        <v>1173</v>
      </c>
      <c r="E562" s="9"/>
    </row>
    <row r="563" customFormat="false" ht="15" hidden="false" customHeight="false" outlineLevel="0" collapsed="false">
      <c r="A563" s="9" t="s">
        <v>2404</v>
      </c>
      <c r="B563" s="9" t="s">
        <v>1666</v>
      </c>
      <c r="C563" s="9" t="s">
        <v>10</v>
      </c>
      <c r="D563" s="9" t="s">
        <v>1174</v>
      </c>
      <c r="E563" s="9"/>
    </row>
    <row r="564" customFormat="false" ht="15" hidden="false" customHeight="false" outlineLevel="0" collapsed="false">
      <c r="A564" s="9" t="s">
        <v>2405</v>
      </c>
      <c r="B564" s="9" t="s">
        <v>1670</v>
      </c>
      <c r="C564" s="9" t="s">
        <v>10</v>
      </c>
      <c r="D564" s="9" t="s">
        <v>1177</v>
      </c>
      <c r="E564" s="9"/>
    </row>
    <row r="565" customFormat="false" ht="15" hidden="false" customHeight="false" outlineLevel="0" collapsed="false">
      <c r="A565" s="9" t="s">
        <v>2406</v>
      </c>
      <c r="B565" s="9" t="s">
        <v>1717</v>
      </c>
      <c r="C565" s="9" t="s">
        <v>10</v>
      </c>
      <c r="D565" s="9" t="s">
        <v>1178</v>
      </c>
      <c r="E565" s="9"/>
    </row>
    <row r="566" customFormat="false" ht="15" hidden="false" customHeight="false" outlineLevel="0" collapsed="false">
      <c r="A566" s="9" t="s">
        <v>2407</v>
      </c>
      <c r="B566" s="9" t="s">
        <v>1670</v>
      </c>
      <c r="C566" s="9" t="s">
        <v>10</v>
      </c>
      <c r="D566" s="9" t="s">
        <v>1179</v>
      </c>
      <c r="E566" s="9"/>
    </row>
    <row r="567" customFormat="false" ht="15" hidden="false" customHeight="false" outlineLevel="0" collapsed="false">
      <c r="A567" s="9" t="s">
        <v>2408</v>
      </c>
      <c r="B567" s="9" t="s">
        <v>1585</v>
      </c>
      <c r="C567" s="9" t="s">
        <v>10</v>
      </c>
      <c r="D567" s="9" t="s">
        <v>1180</v>
      </c>
      <c r="E567" s="9"/>
    </row>
    <row r="568" customFormat="false" ht="15" hidden="false" customHeight="false" outlineLevel="0" collapsed="false">
      <c r="A568" s="9" t="s">
        <v>2409</v>
      </c>
      <c r="B568" s="9" t="s">
        <v>1793</v>
      </c>
      <c r="C568" s="9" t="s">
        <v>10</v>
      </c>
      <c r="D568" s="9" t="s">
        <v>1181</v>
      </c>
      <c r="E568" s="9"/>
    </row>
    <row r="569" customFormat="false" ht="15" hidden="false" customHeight="false" outlineLevel="0" collapsed="false">
      <c r="A569" s="9" t="s">
        <v>2410</v>
      </c>
      <c r="B569" s="9" t="s">
        <v>2185</v>
      </c>
      <c r="C569" s="9" t="s">
        <v>10</v>
      </c>
      <c r="D569" s="9" t="s">
        <v>1184</v>
      </c>
      <c r="E569" s="9"/>
    </row>
    <row r="570" customFormat="false" ht="15" hidden="false" customHeight="false" outlineLevel="0" collapsed="false">
      <c r="A570" s="9" t="s">
        <v>2411</v>
      </c>
      <c r="B570" s="9" t="s">
        <v>2124</v>
      </c>
      <c r="C570" s="9" t="s">
        <v>10</v>
      </c>
      <c r="D570" s="9" t="s">
        <v>1185</v>
      </c>
      <c r="E570" s="9"/>
    </row>
    <row r="571" customFormat="false" ht="15" hidden="false" customHeight="false" outlineLevel="0" collapsed="false">
      <c r="A571" s="9" t="s">
        <v>2412</v>
      </c>
      <c r="B571" s="9" t="s">
        <v>1795</v>
      </c>
      <c r="C571" s="9" t="s">
        <v>10</v>
      </c>
      <c r="D571" s="9" t="s">
        <v>1186</v>
      </c>
      <c r="E571" s="9"/>
    </row>
    <row r="572" customFormat="false" ht="15" hidden="false" customHeight="false" outlineLevel="0" collapsed="false">
      <c r="A572" s="9" t="s">
        <v>2413</v>
      </c>
      <c r="B572" s="9" t="s">
        <v>1798</v>
      </c>
      <c r="C572" s="9" t="s">
        <v>10</v>
      </c>
      <c r="D572" s="9" t="s">
        <v>1187</v>
      </c>
      <c r="E572" s="9"/>
    </row>
    <row r="573" customFormat="false" ht="15" hidden="false" customHeight="false" outlineLevel="0" collapsed="false">
      <c r="A573" s="9" t="s">
        <v>2414</v>
      </c>
      <c r="B573" s="9" t="s">
        <v>1630</v>
      </c>
      <c r="C573" s="9" t="s">
        <v>10</v>
      </c>
      <c r="D573" s="9" t="s">
        <v>2415</v>
      </c>
      <c r="E573" s="10" t="s">
        <v>1556</v>
      </c>
    </row>
    <row r="574" customFormat="false" ht="15" hidden="false" customHeight="false" outlineLevel="0" collapsed="false">
      <c r="A574" s="9" t="s">
        <v>2416</v>
      </c>
      <c r="B574" s="9" t="s">
        <v>2038</v>
      </c>
      <c r="C574" s="9" t="s">
        <v>10</v>
      </c>
      <c r="D574" s="9" t="s">
        <v>2415</v>
      </c>
      <c r="E574" s="10" t="s">
        <v>1556</v>
      </c>
    </row>
    <row r="575" customFormat="false" ht="15" hidden="false" customHeight="false" outlineLevel="0" collapsed="false">
      <c r="A575" s="9" t="s">
        <v>2417</v>
      </c>
      <c r="B575" s="9" t="s">
        <v>2418</v>
      </c>
      <c r="C575" s="9" t="s">
        <v>6</v>
      </c>
      <c r="D575" s="9" t="s">
        <v>286</v>
      </c>
      <c r="E575" s="9"/>
    </row>
    <row r="576" customFormat="false" ht="15" hidden="false" customHeight="false" outlineLevel="0" collapsed="false">
      <c r="A576" s="9" t="s">
        <v>2419</v>
      </c>
      <c r="B576" s="9" t="s">
        <v>1555</v>
      </c>
      <c r="C576" s="9" t="s">
        <v>6</v>
      </c>
      <c r="D576" s="9" t="s">
        <v>286</v>
      </c>
      <c r="E576" s="10" t="s">
        <v>1556</v>
      </c>
    </row>
    <row r="577" customFormat="false" ht="15" hidden="false" customHeight="false" outlineLevel="0" collapsed="false">
      <c r="A577" s="9" t="s">
        <v>2420</v>
      </c>
      <c r="B577" s="9" t="s">
        <v>2421</v>
      </c>
      <c r="C577" s="9" t="s">
        <v>6</v>
      </c>
      <c r="D577" s="9" t="s">
        <v>286</v>
      </c>
      <c r="E577" s="10" t="s">
        <v>1556</v>
      </c>
    </row>
    <row r="578" customFormat="false" ht="15" hidden="false" customHeight="false" outlineLevel="0" collapsed="false">
      <c r="A578" s="9" t="s">
        <v>2422</v>
      </c>
      <c r="B578" s="9" t="s">
        <v>1944</v>
      </c>
      <c r="C578" s="9" t="s">
        <v>6</v>
      </c>
      <c r="D578" s="9" t="s">
        <v>286</v>
      </c>
      <c r="E578" s="10" t="s">
        <v>1556</v>
      </c>
    </row>
    <row r="579" customFormat="false" ht="15" hidden="false" customHeight="false" outlineLevel="0" collapsed="false">
      <c r="A579" s="9" t="s">
        <v>2423</v>
      </c>
      <c r="B579" s="9" t="s">
        <v>2424</v>
      </c>
      <c r="C579" s="9" t="s">
        <v>6</v>
      </c>
      <c r="D579" s="9" t="s">
        <v>294</v>
      </c>
      <c r="E579" s="9"/>
    </row>
    <row r="580" customFormat="false" ht="15" hidden="false" customHeight="false" outlineLevel="0" collapsed="false">
      <c r="A580" s="9" t="s">
        <v>2425</v>
      </c>
      <c r="B580" s="9" t="s">
        <v>1555</v>
      </c>
      <c r="C580" s="9" t="s">
        <v>6</v>
      </c>
      <c r="D580" s="9" t="s">
        <v>294</v>
      </c>
      <c r="E580" s="10" t="s">
        <v>1556</v>
      </c>
    </row>
    <row r="581" customFormat="false" ht="15" hidden="false" customHeight="false" outlineLevel="0" collapsed="false">
      <c r="A581" s="9" t="s">
        <v>2426</v>
      </c>
      <c r="B581" s="9" t="s">
        <v>2427</v>
      </c>
      <c r="C581" s="9" t="s">
        <v>6</v>
      </c>
      <c r="D581" s="9" t="s">
        <v>294</v>
      </c>
      <c r="E581" s="10" t="s">
        <v>1556</v>
      </c>
    </row>
    <row r="582" customFormat="false" ht="15" hidden="false" customHeight="false" outlineLevel="0" collapsed="false">
      <c r="A582" s="9" t="s">
        <v>2428</v>
      </c>
      <c r="B582" s="9" t="s">
        <v>1944</v>
      </c>
      <c r="C582" s="9" t="s">
        <v>6</v>
      </c>
      <c r="D582" s="9" t="s">
        <v>294</v>
      </c>
      <c r="E582" s="10" t="s">
        <v>1556</v>
      </c>
    </row>
    <row r="583" customFormat="false" ht="15" hidden="false" customHeight="false" outlineLevel="0" collapsed="false">
      <c r="A583" s="9" t="s">
        <v>2429</v>
      </c>
      <c r="B583" s="9" t="s">
        <v>2194</v>
      </c>
      <c r="C583" s="9" t="s">
        <v>6</v>
      </c>
      <c r="D583" s="9" t="s">
        <v>300</v>
      </c>
      <c r="E583" s="9"/>
    </row>
    <row r="584" customFormat="false" ht="15" hidden="false" customHeight="false" outlineLevel="0" collapsed="false">
      <c r="A584" s="9" t="s">
        <v>2430</v>
      </c>
      <c r="B584" s="9" t="s">
        <v>1555</v>
      </c>
      <c r="C584" s="9" t="s">
        <v>6</v>
      </c>
      <c r="D584" s="9" t="s">
        <v>300</v>
      </c>
      <c r="E584" s="10" t="s">
        <v>1556</v>
      </c>
    </row>
    <row r="585" customFormat="false" ht="15" hidden="false" customHeight="false" outlineLevel="0" collapsed="false">
      <c r="A585" s="9" t="s">
        <v>2431</v>
      </c>
      <c r="B585" s="9" t="s">
        <v>2432</v>
      </c>
      <c r="C585" s="9" t="s">
        <v>6</v>
      </c>
      <c r="D585" s="9" t="s">
        <v>300</v>
      </c>
      <c r="E585" s="10" t="s">
        <v>1556</v>
      </c>
    </row>
    <row r="586" customFormat="false" ht="15" hidden="false" customHeight="false" outlineLevel="0" collapsed="false">
      <c r="A586" s="9" t="s">
        <v>2433</v>
      </c>
      <c r="B586" s="9" t="s">
        <v>1944</v>
      </c>
      <c r="C586" s="9" t="s">
        <v>6</v>
      </c>
      <c r="D586" s="9" t="s">
        <v>300</v>
      </c>
      <c r="E586" s="10" t="s">
        <v>1556</v>
      </c>
    </row>
    <row r="587" customFormat="false" ht="15" hidden="false" customHeight="false" outlineLevel="0" collapsed="false">
      <c r="A587" s="9" t="s">
        <v>2434</v>
      </c>
      <c r="B587" s="9" t="s">
        <v>1670</v>
      </c>
      <c r="C587" s="9" t="s">
        <v>10</v>
      </c>
      <c r="D587" s="9" t="s">
        <v>1188</v>
      </c>
      <c r="E587" s="9"/>
    </row>
    <row r="588" customFormat="false" ht="15" hidden="false" customHeight="false" outlineLevel="0" collapsed="false">
      <c r="A588" s="9" t="s">
        <v>2435</v>
      </c>
      <c r="B588" s="9" t="s">
        <v>1793</v>
      </c>
      <c r="C588" s="9" t="s">
        <v>10</v>
      </c>
      <c r="D588" s="9" t="s">
        <v>1188</v>
      </c>
      <c r="E588" s="9"/>
    </row>
    <row r="589" customFormat="false" ht="15" hidden="false" customHeight="false" outlineLevel="0" collapsed="false">
      <c r="A589" s="9" t="s">
        <v>2436</v>
      </c>
      <c r="B589" s="9" t="s">
        <v>2185</v>
      </c>
      <c r="C589" s="9" t="s">
        <v>10</v>
      </c>
      <c r="D589" s="9" t="s">
        <v>1188</v>
      </c>
      <c r="E589" s="9"/>
    </row>
    <row r="590" customFormat="false" ht="15" hidden="false" customHeight="false" outlineLevel="0" collapsed="false">
      <c r="A590" s="9" t="s">
        <v>2437</v>
      </c>
      <c r="B590" s="9" t="s">
        <v>1630</v>
      </c>
      <c r="C590" s="9" t="s">
        <v>10</v>
      </c>
      <c r="D590" s="9" t="s">
        <v>1188</v>
      </c>
      <c r="E590" s="10" t="s">
        <v>1556</v>
      </c>
    </row>
    <row r="591" customFormat="false" ht="15" hidden="false" customHeight="false" outlineLevel="0" collapsed="false">
      <c r="A591" s="9" t="s">
        <v>2438</v>
      </c>
      <c r="B591" s="9" t="s">
        <v>2439</v>
      </c>
      <c r="C591" s="9" t="s">
        <v>10</v>
      </c>
      <c r="D591" s="9" t="s">
        <v>1188</v>
      </c>
      <c r="E591" s="10" t="s">
        <v>1556</v>
      </c>
    </row>
    <row r="592" customFormat="false" ht="15" hidden="false" customHeight="false" outlineLevel="0" collapsed="false">
      <c r="A592" s="9" t="s">
        <v>2440</v>
      </c>
      <c r="B592" s="9" t="s">
        <v>2038</v>
      </c>
      <c r="C592" s="9" t="s">
        <v>10</v>
      </c>
      <c r="D592" s="9" t="s">
        <v>1188</v>
      </c>
      <c r="E592" s="10" t="s">
        <v>1556</v>
      </c>
    </row>
    <row r="593" customFormat="false" ht="15" hidden="false" customHeight="false" outlineLevel="0" collapsed="false">
      <c r="A593" s="9" t="s">
        <v>2441</v>
      </c>
      <c r="B593" s="9" t="s">
        <v>1565</v>
      </c>
      <c r="C593" s="10" t="s">
        <v>2442</v>
      </c>
      <c r="D593" s="9" t="s">
        <v>2443</v>
      </c>
      <c r="E593" s="10" t="s">
        <v>2444</v>
      </c>
    </row>
    <row r="594" customFormat="false" ht="15" hidden="false" customHeight="false" outlineLevel="0" collapsed="false">
      <c r="A594" s="9" t="s">
        <v>2445</v>
      </c>
      <c r="B594" s="9" t="s">
        <v>1555</v>
      </c>
      <c r="C594" s="10" t="s">
        <v>2442</v>
      </c>
      <c r="D594" s="9" t="s">
        <v>2443</v>
      </c>
      <c r="E594" s="10" t="s">
        <v>2446</v>
      </c>
    </row>
    <row r="595" customFormat="false" ht="15" hidden="false" customHeight="false" outlineLevel="0" collapsed="false">
      <c r="A595" s="9" t="s">
        <v>2447</v>
      </c>
      <c r="B595" s="9" t="s">
        <v>2448</v>
      </c>
      <c r="C595" s="10" t="s">
        <v>2442</v>
      </c>
      <c r="D595" s="9" t="s">
        <v>2443</v>
      </c>
      <c r="E595" s="10" t="s">
        <v>2446</v>
      </c>
    </row>
    <row r="596" customFormat="false" ht="15" hidden="false" customHeight="false" outlineLevel="0" collapsed="false">
      <c r="A596" s="9" t="s">
        <v>2449</v>
      </c>
      <c r="B596" s="9" t="s">
        <v>1944</v>
      </c>
      <c r="C596" s="10" t="s">
        <v>2442</v>
      </c>
      <c r="D596" s="9" t="s">
        <v>2443</v>
      </c>
      <c r="E596" s="10" t="s">
        <v>2446</v>
      </c>
    </row>
    <row r="597" customFormat="false" ht="15" hidden="false" customHeight="false" outlineLevel="0" collapsed="false">
      <c r="A597" s="9" t="s">
        <v>2450</v>
      </c>
      <c r="B597" s="9" t="s">
        <v>2451</v>
      </c>
      <c r="C597" s="9" t="s">
        <v>6</v>
      </c>
      <c r="D597" s="9" t="s">
        <v>305</v>
      </c>
      <c r="E597" s="9"/>
    </row>
    <row r="598" customFormat="false" ht="15" hidden="false" customHeight="false" outlineLevel="0" collapsed="false">
      <c r="A598" s="9" t="s">
        <v>2452</v>
      </c>
      <c r="B598" s="9" t="s">
        <v>2453</v>
      </c>
      <c r="C598" s="9" t="s">
        <v>6</v>
      </c>
      <c r="D598" s="9" t="s">
        <v>305</v>
      </c>
      <c r="E598" s="9"/>
    </row>
    <row r="599" customFormat="false" ht="15" hidden="false" customHeight="false" outlineLevel="0" collapsed="false">
      <c r="A599" s="9" t="s">
        <v>2454</v>
      </c>
      <c r="B599" s="9" t="s">
        <v>1555</v>
      </c>
      <c r="C599" s="9" t="s">
        <v>6</v>
      </c>
      <c r="D599" s="9" t="s">
        <v>305</v>
      </c>
      <c r="E599" s="10" t="s">
        <v>1556</v>
      </c>
    </row>
    <row r="600" customFormat="false" ht="15" hidden="false" customHeight="false" outlineLevel="0" collapsed="false">
      <c r="A600" s="9" t="s">
        <v>2455</v>
      </c>
      <c r="B600" s="9" t="s">
        <v>2456</v>
      </c>
      <c r="C600" s="9" t="s">
        <v>6</v>
      </c>
      <c r="D600" s="9" t="s">
        <v>305</v>
      </c>
      <c r="E600" s="10" t="s">
        <v>1556</v>
      </c>
    </row>
    <row r="601" customFormat="false" ht="15" hidden="false" customHeight="false" outlineLevel="0" collapsed="false">
      <c r="A601" s="9" t="s">
        <v>2457</v>
      </c>
      <c r="B601" s="9" t="s">
        <v>2458</v>
      </c>
      <c r="C601" s="9" t="s">
        <v>6</v>
      </c>
      <c r="D601" s="9" t="s">
        <v>312</v>
      </c>
      <c r="E601" s="9"/>
    </row>
    <row r="602" customFormat="false" ht="15" hidden="false" customHeight="false" outlineLevel="0" collapsed="false">
      <c r="A602" s="9" t="s">
        <v>2459</v>
      </c>
      <c r="B602" s="9" t="s">
        <v>2460</v>
      </c>
      <c r="C602" s="9" t="s">
        <v>6</v>
      </c>
      <c r="D602" s="9" t="s">
        <v>312</v>
      </c>
      <c r="E602" s="9"/>
    </row>
    <row r="603" customFormat="false" ht="15" hidden="false" customHeight="false" outlineLevel="0" collapsed="false">
      <c r="A603" s="9" t="s">
        <v>2461</v>
      </c>
      <c r="B603" s="9" t="s">
        <v>2462</v>
      </c>
      <c r="C603" s="9" t="s">
        <v>6</v>
      </c>
      <c r="D603" s="9" t="s">
        <v>312</v>
      </c>
      <c r="E603" s="9"/>
    </row>
    <row r="604" customFormat="false" ht="15" hidden="false" customHeight="false" outlineLevel="0" collapsed="false">
      <c r="A604" s="9" t="s">
        <v>2463</v>
      </c>
      <c r="B604" s="9" t="s">
        <v>1555</v>
      </c>
      <c r="C604" s="9" t="s">
        <v>6</v>
      </c>
      <c r="D604" s="9" t="s">
        <v>312</v>
      </c>
      <c r="E604" s="10" t="s">
        <v>1556</v>
      </c>
    </row>
    <row r="605" customFormat="false" ht="15" hidden="false" customHeight="false" outlineLevel="0" collapsed="false">
      <c r="A605" s="9" t="s">
        <v>2464</v>
      </c>
      <c r="B605" s="9" t="s">
        <v>2152</v>
      </c>
      <c r="C605" s="9" t="s">
        <v>6</v>
      </c>
      <c r="D605" s="9" t="s">
        <v>312</v>
      </c>
      <c r="E605" s="10" t="s">
        <v>1556</v>
      </c>
    </row>
    <row r="606" customFormat="false" ht="15" hidden="false" customHeight="false" outlineLevel="0" collapsed="false">
      <c r="A606" s="9" t="s">
        <v>2465</v>
      </c>
      <c r="B606" s="9" t="s">
        <v>2466</v>
      </c>
      <c r="C606" s="10" t="s">
        <v>1598</v>
      </c>
      <c r="D606" s="9" t="s">
        <v>2467</v>
      </c>
      <c r="E606" s="9" t="s">
        <v>2468</v>
      </c>
    </row>
    <row r="607" customFormat="false" ht="15" hidden="false" customHeight="false" outlineLevel="0" collapsed="false">
      <c r="A607" s="9" t="s">
        <v>2469</v>
      </c>
      <c r="B607" s="9" t="s">
        <v>1608</v>
      </c>
      <c r="C607" s="10" t="s">
        <v>1598</v>
      </c>
      <c r="D607" s="9" t="s">
        <v>2467</v>
      </c>
      <c r="E607" s="9" t="s">
        <v>2468</v>
      </c>
    </row>
    <row r="608" customFormat="false" ht="15" hidden="false" customHeight="false" outlineLevel="0" collapsed="false">
      <c r="A608" s="9" t="s">
        <v>2470</v>
      </c>
      <c r="B608" s="9" t="s">
        <v>2471</v>
      </c>
      <c r="C608" s="10" t="s">
        <v>1527</v>
      </c>
      <c r="D608" s="9" t="s">
        <v>55</v>
      </c>
      <c r="E608" s="10" t="s">
        <v>2472</v>
      </c>
    </row>
    <row r="609" customFormat="false" ht="15" hidden="false" customHeight="false" outlineLevel="0" collapsed="false">
      <c r="A609" s="9" t="s">
        <v>2473</v>
      </c>
      <c r="B609" s="9" t="s">
        <v>2474</v>
      </c>
      <c r="C609" s="10" t="s">
        <v>1527</v>
      </c>
      <c r="D609" s="9" t="s">
        <v>55</v>
      </c>
      <c r="E609" s="10" t="s">
        <v>2475</v>
      </c>
    </row>
    <row r="610" customFormat="false" ht="15" hidden="false" customHeight="false" outlineLevel="0" collapsed="false">
      <c r="A610" s="9" t="s">
        <v>2476</v>
      </c>
      <c r="B610" s="9" t="s">
        <v>2477</v>
      </c>
      <c r="C610" s="9" t="s">
        <v>6</v>
      </c>
      <c r="D610" s="10" t="s">
        <v>2478</v>
      </c>
      <c r="E610" s="10" t="s">
        <v>2479</v>
      </c>
    </row>
    <row r="611" customFormat="false" ht="15" hidden="false" customHeight="false" outlineLevel="0" collapsed="false">
      <c r="A611" s="9" t="s">
        <v>2480</v>
      </c>
      <c r="B611" s="9" t="s">
        <v>1560</v>
      </c>
      <c r="C611" s="10" t="s">
        <v>2442</v>
      </c>
      <c r="D611" s="9" t="s">
        <v>2481</v>
      </c>
      <c r="E611" s="9" t="s">
        <v>2482</v>
      </c>
    </row>
    <row r="612" customFormat="false" ht="15" hidden="false" customHeight="false" outlineLevel="0" collapsed="false">
      <c r="A612" s="9" t="s">
        <v>2483</v>
      </c>
      <c r="B612" s="9" t="s">
        <v>2263</v>
      </c>
      <c r="C612" s="10" t="s">
        <v>2442</v>
      </c>
      <c r="D612" s="9" t="s">
        <v>269</v>
      </c>
      <c r="E612" s="9" t="s">
        <v>2484</v>
      </c>
    </row>
    <row r="613" customFormat="false" ht="15" hidden="false" customHeight="false" outlineLevel="0" collapsed="false">
      <c r="A613" s="9" t="s">
        <v>2485</v>
      </c>
      <c r="B613" s="9" t="s">
        <v>2486</v>
      </c>
      <c r="C613" s="10" t="s">
        <v>1598</v>
      </c>
      <c r="D613" s="9" t="s">
        <v>2487</v>
      </c>
      <c r="E613" s="9" t="s">
        <v>2488</v>
      </c>
    </row>
    <row r="614" customFormat="false" ht="15" hidden="false" customHeight="false" outlineLevel="0" collapsed="false">
      <c r="A614" s="9" t="s">
        <v>2489</v>
      </c>
      <c r="B614" s="9" t="s">
        <v>2490</v>
      </c>
      <c r="C614" s="10" t="s">
        <v>1598</v>
      </c>
      <c r="D614" s="9" t="s">
        <v>2487</v>
      </c>
      <c r="E614" s="9" t="s">
        <v>2488</v>
      </c>
    </row>
    <row r="615" customFormat="false" ht="15" hidden="false" customHeight="false" outlineLevel="0" collapsed="false">
      <c r="A615" s="9" t="s">
        <v>2491</v>
      </c>
      <c r="B615" s="9" t="s">
        <v>2492</v>
      </c>
      <c r="C615" s="10" t="s">
        <v>1598</v>
      </c>
      <c r="D615" s="9" t="s">
        <v>2487</v>
      </c>
      <c r="E615" s="9" t="s">
        <v>2488</v>
      </c>
    </row>
    <row r="616" customFormat="false" ht="15" hidden="false" customHeight="false" outlineLevel="0" collapsed="false">
      <c r="A616" s="9" t="s">
        <v>2493</v>
      </c>
      <c r="B616" s="9" t="s">
        <v>2265</v>
      </c>
      <c r="C616" s="10" t="s">
        <v>2442</v>
      </c>
      <c r="D616" s="9" t="s">
        <v>276</v>
      </c>
      <c r="E616" s="9" t="s">
        <v>2494</v>
      </c>
    </row>
    <row r="617" customFormat="false" ht="15" hidden="false" customHeight="false" outlineLevel="0" collapsed="false">
      <c r="A617" s="9" t="s">
        <v>2495</v>
      </c>
      <c r="B617" s="9" t="s">
        <v>2496</v>
      </c>
      <c r="C617" s="10" t="s">
        <v>2442</v>
      </c>
      <c r="D617" s="9" t="s">
        <v>269</v>
      </c>
      <c r="E617" s="10" t="s">
        <v>2446</v>
      </c>
    </row>
    <row r="618" customFormat="false" ht="15" hidden="false" customHeight="false" outlineLevel="0" collapsed="false">
      <c r="A618" s="9" t="s">
        <v>2497</v>
      </c>
      <c r="B618" s="9" t="s">
        <v>2498</v>
      </c>
      <c r="C618" s="10" t="s">
        <v>2442</v>
      </c>
      <c r="D618" s="9" t="s">
        <v>269</v>
      </c>
      <c r="E618" s="10" t="s">
        <v>2446</v>
      </c>
    </row>
    <row r="619" customFormat="false" ht="15" hidden="false" customHeight="false" outlineLevel="0" collapsed="false">
      <c r="A619" s="9" t="s">
        <v>2499</v>
      </c>
      <c r="B619" s="9" t="s">
        <v>2500</v>
      </c>
      <c r="C619" s="9" t="s">
        <v>6</v>
      </c>
      <c r="D619" s="9" t="s">
        <v>318</v>
      </c>
      <c r="E619" s="9"/>
    </row>
    <row r="620" customFormat="false" ht="15" hidden="false" customHeight="false" outlineLevel="0" collapsed="false">
      <c r="A620" s="9" t="s">
        <v>2501</v>
      </c>
      <c r="B620" s="9" t="s">
        <v>1555</v>
      </c>
      <c r="C620" s="9" t="s">
        <v>6</v>
      </c>
      <c r="D620" s="9" t="s">
        <v>318</v>
      </c>
      <c r="E620" s="10" t="s">
        <v>1556</v>
      </c>
    </row>
    <row r="621" customFormat="false" ht="15" hidden="false" customHeight="false" outlineLevel="0" collapsed="false">
      <c r="A621" s="9" t="s">
        <v>2502</v>
      </c>
      <c r="B621" s="9" t="s">
        <v>2503</v>
      </c>
      <c r="C621" s="9" t="s">
        <v>6</v>
      </c>
      <c r="D621" s="9" t="s">
        <v>318</v>
      </c>
      <c r="E621" s="10" t="s">
        <v>1556</v>
      </c>
    </row>
    <row r="622" customFormat="false" ht="15" hidden="false" customHeight="false" outlineLevel="0" collapsed="false">
      <c r="A622" s="9" t="s">
        <v>2504</v>
      </c>
      <c r="B622" s="9" t="s">
        <v>2505</v>
      </c>
      <c r="C622" s="10" t="s">
        <v>2442</v>
      </c>
      <c r="D622" s="9" t="s">
        <v>323</v>
      </c>
      <c r="E622" s="10" t="s">
        <v>2506</v>
      </c>
    </row>
    <row r="623" customFormat="false" ht="15" hidden="false" customHeight="false" outlineLevel="0" collapsed="false">
      <c r="A623" s="9" t="s">
        <v>2507</v>
      </c>
      <c r="B623" s="9" t="s">
        <v>1555</v>
      </c>
      <c r="C623" s="10" t="s">
        <v>2442</v>
      </c>
      <c r="D623" s="9" t="s">
        <v>323</v>
      </c>
      <c r="E623" s="10" t="s">
        <v>2446</v>
      </c>
    </row>
    <row r="624" customFormat="false" ht="15" hidden="false" customHeight="false" outlineLevel="0" collapsed="false">
      <c r="A624" s="9" t="s">
        <v>2508</v>
      </c>
      <c r="B624" s="9" t="s">
        <v>2503</v>
      </c>
      <c r="C624" s="10" t="s">
        <v>2442</v>
      </c>
      <c r="D624" s="9" t="s">
        <v>323</v>
      </c>
      <c r="E624" s="10" t="s">
        <v>2446</v>
      </c>
    </row>
    <row r="625" customFormat="false" ht="15" hidden="false" customHeight="false" outlineLevel="0" collapsed="false">
      <c r="A625" s="9" t="s">
        <v>2509</v>
      </c>
      <c r="B625" s="9" t="s">
        <v>2510</v>
      </c>
      <c r="C625" s="9" t="s">
        <v>6</v>
      </c>
      <c r="D625" s="9" t="s">
        <v>330</v>
      </c>
      <c r="E625" s="9"/>
    </row>
    <row r="626" customFormat="false" ht="15" hidden="false" customHeight="false" outlineLevel="0" collapsed="false">
      <c r="A626" s="9" t="s">
        <v>2511</v>
      </c>
      <c r="B626" s="9" t="s">
        <v>1555</v>
      </c>
      <c r="C626" s="9" t="s">
        <v>6</v>
      </c>
      <c r="D626" s="9" t="s">
        <v>330</v>
      </c>
      <c r="E626" s="10" t="s">
        <v>1556</v>
      </c>
    </row>
    <row r="627" customFormat="false" ht="15" hidden="false" customHeight="false" outlineLevel="0" collapsed="false">
      <c r="A627" s="9" t="s">
        <v>2512</v>
      </c>
      <c r="B627" s="9" t="s">
        <v>2513</v>
      </c>
      <c r="C627" s="9" t="s">
        <v>6</v>
      </c>
      <c r="D627" s="9" t="s">
        <v>330</v>
      </c>
      <c r="E627" s="10" t="s">
        <v>1556</v>
      </c>
    </row>
    <row r="628" customFormat="false" ht="15" hidden="false" customHeight="false" outlineLevel="0" collapsed="false">
      <c r="A628" s="9" t="s">
        <v>2514</v>
      </c>
      <c r="B628" s="9" t="s">
        <v>2515</v>
      </c>
      <c r="C628" s="10" t="s">
        <v>1527</v>
      </c>
      <c r="D628" s="9" t="s">
        <v>55</v>
      </c>
      <c r="E628" s="10" t="s">
        <v>2516</v>
      </c>
    </row>
    <row r="629" customFormat="false" ht="15" hidden="false" customHeight="false" outlineLevel="0" collapsed="false">
      <c r="A629" s="9" t="s">
        <v>2517</v>
      </c>
      <c r="B629" s="9" t="s">
        <v>2518</v>
      </c>
      <c r="C629" s="10" t="s">
        <v>1527</v>
      </c>
      <c r="D629" s="9" t="s">
        <v>55</v>
      </c>
      <c r="E629" s="10" t="s">
        <v>2516</v>
      </c>
    </row>
    <row r="630" customFormat="false" ht="15" hidden="false" customHeight="false" outlineLevel="0" collapsed="false">
      <c r="A630" s="9" t="s">
        <v>2519</v>
      </c>
      <c r="B630" s="9" t="s">
        <v>2520</v>
      </c>
      <c r="C630" s="10" t="s">
        <v>1527</v>
      </c>
      <c r="D630" s="9" t="s">
        <v>55</v>
      </c>
      <c r="E630" s="10" t="s">
        <v>2516</v>
      </c>
    </row>
    <row r="631" customFormat="false" ht="15" hidden="false" customHeight="false" outlineLevel="0" collapsed="false">
      <c r="A631" s="9" t="s">
        <v>2521</v>
      </c>
      <c r="B631" s="9" t="s">
        <v>2522</v>
      </c>
      <c r="C631" s="10" t="s">
        <v>1527</v>
      </c>
      <c r="D631" s="9" t="s">
        <v>55</v>
      </c>
      <c r="E631" s="10" t="s">
        <v>2523</v>
      </c>
    </row>
    <row r="632" customFormat="false" ht="15" hidden="false" customHeight="false" outlineLevel="0" collapsed="false">
      <c r="A632" s="9" t="s">
        <v>2524</v>
      </c>
      <c r="B632" s="9" t="s">
        <v>1634</v>
      </c>
      <c r="C632" s="10" t="s">
        <v>2442</v>
      </c>
      <c r="D632" s="9" t="s">
        <v>55</v>
      </c>
      <c r="E632" s="9" t="s">
        <v>2525</v>
      </c>
    </row>
    <row r="633" customFormat="false" ht="15" hidden="false" customHeight="false" outlineLevel="0" collapsed="false">
      <c r="A633" s="9" t="s">
        <v>2526</v>
      </c>
      <c r="B633" s="9" t="s">
        <v>1689</v>
      </c>
      <c r="C633" s="10" t="s">
        <v>2442</v>
      </c>
      <c r="D633" s="9" t="s">
        <v>2527</v>
      </c>
      <c r="E633" s="10" t="s">
        <v>2528</v>
      </c>
    </row>
    <row r="634" customFormat="false" ht="15" hidden="false" customHeight="false" outlineLevel="0" collapsed="false">
      <c r="A634" s="9" t="s">
        <v>2529</v>
      </c>
      <c r="B634" s="9" t="s">
        <v>2211</v>
      </c>
      <c r="C634" s="10" t="s">
        <v>2442</v>
      </c>
      <c r="D634" s="9" t="s">
        <v>2530</v>
      </c>
      <c r="E634" s="10" t="s">
        <v>2528</v>
      </c>
    </row>
    <row r="635" customFormat="false" ht="15" hidden="false" customHeight="false" outlineLevel="0" collapsed="false">
      <c r="A635" s="9" t="s">
        <v>2531</v>
      </c>
      <c r="B635" s="9" t="s">
        <v>1915</v>
      </c>
      <c r="C635" s="10" t="s">
        <v>2442</v>
      </c>
      <c r="D635" s="9" t="s">
        <v>2532</v>
      </c>
      <c r="E635" s="10" t="s">
        <v>2528</v>
      </c>
    </row>
    <row r="636" customFormat="false" ht="15" hidden="false" customHeight="false" outlineLevel="0" collapsed="false">
      <c r="A636" s="9" t="s">
        <v>2533</v>
      </c>
      <c r="B636" s="9" t="s">
        <v>2221</v>
      </c>
      <c r="C636" s="10" t="s">
        <v>2442</v>
      </c>
      <c r="D636" s="9" t="s">
        <v>2534</v>
      </c>
      <c r="E636" s="10" t="s">
        <v>2528</v>
      </c>
    </row>
    <row r="637" customFormat="false" ht="15" hidden="false" customHeight="false" outlineLevel="0" collapsed="false">
      <c r="A637" s="9" t="s">
        <v>2535</v>
      </c>
      <c r="B637" s="9" t="s">
        <v>1910</v>
      </c>
      <c r="C637" s="10" t="s">
        <v>2442</v>
      </c>
      <c r="D637" s="9" t="s">
        <v>2536</v>
      </c>
      <c r="E637" s="10" t="s">
        <v>2528</v>
      </c>
    </row>
    <row r="638" customFormat="false" ht="15" hidden="false" customHeight="false" outlineLevel="0" collapsed="false">
      <c r="A638" s="9" t="s">
        <v>2537</v>
      </c>
      <c r="B638" s="9" t="s">
        <v>1555</v>
      </c>
      <c r="C638" s="10" t="s">
        <v>2442</v>
      </c>
      <c r="D638" s="9" t="s">
        <v>2538</v>
      </c>
      <c r="E638" s="10" t="s">
        <v>2446</v>
      </c>
    </row>
    <row r="639" customFormat="false" ht="15" hidden="false" customHeight="false" outlineLevel="0" collapsed="false">
      <c r="A639" s="9" t="s">
        <v>2539</v>
      </c>
      <c r="B639" s="9" t="s">
        <v>2540</v>
      </c>
      <c r="C639" s="10" t="s">
        <v>2442</v>
      </c>
      <c r="D639" s="9" t="s">
        <v>2538</v>
      </c>
      <c r="E639" s="10" t="s">
        <v>2446</v>
      </c>
    </row>
    <row r="640" customFormat="false" ht="15" hidden="false" customHeight="false" outlineLevel="0" collapsed="false">
      <c r="A640" s="9" t="s">
        <v>2541</v>
      </c>
      <c r="B640" s="9" t="s">
        <v>2542</v>
      </c>
      <c r="C640" s="10" t="s">
        <v>1527</v>
      </c>
      <c r="D640" s="9" t="s">
        <v>55</v>
      </c>
      <c r="E640" s="10" t="s">
        <v>2543</v>
      </c>
    </row>
    <row r="641" customFormat="false" ht="15" hidden="false" customHeight="false" outlineLevel="0" collapsed="false">
      <c r="A641" s="9" t="s">
        <v>2544</v>
      </c>
      <c r="B641" s="9" t="s">
        <v>2545</v>
      </c>
      <c r="C641" s="9" t="s">
        <v>10</v>
      </c>
      <c r="D641" s="9" t="s">
        <v>1192</v>
      </c>
      <c r="E641" s="9"/>
    </row>
    <row r="642" customFormat="false" ht="15" hidden="false" customHeight="false" outlineLevel="0" collapsed="false">
      <c r="A642" s="9" t="s">
        <v>2546</v>
      </c>
      <c r="B642" s="9" t="s">
        <v>2547</v>
      </c>
      <c r="C642" s="10" t="s">
        <v>1527</v>
      </c>
      <c r="D642" s="9" t="s">
        <v>55</v>
      </c>
      <c r="E642" s="10" t="s">
        <v>2548</v>
      </c>
    </row>
    <row r="643" customFormat="false" ht="15" hidden="false" customHeight="false" outlineLevel="0" collapsed="false">
      <c r="A643" s="9" t="s">
        <v>2549</v>
      </c>
      <c r="B643" s="9" t="s">
        <v>2545</v>
      </c>
      <c r="C643" s="10" t="s">
        <v>1527</v>
      </c>
      <c r="D643" s="9" t="s">
        <v>55</v>
      </c>
      <c r="E643" s="10" t="s">
        <v>2548</v>
      </c>
    </row>
    <row r="644" customFormat="false" ht="15" hidden="false" customHeight="false" outlineLevel="0" collapsed="false">
      <c r="A644" s="9" t="s">
        <v>2550</v>
      </c>
      <c r="B644" s="9" t="s">
        <v>1883</v>
      </c>
      <c r="C644" s="9" t="s">
        <v>10</v>
      </c>
      <c r="D644" s="9" t="s">
        <v>1192</v>
      </c>
      <c r="E644" s="10" t="s">
        <v>1556</v>
      </c>
    </row>
    <row r="645" customFormat="false" ht="15" hidden="false" customHeight="false" outlineLevel="0" collapsed="false">
      <c r="A645" s="9" t="s">
        <v>2551</v>
      </c>
      <c r="B645" s="9" t="s">
        <v>2552</v>
      </c>
      <c r="C645" s="9" t="s">
        <v>10</v>
      </c>
      <c r="D645" s="9" t="s">
        <v>1192</v>
      </c>
      <c r="E645" s="10" t="s">
        <v>1556</v>
      </c>
    </row>
    <row r="646" customFormat="false" ht="15" hidden="false" customHeight="false" outlineLevel="0" collapsed="false">
      <c r="A646" s="9" t="s">
        <v>2553</v>
      </c>
      <c r="B646" s="9" t="s">
        <v>2554</v>
      </c>
      <c r="C646" s="9" t="s">
        <v>6</v>
      </c>
      <c r="D646" s="9" t="s">
        <v>336</v>
      </c>
      <c r="E646" s="9"/>
    </row>
    <row r="647" customFormat="false" ht="15" hidden="false" customHeight="false" outlineLevel="0" collapsed="false">
      <c r="A647" s="9" t="s">
        <v>2555</v>
      </c>
      <c r="B647" s="9" t="s">
        <v>395</v>
      </c>
      <c r="C647" s="9" t="s">
        <v>10</v>
      </c>
      <c r="D647" s="9" t="s">
        <v>1199</v>
      </c>
      <c r="E647" s="9"/>
    </row>
    <row r="648" customFormat="false" ht="15" hidden="false" customHeight="false" outlineLevel="0" collapsed="false">
      <c r="A648" s="9" t="s">
        <v>2556</v>
      </c>
      <c r="B648" s="9" t="s">
        <v>901</v>
      </c>
      <c r="C648" s="9" t="s">
        <v>10</v>
      </c>
      <c r="D648" s="9" t="s">
        <v>1203</v>
      </c>
      <c r="E648" s="9"/>
    </row>
    <row r="649" customFormat="false" ht="15" hidden="false" customHeight="false" outlineLevel="0" collapsed="false">
      <c r="A649" s="9" t="s">
        <v>2557</v>
      </c>
      <c r="B649" s="9" t="s">
        <v>2253</v>
      </c>
      <c r="C649" s="10" t="s">
        <v>1527</v>
      </c>
      <c r="D649" s="9" t="s">
        <v>55</v>
      </c>
      <c r="E649" s="9" t="s">
        <v>2558</v>
      </c>
    </row>
    <row r="650" customFormat="false" ht="15" hidden="false" customHeight="false" outlineLevel="0" collapsed="false">
      <c r="A650" s="9" t="s">
        <v>2559</v>
      </c>
      <c r="B650" s="9" t="s">
        <v>2560</v>
      </c>
      <c r="C650" s="9" t="s">
        <v>6</v>
      </c>
      <c r="D650" s="9" t="s">
        <v>336</v>
      </c>
      <c r="E650" s="10" t="s">
        <v>1556</v>
      </c>
    </row>
    <row r="651" customFormat="false" ht="15" hidden="false" customHeight="false" outlineLevel="0" collapsed="false">
      <c r="A651" s="9" t="s">
        <v>2561</v>
      </c>
      <c r="B651" s="9" t="s">
        <v>2562</v>
      </c>
      <c r="C651" s="9" t="s">
        <v>6</v>
      </c>
      <c r="D651" s="9" t="s">
        <v>336</v>
      </c>
      <c r="E651" s="10" t="s">
        <v>1556</v>
      </c>
    </row>
    <row r="652" customFormat="false" ht="15" hidden="false" customHeight="false" outlineLevel="0" collapsed="false">
      <c r="A652" s="9" t="s">
        <v>2563</v>
      </c>
      <c r="B652" s="9" t="s">
        <v>2564</v>
      </c>
      <c r="C652" s="9" t="s">
        <v>6</v>
      </c>
      <c r="D652" s="9" t="s">
        <v>342</v>
      </c>
      <c r="E652" s="9"/>
    </row>
    <row r="653" customFormat="false" ht="15" hidden="false" customHeight="false" outlineLevel="0" collapsed="false">
      <c r="A653" s="9" t="s">
        <v>2565</v>
      </c>
      <c r="B653" s="9" t="s">
        <v>895</v>
      </c>
      <c r="C653" s="9" t="s">
        <v>6</v>
      </c>
      <c r="D653" s="9" t="s">
        <v>350</v>
      </c>
      <c r="E653" s="9"/>
    </row>
    <row r="654" customFormat="false" ht="15" hidden="false" customHeight="false" outlineLevel="0" collapsed="false">
      <c r="A654" s="9" t="s">
        <v>2566</v>
      </c>
      <c r="B654" s="9" t="s">
        <v>2567</v>
      </c>
      <c r="C654" s="9" t="s">
        <v>6</v>
      </c>
      <c r="D654" s="9" t="s">
        <v>354</v>
      </c>
      <c r="E654" s="9"/>
    </row>
    <row r="655" customFormat="false" ht="15" hidden="false" customHeight="false" outlineLevel="0" collapsed="false">
      <c r="A655" s="9" t="s">
        <v>2568</v>
      </c>
      <c r="B655" s="9" t="s">
        <v>2569</v>
      </c>
      <c r="C655" s="10" t="s">
        <v>1598</v>
      </c>
      <c r="D655" s="9" t="s">
        <v>2570</v>
      </c>
      <c r="E655" s="9" t="s">
        <v>2571</v>
      </c>
    </row>
    <row r="656" customFormat="false" ht="15" hidden="false" customHeight="false" outlineLevel="0" collapsed="false">
      <c r="A656" s="9" t="s">
        <v>2572</v>
      </c>
      <c r="B656" s="9" t="s">
        <v>1555</v>
      </c>
      <c r="C656" s="9" t="s">
        <v>6</v>
      </c>
      <c r="D656" s="9" t="s">
        <v>342</v>
      </c>
      <c r="E656" s="10" t="s">
        <v>1556</v>
      </c>
    </row>
    <row r="657" customFormat="false" ht="15" hidden="false" customHeight="false" outlineLevel="0" collapsed="false">
      <c r="A657" s="9" t="s">
        <v>2573</v>
      </c>
      <c r="B657" s="9" t="s">
        <v>2574</v>
      </c>
      <c r="C657" s="9" t="s">
        <v>6</v>
      </c>
      <c r="D657" s="9" t="s">
        <v>342</v>
      </c>
      <c r="E657" s="10" t="s">
        <v>1556</v>
      </c>
    </row>
    <row r="658" customFormat="false" ht="15" hidden="false" customHeight="false" outlineLevel="0" collapsed="false">
      <c r="A658" s="9" t="s">
        <v>2575</v>
      </c>
      <c r="B658" s="9" t="s">
        <v>2194</v>
      </c>
      <c r="C658" s="9" t="s">
        <v>6</v>
      </c>
      <c r="D658" s="9" t="s">
        <v>357</v>
      </c>
      <c r="E658" s="9"/>
    </row>
    <row r="659" customFormat="false" ht="15" hidden="false" customHeight="false" outlineLevel="0" collapsed="false">
      <c r="A659" s="9" t="s">
        <v>2576</v>
      </c>
      <c r="B659" s="9" t="s">
        <v>1619</v>
      </c>
      <c r="C659" s="9" t="s">
        <v>6</v>
      </c>
      <c r="D659" s="9" t="s">
        <v>362</v>
      </c>
      <c r="E659" s="9"/>
    </row>
    <row r="660" customFormat="false" ht="15" hidden="false" customHeight="false" outlineLevel="0" collapsed="false">
      <c r="A660" s="9" t="s">
        <v>2577</v>
      </c>
      <c r="B660" s="9" t="s">
        <v>395</v>
      </c>
      <c r="C660" s="9" t="s">
        <v>6</v>
      </c>
      <c r="D660" s="9" t="s">
        <v>370</v>
      </c>
      <c r="E660" s="9"/>
    </row>
    <row r="661" customFormat="false" ht="15" hidden="false" customHeight="false" outlineLevel="0" collapsed="false">
      <c r="A661" s="9" t="s">
        <v>2578</v>
      </c>
      <c r="B661" s="9" t="s">
        <v>2567</v>
      </c>
      <c r="C661" s="9" t="s">
        <v>6</v>
      </c>
      <c r="D661" s="9" t="s">
        <v>373</v>
      </c>
      <c r="E661" s="9"/>
    </row>
    <row r="662" customFormat="false" ht="15" hidden="false" customHeight="false" outlineLevel="0" collapsed="false">
      <c r="A662" s="9" t="s">
        <v>2579</v>
      </c>
      <c r="B662" s="9" t="s">
        <v>2253</v>
      </c>
      <c r="C662" s="10" t="s">
        <v>1527</v>
      </c>
      <c r="D662" s="9" t="s">
        <v>55</v>
      </c>
      <c r="E662" s="9" t="s">
        <v>2580</v>
      </c>
    </row>
    <row r="663" customFormat="false" ht="15" hidden="false" customHeight="false" outlineLevel="0" collapsed="false">
      <c r="A663" s="9" t="s">
        <v>2581</v>
      </c>
      <c r="B663" s="9" t="s">
        <v>1625</v>
      </c>
      <c r="C663" s="9" t="s">
        <v>6</v>
      </c>
      <c r="D663" s="9" t="s">
        <v>362</v>
      </c>
      <c r="E663" s="10" t="s">
        <v>1556</v>
      </c>
    </row>
    <row r="664" customFormat="false" ht="15" hidden="false" customHeight="false" outlineLevel="0" collapsed="false">
      <c r="A664" s="9" t="s">
        <v>2582</v>
      </c>
      <c r="B664" s="9" t="s">
        <v>2583</v>
      </c>
      <c r="C664" s="9" t="s">
        <v>6</v>
      </c>
      <c r="D664" s="9" t="s">
        <v>362</v>
      </c>
      <c r="E664" s="10" t="s">
        <v>1556</v>
      </c>
    </row>
    <row r="665" customFormat="false" ht="15" hidden="false" customHeight="false" outlineLevel="0" collapsed="false">
      <c r="A665" s="9" t="s">
        <v>2584</v>
      </c>
      <c r="B665" s="9" t="s">
        <v>1910</v>
      </c>
      <c r="C665" s="9" t="s">
        <v>6</v>
      </c>
      <c r="D665" s="9" t="s">
        <v>376</v>
      </c>
      <c r="E665" s="9"/>
    </row>
    <row r="666" customFormat="false" ht="15" hidden="false" customHeight="false" outlineLevel="0" collapsed="false">
      <c r="A666" s="9" t="s">
        <v>2585</v>
      </c>
      <c r="B666" s="9" t="s">
        <v>407</v>
      </c>
      <c r="C666" s="9" t="s">
        <v>6</v>
      </c>
      <c r="D666" s="9" t="s">
        <v>381</v>
      </c>
      <c r="E666" s="9"/>
    </row>
    <row r="667" customFormat="false" ht="15" hidden="false" customHeight="false" outlineLevel="0" collapsed="false">
      <c r="A667" s="9" t="s">
        <v>2586</v>
      </c>
      <c r="B667" s="9" t="s">
        <v>2587</v>
      </c>
      <c r="C667" s="9" t="s">
        <v>6</v>
      </c>
      <c r="D667" s="9" t="s">
        <v>383</v>
      </c>
      <c r="E667" s="9"/>
    </row>
    <row r="668" customFormat="false" ht="15" hidden="false" customHeight="false" outlineLevel="0" collapsed="false">
      <c r="A668" s="9" t="s">
        <v>2588</v>
      </c>
      <c r="B668" s="9" t="s">
        <v>2253</v>
      </c>
      <c r="C668" s="10" t="s">
        <v>1527</v>
      </c>
      <c r="D668" s="9" t="s">
        <v>55</v>
      </c>
      <c r="E668" s="9" t="s">
        <v>2580</v>
      </c>
    </row>
    <row r="669" customFormat="false" ht="15" hidden="false" customHeight="false" outlineLevel="0" collapsed="false">
      <c r="A669" s="9" t="s">
        <v>2589</v>
      </c>
      <c r="B669" s="9" t="s">
        <v>1625</v>
      </c>
      <c r="C669" s="9" t="s">
        <v>6</v>
      </c>
      <c r="D669" s="9" t="s">
        <v>376</v>
      </c>
      <c r="E669" s="10" t="s">
        <v>1556</v>
      </c>
    </row>
    <row r="670" customFormat="false" ht="15" hidden="false" customHeight="false" outlineLevel="0" collapsed="false">
      <c r="A670" s="9" t="s">
        <v>2590</v>
      </c>
      <c r="B670" s="9" t="s">
        <v>2591</v>
      </c>
      <c r="C670" s="9" t="s">
        <v>6</v>
      </c>
      <c r="D670" s="9" t="s">
        <v>376</v>
      </c>
      <c r="E670" s="10" t="s">
        <v>1556</v>
      </c>
    </row>
    <row r="671" customFormat="false" ht="15" hidden="false" customHeight="false" outlineLevel="0" collapsed="false">
      <c r="A671" s="9" t="s">
        <v>2592</v>
      </c>
      <c r="B671" s="9" t="s">
        <v>1662</v>
      </c>
      <c r="C671" s="9" t="s">
        <v>6</v>
      </c>
      <c r="D671" s="9" t="s">
        <v>386</v>
      </c>
      <c r="E671" s="9"/>
    </row>
    <row r="672" customFormat="false" ht="15" hidden="false" customHeight="false" outlineLevel="0" collapsed="false">
      <c r="A672" s="9" t="s">
        <v>2593</v>
      </c>
      <c r="B672" s="9" t="s">
        <v>2594</v>
      </c>
      <c r="C672" s="9" t="s">
        <v>6</v>
      </c>
      <c r="D672" s="9" t="s">
        <v>376</v>
      </c>
      <c r="E672" s="10" t="s">
        <v>1556</v>
      </c>
    </row>
    <row r="673" customFormat="false" ht="15" hidden="false" customHeight="false" outlineLevel="0" collapsed="false">
      <c r="A673" s="9" t="s">
        <v>2595</v>
      </c>
      <c r="B673" s="9" t="s">
        <v>2596</v>
      </c>
      <c r="C673" s="9" t="s">
        <v>6</v>
      </c>
      <c r="D673" s="9" t="s">
        <v>391</v>
      </c>
      <c r="E673" s="9"/>
    </row>
    <row r="674" customFormat="false" ht="15" hidden="false" customHeight="false" outlineLevel="0" collapsed="false">
      <c r="A674" s="9" t="s">
        <v>2597</v>
      </c>
      <c r="B674" s="9" t="s">
        <v>395</v>
      </c>
      <c r="C674" s="9" t="s">
        <v>6</v>
      </c>
      <c r="D674" s="9" t="s">
        <v>398</v>
      </c>
      <c r="E674" s="9"/>
    </row>
    <row r="675" customFormat="false" ht="15" hidden="false" customHeight="false" outlineLevel="0" collapsed="false">
      <c r="A675" s="9" t="s">
        <v>2598</v>
      </c>
      <c r="B675" s="9" t="s">
        <v>899</v>
      </c>
      <c r="C675" s="9" t="s">
        <v>6</v>
      </c>
      <c r="D675" s="9" t="s">
        <v>401</v>
      </c>
      <c r="E675" s="9"/>
    </row>
    <row r="676" customFormat="false" ht="15" hidden="false" customHeight="false" outlineLevel="0" collapsed="false">
      <c r="A676" s="9" t="s">
        <v>2599</v>
      </c>
      <c r="B676" s="9" t="s">
        <v>2253</v>
      </c>
      <c r="C676" s="10" t="s">
        <v>1527</v>
      </c>
      <c r="D676" s="9" t="s">
        <v>55</v>
      </c>
      <c r="E676" s="9" t="s">
        <v>2580</v>
      </c>
    </row>
    <row r="677" customFormat="false" ht="15" hidden="false" customHeight="false" outlineLevel="0" collapsed="false">
      <c r="A677" s="9" t="s">
        <v>2600</v>
      </c>
      <c r="B677" s="9" t="s">
        <v>1625</v>
      </c>
      <c r="C677" s="9" t="s">
        <v>6</v>
      </c>
      <c r="D677" s="9" t="s">
        <v>391</v>
      </c>
      <c r="E677" s="10" t="s">
        <v>1556</v>
      </c>
    </row>
    <row r="678" customFormat="false" ht="15" hidden="false" customHeight="false" outlineLevel="0" collapsed="false">
      <c r="A678" s="9" t="s">
        <v>2601</v>
      </c>
      <c r="B678" s="9" t="s">
        <v>2602</v>
      </c>
      <c r="C678" s="9" t="s">
        <v>6</v>
      </c>
      <c r="D678" s="9" t="s">
        <v>391</v>
      </c>
      <c r="E678" s="10" t="s">
        <v>1556</v>
      </c>
    </row>
    <row r="679" customFormat="false" ht="15" hidden="false" customHeight="false" outlineLevel="0" collapsed="false">
      <c r="A679" s="9" t="s">
        <v>2603</v>
      </c>
      <c r="B679" s="9" t="s">
        <v>1908</v>
      </c>
      <c r="C679" s="9" t="s">
        <v>6</v>
      </c>
      <c r="D679" s="9" t="s">
        <v>403</v>
      </c>
      <c r="E679" s="9"/>
    </row>
    <row r="680" customFormat="false" ht="15" hidden="false" customHeight="false" outlineLevel="0" collapsed="false">
      <c r="A680" s="9" t="s">
        <v>2604</v>
      </c>
      <c r="B680" s="9" t="s">
        <v>1908</v>
      </c>
      <c r="C680" s="9" t="s">
        <v>6</v>
      </c>
      <c r="D680" s="9" t="s">
        <v>403</v>
      </c>
      <c r="E680" s="9"/>
    </row>
    <row r="681" customFormat="false" ht="15" hidden="false" customHeight="false" outlineLevel="0" collapsed="false">
      <c r="A681" s="9" t="s">
        <v>2605</v>
      </c>
      <c r="B681" s="9" t="s">
        <v>1915</v>
      </c>
      <c r="C681" s="9" t="s">
        <v>10</v>
      </c>
      <c r="D681" s="9" t="s">
        <v>1207</v>
      </c>
      <c r="E681" s="9"/>
    </row>
    <row r="682" customFormat="false" ht="15" hidden="false" customHeight="false" outlineLevel="0" collapsed="false">
      <c r="A682" s="9" t="s">
        <v>2606</v>
      </c>
      <c r="B682" s="9" t="s">
        <v>407</v>
      </c>
      <c r="C682" s="9" t="s">
        <v>6</v>
      </c>
      <c r="D682" s="9" t="s">
        <v>411</v>
      </c>
      <c r="E682" s="9"/>
    </row>
    <row r="683" customFormat="false" ht="15" hidden="false" customHeight="false" outlineLevel="0" collapsed="false">
      <c r="A683" s="9" t="s">
        <v>2607</v>
      </c>
      <c r="B683" s="9" t="s">
        <v>2567</v>
      </c>
      <c r="C683" s="9" t="s">
        <v>10</v>
      </c>
      <c r="D683" s="9" t="s">
        <v>1210</v>
      </c>
      <c r="E683" s="9"/>
    </row>
    <row r="684" customFormat="false" ht="15" hidden="false" customHeight="false" outlineLevel="0" collapsed="false">
      <c r="A684" s="9" t="s">
        <v>2608</v>
      </c>
      <c r="B684" s="9" t="s">
        <v>2253</v>
      </c>
      <c r="C684" s="10" t="s">
        <v>1527</v>
      </c>
      <c r="D684" s="9" t="s">
        <v>55</v>
      </c>
      <c r="E684" s="9" t="s">
        <v>2580</v>
      </c>
    </row>
    <row r="685" customFormat="false" ht="15" hidden="false" customHeight="false" outlineLevel="0" collapsed="false">
      <c r="A685" s="9" t="s">
        <v>2609</v>
      </c>
      <c r="B685" s="9" t="s">
        <v>2560</v>
      </c>
      <c r="C685" s="9" t="s">
        <v>6</v>
      </c>
      <c r="D685" s="9" t="s">
        <v>403</v>
      </c>
      <c r="E685" s="10" t="s">
        <v>1556</v>
      </c>
    </row>
    <row r="686" customFormat="false" ht="15" hidden="false" customHeight="false" outlineLevel="0" collapsed="false">
      <c r="A686" s="9" t="s">
        <v>2610</v>
      </c>
      <c r="B686" s="9" t="s">
        <v>2611</v>
      </c>
      <c r="C686" s="9" t="s">
        <v>6</v>
      </c>
      <c r="D686" s="9" t="s">
        <v>403</v>
      </c>
      <c r="E686" s="10" t="s">
        <v>1556</v>
      </c>
    </row>
    <row r="687" customFormat="false" ht="15" hidden="false" customHeight="false" outlineLevel="0" collapsed="false">
      <c r="A687" s="9" t="s">
        <v>2612</v>
      </c>
      <c r="B687" s="9" t="s">
        <v>1821</v>
      </c>
      <c r="C687" s="9" t="s">
        <v>6</v>
      </c>
      <c r="D687" s="9" t="s">
        <v>414</v>
      </c>
      <c r="E687" s="9"/>
    </row>
    <row r="688" customFormat="false" ht="15" hidden="false" customHeight="false" outlineLevel="0" collapsed="false">
      <c r="A688" s="9" t="s">
        <v>2613</v>
      </c>
      <c r="B688" s="9" t="s">
        <v>2614</v>
      </c>
      <c r="C688" s="9" t="s">
        <v>6</v>
      </c>
      <c r="D688" s="9" t="s">
        <v>566</v>
      </c>
      <c r="E688" s="9"/>
    </row>
    <row r="689" customFormat="false" ht="15" hidden="false" customHeight="false" outlineLevel="0" collapsed="false">
      <c r="A689" s="9" t="s">
        <v>2615</v>
      </c>
      <c r="B689" s="9" t="s">
        <v>2616</v>
      </c>
      <c r="C689" s="9" t="s">
        <v>6</v>
      </c>
      <c r="D689" s="9" t="s">
        <v>580</v>
      </c>
      <c r="E689" s="9"/>
    </row>
    <row r="690" customFormat="false" ht="15" hidden="false" customHeight="false" outlineLevel="0" collapsed="false">
      <c r="A690" s="9" t="s">
        <v>2617</v>
      </c>
      <c r="B690" s="9" t="s">
        <v>2618</v>
      </c>
      <c r="C690" s="10" t="s">
        <v>1527</v>
      </c>
      <c r="D690" s="9" t="s">
        <v>55</v>
      </c>
      <c r="E690" s="10" t="s">
        <v>2619</v>
      </c>
    </row>
    <row r="691" customFormat="false" ht="15" hidden="false" customHeight="false" outlineLevel="0" collapsed="false">
      <c r="A691" s="9" t="s">
        <v>2620</v>
      </c>
      <c r="B691" s="9" t="s">
        <v>1634</v>
      </c>
      <c r="C691" s="9" t="s">
        <v>10</v>
      </c>
      <c r="D691" s="9" t="s">
        <v>1213</v>
      </c>
      <c r="E691" s="9"/>
    </row>
    <row r="692" customFormat="false" ht="15" hidden="false" customHeight="false" outlineLevel="0" collapsed="false">
      <c r="A692" s="9" t="s">
        <v>2621</v>
      </c>
      <c r="B692" s="9" t="s">
        <v>1908</v>
      </c>
      <c r="C692" s="9" t="s">
        <v>10</v>
      </c>
      <c r="D692" s="9" t="s">
        <v>1216</v>
      </c>
      <c r="E692" s="9"/>
    </row>
    <row r="693" customFormat="false" ht="15" hidden="false" customHeight="false" outlineLevel="0" collapsed="false">
      <c r="A693" s="9" t="s">
        <v>2622</v>
      </c>
      <c r="B693" s="9" t="s">
        <v>1834</v>
      </c>
      <c r="C693" s="9" t="s">
        <v>10</v>
      </c>
      <c r="D693" s="9" t="s">
        <v>1218</v>
      </c>
      <c r="E693" s="9"/>
    </row>
    <row r="694" customFormat="false" ht="15" hidden="false" customHeight="false" outlineLevel="0" collapsed="false">
      <c r="A694" s="9" t="s">
        <v>2623</v>
      </c>
      <c r="B694" s="9" t="s">
        <v>1952</v>
      </c>
      <c r="C694" s="9" t="s">
        <v>10</v>
      </c>
      <c r="D694" s="9" t="s">
        <v>1219</v>
      </c>
      <c r="E694" s="9"/>
    </row>
    <row r="695" customFormat="false" ht="15" hidden="false" customHeight="false" outlineLevel="0" collapsed="false">
      <c r="A695" s="9" t="s">
        <v>2624</v>
      </c>
      <c r="B695" s="9" t="s">
        <v>2569</v>
      </c>
      <c r="C695" s="9" t="s">
        <v>10</v>
      </c>
      <c r="D695" s="9" t="s">
        <v>1220</v>
      </c>
      <c r="E695" s="9"/>
    </row>
    <row r="696" customFormat="false" ht="15" hidden="false" customHeight="false" outlineLevel="0" collapsed="false">
      <c r="A696" s="9" t="s">
        <v>2625</v>
      </c>
      <c r="B696" s="9" t="s">
        <v>2626</v>
      </c>
      <c r="C696" s="9" t="s">
        <v>10</v>
      </c>
      <c r="D696" s="9" t="s">
        <v>1221</v>
      </c>
      <c r="E696" s="9"/>
    </row>
    <row r="697" customFormat="false" ht="15" hidden="false" customHeight="false" outlineLevel="0" collapsed="false">
      <c r="A697" s="9" t="s">
        <v>2627</v>
      </c>
      <c r="B697" s="9" t="s">
        <v>1585</v>
      </c>
      <c r="C697" s="9" t="s">
        <v>10</v>
      </c>
      <c r="D697" s="9" t="s">
        <v>1222</v>
      </c>
      <c r="E697" s="9"/>
    </row>
    <row r="698" customFormat="false" ht="15" hidden="false" customHeight="false" outlineLevel="0" collapsed="false">
      <c r="A698" s="9" t="s">
        <v>2628</v>
      </c>
      <c r="B698" s="9" t="s">
        <v>1695</v>
      </c>
      <c r="C698" s="9" t="s">
        <v>10</v>
      </c>
      <c r="D698" s="9" t="s">
        <v>1224</v>
      </c>
      <c r="E698" s="9"/>
    </row>
    <row r="699" customFormat="false" ht="15" hidden="false" customHeight="false" outlineLevel="0" collapsed="false">
      <c r="A699" s="9" t="s">
        <v>2629</v>
      </c>
      <c r="B699" s="9" t="s">
        <v>1630</v>
      </c>
      <c r="C699" s="9" t="s">
        <v>10</v>
      </c>
      <c r="D699" s="9" t="s">
        <v>1224</v>
      </c>
      <c r="E699" s="10" t="s">
        <v>1556</v>
      </c>
    </row>
    <row r="700" customFormat="false" ht="15" hidden="false" customHeight="false" outlineLevel="0" collapsed="false">
      <c r="A700" s="9" t="s">
        <v>2630</v>
      </c>
      <c r="B700" s="9" t="s">
        <v>2631</v>
      </c>
      <c r="C700" s="9" t="s">
        <v>10</v>
      </c>
      <c r="D700" s="9" t="s">
        <v>1224</v>
      </c>
      <c r="E700" s="10" t="s">
        <v>1556</v>
      </c>
    </row>
    <row r="701" customFormat="false" ht="15" hidden="false" customHeight="false" outlineLevel="0" collapsed="false">
      <c r="A701" s="9" t="s">
        <v>2632</v>
      </c>
      <c r="B701" s="9" t="s">
        <v>2155</v>
      </c>
      <c r="C701" s="9" t="s">
        <v>10</v>
      </c>
      <c r="D701" s="9" t="s">
        <v>1226</v>
      </c>
      <c r="E701" s="9"/>
    </row>
    <row r="702" customFormat="false" ht="15" hidden="false" customHeight="false" outlineLevel="0" collapsed="false">
      <c r="A702" s="9" t="s">
        <v>2633</v>
      </c>
      <c r="B702" s="9" t="s">
        <v>2155</v>
      </c>
      <c r="C702" s="9" t="s">
        <v>10</v>
      </c>
      <c r="D702" s="9" t="s">
        <v>1226</v>
      </c>
      <c r="E702" s="9"/>
    </row>
    <row r="703" customFormat="false" ht="15" hidden="false" customHeight="false" outlineLevel="0" collapsed="false">
      <c r="A703" s="9" t="s">
        <v>2634</v>
      </c>
      <c r="B703" s="9" t="s">
        <v>1793</v>
      </c>
      <c r="C703" s="9" t="s">
        <v>10</v>
      </c>
      <c r="D703" s="9" t="s">
        <v>1226</v>
      </c>
      <c r="E703" s="9"/>
    </row>
    <row r="704" customFormat="false" ht="15" hidden="false" customHeight="false" outlineLevel="0" collapsed="false">
      <c r="A704" s="9" t="s">
        <v>2635</v>
      </c>
      <c r="B704" s="9" t="s">
        <v>1630</v>
      </c>
      <c r="C704" s="9" t="s">
        <v>10</v>
      </c>
      <c r="D704" s="9" t="s">
        <v>1226</v>
      </c>
      <c r="E704" s="10" t="s">
        <v>1556</v>
      </c>
    </row>
    <row r="705" customFormat="false" ht="15" hidden="false" customHeight="false" outlineLevel="0" collapsed="false">
      <c r="A705" s="9" t="s">
        <v>2636</v>
      </c>
      <c r="B705" s="9" t="s">
        <v>2637</v>
      </c>
      <c r="C705" s="9" t="s">
        <v>10</v>
      </c>
      <c r="D705" s="9" t="s">
        <v>1226</v>
      </c>
      <c r="E705" s="10" t="s">
        <v>1556</v>
      </c>
    </row>
    <row r="706" customFormat="false" ht="15" hidden="false" customHeight="false" outlineLevel="0" collapsed="false">
      <c r="A706" s="9" t="s">
        <v>2638</v>
      </c>
      <c r="B706" s="9" t="s">
        <v>2253</v>
      </c>
      <c r="C706" s="10" t="s">
        <v>1527</v>
      </c>
      <c r="D706" s="9" t="s">
        <v>55</v>
      </c>
      <c r="E706" s="9" t="s">
        <v>2639</v>
      </c>
    </row>
    <row r="707" customFormat="false" ht="15" hidden="false" customHeight="false" outlineLevel="0" collapsed="false">
      <c r="A707" s="9" t="s">
        <v>2640</v>
      </c>
      <c r="B707" s="9" t="s">
        <v>2256</v>
      </c>
      <c r="C707" s="10" t="s">
        <v>1527</v>
      </c>
      <c r="D707" s="9" t="s">
        <v>55</v>
      </c>
      <c r="E707" s="9" t="s">
        <v>2639</v>
      </c>
    </row>
    <row r="708" customFormat="false" ht="15" hidden="false" customHeight="false" outlineLevel="0" collapsed="false">
      <c r="A708" s="9" t="s">
        <v>2641</v>
      </c>
      <c r="B708" s="9" t="s">
        <v>2642</v>
      </c>
      <c r="C708" s="10" t="s">
        <v>1527</v>
      </c>
      <c r="D708" s="9" t="s">
        <v>55</v>
      </c>
      <c r="E708" s="9" t="s">
        <v>2639</v>
      </c>
    </row>
    <row r="709" customFormat="false" ht="15" hidden="false" customHeight="false" outlineLevel="0" collapsed="false">
      <c r="A709" s="9" t="s">
        <v>2643</v>
      </c>
      <c r="B709" s="9" t="s">
        <v>2644</v>
      </c>
      <c r="C709" s="10" t="s">
        <v>1598</v>
      </c>
      <c r="D709" s="9" t="s">
        <v>2645</v>
      </c>
      <c r="E709" s="9" t="s">
        <v>2646</v>
      </c>
    </row>
    <row r="710" customFormat="false" ht="15" hidden="false" customHeight="false" outlineLevel="0" collapsed="false">
      <c r="A710" s="9" t="s">
        <v>2647</v>
      </c>
      <c r="B710" s="9" t="s">
        <v>2648</v>
      </c>
      <c r="C710" s="9" t="s">
        <v>10</v>
      </c>
      <c r="D710" s="9" t="s">
        <v>1231</v>
      </c>
      <c r="E710" s="9"/>
    </row>
    <row r="711" customFormat="false" ht="15" hidden="false" customHeight="false" outlineLevel="0" collapsed="false">
      <c r="A711" s="9" t="s">
        <v>2649</v>
      </c>
      <c r="B711" s="9" t="s">
        <v>2650</v>
      </c>
      <c r="C711" s="9" t="s">
        <v>10</v>
      </c>
      <c r="D711" s="9" t="s">
        <v>1236</v>
      </c>
      <c r="E711" s="9"/>
    </row>
    <row r="712" customFormat="false" ht="15" hidden="false" customHeight="false" outlineLevel="0" collapsed="false">
      <c r="A712" s="9" t="s">
        <v>2651</v>
      </c>
      <c r="B712" s="9" t="s">
        <v>2652</v>
      </c>
      <c r="C712" s="9" t="s">
        <v>10</v>
      </c>
      <c r="D712" s="9" t="s">
        <v>1237</v>
      </c>
      <c r="E712" s="9"/>
    </row>
    <row r="713" customFormat="false" ht="15" hidden="false" customHeight="false" outlineLevel="0" collapsed="false">
      <c r="A713" s="9" t="s">
        <v>2653</v>
      </c>
      <c r="B713" s="9" t="s">
        <v>2654</v>
      </c>
      <c r="C713" s="9" t="s">
        <v>10</v>
      </c>
      <c r="D713" s="9" t="s">
        <v>1238</v>
      </c>
      <c r="E713" s="9"/>
    </row>
    <row r="714" customFormat="false" ht="15" hidden="false" customHeight="false" outlineLevel="0" collapsed="false">
      <c r="A714" s="9" t="s">
        <v>2655</v>
      </c>
      <c r="B714" s="9" t="s">
        <v>2656</v>
      </c>
      <c r="C714" s="9" t="s">
        <v>10</v>
      </c>
      <c r="D714" s="9" t="s">
        <v>1239</v>
      </c>
      <c r="E714" s="9"/>
    </row>
    <row r="715" customFormat="false" ht="15" hidden="false" customHeight="false" outlineLevel="0" collapsed="false">
      <c r="A715" s="9" t="s">
        <v>2657</v>
      </c>
      <c r="B715" s="9" t="s">
        <v>1720</v>
      </c>
      <c r="C715" s="9" t="s">
        <v>10</v>
      </c>
      <c r="D715" s="9" t="s">
        <v>1240</v>
      </c>
      <c r="E715" s="9"/>
    </row>
    <row r="716" customFormat="false" ht="15" hidden="false" customHeight="false" outlineLevel="0" collapsed="false">
      <c r="A716" s="9" t="s">
        <v>2658</v>
      </c>
      <c r="B716" s="9" t="s">
        <v>2025</v>
      </c>
      <c r="C716" s="9" t="s">
        <v>10</v>
      </c>
      <c r="D716" s="9" t="s">
        <v>1243</v>
      </c>
      <c r="E716" s="9"/>
    </row>
    <row r="717" customFormat="false" ht="15" hidden="false" customHeight="false" outlineLevel="0" collapsed="false">
      <c r="A717" s="9" t="s">
        <v>2659</v>
      </c>
      <c r="B717" s="9" t="s">
        <v>1630</v>
      </c>
      <c r="C717" s="9" t="s">
        <v>10</v>
      </c>
      <c r="D717" s="9" t="s">
        <v>1243</v>
      </c>
      <c r="E717" s="10" t="s">
        <v>1556</v>
      </c>
    </row>
    <row r="718" customFormat="false" ht="15" hidden="false" customHeight="false" outlineLevel="0" collapsed="false">
      <c r="A718" s="9" t="s">
        <v>2660</v>
      </c>
      <c r="B718" s="9" t="s">
        <v>2661</v>
      </c>
      <c r="C718" s="9" t="s">
        <v>10</v>
      </c>
      <c r="D718" s="9" t="s">
        <v>1243</v>
      </c>
      <c r="E718" s="10" t="s">
        <v>1556</v>
      </c>
    </row>
    <row r="719" customFormat="false" ht="15" hidden="false" customHeight="false" outlineLevel="0" collapsed="false">
      <c r="A719" s="9" t="s">
        <v>2662</v>
      </c>
      <c r="B719" s="9" t="s">
        <v>2663</v>
      </c>
      <c r="C719" s="9" t="s">
        <v>6</v>
      </c>
      <c r="D719" s="9" t="s">
        <v>417</v>
      </c>
      <c r="E719" s="9"/>
    </row>
    <row r="720" customFormat="false" ht="15" hidden="false" customHeight="false" outlineLevel="0" collapsed="false">
      <c r="A720" s="9" t="s">
        <v>2664</v>
      </c>
      <c r="B720" s="9" t="s">
        <v>1555</v>
      </c>
      <c r="C720" s="9" t="s">
        <v>6</v>
      </c>
      <c r="D720" s="9" t="s">
        <v>417</v>
      </c>
      <c r="E720" s="10" t="s">
        <v>1556</v>
      </c>
    </row>
    <row r="721" customFormat="false" ht="15" hidden="false" customHeight="false" outlineLevel="0" collapsed="false">
      <c r="A721" s="9" t="s">
        <v>2665</v>
      </c>
      <c r="B721" s="9" t="s">
        <v>2666</v>
      </c>
      <c r="C721" s="9" t="s">
        <v>6</v>
      </c>
      <c r="D721" s="9" t="s">
        <v>417</v>
      </c>
      <c r="E721" s="10" t="s">
        <v>1556</v>
      </c>
    </row>
    <row r="722" customFormat="false" ht="15" hidden="false" customHeight="false" outlineLevel="0" collapsed="false">
      <c r="A722" s="9" t="s">
        <v>2667</v>
      </c>
      <c r="B722" s="9" t="s">
        <v>2505</v>
      </c>
      <c r="C722" s="10" t="s">
        <v>2442</v>
      </c>
      <c r="D722" s="9" t="s">
        <v>323</v>
      </c>
      <c r="E722" s="10" t="s">
        <v>2506</v>
      </c>
    </row>
    <row r="723" customFormat="false" ht="15" hidden="false" customHeight="false" outlineLevel="0" collapsed="false">
      <c r="A723" s="9" t="s">
        <v>2668</v>
      </c>
      <c r="B723" s="9" t="s">
        <v>1555</v>
      </c>
      <c r="C723" s="10" t="s">
        <v>2442</v>
      </c>
      <c r="D723" s="9" t="s">
        <v>323</v>
      </c>
      <c r="E723" s="10" t="s">
        <v>2446</v>
      </c>
    </row>
    <row r="724" customFormat="false" ht="15" hidden="false" customHeight="false" outlineLevel="0" collapsed="false">
      <c r="A724" s="9" t="s">
        <v>2669</v>
      </c>
      <c r="B724" s="9" t="s">
        <v>2503</v>
      </c>
      <c r="C724" s="10" t="s">
        <v>2442</v>
      </c>
      <c r="D724" s="9" t="s">
        <v>323</v>
      </c>
      <c r="E724" s="10" t="s">
        <v>2446</v>
      </c>
    </row>
    <row r="725" customFormat="false" ht="15" hidden="false" customHeight="false" outlineLevel="0" collapsed="false">
      <c r="A725" s="9" t="s">
        <v>2670</v>
      </c>
      <c r="B725" s="9" t="s">
        <v>2671</v>
      </c>
      <c r="C725" s="9" t="s">
        <v>6</v>
      </c>
      <c r="D725" s="9" t="s">
        <v>423</v>
      </c>
      <c r="E725" s="9"/>
    </row>
    <row r="726" customFormat="false" ht="15" hidden="false" customHeight="false" outlineLevel="0" collapsed="false">
      <c r="A726" s="9" t="s">
        <v>2672</v>
      </c>
      <c r="B726" s="9" t="s">
        <v>1555</v>
      </c>
      <c r="C726" s="9" t="s">
        <v>6</v>
      </c>
      <c r="D726" s="9" t="s">
        <v>423</v>
      </c>
      <c r="E726" s="10" t="s">
        <v>1556</v>
      </c>
    </row>
    <row r="727" customFormat="false" ht="15" hidden="false" customHeight="false" outlineLevel="0" collapsed="false">
      <c r="A727" s="9" t="s">
        <v>2673</v>
      </c>
      <c r="B727" s="9" t="s">
        <v>2674</v>
      </c>
      <c r="C727" s="9" t="s">
        <v>6</v>
      </c>
      <c r="D727" s="9" t="s">
        <v>423</v>
      </c>
      <c r="E727" s="10" t="s">
        <v>1556</v>
      </c>
    </row>
    <row r="728" customFormat="false" ht="15" hidden="false" customHeight="false" outlineLevel="0" collapsed="false">
      <c r="A728" s="9" t="s">
        <v>2675</v>
      </c>
      <c r="B728" s="9" t="s">
        <v>2676</v>
      </c>
      <c r="C728" s="9" t="s">
        <v>6</v>
      </c>
      <c r="D728" s="9" t="s">
        <v>427</v>
      </c>
      <c r="E728" s="9"/>
    </row>
    <row r="729" customFormat="false" ht="15" hidden="false" customHeight="false" outlineLevel="0" collapsed="false">
      <c r="A729" s="9" t="s">
        <v>2677</v>
      </c>
      <c r="B729" s="9" t="s">
        <v>1555</v>
      </c>
      <c r="C729" s="9" t="s">
        <v>6</v>
      </c>
      <c r="D729" s="9" t="s">
        <v>427</v>
      </c>
      <c r="E729" s="10" t="s">
        <v>1556</v>
      </c>
    </row>
    <row r="730" customFormat="false" ht="15" hidden="false" customHeight="false" outlineLevel="0" collapsed="false">
      <c r="A730" s="9" t="s">
        <v>2678</v>
      </c>
      <c r="B730" s="9" t="s">
        <v>2679</v>
      </c>
      <c r="C730" s="9" t="s">
        <v>6</v>
      </c>
      <c r="D730" s="9" t="s">
        <v>427</v>
      </c>
      <c r="E730" s="10" t="s">
        <v>1556</v>
      </c>
    </row>
    <row r="731" customFormat="false" ht="15" hidden="false" customHeight="false" outlineLevel="0" collapsed="false">
      <c r="A731" s="9" t="s">
        <v>2680</v>
      </c>
      <c r="B731" s="9" t="s">
        <v>2681</v>
      </c>
      <c r="C731" s="10" t="s">
        <v>1527</v>
      </c>
      <c r="D731" s="9" t="s">
        <v>55</v>
      </c>
      <c r="E731" s="10" t="s">
        <v>2682</v>
      </c>
    </row>
    <row r="732" customFormat="false" ht="15" hidden="false" customHeight="false" outlineLevel="0" collapsed="false">
      <c r="A732" s="9" t="s">
        <v>2683</v>
      </c>
      <c r="B732" s="9" t="s">
        <v>1580</v>
      </c>
      <c r="C732" s="9" t="s">
        <v>6</v>
      </c>
      <c r="D732" s="9" t="s">
        <v>431</v>
      </c>
      <c r="E732" s="9"/>
    </row>
    <row r="733" customFormat="false" ht="15" hidden="false" customHeight="false" outlineLevel="0" collapsed="false">
      <c r="A733" s="9" t="s">
        <v>2684</v>
      </c>
      <c r="B733" s="9" t="s">
        <v>1950</v>
      </c>
      <c r="C733" s="9" t="s">
        <v>6</v>
      </c>
      <c r="D733" s="9" t="s">
        <v>431</v>
      </c>
      <c r="E733" s="9"/>
    </row>
    <row r="734" customFormat="false" ht="15" hidden="false" customHeight="false" outlineLevel="0" collapsed="false">
      <c r="A734" s="9" t="s">
        <v>2685</v>
      </c>
      <c r="B734" s="9" t="s">
        <v>1952</v>
      </c>
      <c r="C734" s="9" t="s">
        <v>6</v>
      </c>
      <c r="D734" s="9" t="s">
        <v>431</v>
      </c>
      <c r="E734" s="9"/>
    </row>
    <row r="735" customFormat="false" ht="15" hidden="false" customHeight="false" outlineLevel="0" collapsed="false">
      <c r="A735" s="9" t="s">
        <v>2686</v>
      </c>
      <c r="B735" s="9" t="s">
        <v>1555</v>
      </c>
      <c r="C735" s="9" t="s">
        <v>6</v>
      </c>
      <c r="D735" s="9" t="s">
        <v>431</v>
      </c>
      <c r="E735" s="10" t="s">
        <v>1556</v>
      </c>
    </row>
    <row r="736" customFormat="false" ht="15" hidden="false" customHeight="false" outlineLevel="0" collapsed="false">
      <c r="A736" s="9" t="s">
        <v>2687</v>
      </c>
      <c r="B736" s="9" t="s">
        <v>2688</v>
      </c>
      <c r="C736" s="9" t="s">
        <v>6</v>
      </c>
      <c r="D736" s="9" t="s">
        <v>431</v>
      </c>
      <c r="E736" s="10" t="s">
        <v>1556</v>
      </c>
    </row>
    <row r="737" customFormat="false" ht="15" hidden="false" customHeight="false" outlineLevel="0" collapsed="false">
      <c r="A737" s="9" t="s">
        <v>2689</v>
      </c>
      <c r="B737" s="9" t="s">
        <v>2690</v>
      </c>
      <c r="C737" s="9" t="s">
        <v>6</v>
      </c>
      <c r="D737" s="9" t="s">
        <v>436</v>
      </c>
      <c r="E737" s="9"/>
    </row>
    <row r="738" customFormat="false" ht="15" hidden="false" customHeight="false" outlineLevel="0" collapsed="false">
      <c r="A738" s="9" t="s">
        <v>2691</v>
      </c>
      <c r="B738" s="9" t="s">
        <v>2692</v>
      </c>
      <c r="C738" s="10" t="s">
        <v>1598</v>
      </c>
      <c r="D738" s="9" t="s">
        <v>2693</v>
      </c>
      <c r="E738" s="9" t="s">
        <v>2694</v>
      </c>
    </row>
    <row r="739" customFormat="false" ht="15" hidden="false" customHeight="false" outlineLevel="0" collapsed="false">
      <c r="A739" s="9" t="s">
        <v>2695</v>
      </c>
      <c r="B739" s="9" t="s">
        <v>1555</v>
      </c>
      <c r="C739" s="10" t="s">
        <v>1598</v>
      </c>
      <c r="D739" s="9" t="s">
        <v>2693</v>
      </c>
      <c r="E739" s="9" t="s">
        <v>2694</v>
      </c>
    </row>
    <row r="740" customFormat="false" ht="15" hidden="false" customHeight="false" outlineLevel="0" collapsed="false">
      <c r="A740" s="9" t="s">
        <v>2696</v>
      </c>
      <c r="B740" s="9" t="s">
        <v>2697</v>
      </c>
      <c r="C740" s="10" t="s">
        <v>1598</v>
      </c>
      <c r="D740" s="9" t="s">
        <v>2693</v>
      </c>
      <c r="E740" s="9" t="s">
        <v>2694</v>
      </c>
    </row>
    <row r="741" customFormat="false" ht="15" hidden="false" customHeight="false" outlineLevel="0" collapsed="false">
      <c r="A741" s="9" t="s">
        <v>2698</v>
      </c>
      <c r="B741" s="9" t="s">
        <v>1950</v>
      </c>
      <c r="C741" s="9" t="s">
        <v>6</v>
      </c>
      <c r="D741" s="9" t="s">
        <v>443</v>
      </c>
      <c r="E741" s="9"/>
    </row>
    <row r="742" customFormat="false" ht="15" hidden="false" customHeight="false" outlineLevel="0" collapsed="false">
      <c r="A742" s="9" t="s">
        <v>2699</v>
      </c>
      <c r="B742" s="9" t="s">
        <v>1625</v>
      </c>
      <c r="C742" s="9" t="s">
        <v>6</v>
      </c>
      <c r="D742" s="9" t="s">
        <v>443</v>
      </c>
      <c r="E742" s="10" t="s">
        <v>1556</v>
      </c>
    </row>
    <row r="743" customFormat="false" ht="15" hidden="false" customHeight="false" outlineLevel="0" collapsed="false">
      <c r="A743" s="9" t="s">
        <v>2700</v>
      </c>
      <c r="B743" s="9" t="s">
        <v>2701</v>
      </c>
      <c r="C743" s="9" t="s">
        <v>6</v>
      </c>
      <c r="D743" s="9" t="s">
        <v>443</v>
      </c>
      <c r="E743" s="10" t="s">
        <v>1556</v>
      </c>
    </row>
    <row r="744" customFormat="false" ht="15" hidden="false" customHeight="false" outlineLevel="0" collapsed="false">
      <c r="A744" s="9" t="s">
        <v>2702</v>
      </c>
      <c r="B744" s="9" t="s">
        <v>1830</v>
      </c>
      <c r="C744" s="9" t="s">
        <v>10</v>
      </c>
      <c r="D744" s="9" t="s">
        <v>1245</v>
      </c>
      <c r="E744" s="9"/>
    </row>
    <row r="745" customFormat="false" ht="15" hidden="false" customHeight="false" outlineLevel="0" collapsed="false">
      <c r="A745" s="9" t="s">
        <v>2703</v>
      </c>
      <c r="B745" s="9" t="s">
        <v>1832</v>
      </c>
      <c r="C745" s="9" t="s">
        <v>10</v>
      </c>
      <c r="D745" s="9" t="s">
        <v>1245</v>
      </c>
      <c r="E745" s="9"/>
    </row>
    <row r="746" customFormat="false" ht="15" hidden="false" customHeight="false" outlineLevel="0" collapsed="false">
      <c r="A746" s="9" t="s">
        <v>2704</v>
      </c>
      <c r="B746" s="9" t="s">
        <v>1908</v>
      </c>
      <c r="C746" s="9" t="s">
        <v>10</v>
      </c>
      <c r="D746" s="9" t="s">
        <v>1245</v>
      </c>
      <c r="E746" s="9"/>
    </row>
    <row r="747" customFormat="false" ht="15" hidden="false" customHeight="false" outlineLevel="0" collapsed="false">
      <c r="A747" s="9" t="s">
        <v>2705</v>
      </c>
      <c r="B747" s="9" t="s">
        <v>1630</v>
      </c>
      <c r="C747" s="9" t="s">
        <v>10</v>
      </c>
      <c r="D747" s="9" t="s">
        <v>1245</v>
      </c>
      <c r="E747" s="10" t="s">
        <v>1556</v>
      </c>
    </row>
    <row r="748" customFormat="false" ht="15" hidden="false" customHeight="false" outlineLevel="0" collapsed="false">
      <c r="A748" s="9" t="s">
        <v>2706</v>
      </c>
      <c r="B748" s="9" t="s">
        <v>2554</v>
      </c>
      <c r="C748" s="9" t="s">
        <v>6</v>
      </c>
      <c r="D748" s="9" t="s">
        <v>449</v>
      </c>
      <c r="E748" s="9"/>
    </row>
    <row r="749" customFormat="false" ht="15" hidden="false" customHeight="false" outlineLevel="0" collapsed="false">
      <c r="A749" s="9" t="s">
        <v>2707</v>
      </c>
      <c r="B749" s="9" t="s">
        <v>1555</v>
      </c>
      <c r="C749" s="9" t="s">
        <v>6</v>
      </c>
      <c r="D749" s="9" t="s">
        <v>449</v>
      </c>
      <c r="E749" s="10" t="s">
        <v>1556</v>
      </c>
    </row>
    <row r="750" customFormat="false" ht="15" hidden="false" customHeight="false" outlineLevel="0" collapsed="false">
      <c r="A750" s="9" t="s">
        <v>2708</v>
      </c>
      <c r="B750" s="9" t="s">
        <v>2709</v>
      </c>
      <c r="C750" s="9" t="s">
        <v>6</v>
      </c>
      <c r="D750" s="9" t="s">
        <v>449</v>
      </c>
      <c r="E750" s="10" t="s">
        <v>1556</v>
      </c>
    </row>
    <row r="751" customFormat="false" ht="15" hidden="false" customHeight="false" outlineLevel="0" collapsed="false">
      <c r="A751" s="9" t="s">
        <v>2710</v>
      </c>
      <c r="B751" s="9" t="s">
        <v>2265</v>
      </c>
      <c r="C751" s="9" t="s">
        <v>6</v>
      </c>
      <c r="D751" s="9" t="s">
        <v>454</v>
      </c>
      <c r="E751" s="9"/>
    </row>
    <row r="752" customFormat="false" ht="15" hidden="false" customHeight="false" outlineLevel="0" collapsed="false">
      <c r="A752" s="9" t="s">
        <v>2711</v>
      </c>
      <c r="B752" s="9" t="s">
        <v>1555</v>
      </c>
      <c r="C752" s="9" t="s">
        <v>6</v>
      </c>
      <c r="D752" s="9" t="s">
        <v>454</v>
      </c>
      <c r="E752" s="10" t="s">
        <v>1556</v>
      </c>
    </row>
    <row r="753" customFormat="false" ht="15" hidden="false" customHeight="false" outlineLevel="0" collapsed="false">
      <c r="A753" s="9" t="s">
        <v>2712</v>
      </c>
      <c r="B753" s="9" t="s">
        <v>2713</v>
      </c>
      <c r="C753" s="9" t="s">
        <v>6</v>
      </c>
      <c r="D753" s="9" t="s">
        <v>454</v>
      </c>
      <c r="E753" s="10" t="s">
        <v>1556</v>
      </c>
    </row>
    <row r="754" customFormat="false" ht="15" hidden="false" customHeight="false" outlineLevel="0" collapsed="false">
      <c r="A754" s="9" t="s">
        <v>2714</v>
      </c>
      <c r="B754" s="9" t="s">
        <v>2715</v>
      </c>
      <c r="C754" s="10" t="s">
        <v>1527</v>
      </c>
      <c r="D754" s="9" t="s">
        <v>55</v>
      </c>
      <c r="E754" s="10" t="s">
        <v>2716</v>
      </c>
    </row>
    <row r="755" customFormat="false" ht="15" hidden="false" customHeight="false" outlineLevel="0" collapsed="false">
      <c r="A755" s="9" t="s">
        <v>2717</v>
      </c>
      <c r="B755" s="9" t="s">
        <v>2718</v>
      </c>
      <c r="C755" s="10" t="s">
        <v>1527</v>
      </c>
      <c r="D755" s="9" t="s">
        <v>55</v>
      </c>
      <c r="E755" s="10" t="s">
        <v>2719</v>
      </c>
    </row>
    <row r="756" customFormat="false" ht="15" hidden="false" customHeight="false" outlineLevel="0" collapsed="false">
      <c r="A756" s="9" t="s">
        <v>2720</v>
      </c>
      <c r="B756" s="9" t="s">
        <v>2721</v>
      </c>
      <c r="C756" s="10" t="s">
        <v>1527</v>
      </c>
      <c r="D756" s="9" t="s">
        <v>55</v>
      </c>
      <c r="E756" s="10" t="s">
        <v>1756</v>
      </c>
    </row>
    <row r="757" customFormat="false" ht="15" hidden="false" customHeight="false" outlineLevel="0" collapsed="false">
      <c r="A757" s="9" t="s">
        <v>2722</v>
      </c>
      <c r="B757" s="9" t="s">
        <v>1998</v>
      </c>
      <c r="C757" s="9" t="s">
        <v>6</v>
      </c>
      <c r="D757" s="9" t="s">
        <v>459</v>
      </c>
      <c r="E757" s="9"/>
    </row>
    <row r="758" customFormat="false" ht="15" hidden="false" customHeight="false" outlineLevel="0" collapsed="false">
      <c r="A758" s="9" t="s">
        <v>2723</v>
      </c>
      <c r="B758" s="9" t="s">
        <v>1555</v>
      </c>
      <c r="C758" s="9" t="s">
        <v>6</v>
      </c>
      <c r="D758" s="9" t="s">
        <v>459</v>
      </c>
      <c r="E758" s="10" t="s">
        <v>1556</v>
      </c>
    </row>
    <row r="759" customFormat="false" ht="15" hidden="false" customHeight="false" outlineLevel="0" collapsed="false">
      <c r="A759" s="9" t="s">
        <v>2724</v>
      </c>
      <c r="B759" s="9" t="s">
        <v>2725</v>
      </c>
      <c r="C759" s="9" t="s">
        <v>6</v>
      </c>
      <c r="D759" s="9" t="s">
        <v>459</v>
      </c>
      <c r="E759" s="10" t="s">
        <v>1556</v>
      </c>
    </row>
    <row r="760" customFormat="false" ht="15" hidden="false" customHeight="false" outlineLevel="0" collapsed="false">
      <c r="A760" s="9" t="s">
        <v>2726</v>
      </c>
      <c r="B760" s="9" t="s">
        <v>1944</v>
      </c>
      <c r="C760" s="9" t="s">
        <v>6</v>
      </c>
      <c r="D760" s="9" t="s">
        <v>459</v>
      </c>
      <c r="E760" s="10" t="s">
        <v>1556</v>
      </c>
    </row>
    <row r="761" customFormat="false" ht="15" hidden="false" customHeight="false" outlineLevel="0" collapsed="false">
      <c r="A761" s="9" t="s">
        <v>2727</v>
      </c>
      <c r="B761" s="9" t="s">
        <v>2728</v>
      </c>
      <c r="C761" s="10" t="s">
        <v>1598</v>
      </c>
      <c r="D761" s="10" t="s">
        <v>2729</v>
      </c>
      <c r="E761" s="9" t="s">
        <v>2730</v>
      </c>
    </row>
    <row r="762" customFormat="false" ht="15" hidden="false" customHeight="false" outlineLevel="0" collapsed="false">
      <c r="A762" s="9" t="s">
        <v>2731</v>
      </c>
      <c r="B762" s="9" t="s">
        <v>2732</v>
      </c>
      <c r="C762" s="10" t="s">
        <v>1598</v>
      </c>
      <c r="D762" s="10" t="s">
        <v>2729</v>
      </c>
      <c r="E762" s="9" t="s">
        <v>2730</v>
      </c>
    </row>
    <row r="763" customFormat="false" ht="15" hidden="false" customHeight="false" outlineLevel="0" collapsed="false">
      <c r="A763" s="9" t="s">
        <v>2733</v>
      </c>
      <c r="B763" s="9" t="s">
        <v>2734</v>
      </c>
      <c r="C763" s="10" t="s">
        <v>1598</v>
      </c>
      <c r="D763" s="10" t="s">
        <v>2729</v>
      </c>
      <c r="E763" s="9" t="s">
        <v>2730</v>
      </c>
    </row>
    <row r="764" customFormat="false" ht="15" hidden="false" customHeight="false" outlineLevel="0" collapsed="false">
      <c r="A764" s="9" t="s">
        <v>2735</v>
      </c>
      <c r="B764" s="9" t="s">
        <v>1608</v>
      </c>
      <c r="C764" s="10" t="s">
        <v>1598</v>
      </c>
      <c r="D764" s="10" t="s">
        <v>2729</v>
      </c>
      <c r="E764" s="9" t="s">
        <v>2730</v>
      </c>
    </row>
    <row r="765" customFormat="false" ht="15" hidden="false" customHeight="false" outlineLevel="0" collapsed="false">
      <c r="A765" s="9" t="s">
        <v>2736</v>
      </c>
      <c r="B765" s="9" t="s">
        <v>2737</v>
      </c>
      <c r="C765" s="10" t="s">
        <v>1598</v>
      </c>
      <c r="D765" s="10" t="s">
        <v>2729</v>
      </c>
      <c r="E765" s="9" t="s">
        <v>2730</v>
      </c>
    </row>
    <row r="766" customFormat="false" ht="15" hidden="false" customHeight="false" outlineLevel="0" collapsed="false">
      <c r="A766" s="9" t="s">
        <v>2738</v>
      </c>
      <c r="B766" s="9" t="s">
        <v>1944</v>
      </c>
      <c r="C766" s="10" t="s">
        <v>1598</v>
      </c>
      <c r="D766" s="10" t="s">
        <v>2729</v>
      </c>
      <c r="E766" s="9" t="s">
        <v>2730</v>
      </c>
    </row>
    <row r="767" customFormat="false" ht="15" hidden="false" customHeight="false" outlineLevel="0" collapsed="false">
      <c r="A767" s="9" t="s">
        <v>2739</v>
      </c>
      <c r="B767" s="9" t="s">
        <v>2740</v>
      </c>
      <c r="C767" s="9" t="s">
        <v>6</v>
      </c>
      <c r="D767" s="9" t="s">
        <v>464</v>
      </c>
      <c r="E767" s="9"/>
    </row>
    <row r="768" customFormat="false" ht="15" hidden="false" customHeight="false" outlineLevel="0" collapsed="false">
      <c r="A768" s="9" t="s">
        <v>2741</v>
      </c>
      <c r="B768" s="9" t="s">
        <v>1555</v>
      </c>
      <c r="C768" s="9" t="s">
        <v>6</v>
      </c>
      <c r="D768" s="9" t="s">
        <v>464</v>
      </c>
      <c r="E768" s="10" t="s">
        <v>1556</v>
      </c>
    </row>
    <row r="769" customFormat="false" ht="15" hidden="false" customHeight="false" outlineLevel="0" collapsed="false">
      <c r="A769" s="9" t="s">
        <v>2742</v>
      </c>
      <c r="B769" s="9" t="s">
        <v>2743</v>
      </c>
      <c r="C769" s="9" t="s">
        <v>6</v>
      </c>
      <c r="D769" s="9" t="s">
        <v>464</v>
      </c>
      <c r="E769" s="10" t="s">
        <v>1556</v>
      </c>
    </row>
    <row r="770" customFormat="false" ht="15" hidden="false" customHeight="false" outlineLevel="0" collapsed="false">
      <c r="A770" s="9" t="s">
        <v>2744</v>
      </c>
      <c r="B770" s="9" t="s">
        <v>2505</v>
      </c>
      <c r="C770" s="9" t="s">
        <v>6</v>
      </c>
      <c r="D770" s="9" t="s">
        <v>323</v>
      </c>
      <c r="E770" s="9"/>
    </row>
    <row r="771" customFormat="false" ht="15" hidden="false" customHeight="false" outlineLevel="0" collapsed="false">
      <c r="A771" s="9" t="s">
        <v>2745</v>
      </c>
      <c r="B771" s="9" t="s">
        <v>1924</v>
      </c>
      <c r="C771" s="9" t="s">
        <v>6</v>
      </c>
      <c r="D771" s="9" t="s">
        <v>323</v>
      </c>
      <c r="E771" s="9"/>
    </row>
    <row r="772" customFormat="false" ht="15" hidden="false" customHeight="false" outlineLevel="0" collapsed="false">
      <c r="A772" s="9" t="s">
        <v>2746</v>
      </c>
      <c r="B772" s="9" t="s">
        <v>2505</v>
      </c>
      <c r="C772" s="9" t="s">
        <v>6</v>
      </c>
      <c r="D772" s="9" t="s">
        <v>323</v>
      </c>
      <c r="E772" s="9"/>
    </row>
    <row r="773" customFormat="false" ht="15" hidden="false" customHeight="false" outlineLevel="0" collapsed="false">
      <c r="A773" s="9" t="s">
        <v>2747</v>
      </c>
      <c r="B773" s="9" t="s">
        <v>1555</v>
      </c>
      <c r="C773" s="9" t="s">
        <v>6</v>
      </c>
      <c r="D773" s="9" t="s">
        <v>323</v>
      </c>
      <c r="E773" s="10" t="s">
        <v>1556</v>
      </c>
    </row>
    <row r="774" customFormat="false" ht="15" hidden="false" customHeight="false" outlineLevel="0" collapsed="false">
      <c r="A774" s="9" t="s">
        <v>2748</v>
      </c>
      <c r="B774" s="9" t="s">
        <v>2749</v>
      </c>
      <c r="C774" s="9" t="s">
        <v>6</v>
      </c>
      <c r="D774" s="9" t="s">
        <v>323</v>
      </c>
      <c r="E774" s="10" t="s">
        <v>1556</v>
      </c>
    </row>
    <row r="775" customFormat="false" ht="15" hidden="false" customHeight="false" outlineLevel="0" collapsed="false">
      <c r="A775" s="9" t="s">
        <v>2750</v>
      </c>
      <c r="B775" s="9" t="s">
        <v>1944</v>
      </c>
      <c r="C775" s="9" t="s">
        <v>6</v>
      </c>
      <c r="D775" s="9" t="s">
        <v>323</v>
      </c>
      <c r="E775" s="10" t="s">
        <v>1556</v>
      </c>
    </row>
    <row r="776" customFormat="false" ht="15" hidden="false" customHeight="false" outlineLevel="0" collapsed="false">
      <c r="A776" s="9" t="s">
        <v>2751</v>
      </c>
      <c r="B776" s="9" t="s">
        <v>2451</v>
      </c>
      <c r="C776" s="10" t="s">
        <v>2442</v>
      </c>
      <c r="D776" s="9" t="s">
        <v>2752</v>
      </c>
      <c r="E776" s="10" t="s">
        <v>2753</v>
      </c>
    </row>
    <row r="777" customFormat="false" ht="15" hidden="false" customHeight="false" outlineLevel="0" collapsed="false">
      <c r="A777" s="9" t="s">
        <v>2754</v>
      </c>
      <c r="B777" s="9" t="s">
        <v>2458</v>
      </c>
      <c r="C777" s="10" t="s">
        <v>2442</v>
      </c>
      <c r="D777" s="9" t="s">
        <v>2755</v>
      </c>
      <c r="E777" s="10" t="s">
        <v>2756</v>
      </c>
    </row>
    <row r="778" customFormat="false" ht="15" hidden="false" customHeight="false" outlineLevel="0" collapsed="false">
      <c r="A778" s="9" t="s">
        <v>2757</v>
      </c>
      <c r="B778" s="9" t="s">
        <v>1555</v>
      </c>
      <c r="C778" s="10" t="s">
        <v>2442</v>
      </c>
      <c r="D778" s="9" t="s">
        <v>2758</v>
      </c>
      <c r="E778" s="10" t="s">
        <v>2446</v>
      </c>
    </row>
    <row r="779" customFormat="false" ht="15" hidden="false" customHeight="false" outlineLevel="0" collapsed="false">
      <c r="A779" s="9" t="s">
        <v>2759</v>
      </c>
      <c r="B779" s="9" t="s">
        <v>2760</v>
      </c>
      <c r="C779" s="10" t="s">
        <v>2442</v>
      </c>
      <c r="D779" s="9" t="s">
        <v>2758</v>
      </c>
      <c r="E779" s="10" t="s">
        <v>2761</v>
      </c>
    </row>
    <row r="780" customFormat="false" ht="15" hidden="false" customHeight="false" outlineLevel="0" collapsed="false">
      <c r="A780" s="9" t="s">
        <v>2762</v>
      </c>
      <c r="B780" s="9" t="s">
        <v>2763</v>
      </c>
      <c r="C780" s="10" t="s">
        <v>1527</v>
      </c>
      <c r="D780" s="9" t="s">
        <v>55</v>
      </c>
      <c r="E780" s="10" t="s">
        <v>2764</v>
      </c>
    </row>
    <row r="781" customFormat="false" ht="15" hidden="false" customHeight="false" outlineLevel="0" collapsed="false">
      <c r="A781" s="9" t="s">
        <v>2765</v>
      </c>
      <c r="B781" s="9" t="s">
        <v>2766</v>
      </c>
      <c r="C781" s="10" t="s">
        <v>1527</v>
      </c>
      <c r="D781" s="9" t="s">
        <v>55</v>
      </c>
      <c r="E781" s="10" t="s">
        <v>2767</v>
      </c>
    </row>
    <row r="782" customFormat="false" ht="15" hidden="false" customHeight="false" outlineLevel="0" collapsed="false">
      <c r="A782" s="9" t="s">
        <v>2768</v>
      </c>
      <c r="B782" s="9" t="s">
        <v>2769</v>
      </c>
      <c r="C782" s="10" t="s">
        <v>1527</v>
      </c>
      <c r="D782" s="9" t="s">
        <v>55</v>
      </c>
      <c r="E782" s="10" t="s">
        <v>2770</v>
      </c>
    </row>
    <row r="783" customFormat="false" ht="15" hidden="false" customHeight="false" outlineLevel="0" collapsed="false">
      <c r="A783" s="9" t="s">
        <v>2771</v>
      </c>
      <c r="B783" s="9" t="s">
        <v>2772</v>
      </c>
      <c r="C783" s="10" t="s">
        <v>2232</v>
      </c>
      <c r="D783" s="9" t="s">
        <v>2773</v>
      </c>
      <c r="E783" s="10" t="s">
        <v>2774</v>
      </c>
    </row>
    <row r="784" customFormat="false" ht="15" hidden="false" customHeight="false" outlineLevel="0" collapsed="false">
      <c r="A784" s="9" t="s">
        <v>2775</v>
      </c>
      <c r="B784" s="9" t="s">
        <v>2776</v>
      </c>
      <c r="C784" s="10" t="s">
        <v>2232</v>
      </c>
      <c r="D784" s="9" t="s">
        <v>2773</v>
      </c>
      <c r="E784" s="10" t="s">
        <v>2774</v>
      </c>
    </row>
    <row r="785" customFormat="false" ht="15" hidden="false" customHeight="false" outlineLevel="0" collapsed="false">
      <c r="A785" s="9" t="s">
        <v>2777</v>
      </c>
      <c r="B785" s="9" t="s">
        <v>2778</v>
      </c>
      <c r="C785" s="10" t="s">
        <v>2232</v>
      </c>
      <c r="D785" s="9" t="s">
        <v>2773</v>
      </c>
      <c r="E785" s="10" t="s">
        <v>2774</v>
      </c>
    </row>
    <row r="786" customFormat="false" ht="15" hidden="false" customHeight="false" outlineLevel="0" collapsed="false">
      <c r="A786" s="9" t="s">
        <v>2779</v>
      </c>
      <c r="B786" s="9" t="s">
        <v>2780</v>
      </c>
      <c r="C786" s="10" t="s">
        <v>2232</v>
      </c>
      <c r="D786" s="9" t="s">
        <v>2773</v>
      </c>
      <c r="E786" s="10" t="s">
        <v>2774</v>
      </c>
    </row>
    <row r="787" customFormat="false" ht="15" hidden="false" customHeight="false" outlineLevel="0" collapsed="false">
      <c r="A787" s="9" t="s">
        <v>2781</v>
      </c>
      <c r="B787" s="9" t="s">
        <v>2782</v>
      </c>
      <c r="C787" s="10" t="s">
        <v>2232</v>
      </c>
      <c r="D787" s="9" t="s">
        <v>2773</v>
      </c>
      <c r="E787" s="10" t="s">
        <v>2774</v>
      </c>
    </row>
    <row r="788" customFormat="false" ht="15" hidden="false" customHeight="false" outlineLevel="0" collapsed="false">
      <c r="A788" s="9" t="s">
        <v>2783</v>
      </c>
      <c r="B788" s="9" t="s">
        <v>2784</v>
      </c>
      <c r="C788" s="10" t="s">
        <v>2232</v>
      </c>
      <c r="D788" s="9" t="s">
        <v>2773</v>
      </c>
      <c r="E788" s="10" t="s">
        <v>2774</v>
      </c>
    </row>
    <row r="789" customFormat="false" ht="15" hidden="false" customHeight="false" outlineLevel="0" collapsed="false">
      <c r="A789" s="9" t="s">
        <v>2785</v>
      </c>
      <c r="B789" s="9" t="s">
        <v>2786</v>
      </c>
      <c r="C789" s="10" t="s">
        <v>2232</v>
      </c>
      <c r="D789" s="9" t="s">
        <v>2773</v>
      </c>
      <c r="E789" s="10" t="s">
        <v>2774</v>
      </c>
    </row>
    <row r="790" customFormat="false" ht="15" hidden="false" customHeight="false" outlineLevel="0" collapsed="false">
      <c r="A790" s="9" t="s">
        <v>2787</v>
      </c>
      <c r="B790" s="9" t="s">
        <v>2788</v>
      </c>
      <c r="C790" s="10" t="s">
        <v>2232</v>
      </c>
      <c r="D790" s="9" t="s">
        <v>2773</v>
      </c>
      <c r="E790" s="10" t="s">
        <v>2774</v>
      </c>
    </row>
    <row r="791" customFormat="false" ht="15" hidden="false" customHeight="false" outlineLevel="0" collapsed="false">
      <c r="A791" s="9" t="s">
        <v>2789</v>
      </c>
      <c r="B791" s="9" t="s">
        <v>2790</v>
      </c>
      <c r="C791" s="10" t="s">
        <v>2232</v>
      </c>
      <c r="D791" s="9" t="s">
        <v>2773</v>
      </c>
      <c r="E791" s="10" t="s">
        <v>2774</v>
      </c>
    </row>
    <row r="792" customFormat="false" ht="15" hidden="false" customHeight="false" outlineLevel="0" collapsed="false">
      <c r="A792" s="9" t="s">
        <v>2791</v>
      </c>
      <c r="B792" s="9" t="s">
        <v>2792</v>
      </c>
      <c r="C792" s="10" t="s">
        <v>2232</v>
      </c>
      <c r="D792" s="9" t="s">
        <v>2773</v>
      </c>
      <c r="E792" s="10" t="s">
        <v>2774</v>
      </c>
    </row>
    <row r="793" customFormat="false" ht="15" hidden="false" customHeight="false" outlineLevel="0" collapsed="false">
      <c r="A793" s="9" t="s">
        <v>2793</v>
      </c>
      <c r="B793" s="9" t="s">
        <v>1608</v>
      </c>
      <c r="C793" s="10" t="s">
        <v>2232</v>
      </c>
      <c r="D793" s="9" t="s">
        <v>2773</v>
      </c>
      <c r="E793" s="10" t="s">
        <v>2774</v>
      </c>
    </row>
    <row r="794" customFormat="false" ht="15" hidden="false" customHeight="false" outlineLevel="0" collapsed="false">
      <c r="A794" s="9" t="s">
        <v>2794</v>
      </c>
      <c r="B794" s="9" t="s">
        <v>1612</v>
      </c>
      <c r="C794" s="10" t="s">
        <v>2232</v>
      </c>
      <c r="D794" s="9" t="s">
        <v>2773</v>
      </c>
      <c r="E794" s="10" t="s">
        <v>2774</v>
      </c>
    </row>
    <row r="795" customFormat="false" ht="15" hidden="false" customHeight="false" outlineLevel="0" collapsed="false">
      <c r="A795" s="9" t="s">
        <v>2795</v>
      </c>
      <c r="B795" s="9" t="s">
        <v>1781</v>
      </c>
      <c r="C795" s="10" t="s">
        <v>2232</v>
      </c>
      <c r="D795" s="9" t="s">
        <v>2796</v>
      </c>
      <c r="E795" s="10" t="s">
        <v>2234</v>
      </c>
    </row>
    <row r="796" customFormat="false" ht="15" hidden="false" customHeight="false" outlineLevel="0" collapsed="false">
      <c r="A796" s="9" t="s">
        <v>2797</v>
      </c>
      <c r="B796" s="9" t="s">
        <v>1666</v>
      </c>
      <c r="C796" s="10" t="s">
        <v>2232</v>
      </c>
      <c r="D796" s="9" t="s">
        <v>2796</v>
      </c>
      <c r="E796" s="10" t="s">
        <v>2234</v>
      </c>
    </row>
    <row r="797" customFormat="false" ht="15" hidden="false" customHeight="false" outlineLevel="0" collapsed="false">
      <c r="A797" s="9" t="s">
        <v>2798</v>
      </c>
      <c r="B797" s="9" t="s">
        <v>1783</v>
      </c>
      <c r="C797" s="10" t="s">
        <v>2232</v>
      </c>
      <c r="D797" s="9" t="s">
        <v>2796</v>
      </c>
      <c r="E797" s="10" t="s">
        <v>2234</v>
      </c>
    </row>
    <row r="798" customFormat="false" ht="15" hidden="false" customHeight="false" outlineLevel="0" collapsed="false">
      <c r="A798" s="9" t="s">
        <v>2799</v>
      </c>
      <c r="B798" s="9" t="s">
        <v>1815</v>
      </c>
      <c r="C798" s="10" t="s">
        <v>2232</v>
      </c>
      <c r="D798" s="9" t="s">
        <v>2796</v>
      </c>
      <c r="E798" s="10" t="s">
        <v>2234</v>
      </c>
    </row>
    <row r="799" customFormat="false" ht="15" hidden="false" customHeight="false" outlineLevel="0" collapsed="false">
      <c r="A799" s="9" t="s">
        <v>2800</v>
      </c>
      <c r="B799" s="9" t="s">
        <v>1585</v>
      </c>
      <c r="C799" s="9" t="s">
        <v>10</v>
      </c>
      <c r="D799" s="9" t="s">
        <v>1249</v>
      </c>
      <c r="E799" s="9"/>
    </row>
    <row r="800" customFormat="false" ht="15" hidden="false" customHeight="false" outlineLevel="0" collapsed="false">
      <c r="A800" s="9" t="s">
        <v>2801</v>
      </c>
      <c r="B800" s="9" t="s">
        <v>1717</v>
      </c>
      <c r="C800" s="9" t="s">
        <v>10</v>
      </c>
      <c r="D800" s="9" t="s">
        <v>1249</v>
      </c>
      <c r="E800" s="9"/>
    </row>
    <row r="801" customFormat="false" ht="15" hidden="false" customHeight="false" outlineLevel="0" collapsed="false">
      <c r="A801" s="9" t="s">
        <v>2802</v>
      </c>
      <c r="B801" s="9" t="s">
        <v>1658</v>
      </c>
      <c r="C801" s="9" t="s">
        <v>10</v>
      </c>
      <c r="D801" s="9" t="s">
        <v>1249</v>
      </c>
      <c r="E801" s="9"/>
    </row>
    <row r="802" customFormat="false" ht="15" hidden="false" customHeight="false" outlineLevel="0" collapsed="false">
      <c r="A802" s="9" t="s">
        <v>2803</v>
      </c>
      <c r="B802" s="9" t="s">
        <v>1630</v>
      </c>
      <c r="C802" s="9" t="s">
        <v>10</v>
      </c>
      <c r="D802" s="9" t="s">
        <v>1249</v>
      </c>
      <c r="E802" s="10" t="s">
        <v>1556</v>
      </c>
    </row>
    <row r="803" customFormat="false" ht="15" hidden="false" customHeight="false" outlineLevel="0" collapsed="false">
      <c r="A803" s="9" t="s">
        <v>2804</v>
      </c>
      <c r="B803" s="9" t="s">
        <v>2805</v>
      </c>
      <c r="C803" s="9" t="s">
        <v>10</v>
      </c>
      <c r="D803" s="9" t="s">
        <v>1249</v>
      </c>
      <c r="E803" s="10" t="s">
        <v>1556</v>
      </c>
    </row>
    <row r="804" customFormat="false" ht="15" hidden="false" customHeight="false" outlineLevel="0" collapsed="false">
      <c r="A804" s="9" t="s">
        <v>2806</v>
      </c>
      <c r="B804" s="9" t="s">
        <v>2807</v>
      </c>
      <c r="C804" s="10" t="s">
        <v>2232</v>
      </c>
      <c r="D804" s="9" t="s">
        <v>2808</v>
      </c>
      <c r="E804" s="10" t="s">
        <v>2234</v>
      </c>
    </row>
    <row r="805" customFormat="false" ht="15" hidden="false" customHeight="false" outlineLevel="0" collapsed="false">
      <c r="A805" s="9" t="s">
        <v>2809</v>
      </c>
      <c r="B805" s="9" t="s">
        <v>2025</v>
      </c>
      <c r="C805" s="10" t="s">
        <v>2232</v>
      </c>
      <c r="D805" s="9" t="s">
        <v>2808</v>
      </c>
      <c r="E805" s="10" t="s">
        <v>2234</v>
      </c>
    </row>
    <row r="806" customFormat="false" ht="15" hidden="false" customHeight="false" outlineLevel="0" collapsed="false">
      <c r="A806" s="9" t="s">
        <v>2810</v>
      </c>
      <c r="B806" s="9" t="s">
        <v>1689</v>
      </c>
      <c r="C806" s="10" t="s">
        <v>2232</v>
      </c>
      <c r="D806" s="9" t="s">
        <v>2808</v>
      </c>
      <c r="E806" s="10" t="s">
        <v>2234</v>
      </c>
    </row>
    <row r="807" customFormat="false" ht="15" hidden="false" customHeight="false" outlineLevel="0" collapsed="false">
      <c r="A807" s="9" t="s">
        <v>2811</v>
      </c>
      <c r="B807" s="9" t="s">
        <v>1630</v>
      </c>
      <c r="C807" s="10" t="s">
        <v>2232</v>
      </c>
      <c r="D807" s="9" t="s">
        <v>2808</v>
      </c>
      <c r="E807" s="10" t="s">
        <v>2234</v>
      </c>
    </row>
    <row r="808" customFormat="false" ht="15" hidden="false" customHeight="false" outlineLevel="0" collapsed="false">
      <c r="A808" s="9" t="s">
        <v>2812</v>
      </c>
      <c r="B808" s="9" t="s">
        <v>2813</v>
      </c>
      <c r="C808" s="10" t="s">
        <v>2232</v>
      </c>
      <c r="D808" s="9" t="s">
        <v>2808</v>
      </c>
      <c r="E808" s="10" t="s">
        <v>2234</v>
      </c>
    </row>
    <row r="809" customFormat="false" ht="15" hidden="false" customHeight="false" outlineLevel="0" collapsed="false">
      <c r="A809" s="9" t="s">
        <v>2814</v>
      </c>
      <c r="B809" s="9" t="s">
        <v>2815</v>
      </c>
      <c r="C809" s="9" t="s">
        <v>10</v>
      </c>
      <c r="D809" s="9" t="s">
        <v>2816</v>
      </c>
      <c r="E809" s="10" t="s">
        <v>2817</v>
      </c>
    </row>
    <row r="810" customFormat="false" ht="15" hidden="false" customHeight="false" outlineLevel="0" collapsed="false">
      <c r="A810" s="9" t="s">
        <v>2818</v>
      </c>
      <c r="B810" s="9" t="s">
        <v>1585</v>
      </c>
      <c r="C810" s="9" t="s">
        <v>10</v>
      </c>
      <c r="D810" s="9" t="s">
        <v>1254</v>
      </c>
      <c r="E810" s="9"/>
    </row>
    <row r="811" customFormat="false" ht="15" hidden="false" customHeight="false" outlineLevel="0" collapsed="false">
      <c r="A811" s="9" t="s">
        <v>2819</v>
      </c>
      <c r="B811" s="9" t="s">
        <v>1795</v>
      </c>
      <c r="C811" s="9" t="s">
        <v>10</v>
      </c>
      <c r="D811" s="9" t="s">
        <v>1259</v>
      </c>
      <c r="E811" s="9"/>
    </row>
    <row r="812" customFormat="false" ht="15" hidden="false" customHeight="false" outlineLevel="0" collapsed="false">
      <c r="A812" s="9" t="s">
        <v>2820</v>
      </c>
      <c r="B812" s="9" t="s">
        <v>1781</v>
      </c>
      <c r="C812" s="9" t="s">
        <v>10</v>
      </c>
      <c r="D812" s="9" t="s">
        <v>1260</v>
      </c>
      <c r="E812" s="9"/>
    </row>
    <row r="813" customFormat="false" ht="15" hidden="false" customHeight="false" outlineLevel="0" collapsed="false">
      <c r="A813" s="9" t="s">
        <v>2821</v>
      </c>
      <c r="B813" s="9" t="s">
        <v>2124</v>
      </c>
      <c r="C813" s="9" t="s">
        <v>10</v>
      </c>
      <c r="D813" s="9" t="s">
        <v>1261</v>
      </c>
      <c r="E813" s="9"/>
    </row>
    <row r="814" customFormat="false" ht="15" hidden="false" customHeight="false" outlineLevel="0" collapsed="false">
      <c r="A814" s="9" t="s">
        <v>2822</v>
      </c>
      <c r="B814" s="9" t="s">
        <v>1634</v>
      </c>
      <c r="C814" s="9" t="s">
        <v>10</v>
      </c>
      <c r="D814" s="9" t="s">
        <v>1262</v>
      </c>
      <c r="E814" s="9"/>
    </row>
    <row r="815" customFormat="false" ht="15" hidden="false" customHeight="false" outlineLevel="0" collapsed="false">
      <c r="A815" s="9" t="s">
        <v>2823</v>
      </c>
      <c r="B815" s="9" t="s">
        <v>1634</v>
      </c>
      <c r="C815" s="9" t="s">
        <v>10</v>
      </c>
      <c r="D815" s="9" t="s">
        <v>1263</v>
      </c>
      <c r="E815" s="9"/>
    </row>
    <row r="816" customFormat="false" ht="15" hidden="false" customHeight="false" outlineLevel="0" collapsed="false">
      <c r="A816" s="9" t="s">
        <v>2824</v>
      </c>
      <c r="B816" s="9" t="s">
        <v>1717</v>
      </c>
      <c r="C816" s="9" t="s">
        <v>10</v>
      </c>
      <c r="D816" s="9" t="s">
        <v>1264</v>
      </c>
      <c r="E816" s="9"/>
    </row>
    <row r="817" customFormat="false" ht="15" hidden="false" customHeight="false" outlineLevel="0" collapsed="false">
      <c r="A817" s="9" t="s">
        <v>2825</v>
      </c>
      <c r="B817" s="9" t="s">
        <v>1798</v>
      </c>
      <c r="C817" s="9" t="s">
        <v>10</v>
      </c>
      <c r="D817" s="9" t="s">
        <v>1268</v>
      </c>
      <c r="E817" s="9"/>
    </row>
    <row r="818" customFormat="false" ht="15" hidden="false" customHeight="false" outlineLevel="0" collapsed="false">
      <c r="A818" s="9" t="s">
        <v>2826</v>
      </c>
      <c r="B818" s="9" t="s">
        <v>1791</v>
      </c>
      <c r="C818" s="9" t="s">
        <v>10</v>
      </c>
      <c r="D818" s="9" t="s">
        <v>1269</v>
      </c>
      <c r="E818" s="9"/>
    </row>
    <row r="819" customFormat="false" ht="15" hidden="false" customHeight="false" outlineLevel="0" collapsed="false">
      <c r="A819" s="9" t="s">
        <v>2827</v>
      </c>
      <c r="B819" s="9" t="s">
        <v>1793</v>
      </c>
      <c r="C819" s="9" t="s">
        <v>10</v>
      </c>
      <c r="D819" s="9" t="s">
        <v>1270</v>
      </c>
      <c r="E819" s="9"/>
    </row>
    <row r="820" customFormat="false" ht="15" hidden="false" customHeight="false" outlineLevel="0" collapsed="false">
      <c r="A820" s="9" t="s">
        <v>2828</v>
      </c>
      <c r="B820" s="9" t="s">
        <v>1614</v>
      </c>
      <c r="C820" s="9" t="s">
        <v>10</v>
      </c>
      <c r="D820" s="9" t="s">
        <v>1271</v>
      </c>
      <c r="E820" s="9"/>
    </row>
    <row r="821" customFormat="false" ht="15" hidden="false" customHeight="false" outlineLevel="0" collapsed="false">
      <c r="A821" s="9" t="s">
        <v>2829</v>
      </c>
      <c r="B821" s="9" t="s">
        <v>1666</v>
      </c>
      <c r="C821" s="9" t="s">
        <v>10</v>
      </c>
      <c r="D821" s="9" t="s">
        <v>1272</v>
      </c>
      <c r="E821" s="9"/>
    </row>
    <row r="822" customFormat="false" ht="15" hidden="false" customHeight="false" outlineLevel="0" collapsed="false">
      <c r="A822" s="9" t="s">
        <v>2830</v>
      </c>
      <c r="B822" s="9" t="s">
        <v>1634</v>
      </c>
      <c r="C822" s="9" t="s">
        <v>10</v>
      </c>
      <c r="D822" s="9" t="s">
        <v>1273</v>
      </c>
      <c r="E822" s="9"/>
    </row>
    <row r="823" customFormat="false" ht="15" hidden="false" customHeight="false" outlineLevel="0" collapsed="false">
      <c r="A823" s="9" t="s">
        <v>2831</v>
      </c>
      <c r="B823" s="9" t="s">
        <v>2124</v>
      </c>
      <c r="C823" s="9" t="s">
        <v>10</v>
      </c>
      <c r="D823" s="9" t="s">
        <v>1276</v>
      </c>
      <c r="E823" s="9"/>
    </row>
    <row r="824" customFormat="false" ht="15" hidden="false" customHeight="false" outlineLevel="0" collapsed="false">
      <c r="A824" s="9" t="s">
        <v>2832</v>
      </c>
      <c r="B824" s="9" t="s">
        <v>1793</v>
      </c>
      <c r="C824" s="9" t="s">
        <v>10</v>
      </c>
      <c r="D824" s="9" t="s">
        <v>1277</v>
      </c>
      <c r="E824" s="9"/>
    </row>
    <row r="825" customFormat="false" ht="15" hidden="false" customHeight="false" outlineLevel="0" collapsed="false">
      <c r="A825" s="9" t="s">
        <v>2833</v>
      </c>
      <c r="B825" s="9" t="s">
        <v>1791</v>
      </c>
      <c r="C825" s="9" t="s">
        <v>10</v>
      </c>
      <c r="D825" s="9" t="s">
        <v>1278</v>
      </c>
      <c r="E825" s="9"/>
    </row>
    <row r="826" customFormat="false" ht="15" hidden="false" customHeight="false" outlineLevel="0" collapsed="false">
      <c r="A826" s="9" t="s">
        <v>2834</v>
      </c>
      <c r="B826" s="9" t="s">
        <v>1670</v>
      </c>
      <c r="C826" s="9" t="s">
        <v>10</v>
      </c>
      <c r="D826" s="9" t="s">
        <v>1279</v>
      </c>
      <c r="E826" s="9"/>
    </row>
    <row r="827" customFormat="false" ht="15" hidden="false" customHeight="false" outlineLevel="0" collapsed="false">
      <c r="A827" s="9" t="s">
        <v>2835</v>
      </c>
      <c r="B827" s="9" t="s">
        <v>1791</v>
      </c>
      <c r="C827" s="9" t="s">
        <v>10</v>
      </c>
      <c r="D827" s="9" t="s">
        <v>1280</v>
      </c>
      <c r="E827" s="9"/>
    </row>
    <row r="828" customFormat="false" ht="15" hidden="false" customHeight="false" outlineLevel="0" collapsed="false">
      <c r="A828" s="9" t="s">
        <v>2836</v>
      </c>
      <c r="B828" s="9" t="s">
        <v>1634</v>
      </c>
      <c r="C828" s="9" t="s">
        <v>10</v>
      </c>
      <c r="D828" s="9" t="s">
        <v>1281</v>
      </c>
      <c r="E828" s="9"/>
    </row>
    <row r="829" customFormat="false" ht="15" hidden="false" customHeight="false" outlineLevel="0" collapsed="false">
      <c r="A829" s="9" t="s">
        <v>2837</v>
      </c>
      <c r="B829" s="9" t="s">
        <v>1634</v>
      </c>
      <c r="C829" s="9" t="s">
        <v>10</v>
      </c>
      <c r="D829" s="9" t="s">
        <v>1284</v>
      </c>
      <c r="E829" s="9"/>
    </row>
    <row r="830" customFormat="false" ht="15" hidden="false" customHeight="false" outlineLevel="0" collapsed="false">
      <c r="A830" s="9" t="s">
        <v>2838</v>
      </c>
      <c r="B830" s="9" t="s">
        <v>1634</v>
      </c>
      <c r="C830" s="9" t="s">
        <v>10</v>
      </c>
      <c r="D830" s="9" t="s">
        <v>1285</v>
      </c>
      <c r="E830" s="9"/>
    </row>
    <row r="831" customFormat="false" ht="15" hidden="false" customHeight="false" outlineLevel="0" collapsed="false">
      <c r="A831" s="9" t="s">
        <v>2839</v>
      </c>
      <c r="B831" s="9" t="s">
        <v>2124</v>
      </c>
      <c r="C831" s="9" t="s">
        <v>10</v>
      </c>
      <c r="D831" s="9" t="s">
        <v>1286</v>
      </c>
      <c r="E831" s="9"/>
    </row>
    <row r="832" customFormat="false" ht="15" hidden="false" customHeight="false" outlineLevel="0" collapsed="false">
      <c r="A832" s="9" t="s">
        <v>2840</v>
      </c>
      <c r="B832" s="9" t="s">
        <v>1666</v>
      </c>
      <c r="C832" s="9" t="s">
        <v>10</v>
      </c>
      <c r="D832" s="9" t="s">
        <v>1287</v>
      </c>
      <c r="E832" s="9"/>
    </row>
    <row r="833" customFormat="false" ht="15" hidden="false" customHeight="false" outlineLevel="0" collapsed="false">
      <c r="A833" s="9" t="s">
        <v>2841</v>
      </c>
      <c r="B833" s="9" t="s">
        <v>1614</v>
      </c>
      <c r="C833" s="9" t="s">
        <v>10</v>
      </c>
      <c r="D833" s="9" t="s">
        <v>1288</v>
      </c>
      <c r="E833" s="9"/>
    </row>
    <row r="834" customFormat="false" ht="15" hidden="false" customHeight="false" outlineLevel="0" collapsed="false">
      <c r="A834" s="9" t="s">
        <v>2842</v>
      </c>
      <c r="B834" s="9" t="s">
        <v>1630</v>
      </c>
      <c r="C834" s="9" t="s">
        <v>10</v>
      </c>
      <c r="D834" s="9" t="s">
        <v>2843</v>
      </c>
      <c r="E834" s="10" t="s">
        <v>1556</v>
      </c>
    </row>
    <row r="835" customFormat="false" ht="15" hidden="false" customHeight="false" outlineLevel="0" collapsed="false">
      <c r="A835" s="9" t="s">
        <v>2844</v>
      </c>
      <c r="B835" s="9" t="s">
        <v>2038</v>
      </c>
      <c r="C835" s="9" t="s">
        <v>10</v>
      </c>
      <c r="D835" s="9" t="s">
        <v>2843</v>
      </c>
      <c r="E835" s="10" t="s">
        <v>1556</v>
      </c>
    </row>
    <row r="836" customFormat="false" ht="15" hidden="false" customHeight="false" outlineLevel="0" collapsed="false">
      <c r="A836" s="9" t="s">
        <v>474</v>
      </c>
      <c r="B836" s="9" t="s">
        <v>1614</v>
      </c>
      <c r="C836" s="9" t="s">
        <v>6</v>
      </c>
      <c r="D836" s="9" t="s">
        <v>469</v>
      </c>
      <c r="E836" s="9"/>
    </row>
    <row r="837" customFormat="false" ht="15" hidden="false" customHeight="false" outlineLevel="0" collapsed="false">
      <c r="A837" s="9" t="s">
        <v>478</v>
      </c>
      <c r="B837" s="9" t="s">
        <v>1585</v>
      </c>
      <c r="C837" s="9" t="s">
        <v>6</v>
      </c>
      <c r="D837" s="9" t="s">
        <v>476</v>
      </c>
      <c r="E837" s="9"/>
    </row>
    <row r="838" customFormat="false" ht="15" hidden="false" customHeight="false" outlineLevel="0" collapsed="false">
      <c r="A838" s="9" t="s">
        <v>483</v>
      </c>
      <c r="B838" s="9" t="s">
        <v>2845</v>
      </c>
      <c r="C838" s="9" t="s">
        <v>6</v>
      </c>
      <c r="D838" s="9" t="s">
        <v>480</v>
      </c>
      <c r="E838" s="9"/>
    </row>
    <row r="839" customFormat="false" ht="15" hidden="false" customHeight="false" outlineLevel="0" collapsed="false">
      <c r="A839" s="9" t="s">
        <v>488</v>
      </c>
      <c r="B839" s="9" t="s">
        <v>1908</v>
      </c>
      <c r="C839" s="9" t="s">
        <v>6</v>
      </c>
      <c r="D839" s="9" t="s">
        <v>485</v>
      </c>
      <c r="E839" s="9"/>
    </row>
    <row r="840" customFormat="false" ht="15" hidden="false" customHeight="false" outlineLevel="0" collapsed="false">
      <c r="A840" s="9" t="s">
        <v>2846</v>
      </c>
      <c r="B840" s="9" t="s">
        <v>1555</v>
      </c>
      <c r="C840" s="9" t="s">
        <v>6</v>
      </c>
      <c r="D840" s="10" t="s">
        <v>2847</v>
      </c>
      <c r="E840" s="10" t="s">
        <v>1556</v>
      </c>
    </row>
    <row r="841" customFormat="false" ht="15" hidden="false" customHeight="false" outlineLevel="0" collapsed="false">
      <c r="A841" s="9" t="s">
        <v>2848</v>
      </c>
      <c r="B841" s="9" t="s">
        <v>2849</v>
      </c>
      <c r="C841" s="9" t="s">
        <v>6</v>
      </c>
      <c r="D841" s="10" t="s">
        <v>2847</v>
      </c>
      <c r="E841" s="10" t="s">
        <v>1556</v>
      </c>
    </row>
    <row r="842" customFormat="false" ht="15" hidden="false" customHeight="false" outlineLevel="0" collapsed="false">
      <c r="A842" s="9" t="s">
        <v>2850</v>
      </c>
      <c r="B842" s="9" t="s">
        <v>1944</v>
      </c>
      <c r="C842" s="9" t="s">
        <v>6</v>
      </c>
      <c r="D842" s="10" t="s">
        <v>2847</v>
      </c>
      <c r="E842" s="10" t="s">
        <v>1556</v>
      </c>
    </row>
    <row r="843" customFormat="false" ht="15" hidden="false" customHeight="false" outlineLevel="0" collapsed="false">
      <c r="A843" s="9" t="s">
        <v>2851</v>
      </c>
      <c r="B843" s="9" t="s">
        <v>1533</v>
      </c>
      <c r="C843" s="9" t="s">
        <v>10</v>
      </c>
      <c r="D843" s="9" t="s">
        <v>1289</v>
      </c>
      <c r="E843" s="9"/>
    </row>
    <row r="844" customFormat="false" ht="15" hidden="false" customHeight="false" outlineLevel="0" collapsed="false">
      <c r="A844" s="9" t="s">
        <v>2852</v>
      </c>
      <c r="B844" s="9" t="s">
        <v>1906</v>
      </c>
      <c r="C844" s="9" t="s">
        <v>10</v>
      </c>
      <c r="D844" s="9" t="s">
        <v>1289</v>
      </c>
      <c r="E844" s="9"/>
    </row>
    <row r="845" customFormat="false" ht="15" hidden="false" customHeight="false" outlineLevel="0" collapsed="false">
      <c r="A845" s="9" t="s">
        <v>2853</v>
      </c>
      <c r="B845" s="9" t="s">
        <v>2854</v>
      </c>
      <c r="C845" s="9" t="s">
        <v>10</v>
      </c>
      <c r="D845" s="9" t="s">
        <v>1289</v>
      </c>
      <c r="E845" s="9"/>
    </row>
    <row r="846" customFormat="false" ht="15" hidden="false" customHeight="false" outlineLevel="0" collapsed="false">
      <c r="A846" s="9" t="s">
        <v>2855</v>
      </c>
      <c r="B846" s="9" t="s">
        <v>1815</v>
      </c>
      <c r="C846" s="9" t="s">
        <v>10</v>
      </c>
      <c r="D846" s="9" t="s">
        <v>1289</v>
      </c>
      <c r="E846" s="10" t="s">
        <v>1556</v>
      </c>
    </row>
    <row r="847" customFormat="false" ht="15" hidden="false" customHeight="false" outlineLevel="0" collapsed="false">
      <c r="A847" s="9" t="s">
        <v>2856</v>
      </c>
      <c r="B847" s="9" t="s">
        <v>2857</v>
      </c>
      <c r="C847" s="9" t="s">
        <v>10</v>
      </c>
      <c r="D847" s="9" t="s">
        <v>1289</v>
      </c>
      <c r="E847" s="10" t="s">
        <v>1556</v>
      </c>
    </row>
    <row r="848" customFormat="false" ht="15" hidden="false" customHeight="false" outlineLevel="0" collapsed="false">
      <c r="A848" s="9" t="s">
        <v>2858</v>
      </c>
      <c r="B848" s="9" t="s">
        <v>1666</v>
      </c>
      <c r="C848" s="9" t="s">
        <v>10</v>
      </c>
      <c r="D848" s="9" t="s">
        <v>1302</v>
      </c>
      <c r="E848" s="9"/>
    </row>
    <row r="849" customFormat="false" ht="15" hidden="false" customHeight="false" outlineLevel="0" collapsed="false">
      <c r="A849" s="9" t="s">
        <v>2859</v>
      </c>
      <c r="B849" s="9" t="s">
        <v>1630</v>
      </c>
      <c r="C849" s="9" t="s">
        <v>10</v>
      </c>
      <c r="D849" s="9" t="s">
        <v>1302</v>
      </c>
      <c r="E849" s="10" t="s">
        <v>1556</v>
      </c>
    </row>
    <row r="850" customFormat="false" ht="15" hidden="false" customHeight="false" outlineLevel="0" collapsed="false">
      <c r="A850" s="9" t="s">
        <v>2860</v>
      </c>
      <c r="B850" s="9" t="s">
        <v>1793</v>
      </c>
      <c r="C850" s="9" t="s">
        <v>10</v>
      </c>
      <c r="D850" s="9" t="s">
        <v>1305</v>
      </c>
      <c r="E850" s="9"/>
    </row>
    <row r="851" customFormat="false" ht="15" hidden="false" customHeight="false" outlineLevel="0" collapsed="false">
      <c r="A851" s="9" t="s">
        <v>2861</v>
      </c>
      <c r="B851" s="9" t="s">
        <v>1630</v>
      </c>
      <c r="C851" s="9" t="s">
        <v>10</v>
      </c>
      <c r="D851" s="9" t="s">
        <v>1305</v>
      </c>
      <c r="E851" s="10" t="s">
        <v>1556</v>
      </c>
    </row>
    <row r="852" customFormat="false" ht="15" hidden="false" customHeight="false" outlineLevel="0" collapsed="false">
      <c r="A852" s="9" t="s">
        <v>2862</v>
      </c>
      <c r="B852" s="9" t="s">
        <v>2863</v>
      </c>
      <c r="C852" s="9" t="s">
        <v>10</v>
      </c>
      <c r="D852" s="9" t="s">
        <v>1305</v>
      </c>
      <c r="E852" s="10" t="s">
        <v>1556</v>
      </c>
    </row>
    <row r="853" customFormat="false" ht="15" hidden="false" customHeight="false" outlineLevel="0" collapsed="false">
      <c r="A853" s="9" t="s">
        <v>2864</v>
      </c>
      <c r="B853" s="9" t="s">
        <v>2865</v>
      </c>
      <c r="C853" s="10" t="s">
        <v>1527</v>
      </c>
      <c r="D853" s="9" t="s">
        <v>55</v>
      </c>
      <c r="E853" s="10" t="s">
        <v>2866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2867</v>
      </c>
      <c r="B1" s="0" t="s">
        <v>2868</v>
      </c>
      <c r="C1" s="0" t="s">
        <v>2869</v>
      </c>
      <c r="D1" s="0" t="s">
        <v>2870</v>
      </c>
    </row>
    <row r="2" customFormat="false" ht="15" hidden="false" customHeight="false" outlineLevel="0" collapsed="false">
      <c r="A2" s="0" t="s">
        <v>6</v>
      </c>
      <c r="B2" s="0" t="s">
        <v>50</v>
      </c>
      <c r="C2" s="0" t="s">
        <v>2871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50</v>
      </c>
      <c r="C3" s="0" t="s">
        <v>2872</v>
      </c>
    </row>
    <row r="4" customFormat="false" ht="15" hidden="false" customHeight="false" outlineLevel="0" collapsed="false">
      <c r="A4" s="0" t="s">
        <v>6</v>
      </c>
      <c r="B4" s="0" t="s">
        <v>50</v>
      </c>
      <c r="C4" s="0" t="s">
        <v>2873</v>
      </c>
    </row>
    <row r="5" customFormat="false" ht="15" hidden="false" customHeight="false" outlineLevel="0" collapsed="false">
      <c r="A5" s="0" t="s">
        <v>6</v>
      </c>
      <c r="B5" s="0" t="s">
        <v>66</v>
      </c>
      <c r="C5" s="0" t="s">
        <v>2871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66</v>
      </c>
      <c r="C6" s="0" t="s">
        <v>2872</v>
      </c>
    </row>
    <row r="7" customFormat="false" ht="15" hidden="false" customHeight="false" outlineLevel="0" collapsed="false">
      <c r="A7" s="0" t="s">
        <v>6</v>
      </c>
      <c r="B7" s="0" t="s">
        <v>66</v>
      </c>
      <c r="C7" s="0" t="s">
        <v>2873</v>
      </c>
    </row>
    <row r="8" customFormat="false" ht="15" hidden="false" customHeight="false" outlineLevel="0" collapsed="false">
      <c r="A8" s="0" t="s">
        <v>6</v>
      </c>
      <c r="B8" s="0" t="s">
        <v>74</v>
      </c>
      <c r="C8" s="0" t="s">
        <v>2871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74</v>
      </c>
      <c r="C9" s="0" t="s">
        <v>2872</v>
      </c>
    </row>
    <row r="10" customFormat="false" ht="15" hidden="false" customHeight="false" outlineLevel="0" collapsed="false">
      <c r="A10" s="0" t="s">
        <v>6</v>
      </c>
      <c r="B10" s="0" t="s">
        <v>74</v>
      </c>
      <c r="C10" s="0" t="s">
        <v>2873</v>
      </c>
    </row>
    <row r="11" customFormat="false" ht="15" hidden="false" customHeight="false" outlineLevel="0" collapsed="false">
      <c r="A11" s="0" t="s">
        <v>6</v>
      </c>
      <c r="B11" s="0" t="s">
        <v>80</v>
      </c>
      <c r="C11" s="0" t="s">
        <v>2871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80</v>
      </c>
      <c r="C12" s="0" t="s">
        <v>2872</v>
      </c>
    </row>
    <row r="13" customFormat="false" ht="15" hidden="false" customHeight="false" outlineLevel="0" collapsed="false">
      <c r="A13" s="0" t="s">
        <v>6</v>
      </c>
      <c r="B13" s="0" t="s">
        <v>80</v>
      </c>
      <c r="C13" s="0" t="s">
        <v>2873</v>
      </c>
    </row>
    <row r="14" customFormat="false" ht="15" hidden="false" customHeight="false" outlineLevel="0" collapsed="false">
      <c r="A14" s="0" t="s">
        <v>6</v>
      </c>
      <c r="B14" s="0" t="s">
        <v>88</v>
      </c>
      <c r="C14" s="0" t="s">
        <v>2871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88</v>
      </c>
      <c r="C15" s="0" t="s">
        <v>2872</v>
      </c>
    </row>
    <row r="16" customFormat="false" ht="15" hidden="false" customHeight="false" outlineLevel="0" collapsed="false">
      <c r="A16" s="0" t="s">
        <v>6</v>
      </c>
      <c r="B16" s="0" t="s">
        <v>88</v>
      </c>
      <c r="C16" s="0" t="s">
        <v>2873</v>
      </c>
    </row>
    <row r="17" customFormat="false" ht="15" hidden="false" customHeight="false" outlineLevel="0" collapsed="false">
      <c r="A17" s="0" t="s">
        <v>6</v>
      </c>
      <c r="B17" s="0" t="s">
        <v>95</v>
      </c>
      <c r="C17" s="0" t="s">
        <v>2871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95</v>
      </c>
      <c r="C18" s="0" t="s">
        <v>2872</v>
      </c>
    </row>
    <row r="19" customFormat="false" ht="15" hidden="false" customHeight="false" outlineLevel="0" collapsed="false">
      <c r="A19" s="0" t="s">
        <v>6</v>
      </c>
      <c r="B19" s="0" t="s">
        <v>95</v>
      </c>
      <c r="C19" s="0" t="s">
        <v>2873</v>
      </c>
    </row>
    <row r="20" customFormat="false" ht="15" hidden="false" customHeight="false" outlineLevel="0" collapsed="false">
      <c r="A20" s="0" t="s">
        <v>6</v>
      </c>
      <c r="B20" s="0" t="s">
        <v>102</v>
      </c>
      <c r="C20" s="0" t="s">
        <v>2871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102</v>
      </c>
      <c r="C21" s="0" t="s">
        <v>2872</v>
      </c>
    </row>
    <row r="22" customFormat="false" ht="15" hidden="false" customHeight="false" outlineLevel="0" collapsed="false">
      <c r="A22" s="0" t="s">
        <v>6</v>
      </c>
      <c r="B22" s="0" t="s">
        <v>102</v>
      </c>
      <c r="C22" s="0" t="s">
        <v>2873</v>
      </c>
    </row>
    <row r="23" customFormat="false" ht="15" hidden="false" customHeight="false" outlineLevel="0" collapsed="false">
      <c r="A23" s="0" t="s">
        <v>6</v>
      </c>
      <c r="B23" s="0" t="s">
        <v>109</v>
      </c>
      <c r="C23" s="0" t="s">
        <v>2871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109</v>
      </c>
      <c r="C24" s="0" t="s">
        <v>2872</v>
      </c>
    </row>
    <row r="25" customFormat="false" ht="15" hidden="false" customHeight="false" outlineLevel="0" collapsed="false">
      <c r="A25" s="0" t="s">
        <v>6</v>
      </c>
      <c r="B25" s="0" t="s">
        <v>109</v>
      </c>
      <c r="C25" s="0" t="s">
        <v>2873</v>
      </c>
    </row>
    <row r="26" customFormat="false" ht="15" hidden="false" customHeight="false" outlineLevel="0" collapsed="false">
      <c r="A26" s="0" t="s">
        <v>6</v>
      </c>
      <c r="B26" s="0" t="s">
        <v>119</v>
      </c>
      <c r="C26" s="0" t="s">
        <v>2871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119</v>
      </c>
      <c r="C27" s="0" t="s">
        <v>2872</v>
      </c>
    </row>
    <row r="28" customFormat="false" ht="15" hidden="false" customHeight="false" outlineLevel="0" collapsed="false">
      <c r="A28" s="0" t="s">
        <v>6</v>
      </c>
      <c r="B28" s="0" t="s">
        <v>119</v>
      </c>
      <c r="C28" s="0" t="s">
        <v>2873</v>
      </c>
    </row>
    <row r="29" customFormat="false" ht="15" hidden="false" customHeight="false" outlineLevel="0" collapsed="false">
      <c r="A29" s="0" t="s">
        <v>6</v>
      </c>
      <c r="B29" s="0" t="s">
        <v>128</v>
      </c>
      <c r="C29" s="0" t="s">
        <v>2871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128</v>
      </c>
      <c r="C30" s="0" t="s">
        <v>2872</v>
      </c>
    </row>
    <row r="31" customFormat="false" ht="15" hidden="false" customHeight="false" outlineLevel="0" collapsed="false">
      <c r="A31" s="0" t="s">
        <v>6</v>
      </c>
      <c r="B31" s="0" t="s">
        <v>128</v>
      </c>
      <c r="C31" s="0" t="s">
        <v>2873</v>
      </c>
    </row>
    <row r="32" customFormat="false" ht="15" hidden="false" customHeight="false" outlineLevel="0" collapsed="false">
      <c r="A32" s="0" t="s">
        <v>6</v>
      </c>
      <c r="B32" s="0" t="s">
        <v>134</v>
      </c>
      <c r="C32" s="0" t="s">
        <v>2871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134</v>
      </c>
      <c r="C33" s="0" t="s">
        <v>2872</v>
      </c>
    </row>
    <row r="34" customFormat="false" ht="15" hidden="false" customHeight="false" outlineLevel="0" collapsed="false">
      <c r="A34" s="0" t="s">
        <v>6</v>
      </c>
      <c r="B34" s="0" t="s">
        <v>134</v>
      </c>
      <c r="C34" s="0" t="s">
        <v>2873</v>
      </c>
    </row>
    <row r="35" customFormat="false" ht="15" hidden="false" customHeight="false" outlineLevel="0" collapsed="false">
      <c r="A35" s="0" t="s">
        <v>6</v>
      </c>
      <c r="B35" s="0" t="s">
        <v>142</v>
      </c>
      <c r="C35" s="0" t="s">
        <v>2871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142</v>
      </c>
      <c r="C36" s="0" t="s">
        <v>2872</v>
      </c>
    </row>
    <row r="37" customFormat="false" ht="15" hidden="false" customHeight="false" outlineLevel="0" collapsed="false">
      <c r="A37" s="0" t="s">
        <v>6</v>
      </c>
      <c r="B37" s="0" t="s">
        <v>142</v>
      </c>
      <c r="C37" s="0" t="s">
        <v>2873</v>
      </c>
    </row>
    <row r="38" customFormat="false" ht="15" hidden="false" customHeight="false" outlineLevel="0" collapsed="false">
      <c r="A38" s="0" t="s">
        <v>6</v>
      </c>
      <c r="B38" s="0" t="s">
        <v>147</v>
      </c>
      <c r="C38" s="0" t="s">
        <v>2871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147</v>
      </c>
      <c r="C39" s="0" t="s">
        <v>2872</v>
      </c>
    </row>
    <row r="40" customFormat="false" ht="15" hidden="false" customHeight="false" outlineLevel="0" collapsed="false">
      <c r="A40" s="0" t="s">
        <v>6</v>
      </c>
      <c r="B40" s="0" t="s">
        <v>147</v>
      </c>
      <c r="C40" s="0" t="s">
        <v>2873</v>
      </c>
    </row>
    <row r="41" customFormat="false" ht="15" hidden="false" customHeight="false" outlineLevel="0" collapsed="false">
      <c r="A41" s="0" t="s">
        <v>6</v>
      </c>
      <c r="B41" s="0" t="s">
        <v>156</v>
      </c>
      <c r="C41" s="0" t="s">
        <v>2871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156</v>
      </c>
      <c r="C42" s="0" t="s">
        <v>2872</v>
      </c>
    </row>
    <row r="43" customFormat="false" ht="15" hidden="false" customHeight="false" outlineLevel="0" collapsed="false">
      <c r="A43" s="0" t="s">
        <v>6</v>
      </c>
      <c r="B43" s="0" t="s">
        <v>156</v>
      </c>
      <c r="C43" s="0" t="s">
        <v>2873</v>
      </c>
    </row>
    <row r="44" customFormat="false" ht="15" hidden="false" customHeight="false" outlineLevel="0" collapsed="false">
      <c r="A44" s="0" t="s">
        <v>6</v>
      </c>
      <c r="B44" s="0" t="s">
        <v>158</v>
      </c>
      <c r="C44" s="0" t="s">
        <v>2871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158</v>
      </c>
      <c r="C45" s="0" t="s">
        <v>2872</v>
      </c>
    </row>
    <row r="46" customFormat="false" ht="15" hidden="false" customHeight="false" outlineLevel="0" collapsed="false">
      <c r="A46" s="0" t="s">
        <v>6</v>
      </c>
      <c r="B46" s="0" t="s">
        <v>158</v>
      </c>
      <c r="C46" s="0" t="s">
        <v>2873</v>
      </c>
    </row>
    <row r="47" customFormat="false" ht="15" hidden="false" customHeight="false" outlineLevel="0" collapsed="false">
      <c r="A47" s="0" t="s">
        <v>6</v>
      </c>
      <c r="B47" s="0" t="s">
        <v>160</v>
      </c>
      <c r="C47" s="0" t="s">
        <v>2871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160</v>
      </c>
      <c r="C48" s="0" t="s">
        <v>2872</v>
      </c>
    </row>
    <row r="49" customFormat="false" ht="15" hidden="false" customHeight="false" outlineLevel="0" collapsed="false">
      <c r="A49" s="0" t="s">
        <v>6</v>
      </c>
      <c r="B49" s="0" t="s">
        <v>160</v>
      </c>
      <c r="C49" s="0" t="s">
        <v>2873</v>
      </c>
    </row>
    <row r="50" customFormat="false" ht="15" hidden="false" customHeight="false" outlineLevel="0" collapsed="false">
      <c r="A50" s="0" t="s">
        <v>6</v>
      </c>
      <c r="B50" s="0" t="s">
        <v>163</v>
      </c>
      <c r="C50" s="0" t="s">
        <v>2871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163</v>
      </c>
      <c r="C51" s="0" t="s">
        <v>2872</v>
      </c>
    </row>
    <row r="52" customFormat="false" ht="15" hidden="false" customHeight="false" outlineLevel="0" collapsed="false">
      <c r="A52" s="0" t="s">
        <v>6</v>
      </c>
      <c r="B52" s="0" t="s">
        <v>163</v>
      </c>
      <c r="C52" s="0" t="s">
        <v>2873</v>
      </c>
    </row>
    <row r="53" customFormat="false" ht="15" hidden="false" customHeight="false" outlineLevel="0" collapsed="false">
      <c r="A53" s="0" t="s">
        <v>6</v>
      </c>
      <c r="B53" s="0" t="s">
        <v>165</v>
      </c>
      <c r="C53" s="0" t="s">
        <v>2871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165</v>
      </c>
      <c r="C54" s="0" t="s">
        <v>2872</v>
      </c>
    </row>
    <row r="55" customFormat="false" ht="15" hidden="false" customHeight="false" outlineLevel="0" collapsed="false">
      <c r="A55" s="0" t="s">
        <v>6</v>
      </c>
      <c r="B55" s="0" t="s">
        <v>165</v>
      </c>
      <c r="C55" s="0" t="s">
        <v>2873</v>
      </c>
    </row>
    <row r="56" customFormat="false" ht="15" hidden="false" customHeight="false" outlineLevel="0" collapsed="false">
      <c r="A56" s="0" t="s">
        <v>6</v>
      </c>
      <c r="B56" s="0" t="s">
        <v>167</v>
      </c>
      <c r="C56" s="0" t="s">
        <v>2871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167</v>
      </c>
      <c r="C57" s="0" t="s">
        <v>2872</v>
      </c>
    </row>
    <row r="58" customFormat="false" ht="15" hidden="false" customHeight="false" outlineLevel="0" collapsed="false">
      <c r="A58" s="0" t="s">
        <v>6</v>
      </c>
      <c r="B58" s="0" t="s">
        <v>167</v>
      </c>
      <c r="C58" s="0" t="s">
        <v>2873</v>
      </c>
    </row>
    <row r="59" customFormat="false" ht="15" hidden="false" customHeight="false" outlineLevel="0" collapsed="false">
      <c r="A59" s="0" t="s">
        <v>6</v>
      </c>
      <c r="B59" s="0" t="s">
        <v>170</v>
      </c>
      <c r="C59" s="0" t="s">
        <v>2871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170</v>
      </c>
      <c r="C60" s="0" t="s">
        <v>2872</v>
      </c>
    </row>
    <row r="61" customFormat="false" ht="15" hidden="false" customHeight="false" outlineLevel="0" collapsed="false">
      <c r="A61" s="0" t="s">
        <v>6</v>
      </c>
      <c r="B61" s="0" t="s">
        <v>170</v>
      </c>
      <c r="C61" s="0" t="s">
        <v>2873</v>
      </c>
    </row>
    <row r="62" customFormat="false" ht="15" hidden="false" customHeight="false" outlineLevel="0" collapsed="false">
      <c r="A62" s="0" t="s">
        <v>6</v>
      </c>
      <c r="B62" s="0" t="s">
        <v>172</v>
      </c>
      <c r="C62" s="0" t="s">
        <v>2871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172</v>
      </c>
      <c r="C63" s="0" t="s">
        <v>2872</v>
      </c>
    </row>
    <row r="64" customFormat="false" ht="15" hidden="false" customHeight="false" outlineLevel="0" collapsed="false">
      <c r="A64" s="0" t="s">
        <v>6</v>
      </c>
      <c r="B64" s="0" t="s">
        <v>172</v>
      </c>
      <c r="C64" s="0" t="s">
        <v>2873</v>
      </c>
    </row>
    <row r="65" customFormat="false" ht="15" hidden="false" customHeight="false" outlineLevel="0" collapsed="false">
      <c r="A65" s="0" t="s">
        <v>6</v>
      </c>
      <c r="B65" s="0" t="s">
        <v>174</v>
      </c>
      <c r="C65" s="0" t="s">
        <v>2871</v>
      </c>
      <c r="D65" s="0" t="s">
        <v>176</v>
      </c>
    </row>
    <row r="66" customFormat="false" ht="15" hidden="false" customHeight="false" outlineLevel="0" collapsed="false">
      <c r="A66" s="0" t="s">
        <v>6</v>
      </c>
      <c r="B66" s="0" t="s">
        <v>174</v>
      </c>
      <c r="C66" s="0" t="s">
        <v>2872</v>
      </c>
    </row>
    <row r="67" customFormat="false" ht="15" hidden="false" customHeight="false" outlineLevel="0" collapsed="false">
      <c r="A67" s="0" t="s">
        <v>6</v>
      </c>
      <c r="B67" s="0" t="s">
        <v>174</v>
      </c>
      <c r="C67" s="0" t="s">
        <v>2873</v>
      </c>
    </row>
    <row r="68" customFormat="false" ht="15" hidden="false" customHeight="false" outlineLevel="0" collapsed="false">
      <c r="A68" s="0" t="s">
        <v>6</v>
      </c>
      <c r="B68" s="0" t="s">
        <v>183</v>
      </c>
      <c r="C68" s="0" t="s">
        <v>2871</v>
      </c>
      <c r="D68" s="0" t="s">
        <v>185</v>
      </c>
    </row>
    <row r="69" customFormat="false" ht="15" hidden="false" customHeight="false" outlineLevel="0" collapsed="false">
      <c r="A69" s="0" t="s">
        <v>6</v>
      </c>
      <c r="B69" s="0" t="s">
        <v>183</v>
      </c>
      <c r="C69" s="0" t="s">
        <v>2872</v>
      </c>
    </row>
    <row r="70" customFormat="false" ht="15" hidden="false" customHeight="false" outlineLevel="0" collapsed="false">
      <c r="A70" s="0" t="s">
        <v>6</v>
      </c>
      <c r="B70" s="0" t="s">
        <v>183</v>
      </c>
      <c r="C70" s="0" t="s">
        <v>2873</v>
      </c>
    </row>
    <row r="71" customFormat="false" ht="15" hidden="false" customHeight="false" outlineLevel="0" collapsed="false">
      <c r="A71" s="0" t="s">
        <v>6</v>
      </c>
      <c r="B71" s="0" t="s">
        <v>187</v>
      </c>
      <c r="C71" s="0" t="s">
        <v>2871</v>
      </c>
      <c r="D71" s="0" t="s">
        <v>189</v>
      </c>
    </row>
    <row r="72" customFormat="false" ht="15" hidden="false" customHeight="false" outlineLevel="0" collapsed="false">
      <c r="A72" s="0" t="s">
        <v>6</v>
      </c>
      <c r="B72" s="0" t="s">
        <v>187</v>
      </c>
      <c r="C72" s="0" t="s">
        <v>2872</v>
      </c>
    </row>
    <row r="73" customFormat="false" ht="15" hidden="false" customHeight="false" outlineLevel="0" collapsed="false">
      <c r="A73" s="0" t="s">
        <v>6</v>
      </c>
      <c r="B73" s="0" t="s">
        <v>187</v>
      </c>
      <c r="C73" s="0" t="s">
        <v>2873</v>
      </c>
    </row>
    <row r="74" customFormat="false" ht="15" hidden="false" customHeight="false" outlineLevel="0" collapsed="false">
      <c r="A74" s="0" t="s">
        <v>6</v>
      </c>
      <c r="B74" s="0" t="s">
        <v>191</v>
      </c>
      <c r="C74" s="0" t="s">
        <v>2871</v>
      </c>
      <c r="D74" s="0" t="s">
        <v>2874</v>
      </c>
    </row>
    <row r="75" customFormat="false" ht="15" hidden="false" customHeight="false" outlineLevel="0" collapsed="false">
      <c r="A75" s="0" t="s">
        <v>6</v>
      </c>
      <c r="B75" s="0" t="s">
        <v>191</v>
      </c>
      <c r="C75" s="0" t="s">
        <v>2872</v>
      </c>
    </row>
    <row r="76" customFormat="false" ht="15" hidden="false" customHeight="false" outlineLevel="0" collapsed="false">
      <c r="A76" s="0" t="s">
        <v>6</v>
      </c>
      <c r="B76" s="0" t="s">
        <v>191</v>
      </c>
      <c r="C76" s="0" t="s">
        <v>2873</v>
      </c>
    </row>
    <row r="77" customFormat="false" ht="15" hidden="false" customHeight="false" outlineLevel="0" collapsed="false">
      <c r="A77" s="0" t="s">
        <v>6</v>
      </c>
      <c r="B77" s="0" t="s">
        <v>199</v>
      </c>
      <c r="C77" s="0" t="s">
        <v>2871</v>
      </c>
      <c r="D77" s="0" t="s">
        <v>2875</v>
      </c>
    </row>
    <row r="78" customFormat="false" ht="15" hidden="false" customHeight="false" outlineLevel="0" collapsed="false">
      <c r="A78" s="0" t="s">
        <v>6</v>
      </c>
      <c r="B78" s="0" t="s">
        <v>199</v>
      </c>
      <c r="C78" s="0" t="s">
        <v>2872</v>
      </c>
    </row>
    <row r="79" customFormat="false" ht="15" hidden="false" customHeight="false" outlineLevel="0" collapsed="false">
      <c r="A79" s="0" t="s">
        <v>6</v>
      </c>
      <c r="B79" s="0" t="s">
        <v>199</v>
      </c>
      <c r="C79" s="0" t="s">
        <v>2873</v>
      </c>
    </row>
    <row r="80" customFormat="false" ht="15" hidden="false" customHeight="false" outlineLevel="0" collapsed="false">
      <c r="A80" s="0" t="s">
        <v>6</v>
      </c>
      <c r="B80" s="0" t="s">
        <v>203</v>
      </c>
      <c r="C80" s="0" t="s">
        <v>2871</v>
      </c>
      <c r="D80" s="0" t="s">
        <v>2876</v>
      </c>
    </row>
    <row r="81" customFormat="false" ht="15" hidden="false" customHeight="false" outlineLevel="0" collapsed="false">
      <c r="A81" s="0" t="s">
        <v>6</v>
      </c>
      <c r="B81" s="0" t="s">
        <v>203</v>
      </c>
      <c r="C81" s="0" t="s">
        <v>2872</v>
      </c>
    </row>
    <row r="82" customFormat="false" ht="15" hidden="false" customHeight="false" outlineLevel="0" collapsed="false">
      <c r="A82" s="0" t="s">
        <v>6</v>
      </c>
      <c r="B82" s="0" t="s">
        <v>203</v>
      </c>
      <c r="C82" s="0" t="s">
        <v>2873</v>
      </c>
    </row>
    <row r="83" customFormat="false" ht="15" hidden="false" customHeight="false" outlineLevel="0" collapsed="false">
      <c r="A83" s="0" t="s">
        <v>6</v>
      </c>
      <c r="B83" s="0" t="s">
        <v>207</v>
      </c>
      <c r="C83" s="0" t="s">
        <v>2871</v>
      </c>
      <c r="D83" s="0" t="s">
        <v>2877</v>
      </c>
    </row>
    <row r="84" customFormat="false" ht="15" hidden="false" customHeight="false" outlineLevel="0" collapsed="false">
      <c r="A84" s="0" t="s">
        <v>6</v>
      </c>
      <c r="B84" s="0" t="s">
        <v>207</v>
      </c>
      <c r="C84" s="0" t="s">
        <v>2872</v>
      </c>
    </row>
    <row r="85" customFormat="false" ht="15" hidden="false" customHeight="false" outlineLevel="0" collapsed="false">
      <c r="A85" s="0" t="s">
        <v>6</v>
      </c>
      <c r="B85" s="0" t="s">
        <v>207</v>
      </c>
      <c r="C85" s="0" t="s">
        <v>2873</v>
      </c>
    </row>
    <row r="86" customFormat="false" ht="15" hidden="false" customHeight="false" outlineLevel="0" collapsed="false">
      <c r="A86" s="0" t="s">
        <v>6</v>
      </c>
      <c r="B86" s="0" t="s">
        <v>211</v>
      </c>
      <c r="C86" s="0" t="s">
        <v>2871</v>
      </c>
      <c r="D86" s="0" t="s">
        <v>2878</v>
      </c>
    </row>
    <row r="87" customFormat="false" ht="15" hidden="false" customHeight="false" outlineLevel="0" collapsed="false">
      <c r="A87" s="0" t="s">
        <v>6</v>
      </c>
      <c r="B87" s="0" t="s">
        <v>211</v>
      </c>
      <c r="C87" s="0" t="s">
        <v>2872</v>
      </c>
    </row>
    <row r="88" customFormat="false" ht="15" hidden="false" customHeight="false" outlineLevel="0" collapsed="false">
      <c r="A88" s="0" t="s">
        <v>6</v>
      </c>
      <c r="B88" s="0" t="s">
        <v>211</v>
      </c>
      <c r="C88" s="0" t="s">
        <v>2873</v>
      </c>
    </row>
    <row r="89" customFormat="false" ht="15" hidden="false" customHeight="false" outlineLevel="0" collapsed="false">
      <c r="A89" s="0" t="s">
        <v>6</v>
      </c>
      <c r="B89" s="0" t="s">
        <v>215</v>
      </c>
      <c r="C89" s="0" t="s">
        <v>2871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215</v>
      </c>
      <c r="C90" s="0" t="s">
        <v>2872</v>
      </c>
    </row>
    <row r="91" customFormat="false" ht="15" hidden="false" customHeight="false" outlineLevel="0" collapsed="false">
      <c r="A91" s="0" t="s">
        <v>6</v>
      </c>
      <c r="B91" s="0" t="s">
        <v>215</v>
      </c>
      <c r="C91" s="0" t="s">
        <v>2873</v>
      </c>
    </row>
    <row r="92" customFormat="false" ht="15" hidden="false" customHeight="false" outlineLevel="0" collapsed="false">
      <c r="A92" s="0" t="s">
        <v>6</v>
      </c>
      <c r="B92" s="0" t="s">
        <v>222</v>
      </c>
      <c r="C92" s="0" t="s">
        <v>2871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222</v>
      </c>
      <c r="C93" s="0" t="s">
        <v>2872</v>
      </c>
    </row>
    <row r="94" customFormat="false" ht="15" hidden="false" customHeight="false" outlineLevel="0" collapsed="false">
      <c r="A94" s="0" t="s">
        <v>6</v>
      </c>
      <c r="B94" s="0" t="s">
        <v>222</v>
      </c>
      <c r="C94" s="0" t="s">
        <v>2873</v>
      </c>
    </row>
    <row r="95" customFormat="false" ht="15" hidden="false" customHeight="false" outlineLevel="0" collapsed="false">
      <c r="A95" s="0" t="s">
        <v>6</v>
      </c>
      <c r="B95" s="0" t="s">
        <v>229</v>
      </c>
      <c r="C95" s="0" t="s">
        <v>2871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229</v>
      </c>
      <c r="C96" s="0" t="s">
        <v>2872</v>
      </c>
    </row>
    <row r="97" customFormat="false" ht="15" hidden="false" customHeight="false" outlineLevel="0" collapsed="false">
      <c r="A97" s="0" t="s">
        <v>6</v>
      </c>
      <c r="B97" s="0" t="s">
        <v>229</v>
      </c>
      <c r="C97" s="0" t="s">
        <v>2873</v>
      </c>
    </row>
    <row r="98" customFormat="false" ht="15" hidden="false" customHeight="false" outlineLevel="0" collapsed="false">
      <c r="A98" s="0" t="s">
        <v>6</v>
      </c>
      <c r="B98" s="0" t="s">
        <v>231</v>
      </c>
      <c r="C98" s="0" t="s">
        <v>2871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231</v>
      </c>
      <c r="C99" s="0" t="s">
        <v>2872</v>
      </c>
    </row>
    <row r="100" customFormat="false" ht="15" hidden="false" customHeight="false" outlineLevel="0" collapsed="false">
      <c r="A100" s="0" t="s">
        <v>6</v>
      </c>
      <c r="B100" s="0" t="s">
        <v>231</v>
      </c>
      <c r="C100" s="0" t="s">
        <v>2873</v>
      </c>
    </row>
    <row r="101" customFormat="false" ht="15" hidden="false" customHeight="false" outlineLevel="0" collapsed="false">
      <c r="A101" s="0" t="s">
        <v>6</v>
      </c>
      <c r="B101" s="0" t="s">
        <v>234</v>
      </c>
      <c r="C101" s="0" t="s">
        <v>2871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234</v>
      </c>
      <c r="C102" s="0" t="s">
        <v>2872</v>
      </c>
    </row>
    <row r="103" customFormat="false" ht="15" hidden="false" customHeight="false" outlineLevel="0" collapsed="false">
      <c r="A103" s="0" t="s">
        <v>6</v>
      </c>
      <c r="B103" s="0" t="s">
        <v>234</v>
      </c>
      <c r="C103" s="0" t="s">
        <v>2873</v>
      </c>
    </row>
    <row r="104" customFormat="false" ht="15" hidden="false" customHeight="false" outlineLevel="0" collapsed="false">
      <c r="A104" s="0" t="s">
        <v>6</v>
      </c>
      <c r="B104" s="0" t="s">
        <v>236</v>
      </c>
      <c r="C104" s="0" t="s">
        <v>2871</v>
      </c>
    </row>
    <row r="105" customFormat="false" ht="15" hidden="false" customHeight="false" outlineLevel="0" collapsed="false">
      <c r="A105" s="0" t="s">
        <v>6</v>
      </c>
      <c r="B105" s="0" t="s">
        <v>236</v>
      </c>
      <c r="C105" s="0" t="s">
        <v>2872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236</v>
      </c>
      <c r="C106" s="0" t="s">
        <v>2873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240</v>
      </c>
      <c r="C107" s="0" t="s">
        <v>2871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240</v>
      </c>
      <c r="C108" s="0" t="s">
        <v>2872</v>
      </c>
    </row>
    <row r="109" customFormat="false" ht="15" hidden="false" customHeight="false" outlineLevel="0" collapsed="false">
      <c r="A109" s="0" t="s">
        <v>6</v>
      </c>
      <c r="B109" s="0" t="s">
        <v>240</v>
      </c>
      <c r="C109" s="0" t="s">
        <v>2873</v>
      </c>
    </row>
    <row r="110" customFormat="false" ht="15" hidden="false" customHeight="false" outlineLevel="0" collapsed="false">
      <c r="A110" s="0" t="s">
        <v>6</v>
      </c>
      <c r="B110" s="0" t="s">
        <v>250</v>
      </c>
      <c r="C110" s="0" t="s">
        <v>2871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250</v>
      </c>
      <c r="C111" s="0" t="s">
        <v>2872</v>
      </c>
    </row>
    <row r="112" customFormat="false" ht="15" hidden="false" customHeight="false" outlineLevel="0" collapsed="false">
      <c r="A112" s="0" t="s">
        <v>6</v>
      </c>
      <c r="B112" s="0" t="s">
        <v>250</v>
      </c>
      <c r="C112" s="0" t="s">
        <v>2873</v>
      </c>
    </row>
    <row r="113" customFormat="false" ht="15" hidden="false" customHeight="false" outlineLevel="0" collapsed="false">
      <c r="A113" s="0" t="s">
        <v>6</v>
      </c>
      <c r="B113" s="0" t="s">
        <v>254</v>
      </c>
      <c r="C113" s="0" t="s">
        <v>2871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254</v>
      </c>
      <c r="C114" s="0" t="s">
        <v>2872</v>
      </c>
    </row>
    <row r="115" customFormat="false" ht="15" hidden="false" customHeight="false" outlineLevel="0" collapsed="false">
      <c r="A115" s="0" t="s">
        <v>6</v>
      </c>
      <c r="B115" s="0" t="s">
        <v>254</v>
      </c>
      <c r="C115" s="0" t="s">
        <v>2873</v>
      </c>
    </row>
    <row r="116" customFormat="false" ht="15" hidden="false" customHeight="false" outlineLevel="0" collapsed="false">
      <c r="A116" s="0" t="s">
        <v>6</v>
      </c>
      <c r="B116" s="0" t="s">
        <v>261</v>
      </c>
      <c r="C116" s="0" t="s">
        <v>2871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261</v>
      </c>
      <c r="C117" s="0" t="s">
        <v>2872</v>
      </c>
    </row>
    <row r="118" customFormat="false" ht="15" hidden="false" customHeight="false" outlineLevel="0" collapsed="false">
      <c r="A118" s="0" t="s">
        <v>6</v>
      </c>
      <c r="B118" s="0" t="s">
        <v>261</v>
      </c>
      <c r="C118" s="0" t="s">
        <v>2873</v>
      </c>
    </row>
    <row r="119" customFormat="false" ht="15" hidden="false" customHeight="false" outlineLevel="0" collapsed="false">
      <c r="A119" s="0" t="s">
        <v>6</v>
      </c>
      <c r="B119" s="0" t="s">
        <v>263</v>
      </c>
      <c r="C119" s="0" t="s">
        <v>2871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263</v>
      </c>
      <c r="C120" s="0" t="s">
        <v>2872</v>
      </c>
    </row>
    <row r="121" customFormat="false" ht="15" hidden="false" customHeight="false" outlineLevel="0" collapsed="false">
      <c r="A121" s="0" t="s">
        <v>6</v>
      </c>
      <c r="B121" s="0" t="s">
        <v>263</v>
      </c>
      <c r="C121" s="0" t="s">
        <v>2873</v>
      </c>
    </row>
    <row r="122" customFormat="false" ht="15" hidden="false" customHeight="false" outlineLevel="0" collapsed="false">
      <c r="A122" s="0" t="s">
        <v>6</v>
      </c>
      <c r="B122" s="0" t="s">
        <v>265</v>
      </c>
      <c r="C122" s="0" t="s">
        <v>2871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265</v>
      </c>
      <c r="C123" s="0" t="s">
        <v>2872</v>
      </c>
    </row>
    <row r="124" customFormat="false" ht="15" hidden="false" customHeight="false" outlineLevel="0" collapsed="false">
      <c r="A124" s="0" t="s">
        <v>6</v>
      </c>
      <c r="B124" s="0" t="s">
        <v>265</v>
      </c>
      <c r="C124" s="0" t="s">
        <v>2873</v>
      </c>
    </row>
    <row r="125" customFormat="false" ht="15" hidden="false" customHeight="false" outlineLevel="0" collapsed="false">
      <c r="A125" s="0" t="s">
        <v>6</v>
      </c>
      <c r="B125" s="0" t="s">
        <v>267</v>
      </c>
      <c r="C125" s="0" t="s">
        <v>2871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267</v>
      </c>
      <c r="C126" s="0" t="s">
        <v>2872</v>
      </c>
    </row>
    <row r="127" customFormat="false" ht="15" hidden="false" customHeight="false" outlineLevel="0" collapsed="false">
      <c r="A127" s="0" t="s">
        <v>6</v>
      </c>
      <c r="B127" s="0" t="s">
        <v>267</v>
      </c>
      <c r="C127" s="0" t="s">
        <v>2873</v>
      </c>
    </row>
    <row r="128" customFormat="false" ht="15" hidden="false" customHeight="false" outlineLevel="0" collapsed="false">
      <c r="A128" s="0" t="s">
        <v>6</v>
      </c>
      <c r="B128" s="0" t="s">
        <v>269</v>
      </c>
      <c r="C128" s="0" t="s">
        <v>2871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269</v>
      </c>
      <c r="C129" s="0" t="s">
        <v>2872</v>
      </c>
    </row>
    <row r="130" customFormat="false" ht="15" hidden="false" customHeight="false" outlineLevel="0" collapsed="false">
      <c r="A130" s="0" t="s">
        <v>6</v>
      </c>
      <c r="B130" s="0" t="s">
        <v>269</v>
      </c>
      <c r="C130" s="0" t="s">
        <v>2873</v>
      </c>
    </row>
    <row r="131" customFormat="false" ht="15" hidden="false" customHeight="false" outlineLevel="0" collapsed="false">
      <c r="A131" s="0" t="s">
        <v>6</v>
      </c>
      <c r="B131" s="0" t="s">
        <v>276</v>
      </c>
      <c r="C131" s="0" t="s">
        <v>2871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276</v>
      </c>
      <c r="C132" s="0" t="s">
        <v>2872</v>
      </c>
    </row>
    <row r="133" customFormat="false" ht="15" hidden="false" customHeight="false" outlineLevel="0" collapsed="false">
      <c r="A133" s="0" t="s">
        <v>6</v>
      </c>
      <c r="B133" s="0" t="s">
        <v>276</v>
      </c>
      <c r="C133" s="0" t="s">
        <v>2873</v>
      </c>
    </row>
    <row r="134" customFormat="false" ht="15" hidden="false" customHeight="false" outlineLevel="0" collapsed="false">
      <c r="A134" s="0" t="s">
        <v>6</v>
      </c>
      <c r="B134" s="0" t="s">
        <v>279</v>
      </c>
      <c r="C134" s="0" t="s">
        <v>2871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279</v>
      </c>
      <c r="C135" s="0" t="s">
        <v>2872</v>
      </c>
    </row>
    <row r="136" customFormat="false" ht="15" hidden="false" customHeight="false" outlineLevel="0" collapsed="false">
      <c r="A136" s="0" t="s">
        <v>6</v>
      </c>
      <c r="B136" s="0" t="s">
        <v>279</v>
      </c>
      <c r="C136" s="0" t="s">
        <v>2873</v>
      </c>
    </row>
    <row r="137" customFormat="false" ht="15" hidden="false" customHeight="false" outlineLevel="0" collapsed="false">
      <c r="A137" s="0" t="s">
        <v>6</v>
      </c>
      <c r="B137" s="0" t="s">
        <v>281</v>
      </c>
      <c r="C137" s="0" t="s">
        <v>2871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281</v>
      </c>
      <c r="C138" s="0" t="s">
        <v>2872</v>
      </c>
    </row>
    <row r="139" customFormat="false" ht="15" hidden="false" customHeight="false" outlineLevel="0" collapsed="false">
      <c r="A139" s="0" t="s">
        <v>6</v>
      </c>
      <c r="B139" s="0" t="s">
        <v>281</v>
      </c>
      <c r="C139" s="0" t="s">
        <v>2873</v>
      </c>
    </row>
    <row r="140" customFormat="false" ht="15" hidden="false" customHeight="false" outlineLevel="0" collapsed="false">
      <c r="A140" s="0" t="s">
        <v>6</v>
      </c>
      <c r="B140" s="0" t="s">
        <v>286</v>
      </c>
      <c r="C140" s="0" t="s">
        <v>2871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286</v>
      </c>
      <c r="C141" s="0" t="s">
        <v>2872</v>
      </c>
    </row>
    <row r="142" customFormat="false" ht="15" hidden="false" customHeight="false" outlineLevel="0" collapsed="false">
      <c r="A142" s="0" t="s">
        <v>6</v>
      </c>
      <c r="B142" s="0" t="s">
        <v>286</v>
      </c>
      <c r="C142" s="0" t="s">
        <v>2873</v>
      </c>
    </row>
    <row r="143" customFormat="false" ht="15" hidden="false" customHeight="false" outlineLevel="0" collapsed="false">
      <c r="A143" s="0" t="s">
        <v>6</v>
      </c>
      <c r="B143" s="0" t="s">
        <v>294</v>
      </c>
      <c r="C143" s="0" t="s">
        <v>2871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294</v>
      </c>
      <c r="C144" s="0" t="s">
        <v>2872</v>
      </c>
    </row>
    <row r="145" customFormat="false" ht="15" hidden="false" customHeight="false" outlineLevel="0" collapsed="false">
      <c r="A145" s="0" t="s">
        <v>6</v>
      </c>
      <c r="B145" s="0" t="s">
        <v>294</v>
      </c>
      <c r="C145" s="0" t="s">
        <v>2873</v>
      </c>
    </row>
    <row r="146" customFormat="false" ht="15" hidden="false" customHeight="false" outlineLevel="0" collapsed="false">
      <c r="A146" s="0" t="s">
        <v>6</v>
      </c>
      <c r="B146" s="0" t="s">
        <v>300</v>
      </c>
      <c r="C146" s="0" t="s">
        <v>2871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300</v>
      </c>
      <c r="C147" s="0" t="s">
        <v>2872</v>
      </c>
    </row>
    <row r="148" customFormat="false" ht="15" hidden="false" customHeight="false" outlineLevel="0" collapsed="false">
      <c r="A148" s="0" t="s">
        <v>6</v>
      </c>
      <c r="B148" s="0" t="s">
        <v>300</v>
      </c>
      <c r="C148" s="0" t="s">
        <v>2873</v>
      </c>
    </row>
    <row r="149" customFormat="false" ht="15" hidden="false" customHeight="false" outlineLevel="0" collapsed="false">
      <c r="A149" s="0" t="s">
        <v>6</v>
      </c>
      <c r="B149" s="0" t="s">
        <v>305</v>
      </c>
      <c r="C149" s="0" t="s">
        <v>2871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305</v>
      </c>
      <c r="C150" s="0" t="s">
        <v>2872</v>
      </c>
    </row>
    <row r="151" customFormat="false" ht="15" hidden="false" customHeight="false" outlineLevel="0" collapsed="false">
      <c r="A151" s="0" t="s">
        <v>6</v>
      </c>
      <c r="B151" s="0" t="s">
        <v>305</v>
      </c>
      <c r="C151" s="0" t="s">
        <v>2873</v>
      </c>
    </row>
    <row r="152" customFormat="false" ht="15" hidden="false" customHeight="false" outlineLevel="0" collapsed="false">
      <c r="A152" s="0" t="s">
        <v>6</v>
      </c>
      <c r="B152" s="0" t="s">
        <v>312</v>
      </c>
      <c r="C152" s="0" t="s">
        <v>2871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312</v>
      </c>
      <c r="C153" s="0" t="s">
        <v>2872</v>
      </c>
    </row>
    <row r="154" customFormat="false" ht="15" hidden="false" customHeight="false" outlineLevel="0" collapsed="false">
      <c r="A154" s="0" t="s">
        <v>6</v>
      </c>
      <c r="B154" s="0" t="s">
        <v>312</v>
      </c>
      <c r="C154" s="0" t="s">
        <v>2873</v>
      </c>
    </row>
    <row r="155" customFormat="false" ht="15" hidden="false" customHeight="false" outlineLevel="0" collapsed="false">
      <c r="A155" s="0" t="s">
        <v>6</v>
      </c>
      <c r="B155" s="0" t="s">
        <v>318</v>
      </c>
      <c r="C155" s="0" t="s">
        <v>2871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318</v>
      </c>
      <c r="C156" s="0" t="s">
        <v>2872</v>
      </c>
    </row>
    <row r="157" customFormat="false" ht="15" hidden="false" customHeight="false" outlineLevel="0" collapsed="false">
      <c r="A157" s="0" t="s">
        <v>6</v>
      </c>
      <c r="B157" s="0" t="s">
        <v>318</v>
      </c>
      <c r="C157" s="0" t="s">
        <v>2873</v>
      </c>
    </row>
    <row r="158" customFormat="false" ht="15" hidden="false" customHeight="false" outlineLevel="0" collapsed="false">
      <c r="A158" s="0" t="s">
        <v>6</v>
      </c>
      <c r="B158" s="0" t="s">
        <v>323</v>
      </c>
      <c r="C158" s="0" t="s">
        <v>2871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323</v>
      </c>
      <c r="C159" s="0" t="s">
        <v>2872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323</v>
      </c>
      <c r="C160" s="0" t="s">
        <v>2873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330</v>
      </c>
      <c r="C161" s="0" t="s">
        <v>2871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330</v>
      </c>
      <c r="C162" s="0" t="s">
        <v>2872</v>
      </c>
    </row>
    <row r="163" customFormat="false" ht="15" hidden="false" customHeight="false" outlineLevel="0" collapsed="false">
      <c r="A163" s="0" t="s">
        <v>6</v>
      </c>
      <c r="B163" s="0" t="s">
        <v>330</v>
      </c>
      <c r="C163" s="0" t="s">
        <v>2873</v>
      </c>
    </row>
    <row r="164" customFormat="false" ht="15" hidden="false" customHeight="false" outlineLevel="0" collapsed="false">
      <c r="A164" s="0" t="s">
        <v>6</v>
      </c>
      <c r="B164" s="0" t="s">
        <v>336</v>
      </c>
      <c r="C164" s="0" t="s">
        <v>2871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336</v>
      </c>
      <c r="C165" s="0" t="s">
        <v>2872</v>
      </c>
    </row>
    <row r="166" customFormat="false" ht="15" hidden="false" customHeight="false" outlineLevel="0" collapsed="false">
      <c r="A166" s="0" t="s">
        <v>6</v>
      </c>
      <c r="B166" s="0" t="s">
        <v>336</v>
      </c>
      <c r="C166" s="0" t="s">
        <v>2873</v>
      </c>
    </row>
    <row r="167" customFormat="false" ht="15" hidden="false" customHeight="false" outlineLevel="0" collapsed="false">
      <c r="A167" s="0" t="s">
        <v>6</v>
      </c>
      <c r="B167" s="0" t="s">
        <v>342</v>
      </c>
      <c r="C167" s="0" t="s">
        <v>2871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342</v>
      </c>
      <c r="C168" s="0" t="s">
        <v>2872</v>
      </c>
    </row>
    <row r="169" customFormat="false" ht="15" hidden="false" customHeight="false" outlineLevel="0" collapsed="false">
      <c r="A169" s="0" t="s">
        <v>6</v>
      </c>
      <c r="B169" s="0" t="s">
        <v>342</v>
      </c>
      <c r="C169" s="0" t="s">
        <v>2873</v>
      </c>
    </row>
    <row r="170" customFormat="false" ht="15" hidden="false" customHeight="false" outlineLevel="0" collapsed="false">
      <c r="A170" s="0" t="s">
        <v>6</v>
      </c>
      <c r="B170" s="0" t="s">
        <v>350</v>
      </c>
      <c r="C170" s="0" t="s">
        <v>2871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350</v>
      </c>
      <c r="C171" s="0" t="s">
        <v>2872</v>
      </c>
    </row>
    <row r="172" customFormat="false" ht="15" hidden="false" customHeight="false" outlineLevel="0" collapsed="false">
      <c r="A172" s="0" t="s">
        <v>6</v>
      </c>
      <c r="B172" s="0" t="s">
        <v>350</v>
      </c>
      <c r="C172" s="0" t="s">
        <v>2873</v>
      </c>
    </row>
    <row r="173" customFormat="false" ht="15" hidden="false" customHeight="false" outlineLevel="0" collapsed="false">
      <c r="A173" s="0" t="s">
        <v>6</v>
      </c>
      <c r="B173" s="0" t="s">
        <v>354</v>
      </c>
      <c r="C173" s="0" t="s">
        <v>2871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354</v>
      </c>
      <c r="C174" s="0" t="s">
        <v>2872</v>
      </c>
    </row>
    <row r="175" customFormat="false" ht="15" hidden="false" customHeight="false" outlineLevel="0" collapsed="false">
      <c r="A175" s="0" t="s">
        <v>6</v>
      </c>
      <c r="B175" s="0" t="s">
        <v>354</v>
      </c>
      <c r="C175" s="0" t="s">
        <v>2873</v>
      </c>
    </row>
    <row r="176" customFormat="false" ht="15" hidden="false" customHeight="false" outlineLevel="0" collapsed="false">
      <c r="A176" s="0" t="s">
        <v>6</v>
      </c>
      <c r="B176" s="0" t="s">
        <v>357</v>
      </c>
      <c r="C176" s="0" t="s">
        <v>2871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357</v>
      </c>
      <c r="C177" s="0" t="s">
        <v>2872</v>
      </c>
    </row>
    <row r="178" customFormat="false" ht="15" hidden="false" customHeight="false" outlineLevel="0" collapsed="false">
      <c r="A178" s="0" t="s">
        <v>6</v>
      </c>
      <c r="B178" s="0" t="s">
        <v>357</v>
      </c>
      <c r="C178" s="0" t="s">
        <v>2873</v>
      </c>
    </row>
    <row r="179" customFormat="false" ht="15" hidden="false" customHeight="false" outlineLevel="0" collapsed="false">
      <c r="A179" s="0" t="s">
        <v>6</v>
      </c>
      <c r="B179" s="0" t="s">
        <v>362</v>
      </c>
      <c r="C179" s="0" t="s">
        <v>2871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362</v>
      </c>
      <c r="C180" s="0" t="s">
        <v>2872</v>
      </c>
    </row>
    <row r="181" customFormat="false" ht="15" hidden="false" customHeight="false" outlineLevel="0" collapsed="false">
      <c r="A181" s="0" t="s">
        <v>6</v>
      </c>
      <c r="B181" s="0" t="s">
        <v>362</v>
      </c>
      <c r="C181" s="0" t="s">
        <v>2873</v>
      </c>
    </row>
    <row r="182" customFormat="false" ht="15" hidden="false" customHeight="false" outlineLevel="0" collapsed="false">
      <c r="A182" s="0" t="s">
        <v>6</v>
      </c>
      <c r="B182" s="0" t="s">
        <v>370</v>
      </c>
      <c r="C182" s="0" t="s">
        <v>2871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370</v>
      </c>
      <c r="C183" s="0" t="s">
        <v>2872</v>
      </c>
    </row>
    <row r="184" customFormat="false" ht="15" hidden="false" customHeight="false" outlineLevel="0" collapsed="false">
      <c r="A184" s="0" t="s">
        <v>6</v>
      </c>
      <c r="B184" s="0" t="s">
        <v>370</v>
      </c>
      <c r="C184" s="0" t="s">
        <v>2873</v>
      </c>
    </row>
    <row r="185" customFormat="false" ht="15" hidden="false" customHeight="false" outlineLevel="0" collapsed="false">
      <c r="A185" s="0" t="s">
        <v>6</v>
      </c>
      <c r="B185" s="0" t="s">
        <v>373</v>
      </c>
      <c r="C185" s="0" t="s">
        <v>2871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373</v>
      </c>
      <c r="C186" s="0" t="s">
        <v>2872</v>
      </c>
    </row>
    <row r="187" customFormat="false" ht="15" hidden="false" customHeight="false" outlineLevel="0" collapsed="false">
      <c r="A187" s="0" t="s">
        <v>6</v>
      </c>
      <c r="B187" s="0" t="s">
        <v>373</v>
      </c>
      <c r="C187" s="0" t="s">
        <v>2873</v>
      </c>
    </row>
    <row r="188" customFormat="false" ht="15" hidden="false" customHeight="false" outlineLevel="0" collapsed="false">
      <c r="A188" s="0" t="s">
        <v>6</v>
      </c>
      <c r="B188" s="0" t="s">
        <v>376</v>
      </c>
      <c r="C188" s="0" t="s">
        <v>2871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376</v>
      </c>
      <c r="C189" s="0" t="s">
        <v>2872</v>
      </c>
    </row>
    <row r="190" customFormat="false" ht="15" hidden="false" customHeight="false" outlineLevel="0" collapsed="false">
      <c r="A190" s="0" t="s">
        <v>6</v>
      </c>
      <c r="B190" s="0" t="s">
        <v>376</v>
      </c>
      <c r="C190" s="0" t="s">
        <v>2873</v>
      </c>
    </row>
    <row r="191" customFormat="false" ht="15" hidden="false" customHeight="false" outlineLevel="0" collapsed="false">
      <c r="A191" s="0" t="s">
        <v>6</v>
      </c>
      <c r="B191" s="0" t="s">
        <v>381</v>
      </c>
      <c r="C191" s="0" t="s">
        <v>2871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381</v>
      </c>
      <c r="C192" s="0" t="s">
        <v>2872</v>
      </c>
    </row>
    <row r="193" customFormat="false" ht="15" hidden="false" customHeight="false" outlineLevel="0" collapsed="false">
      <c r="A193" s="0" t="s">
        <v>6</v>
      </c>
      <c r="B193" s="0" t="s">
        <v>381</v>
      </c>
      <c r="C193" s="0" t="s">
        <v>2873</v>
      </c>
    </row>
    <row r="194" customFormat="false" ht="15" hidden="false" customHeight="false" outlineLevel="0" collapsed="false">
      <c r="A194" s="0" t="s">
        <v>6</v>
      </c>
      <c r="B194" s="0" t="s">
        <v>383</v>
      </c>
      <c r="C194" s="0" t="s">
        <v>2871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383</v>
      </c>
      <c r="C195" s="0" t="s">
        <v>2872</v>
      </c>
    </row>
    <row r="196" customFormat="false" ht="15" hidden="false" customHeight="false" outlineLevel="0" collapsed="false">
      <c r="A196" s="0" t="s">
        <v>6</v>
      </c>
      <c r="B196" s="0" t="s">
        <v>383</v>
      </c>
      <c r="C196" s="0" t="s">
        <v>2873</v>
      </c>
    </row>
    <row r="197" customFormat="false" ht="15" hidden="false" customHeight="false" outlineLevel="0" collapsed="false">
      <c r="A197" s="0" t="s">
        <v>6</v>
      </c>
      <c r="B197" s="0" t="s">
        <v>386</v>
      </c>
      <c r="C197" s="0" t="s">
        <v>2871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386</v>
      </c>
      <c r="C198" s="0" t="s">
        <v>2872</v>
      </c>
    </row>
    <row r="199" customFormat="false" ht="15" hidden="false" customHeight="false" outlineLevel="0" collapsed="false">
      <c r="A199" s="0" t="s">
        <v>6</v>
      </c>
      <c r="B199" s="0" t="s">
        <v>386</v>
      </c>
      <c r="C199" s="0" t="s">
        <v>2873</v>
      </c>
    </row>
    <row r="200" customFormat="false" ht="15" hidden="false" customHeight="false" outlineLevel="0" collapsed="false">
      <c r="A200" s="0" t="s">
        <v>6</v>
      </c>
      <c r="B200" s="0" t="s">
        <v>391</v>
      </c>
      <c r="C200" s="0" t="s">
        <v>2871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391</v>
      </c>
      <c r="C201" s="0" t="s">
        <v>2872</v>
      </c>
    </row>
    <row r="202" customFormat="false" ht="15" hidden="false" customHeight="false" outlineLevel="0" collapsed="false">
      <c r="A202" s="0" t="s">
        <v>6</v>
      </c>
      <c r="B202" s="0" t="s">
        <v>391</v>
      </c>
      <c r="C202" s="0" t="s">
        <v>2873</v>
      </c>
    </row>
    <row r="203" customFormat="false" ht="15" hidden="false" customHeight="false" outlineLevel="0" collapsed="false">
      <c r="A203" s="0" t="s">
        <v>6</v>
      </c>
      <c r="B203" s="0" t="s">
        <v>398</v>
      </c>
      <c r="C203" s="0" t="s">
        <v>2871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398</v>
      </c>
      <c r="C204" s="0" t="s">
        <v>2872</v>
      </c>
    </row>
    <row r="205" customFormat="false" ht="15" hidden="false" customHeight="false" outlineLevel="0" collapsed="false">
      <c r="A205" s="0" t="s">
        <v>6</v>
      </c>
      <c r="B205" s="0" t="s">
        <v>398</v>
      </c>
      <c r="C205" s="0" t="s">
        <v>2873</v>
      </c>
    </row>
    <row r="206" customFormat="false" ht="15" hidden="false" customHeight="false" outlineLevel="0" collapsed="false">
      <c r="A206" s="0" t="s">
        <v>6</v>
      </c>
      <c r="B206" s="0" t="s">
        <v>401</v>
      </c>
      <c r="C206" s="0" t="s">
        <v>2871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401</v>
      </c>
      <c r="C207" s="0" t="s">
        <v>2872</v>
      </c>
    </row>
    <row r="208" customFormat="false" ht="15" hidden="false" customHeight="false" outlineLevel="0" collapsed="false">
      <c r="A208" s="0" t="s">
        <v>6</v>
      </c>
      <c r="B208" s="0" t="s">
        <v>401</v>
      </c>
      <c r="C208" s="0" t="s">
        <v>2873</v>
      </c>
    </row>
    <row r="209" customFormat="false" ht="15" hidden="false" customHeight="false" outlineLevel="0" collapsed="false">
      <c r="A209" s="0" t="s">
        <v>6</v>
      </c>
      <c r="B209" s="0" t="s">
        <v>403</v>
      </c>
      <c r="C209" s="0" t="s">
        <v>2871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403</v>
      </c>
      <c r="C210" s="0" t="s">
        <v>2872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403</v>
      </c>
      <c r="C211" s="0" t="s">
        <v>2873</v>
      </c>
    </row>
    <row r="212" customFormat="false" ht="15" hidden="false" customHeight="false" outlineLevel="0" collapsed="false">
      <c r="A212" s="0" t="s">
        <v>6</v>
      </c>
      <c r="B212" s="0" t="s">
        <v>411</v>
      </c>
      <c r="C212" s="0" t="s">
        <v>2871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411</v>
      </c>
      <c r="C213" s="0" t="s">
        <v>2872</v>
      </c>
    </row>
    <row r="214" customFormat="false" ht="15" hidden="false" customHeight="false" outlineLevel="0" collapsed="false">
      <c r="A214" s="0" t="s">
        <v>6</v>
      </c>
      <c r="B214" s="0" t="s">
        <v>411</v>
      </c>
      <c r="C214" s="0" t="s">
        <v>2873</v>
      </c>
    </row>
    <row r="215" customFormat="false" ht="15" hidden="false" customHeight="false" outlineLevel="0" collapsed="false">
      <c r="A215" s="0" t="s">
        <v>6</v>
      </c>
      <c r="B215" s="0" t="s">
        <v>414</v>
      </c>
      <c r="C215" s="0" t="s">
        <v>2871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414</v>
      </c>
      <c r="C216" s="0" t="s">
        <v>2872</v>
      </c>
    </row>
    <row r="217" customFormat="false" ht="15" hidden="false" customHeight="false" outlineLevel="0" collapsed="false">
      <c r="A217" s="0" t="s">
        <v>6</v>
      </c>
      <c r="B217" s="0" t="s">
        <v>414</v>
      </c>
      <c r="C217" s="0" t="s">
        <v>2873</v>
      </c>
    </row>
    <row r="218" customFormat="false" ht="15" hidden="false" customHeight="false" outlineLevel="0" collapsed="false">
      <c r="A218" s="0" t="s">
        <v>6</v>
      </c>
      <c r="B218" s="0" t="s">
        <v>417</v>
      </c>
      <c r="C218" s="0" t="s">
        <v>2871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417</v>
      </c>
      <c r="C219" s="0" t="s">
        <v>2872</v>
      </c>
    </row>
    <row r="220" customFormat="false" ht="15" hidden="false" customHeight="false" outlineLevel="0" collapsed="false">
      <c r="A220" s="0" t="s">
        <v>6</v>
      </c>
      <c r="B220" s="0" t="s">
        <v>417</v>
      </c>
      <c r="C220" s="0" t="s">
        <v>2873</v>
      </c>
    </row>
    <row r="221" customFormat="false" ht="15" hidden="false" customHeight="false" outlineLevel="0" collapsed="false">
      <c r="A221" s="0" t="s">
        <v>6</v>
      </c>
      <c r="B221" s="0" t="s">
        <v>423</v>
      </c>
      <c r="C221" s="0" t="s">
        <v>2871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423</v>
      </c>
      <c r="C222" s="0" t="s">
        <v>2872</v>
      </c>
    </row>
    <row r="223" customFormat="false" ht="15" hidden="false" customHeight="false" outlineLevel="0" collapsed="false">
      <c r="A223" s="0" t="s">
        <v>6</v>
      </c>
      <c r="B223" s="0" t="s">
        <v>423</v>
      </c>
      <c r="C223" s="0" t="s">
        <v>2873</v>
      </c>
    </row>
    <row r="224" customFormat="false" ht="15" hidden="false" customHeight="false" outlineLevel="0" collapsed="false">
      <c r="A224" s="0" t="s">
        <v>6</v>
      </c>
      <c r="B224" s="0" t="s">
        <v>427</v>
      </c>
      <c r="C224" s="0" t="s">
        <v>2871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427</v>
      </c>
      <c r="C225" s="0" t="s">
        <v>2872</v>
      </c>
    </row>
    <row r="226" customFormat="false" ht="15" hidden="false" customHeight="false" outlineLevel="0" collapsed="false">
      <c r="A226" s="0" t="s">
        <v>6</v>
      </c>
      <c r="B226" s="0" t="s">
        <v>427</v>
      </c>
      <c r="C226" s="0" t="s">
        <v>2873</v>
      </c>
    </row>
    <row r="227" customFormat="false" ht="15" hidden="false" customHeight="false" outlineLevel="0" collapsed="false">
      <c r="A227" s="0" t="s">
        <v>6</v>
      </c>
      <c r="B227" s="0" t="s">
        <v>431</v>
      </c>
      <c r="C227" s="0" t="s">
        <v>2871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431</v>
      </c>
      <c r="C228" s="0" t="s">
        <v>2872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431</v>
      </c>
      <c r="C229" s="0" t="s">
        <v>2873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436</v>
      </c>
      <c r="C230" s="0" t="s">
        <v>2871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436</v>
      </c>
      <c r="C231" s="0" t="s">
        <v>2872</v>
      </c>
    </row>
    <row r="232" customFormat="false" ht="15" hidden="false" customHeight="false" outlineLevel="0" collapsed="false">
      <c r="A232" s="0" t="s">
        <v>6</v>
      </c>
      <c r="B232" s="0" t="s">
        <v>436</v>
      </c>
      <c r="C232" s="0" t="s">
        <v>2873</v>
      </c>
    </row>
    <row r="233" customFormat="false" ht="15" hidden="false" customHeight="false" outlineLevel="0" collapsed="false">
      <c r="A233" s="0" t="s">
        <v>6</v>
      </c>
      <c r="B233" s="0" t="s">
        <v>443</v>
      </c>
      <c r="C233" s="0" t="s">
        <v>2871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443</v>
      </c>
      <c r="C234" s="0" t="s">
        <v>2872</v>
      </c>
    </row>
    <row r="235" customFormat="false" ht="15" hidden="false" customHeight="false" outlineLevel="0" collapsed="false">
      <c r="A235" s="0" t="s">
        <v>6</v>
      </c>
      <c r="B235" s="0" t="s">
        <v>443</v>
      </c>
      <c r="C235" s="0" t="s">
        <v>2873</v>
      </c>
    </row>
    <row r="236" customFormat="false" ht="15" hidden="false" customHeight="false" outlineLevel="0" collapsed="false">
      <c r="A236" s="0" t="s">
        <v>6</v>
      </c>
      <c r="B236" s="0" t="s">
        <v>449</v>
      </c>
      <c r="C236" s="0" t="s">
        <v>2871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449</v>
      </c>
      <c r="C237" s="0" t="s">
        <v>2872</v>
      </c>
    </row>
    <row r="238" customFormat="false" ht="15" hidden="false" customHeight="false" outlineLevel="0" collapsed="false">
      <c r="A238" s="0" t="s">
        <v>6</v>
      </c>
      <c r="B238" s="0" t="s">
        <v>449</v>
      </c>
      <c r="C238" s="0" t="s">
        <v>2873</v>
      </c>
    </row>
    <row r="239" customFormat="false" ht="15" hidden="false" customHeight="false" outlineLevel="0" collapsed="false">
      <c r="A239" s="0" t="s">
        <v>6</v>
      </c>
      <c r="B239" s="0" t="s">
        <v>454</v>
      </c>
      <c r="C239" s="0" t="s">
        <v>2871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454</v>
      </c>
      <c r="C240" s="0" t="s">
        <v>2872</v>
      </c>
    </row>
    <row r="241" customFormat="false" ht="15" hidden="false" customHeight="false" outlineLevel="0" collapsed="false">
      <c r="A241" s="0" t="s">
        <v>6</v>
      </c>
      <c r="B241" s="0" t="s">
        <v>454</v>
      </c>
      <c r="C241" s="0" t="s">
        <v>2873</v>
      </c>
    </row>
    <row r="242" customFormat="false" ht="15" hidden="false" customHeight="false" outlineLevel="0" collapsed="false">
      <c r="A242" s="0" t="s">
        <v>6</v>
      </c>
      <c r="B242" s="0" t="s">
        <v>459</v>
      </c>
      <c r="C242" s="0" t="s">
        <v>2871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459</v>
      </c>
      <c r="C243" s="0" t="s">
        <v>2872</v>
      </c>
    </row>
    <row r="244" customFormat="false" ht="15" hidden="false" customHeight="false" outlineLevel="0" collapsed="false">
      <c r="A244" s="0" t="s">
        <v>6</v>
      </c>
      <c r="B244" s="0" t="s">
        <v>459</v>
      </c>
      <c r="C244" s="0" t="s">
        <v>2873</v>
      </c>
    </row>
    <row r="245" customFormat="false" ht="15" hidden="false" customHeight="false" outlineLevel="0" collapsed="false">
      <c r="A245" s="0" t="s">
        <v>6</v>
      </c>
      <c r="B245" s="0" t="s">
        <v>464</v>
      </c>
      <c r="C245" s="0" t="s">
        <v>2871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464</v>
      </c>
      <c r="C246" s="0" t="s">
        <v>2872</v>
      </c>
    </row>
    <row r="247" customFormat="false" ht="15" hidden="false" customHeight="false" outlineLevel="0" collapsed="false">
      <c r="A247" s="0" t="s">
        <v>6</v>
      </c>
      <c r="B247" s="0" t="s">
        <v>464</v>
      </c>
      <c r="C247" s="0" t="s">
        <v>2873</v>
      </c>
    </row>
    <row r="248" customFormat="false" ht="15" hidden="false" customHeight="false" outlineLevel="0" collapsed="false">
      <c r="A248" s="0" t="s">
        <v>6</v>
      </c>
      <c r="B248" s="0" t="s">
        <v>469</v>
      </c>
      <c r="C248" s="0" t="s">
        <v>2871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469</v>
      </c>
      <c r="C249" s="0" t="s">
        <v>2872</v>
      </c>
    </row>
    <row r="250" customFormat="false" ht="15" hidden="false" customHeight="false" outlineLevel="0" collapsed="false">
      <c r="A250" s="0" t="s">
        <v>6</v>
      </c>
      <c r="B250" s="0" t="s">
        <v>469</v>
      </c>
      <c r="C250" s="0" t="s">
        <v>2873</v>
      </c>
    </row>
    <row r="251" customFormat="false" ht="15" hidden="false" customHeight="false" outlineLevel="0" collapsed="false">
      <c r="A251" s="0" t="s">
        <v>6</v>
      </c>
      <c r="B251" s="0" t="s">
        <v>476</v>
      </c>
      <c r="C251" s="0" t="s">
        <v>2871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476</v>
      </c>
      <c r="C252" s="0" t="s">
        <v>2872</v>
      </c>
    </row>
    <row r="253" customFormat="false" ht="15" hidden="false" customHeight="false" outlineLevel="0" collapsed="false">
      <c r="A253" s="0" t="s">
        <v>6</v>
      </c>
      <c r="B253" s="0" t="s">
        <v>476</v>
      </c>
      <c r="C253" s="0" t="s">
        <v>2873</v>
      </c>
    </row>
    <row r="254" customFormat="false" ht="15" hidden="false" customHeight="false" outlineLevel="0" collapsed="false">
      <c r="A254" s="0" t="s">
        <v>6</v>
      </c>
      <c r="B254" s="0" t="s">
        <v>480</v>
      </c>
      <c r="C254" s="0" t="s">
        <v>2871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480</v>
      </c>
      <c r="C255" s="0" t="s">
        <v>2872</v>
      </c>
    </row>
    <row r="256" customFormat="false" ht="15" hidden="false" customHeight="false" outlineLevel="0" collapsed="false">
      <c r="A256" s="0" t="s">
        <v>6</v>
      </c>
      <c r="B256" s="0" t="s">
        <v>480</v>
      </c>
      <c r="C256" s="0" t="s">
        <v>2873</v>
      </c>
    </row>
    <row r="257" customFormat="false" ht="15" hidden="false" customHeight="false" outlineLevel="0" collapsed="false">
      <c r="A257" s="0" t="s">
        <v>6</v>
      </c>
      <c r="B257" s="0" t="s">
        <v>485</v>
      </c>
      <c r="C257" s="0" t="s">
        <v>2871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485</v>
      </c>
      <c r="C258" s="0" t="s">
        <v>2872</v>
      </c>
    </row>
    <row r="259" customFormat="false" ht="15" hidden="false" customHeight="false" outlineLevel="0" collapsed="false">
      <c r="A259" s="0" t="s">
        <v>6</v>
      </c>
      <c r="B259" s="0" t="s">
        <v>485</v>
      </c>
      <c r="C259" s="0" t="s">
        <v>2873</v>
      </c>
    </row>
    <row r="260" customFormat="false" ht="15" hidden="false" customHeight="false" outlineLevel="0" collapsed="false">
      <c r="A260" s="0" t="s">
        <v>6</v>
      </c>
      <c r="B260" s="0" t="s">
        <v>489</v>
      </c>
      <c r="C260" s="0" t="s">
        <v>2871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489</v>
      </c>
      <c r="C261" s="0" t="s">
        <v>2872</v>
      </c>
    </row>
    <row r="262" customFormat="false" ht="15" hidden="false" customHeight="false" outlineLevel="0" collapsed="false">
      <c r="A262" s="0" t="s">
        <v>6</v>
      </c>
      <c r="B262" s="0" t="s">
        <v>489</v>
      </c>
      <c r="C262" s="0" t="s">
        <v>2873</v>
      </c>
    </row>
    <row r="263" customFormat="false" ht="15" hidden="false" customHeight="false" outlineLevel="0" collapsed="false">
      <c r="A263" s="0" t="s">
        <v>6</v>
      </c>
      <c r="B263" s="0" t="s">
        <v>496</v>
      </c>
      <c r="C263" s="0" t="s">
        <v>2871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496</v>
      </c>
      <c r="C264" s="0" t="s">
        <v>2872</v>
      </c>
    </row>
    <row r="265" customFormat="false" ht="15" hidden="false" customHeight="false" outlineLevel="0" collapsed="false">
      <c r="A265" s="0" t="s">
        <v>6</v>
      </c>
      <c r="B265" s="0" t="s">
        <v>496</v>
      </c>
      <c r="C265" s="0" t="s">
        <v>2873</v>
      </c>
    </row>
    <row r="266" customFormat="false" ht="15" hidden="false" customHeight="false" outlineLevel="0" collapsed="false">
      <c r="A266" s="0" t="s">
        <v>6</v>
      </c>
      <c r="B266" s="0" t="s">
        <v>503</v>
      </c>
      <c r="C266" s="0" t="s">
        <v>2871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503</v>
      </c>
      <c r="C267" s="0" t="s">
        <v>2872</v>
      </c>
    </row>
    <row r="268" customFormat="false" ht="15" hidden="false" customHeight="false" outlineLevel="0" collapsed="false">
      <c r="A268" s="0" t="s">
        <v>6</v>
      </c>
      <c r="B268" s="0" t="s">
        <v>503</v>
      </c>
      <c r="C268" s="0" t="s">
        <v>2873</v>
      </c>
    </row>
    <row r="269" customFormat="false" ht="15" hidden="false" customHeight="false" outlineLevel="0" collapsed="false">
      <c r="A269" s="0" t="s">
        <v>6</v>
      </c>
      <c r="B269" s="0" t="s">
        <v>510</v>
      </c>
      <c r="C269" s="0" t="s">
        <v>2871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510</v>
      </c>
      <c r="C270" s="0" t="s">
        <v>2872</v>
      </c>
    </row>
    <row r="271" customFormat="false" ht="15" hidden="false" customHeight="false" outlineLevel="0" collapsed="false">
      <c r="A271" s="0" t="s">
        <v>6</v>
      </c>
      <c r="B271" s="0" t="s">
        <v>510</v>
      </c>
      <c r="C271" s="0" t="s">
        <v>2873</v>
      </c>
    </row>
    <row r="272" customFormat="false" ht="15" hidden="false" customHeight="false" outlineLevel="0" collapsed="false">
      <c r="A272" s="0" t="s">
        <v>6</v>
      </c>
      <c r="B272" s="0" t="s">
        <v>514</v>
      </c>
      <c r="C272" s="0" t="s">
        <v>2871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514</v>
      </c>
      <c r="C273" s="0" t="s">
        <v>2872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514</v>
      </c>
      <c r="C274" s="0" t="s">
        <v>2873</v>
      </c>
    </row>
    <row r="275" customFormat="false" ht="15" hidden="false" customHeight="false" outlineLevel="0" collapsed="false">
      <c r="A275" s="0" t="s">
        <v>6</v>
      </c>
      <c r="B275" s="0" t="s">
        <v>520</v>
      </c>
      <c r="C275" s="0" t="s">
        <v>2871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520</v>
      </c>
      <c r="C276" s="0" t="s">
        <v>2872</v>
      </c>
    </row>
    <row r="277" customFormat="false" ht="15" hidden="false" customHeight="false" outlineLevel="0" collapsed="false">
      <c r="A277" s="0" t="s">
        <v>6</v>
      </c>
      <c r="B277" s="0" t="s">
        <v>520</v>
      </c>
      <c r="C277" s="0" t="s">
        <v>2873</v>
      </c>
    </row>
    <row r="278" customFormat="false" ht="15" hidden="false" customHeight="false" outlineLevel="0" collapsed="false">
      <c r="A278" s="0" t="s">
        <v>6</v>
      </c>
      <c r="B278" s="0" t="s">
        <v>527</v>
      </c>
      <c r="C278" s="0" t="s">
        <v>2871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527</v>
      </c>
      <c r="C279" s="0" t="s">
        <v>2872</v>
      </c>
    </row>
    <row r="280" customFormat="false" ht="15" hidden="false" customHeight="false" outlineLevel="0" collapsed="false">
      <c r="A280" s="0" t="s">
        <v>6</v>
      </c>
      <c r="B280" s="0" t="s">
        <v>527</v>
      </c>
      <c r="C280" s="0" t="s">
        <v>2873</v>
      </c>
    </row>
    <row r="281" customFormat="false" ht="15" hidden="false" customHeight="false" outlineLevel="0" collapsed="false">
      <c r="A281" s="0" t="s">
        <v>6</v>
      </c>
      <c r="B281" s="0" t="s">
        <v>534</v>
      </c>
      <c r="C281" s="0" t="s">
        <v>2871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534</v>
      </c>
      <c r="C282" s="0" t="s">
        <v>2872</v>
      </c>
    </row>
    <row r="283" customFormat="false" ht="15" hidden="false" customHeight="false" outlineLevel="0" collapsed="false">
      <c r="A283" s="0" t="s">
        <v>6</v>
      </c>
      <c r="B283" s="0" t="s">
        <v>534</v>
      </c>
      <c r="C283" s="0" t="s">
        <v>2873</v>
      </c>
    </row>
    <row r="284" customFormat="false" ht="15" hidden="false" customHeight="false" outlineLevel="0" collapsed="false">
      <c r="A284" s="0" t="s">
        <v>6</v>
      </c>
      <c r="B284" s="0" t="s">
        <v>542</v>
      </c>
      <c r="C284" s="0" t="s">
        <v>2871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542</v>
      </c>
      <c r="C285" s="0" t="s">
        <v>2872</v>
      </c>
    </row>
    <row r="286" customFormat="false" ht="15" hidden="false" customHeight="false" outlineLevel="0" collapsed="false">
      <c r="A286" s="0" t="s">
        <v>6</v>
      </c>
      <c r="B286" s="0" t="s">
        <v>542</v>
      </c>
      <c r="C286" s="0" t="s">
        <v>2873</v>
      </c>
    </row>
    <row r="287" customFormat="false" ht="15" hidden="false" customHeight="false" outlineLevel="0" collapsed="false">
      <c r="A287" s="0" t="s">
        <v>6</v>
      </c>
      <c r="B287" s="0" t="s">
        <v>549</v>
      </c>
      <c r="C287" s="0" t="s">
        <v>2871</v>
      </c>
    </row>
    <row r="288" customFormat="false" ht="15" hidden="false" customHeight="false" outlineLevel="0" collapsed="false">
      <c r="A288" s="0" t="s">
        <v>6</v>
      </c>
      <c r="B288" s="0" t="s">
        <v>549</v>
      </c>
      <c r="C288" s="0" t="s">
        <v>2872</v>
      </c>
    </row>
    <row r="289" customFormat="false" ht="15" hidden="false" customHeight="false" outlineLevel="0" collapsed="false">
      <c r="A289" s="0" t="s">
        <v>6</v>
      </c>
      <c r="B289" s="0" t="s">
        <v>549</v>
      </c>
      <c r="C289" s="0" t="s">
        <v>2873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553</v>
      </c>
      <c r="C290" s="0" t="s">
        <v>2871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553</v>
      </c>
      <c r="C291" s="0" t="s">
        <v>2872</v>
      </c>
    </row>
    <row r="292" customFormat="false" ht="15" hidden="false" customHeight="false" outlineLevel="0" collapsed="false">
      <c r="A292" s="0" t="s">
        <v>6</v>
      </c>
      <c r="B292" s="0" t="s">
        <v>553</v>
      </c>
      <c r="C292" s="0" t="s">
        <v>2873</v>
      </c>
    </row>
    <row r="293" customFormat="false" ht="15" hidden="false" customHeight="false" outlineLevel="0" collapsed="false">
      <c r="A293" s="0" t="s">
        <v>6</v>
      </c>
      <c r="B293" s="0" t="s">
        <v>562</v>
      </c>
      <c r="C293" s="0" t="s">
        <v>2871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562</v>
      </c>
      <c r="C294" s="0" t="s">
        <v>2872</v>
      </c>
    </row>
    <row r="295" customFormat="false" ht="15" hidden="false" customHeight="false" outlineLevel="0" collapsed="false">
      <c r="A295" s="0" t="s">
        <v>6</v>
      </c>
      <c r="B295" s="0" t="s">
        <v>562</v>
      </c>
      <c r="C295" s="0" t="s">
        <v>2873</v>
      </c>
    </row>
    <row r="296" customFormat="false" ht="15" hidden="false" customHeight="false" outlineLevel="0" collapsed="false">
      <c r="A296" s="0" t="s">
        <v>6</v>
      </c>
      <c r="B296" s="0" t="s">
        <v>566</v>
      </c>
      <c r="C296" s="0" t="s">
        <v>2871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566</v>
      </c>
      <c r="C297" s="0" t="s">
        <v>2872</v>
      </c>
    </row>
    <row r="298" customFormat="false" ht="15" hidden="false" customHeight="false" outlineLevel="0" collapsed="false">
      <c r="A298" s="0" t="s">
        <v>6</v>
      </c>
      <c r="B298" s="0" t="s">
        <v>566</v>
      </c>
      <c r="C298" s="0" t="s">
        <v>2873</v>
      </c>
    </row>
    <row r="299" customFormat="false" ht="15" hidden="false" customHeight="false" outlineLevel="0" collapsed="false">
      <c r="A299" s="0" t="s">
        <v>6</v>
      </c>
      <c r="B299" s="0" t="s">
        <v>577</v>
      </c>
      <c r="C299" s="0" t="s">
        <v>2871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577</v>
      </c>
      <c r="C300" s="0" t="s">
        <v>2872</v>
      </c>
    </row>
    <row r="301" customFormat="false" ht="15" hidden="false" customHeight="false" outlineLevel="0" collapsed="false">
      <c r="A301" s="0" t="s">
        <v>6</v>
      </c>
      <c r="B301" s="0" t="s">
        <v>577</v>
      </c>
      <c r="C301" s="0" t="s">
        <v>2873</v>
      </c>
    </row>
    <row r="302" customFormat="false" ht="15" hidden="false" customHeight="false" outlineLevel="0" collapsed="false">
      <c r="A302" s="0" t="s">
        <v>6</v>
      </c>
      <c r="B302" s="0" t="s">
        <v>580</v>
      </c>
      <c r="C302" s="0" t="s">
        <v>2871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580</v>
      </c>
      <c r="C303" s="0" t="s">
        <v>2872</v>
      </c>
    </row>
    <row r="304" customFormat="false" ht="15" hidden="false" customHeight="false" outlineLevel="0" collapsed="false">
      <c r="A304" s="0" t="s">
        <v>6</v>
      </c>
      <c r="B304" s="0" t="s">
        <v>580</v>
      </c>
      <c r="C304" s="0" t="s">
        <v>2873</v>
      </c>
    </row>
    <row r="305" customFormat="false" ht="15" hidden="false" customHeight="false" outlineLevel="0" collapsed="false">
      <c r="A305" s="0" t="s">
        <v>6</v>
      </c>
      <c r="B305" s="0" t="s">
        <v>587</v>
      </c>
      <c r="C305" s="0" t="s">
        <v>2871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587</v>
      </c>
      <c r="C306" s="0" t="s">
        <v>2872</v>
      </c>
    </row>
    <row r="307" customFormat="false" ht="15" hidden="false" customHeight="false" outlineLevel="0" collapsed="false">
      <c r="A307" s="0" t="s">
        <v>6</v>
      </c>
      <c r="B307" s="0" t="s">
        <v>587</v>
      </c>
      <c r="C307" s="0" t="s">
        <v>2873</v>
      </c>
    </row>
    <row r="308" customFormat="false" ht="15" hidden="false" customHeight="false" outlineLevel="0" collapsed="false">
      <c r="A308" s="0" t="s">
        <v>6</v>
      </c>
      <c r="B308" s="0" t="s">
        <v>594</v>
      </c>
      <c r="C308" s="0" t="s">
        <v>2871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594</v>
      </c>
      <c r="C309" s="0" t="s">
        <v>2872</v>
      </c>
    </row>
    <row r="310" customFormat="false" ht="15" hidden="false" customHeight="false" outlineLevel="0" collapsed="false">
      <c r="A310" s="0" t="s">
        <v>6</v>
      </c>
      <c r="B310" s="0" t="s">
        <v>594</v>
      </c>
      <c r="C310" s="0" t="s">
        <v>2873</v>
      </c>
    </row>
    <row r="311" customFormat="false" ht="15" hidden="false" customHeight="false" outlineLevel="0" collapsed="false">
      <c r="A311" s="0" t="s">
        <v>6</v>
      </c>
      <c r="B311" s="0" t="s">
        <v>600</v>
      </c>
      <c r="C311" s="0" t="s">
        <v>2871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600</v>
      </c>
      <c r="C312" s="0" t="s">
        <v>2872</v>
      </c>
    </row>
    <row r="313" customFormat="false" ht="15" hidden="false" customHeight="false" outlineLevel="0" collapsed="false">
      <c r="A313" s="0" t="s">
        <v>6</v>
      </c>
      <c r="B313" s="0" t="s">
        <v>600</v>
      </c>
      <c r="C313" s="0" t="s">
        <v>2873</v>
      </c>
    </row>
    <row r="314" customFormat="false" ht="15" hidden="false" customHeight="false" outlineLevel="0" collapsed="false">
      <c r="A314" s="0" t="s">
        <v>6</v>
      </c>
      <c r="B314" s="0" t="s">
        <v>602</v>
      </c>
      <c r="C314" s="0" t="s">
        <v>2871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602</v>
      </c>
      <c r="C315" s="0" t="s">
        <v>2872</v>
      </c>
    </row>
    <row r="316" customFormat="false" ht="15" hidden="false" customHeight="false" outlineLevel="0" collapsed="false">
      <c r="A316" s="0" t="s">
        <v>6</v>
      </c>
      <c r="B316" s="0" t="s">
        <v>602</v>
      </c>
      <c r="C316" s="0" t="s">
        <v>2873</v>
      </c>
    </row>
    <row r="317" customFormat="false" ht="15" hidden="false" customHeight="false" outlineLevel="0" collapsed="false">
      <c r="A317" s="0" t="s">
        <v>6</v>
      </c>
      <c r="B317" s="0" t="s">
        <v>605</v>
      </c>
      <c r="C317" s="0" t="s">
        <v>2871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605</v>
      </c>
      <c r="C318" s="0" t="s">
        <v>2872</v>
      </c>
    </row>
    <row r="319" customFormat="false" ht="15" hidden="false" customHeight="false" outlineLevel="0" collapsed="false">
      <c r="A319" s="0" t="s">
        <v>6</v>
      </c>
      <c r="B319" s="0" t="s">
        <v>605</v>
      </c>
      <c r="C319" s="0" t="s">
        <v>2873</v>
      </c>
    </row>
    <row r="320" customFormat="false" ht="15" hidden="false" customHeight="false" outlineLevel="0" collapsed="false">
      <c r="A320" s="0" t="s">
        <v>10</v>
      </c>
      <c r="B320" s="0" t="s">
        <v>780</v>
      </c>
      <c r="C320" s="0" t="s">
        <v>2873</v>
      </c>
      <c r="D320" s="0" t="n">
        <v>2025</v>
      </c>
    </row>
    <row r="321" customFormat="false" ht="15" hidden="false" customHeight="false" outlineLevel="0" collapsed="false">
      <c r="A321" s="0" t="s">
        <v>10</v>
      </c>
      <c r="B321" s="0" t="s">
        <v>780</v>
      </c>
      <c r="C321" s="0" t="s">
        <v>2879</v>
      </c>
    </row>
    <row r="322" customFormat="false" ht="15" hidden="false" customHeight="false" outlineLevel="0" collapsed="false">
      <c r="A322" s="0" t="s">
        <v>10</v>
      </c>
      <c r="B322" s="0" t="s">
        <v>780</v>
      </c>
      <c r="C322" s="0" t="s">
        <v>2880</v>
      </c>
    </row>
    <row r="323" customFormat="false" ht="15" hidden="false" customHeight="false" outlineLevel="0" collapsed="false">
      <c r="A323" s="0" t="s">
        <v>10</v>
      </c>
      <c r="B323" s="0" t="s">
        <v>785</v>
      </c>
      <c r="C323" s="0" t="s">
        <v>2873</v>
      </c>
      <c r="D323" s="0" t="n">
        <v>2025</v>
      </c>
    </row>
    <row r="324" customFormat="false" ht="15" hidden="false" customHeight="false" outlineLevel="0" collapsed="false">
      <c r="A324" s="0" t="s">
        <v>10</v>
      </c>
      <c r="B324" s="0" t="s">
        <v>785</v>
      </c>
      <c r="C324" s="0" t="s">
        <v>2879</v>
      </c>
    </row>
    <row r="325" customFormat="false" ht="15" hidden="false" customHeight="false" outlineLevel="0" collapsed="false">
      <c r="A325" s="0" t="s">
        <v>10</v>
      </c>
      <c r="B325" s="0" t="s">
        <v>785</v>
      </c>
      <c r="C325" s="0" t="s">
        <v>2880</v>
      </c>
    </row>
    <row r="326" customFormat="false" ht="15" hidden="false" customHeight="false" outlineLevel="0" collapsed="false">
      <c r="A326" s="0" t="s">
        <v>10</v>
      </c>
      <c r="B326" s="0" t="s">
        <v>789</v>
      </c>
      <c r="C326" s="0" t="s">
        <v>2873</v>
      </c>
      <c r="D326" s="0" t="n">
        <v>2026</v>
      </c>
    </row>
    <row r="327" customFormat="false" ht="15" hidden="false" customHeight="false" outlineLevel="0" collapsed="false">
      <c r="A327" s="0" t="s">
        <v>10</v>
      </c>
      <c r="B327" s="0" t="s">
        <v>789</v>
      </c>
      <c r="C327" s="0" t="s">
        <v>2879</v>
      </c>
    </row>
    <row r="328" customFormat="false" ht="15" hidden="false" customHeight="false" outlineLevel="0" collapsed="false">
      <c r="A328" s="0" t="s">
        <v>10</v>
      </c>
      <c r="B328" s="0" t="s">
        <v>789</v>
      </c>
      <c r="C328" s="0" t="s">
        <v>2880</v>
      </c>
    </row>
    <row r="329" customFormat="false" ht="15" hidden="false" customHeight="false" outlineLevel="0" collapsed="false">
      <c r="A329" s="0" t="s">
        <v>10</v>
      </c>
      <c r="B329" s="0" t="s">
        <v>792</v>
      </c>
      <c r="C329" s="0" t="s">
        <v>2873</v>
      </c>
      <c r="D329" s="0" t="n">
        <v>2027</v>
      </c>
    </row>
    <row r="330" customFormat="false" ht="15" hidden="false" customHeight="false" outlineLevel="0" collapsed="false">
      <c r="A330" s="0" t="s">
        <v>10</v>
      </c>
      <c r="B330" s="0" t="s">
        <v>792</v>
      </c>
      <c r="C330" s="0" t="s">
        <v>2879</v>
      </c>
    </row>
    <row r="331" customFormat="false" ht="15" hidden="false" customHeight="false" outlineLevel="0" collapsed="false">
      <c r="A331" s="0" t="s">
        <v>10</v>
      </c>
      <c r="B331" s="0" t="s">
        <v>792</v>
      </c>
      <c r="C331" s="0" t="s">
        <v>2880</v>
      </c>
    </row>
    <row r="332" customFormat="false" ht="15" hidden="false" customHeight="false" outlineLevel="0" collapsed="false">
      <c r="A332" s="0" t="s">
        <v>10</v>
      </c>
      <c r="B332" s="0" t="s">
        <v>795</v>
      </c>
      <c r="C332" s="0" t="s">
        <v>2873</v>
      </c>
      <c r="D332" s="0" t="n">
        <v>2025</v>
      </c>
    </row>
    <row r="333" customFormat="false" ht="15" hidden="false" customHeight="false" outlineLevel="0" collapsed="false">
      <c r="A333" s="0" t="s">
        <v>10</v>
      </c>
      <c r="B333" s="0" t="s">
        <v>795</v>
      </c>
      <c r="C333" s="0" t="s">
        <v>2879</v>
      </c>
    </row>
    <row r="334" customFormat="false" ht="15" hidden="false" customHeight="false" outlineLevel="0" collapsed="false">
      <c r="A334" s="0" t="s">
        <v>10</v>
      </c>
      <c r="B334" s="0" t="s">
        <v>795</v>
      </c>
      <c r="C334" s="0" t="s">
        <v>2880</v>
      </c>
    </row>
    <row r="335" customFormat="false" ht="15" hidden="false" customHeight="false" outlineLevel="0" collapsed="false">
      <c r="A335" s="0" t="s">
        <v>10</v>
      </c>
      <c r="B335" s="0" t="s">
        <v>801</v>
      </c>
      <c r="C335" s="0" t="s">
        <v>2873</v>
      </c>
      <c r="D335" s="0" t="n">
        <v>2026</v>
      </c>
    </row>
    <row r="336" customFormat="false" ht="15" hidden="false" customHeight="false" outlineLevel="0" collapsed="false">
      <c r="A336" s="0" t="s">
        <v>10</v>
      </c>
      <c r="B336" s="0" t="s">
        <v>801</v>
      </c>
      <c r="C336" s="0" t="s">
        <v>2879</v>
      </c>
    </row>
    <row r="337" customFormat="false" ht="15" hidden="false" customHeight="false" outlineLevel="0" collapsed="false">
      <c r="A337" s="0" t="s">
        <v>10</v>
      </c>
      <c r="B337" s="0" t="s">
        <v>801</v>
      </c>
      <c r="C337" s="0" t="s">
        <v>2880</v>
      </c>
    </row>
    <row r="338" customFormat="false" ht="15" hidden="false" customHeight="false" outlineLevel="0" collapsed="false">
      <c r="A338" s="0" t="s">
        <v>10</v>
      </c>
      <c r="B338" s="0" t="s">
        <v>804</v>
      </c>
      <c r="C338" s="0" t="s">
        <v>2873</v>
      </c>
      <c r="D338" s="0" t="n">
        <v>2027</v>
      </c>
    </row>
    <row r="339" customFormat="false" ht="15" hidden="false" customHeight="false" outlineLevel="0" collapsed="false">
      <c r="A339" s="0" t="s">
        <v>10</v>
      </c>
      <c r="B339" s="0" t="s">
        <v>804</v>
      </c>
      <c r="C339" s="0" t="s">
        <v>2879</v>
      </c>
    </row>
    <row r="340" customFormat="false" ht="15" hidden="false" customHeight="false" outlineLevel="0" collapsed="false">
      <c r="A340" s="0" t="s">
        <v>10</v>
      </c>
      <c r="B340" s="0" t="s">
        <v>804</v>
      </c>
      <c r="C340" s="0" t="s">
        <v>2880</v>
      </c>
    </row>
    <row r="341" customFormat="false" ht="15" hidden="false" customHeight="false" outlineLevel="0" collapsed="false">
      <c r="A341" s="0" t="s">
        <v>10</v>
      </c>
      <c r="B341" s="0" t="s">
        <v>807</v>
      </c>
      <c r="C341" s="0" t="s">
        <v>2873</v>
      </c>
      <c r="D341" s="0" t="n">
        <v>2028</v>
      </c>
    </row>
    <row r="342" customFormat="false" ht="15" hidden="false" customHeight="false" outlineLevel="0" collapsed="false">
      <c r="A342" s="0" t="s">
        <v>10</v>
      </c>
      <c r="B342" s="0" t="s">
        <v>807</v>
      </c>
      <c r="C342" s="0" t="s">
        <v>2879</v>
      </c>
    </row>
    <row r="343" customFormat="false" ht="15" hidden="false" customHeight="false" outlineLevel="0" collapsed="false">
      <c r="A343" s="0" t="s">
        <v>10</v>
      </c>
      <c r="B343" s="0" t="s">
        <v>807</v>
      </c>
      <c r="C343" s="0" t="s">
        <v>2880</v>
      </c>
    </row>
    <row r="344" customFormat="false" ht="15" hidden="false" customHeight="false" outlineLevel="0" collapsed="false">
      <c r="A344" s="0" t="s">
        <v>10</v>
      </c>
      <c r="B344" s="0" t="s">
        <v>810</v>
      </c>
      <c r="C344" s="0" t="s">
        <v>2873</v>
      </c>
      <c r="D344" s="0" t="n">
        <v>2029</v>
      </c>
    </row>
    <row r="345" customFormat="false" ht="15" hidden="false" customHeight="false" outlineLevel="0" collapsed="false">
      <c r="A345" s="0" t="s">
        <v>10</v>
      </c>
      <c r="B345" s="0" t="s">
        <v>810</v>
      </c>
      <c r="C345" s="0" t="s">
        <v>2879</v>
      </c>
    </row>
    <row r="346" customFormat="false" ht="15" hidden="false" customHeight="false" outlineLevel="0" collapsed="false">
      <c r="A346" s="0" t="s">
        <v>10</v>
      </c>
      <c r="B346" s="0" t="s">
        <v>810</v>
      </c>
      <c r="C346" s="0" t="s">
        <v>2880</v>
      </c>
    </row>
    <row r="347" customFormat="false" ht="15" hidden="false" customHeight="false" outlineLevel="0" collapsed="false">
      <c r="A347" s="0" t="s">
        <v>10</v>
      </c>
      <c r="B347" s="0" t="s">
        <v>813</v>
      </c>
      <c r="C347" s="0" t="s">
        <v>2873</v>
      </c>
      <c r="D347" s="0" t="n">
        <v>2030</v>
      </c>
    </row>
    <row r="348" customFormat="false" ht="15" hidden="false" customHeight="false" outlineLevel="0" collapsed="false">
      <c r="A348" s="0" t="s">
        <v>10</v>
      </c>
      <c r="B348" s="0" t="s">
        <v>813</v>
      </c>
      <c r="C348" s="0" t="s">
        <v>2879</v>
      </c>
    </row>
    <row r="349" customFormat="false" ht="15" hidden="false" customHeight="false" outlineLevel="0" collapsed="false">
      <c r="A349" s="0" t="s">
        <v>10</v>
      </c>
      <c r="B349" s="0" t="s">
        <v>813</v>
      </c>
      <c r="C349" s="0" t="s">
        <v>2880</v>
      </c>
    </row>
    <row r="350" customFormat="false" ht="15" hidden="false" customHeight="false" outlineLevel="0" collapsed="false">
      <c r="A350" s="0" t="s">
        <v>10</v>
      </c>
      <c r="B350" s="0" t="s">
        <v>816</v>
      </c>
      <c r="C350" s="0" t="s">
        <v>2873</v>
      </c>
      <c r="D350" s="0" t="n">
        <v>2026</v>
      </c>
    </row>
    <row r="351" customFormat="false" ht="15" hidden="false" customHeight="false" outlineLevel="0" collapsed="false">
      <c r="A351" s="0" t="s">
        <v>10</v>
      </c>
      <c r="B351" s="0" t="s">
        <v>816</v>
      </c>
      <c r="C351" s="0" t="s">
        <v>2879</v>
      </c>
    </row>
    <row r="352" customFormat="false" ht="15" hidden="false" customHeight="false" outlineLevel="0" collapsed="false">
      <c r="A352" s="0" t="s">
        <v>10</v>
      </c>
      <c r="B352" s="0" t="s">
        <v>816</v>
      </c>
      <c r="C352" s="0" t="s">
        <v>2880</v>
      </c>
    </row>
    <row r="353" customFormat="false" ht="15" hidden="false" customHeight="false" outlineLevel="0" collapsed="false">
      <c r="A353" s="0" t="s">
        <v>10</v>
      </c>
      <c r="B353" s="0" t="s">
        <v>822</v>
      </c>
      <c r="C353" s="0" t="s">
        <v>2873</v>
      </c>
      <c r="D353" s="0" t="n">
        <v>0</v>
      </c>
    </row>
    <row r="354" customFormat="false" ht="15" hidden="false" customHeight="false" outlineLevel="0" collapsed="false">
      <c r="A354" s="0" t="s">
        <v>10</v>
      </c>
      <c r="B354" s="0" t="s">
        <v>822</v>
      </c>
      <c r="C354" s="0" t="s">
        <v>2879</v>
      </c>
    </row>
    <row r="355" customFormat="false" ht="15" hidden="false" customHeight="false" outlineLevel="0" collapsed="false">
      <c r="A355" s="0" t="s">
        <v>10</v>
      </c>
      <c r="B355" s="0" t="s">
        <v>822</v>
      </c>
      <c r="C355" s="0" t="s">
        <v>2880</v>
      </c>
    </row>
    <row r="356" customFormat="false" ht="15" hidden="false" customHeight="false" outlineLevel="0" collapsed="false">
      <c r="A356" s="0" t="s">
        <v>10</v>
      </c>
      <c r="B356" s="0" t="s">
        <v>827</v>
      </c>
      <c r="C356" s="0" t="s">
        <v>2873</v>
      </c>
      <c r="D356" s="0" t="n">
        <v>0.3</v>
      </c>
    </row>
    <row r="357" customFormat="false" ht="15" hidden="false" customHeight="false" outlineLevel="0" collapsed="false">
      <c r="A357" s="0" t="s">
        <v>10</v>
      </c>
      <c r="B357" s="0" t="s">
        <v>827</v>
      </c>
      <c r="C357" s="0" t="s">
        <v>2879</v>
      </c>
    </row>
    <row r="358" customFormat="false" ht="15" hidden="false" customHeight="false" outlineLevel="0" collapsed="false">
      <c r="A358" s="0" t="s">
        <v>10</v>
      </c>
      <c r="B358" s="0" t="s">
        <v>827</v>
      </c>
      <c r="C358" s="0" t="s">
        <v>2880</v>
      </c>
    </row>
    <row r="359" customFormat="false" ht="15" hidden="false" customHeight="false" outlineLevel="0" collapsed="false">
      <c r="A359" s="0" t="s">
        <v>10</v>
      </c>
      <c r="B359" s="0" t="s">
        <v>830</v>
      </c>
      <c r="C359" s="0" t="s">
        <v>2873</v>
      </c>
      <c r="D359" s="0" t="n">
        <v>0.8</v>
      </c>
    </row>
    <row r="360" customFormat="false" ht="15" hidden="false" customHeight="false" outlineLevel="0" collapsed="false">
      <c r="A360" s="0" t="s">
        <v>10</v>
      </c>
      <c r="B360" s="0" t="s">
        <v>830</v>
      </c>
      <c r="C360" s="0" t="s">
        <v>2879</v>
      </c>
    </row>
    <row r="361" customFormat="false" ht="15" hidden="false" customHeight="false" outlineLevel="0" collapsed="false">
      <c r="A361" s="0" t="s">
        <v>10</v>
      </c>
      <c r="B361" s="0" t="s">
        <v>830</v>
      </c>
      <c r="C361" s="0" t="s">
        <v>2880</v>
      </c>
    </row>
    <row r="362" customFormat="false" ht="15" hidden="false" customHeight="false" outlineLevel="0" collapsed="false">
      <c r="A362" s="0" t="s">
        <v>10</v>
      </c>
      <c r="B362" s="0" t="s">
        <v>832</v>
      </c>
      <c r="C362" s="0" t="s">
        <v>2873</v>
      </c>
      <c r="D362" s="0" t="n">
        <v>2.5</v>
      </c>
    </row>
    <row r="363" customFormat="false" ht="15" hidden="false" customHeight="false" outlineLevel="0" collapsed="false">
      <c r="A363" s="0" t="s">
        <v>10</v>
      </c>
      <c r="B363" s="0" t="s">
        <v>832</v>
      </c>
      <c r="C363" s="0" t="s">
        <v>2879</v>
      </c>
      <c r="D363" s="0" t="n">
        <v>1.5</v>
      </c>
    </row>
    <row r="364" customFormat="false" ht="15" hidden="false" customHeight="false" outlineLevel="0" collapsed="false">
      <c r="A364" s="0" t="s">
        <v>10</v>
      </c>
      <c r="B364" s="0" t="s">
        <v>832</v>
      </c>
      <c r="C364" s="0" t="s">
        <v>2880</v>
      </c>
      <c r="D364" s="0" t="n">
        <v>4</v>
      </c>
    </row>
    <row r="365" customFormat="false" ht="15" hidden="false" customHeight="false" outlineLevel="0" collapsed="false">
      <c r="A365" s="0" t="s">
        <v>10</v>
      </c>
      <c r="B365" s="0" t="s">
        <v>837</v>
      </c>
      <c r="C365" s="0" t="s">
        <v>2873</v>
      </c>
      <c r="D365" s="0" t="n">
        <v>1.5</v>
      </c>
    </row>
    <row r="366" customFormat="false" ht="15" hidden="false" customHeight="false" outlineLevel="0" collapsed="false">
      <c r="A366" s="0" t="s">
        <v>10</v>
      </c>
      <c r="B366" s="0" t="s">
        <v>837</v>
      </c>
      <c r="C366" s="0" t="s">
        <v>2879</v>
      </c>
      <c r="D366" s="0" t="n">
        <v>1</v>
      </c>
    </row>
    <row r="367" customFormat="false" ht="15" hidden="false" customHeight="false" outlineLevel="0" collapsed="false">
      <c r="A367" s="0" t="s">
        <v>10</v>
      </c>
      <c r="B367" s="0" t="s">
        <v>837</v>
      </c>
      <c r="C367" s="0" t="s">
        <v>2880</v>
      </c>
      <c r="D367" s="0" t="n">
        <v>2.5</v>
      </c>
    </row>
    <row r="368" customFormat="false" ht="15" hidden="false" customHeight="false" outlineLevel="0" collapsed="false">
      <c r="A368" s="0" t="s">
        <v>10</v>
      </c>
      <c r="B368" s="0" t="s">
        <v>840</v>
      </c>
      <c r="C368" s="0" t="s">
        <v>2873</v>
      </c>
      <c r="D368" s="0" t="n">
        <v>0.2</v>
      </c>
    </row>
    <row r="369" customFormat="false" ht="15" hidden="false" customHeight="false" outlineLevel="0" collapsed="false">
      <c r="A369" s="0" t="s">
        <v>10</v>
      </c>
      <c r="B369" s="0" t="s">
        <v>840</v>
      </c>
      <c r="C369" s="0" t="s">
        <v>2879</v>
      </c>
      <c r="D369" s="0" t="n">
        <v>0.1</v>
      </c>
    </row>
    <row r="370" customFormat="false" ht="15" hidden="false" customHeight="false" outlineLevel="0" collapsed="false">
      <c r="A370" s="0" t="s">
        <v>10</v>
      </c>
      <c r="B370" s="0" t="s">
        <v>840</v>
      </c>
      <c r="C370" s="0" t="s">
        <v>2880</v>
      </c>
      <c r="D370" s="0" t="n">
        <v>0.4</v>
      </c>
    </row>
    <row r="371" customFormat="false" ht="15" hidden="false" customHeight="false" outlineLevel="0" collapsed="false">
      <c r="A371" s="0" t="s">
        <v>10</v>
      </c>
      <c r="B371" s="0" t="s">
        <v>843</v>
      </c>
      <c r="C371" s="0" t="s">
        <v>2873</v>
      </c>
      <c r="D371" s="0" t="n">
        <v>14</v>
      </c>
    </row>
    <row r="372" customFormat="false" ht="15" hidden="false" customHeight="false" outlineLevel="0" collapsed="false">
      <c r="A372" s="0" t="s">
        <v>10</v>
      </c>
      <c r="B372" s="0" t="s">
        <v>843</v>
      </c>
      <c r="C372" s="0" t="s">
        <v>2879</v>
      </c>
      <c r="D372" s="0" t="n">
        <v>8</v>
      </c>
    </row>
    <row r="373" customFormat="false" ht="15" hidden="false" customHeight="false" outlineLevel="0" collapsed="false">
      <c r="A373" s="0" t="s">
        <v>10</v>
      </c>
      <c r="B373" s="0" t="s">
        <v>843</v>
      </c>
      <c r="C373" s="0" t="s">
        <v>2880</v>
      </c>
      <c r="D373" s="0" t="n">
        <v>20</v>
      </c>
    </row>
    <row r="374" customFormat="false" ht="15" hidden="false" customHeight="false" outlineLevel="0" collapsed="false">
      <c r="A374" s="0" t="s">
        <v>10</v>
      </c>
      <c r="B374" s="0" t="s">
        <v>846</v>
      </c>
      <c r="C374" s="0" t="s">
        <v>2873</v>
      </c>
      <c r="D374" s="0" t="n">
        <v>8</v>
      </c>
    </row>
    <row r="375" customFormat="false" ht="15" hidden="false" customHeight="false" outlineLevel="0" collapsed="false">
      <c r="A375" s="0" t="s">
        <v>10</v>
      </c>
      <c r="B375" s="0" t="s">
        <v>846</v>
      </c>
      <c r="C375" s="0" t="s">
        <v>2879</v>
      </c>
      <c r="D375" s="0" t="n">
        <v>5</v>
      </c>
    </row>
    <row r="376" customFormat="false" ht="15" hidden="false" customHeight="false" outlineLevel="0" collapsed="false">
      <c r="A376" s="0" t="s">
        <v>10</v>
      </c>
      <c r="B376" s="0" t="s">
        <v>846</v>
      </c>
      <c r="C376" s="0" t="s">
        <v>2880</v>
      </c>
      <c r="D376" s="0" t="n">
        <v>10</v>
      </c>
    </row>
    <row r="377" customFormat="false" ht="15" hidden="false" customHeight="false" outlineLevel="0" collapsed="false">
      <c r="A377" s="0" t="s">
        <v>10</v>
      </c>
      <c r="B377" s="0" t="s">
        <v>849</v>
      </c>
      <c r="C377" s="0" t="s">
        <v>2873</v>
      </c>
      <c r="D377" s="0" t="n">
        <v>1</v>
      </c>
    </row>
    <row r="378" customFormat="false" ht="15" hidden="false" customHeight="false" outlineLevel="0" collapsed="false">
      <c r="A378" s="0" t="s">
        <v>10</v>
      </c>
      <c r="B378" s="0" t="s">
        <v>849</v>
      </c>
      <c r="C378" s="0" t="s">
        <v>2879</v>
      </c>
      <c r="D378" s="0" t="n">
        <v>0.5</v>
      </c>
    </row>
    <row r="379" customFormat="false" ht="15" hidden="false" customHeight="false" outlineLevel="0" collapsed="false">
      <c r="A379" s="0" t="s">
        <v>10</v>
      </c>
      <c r="B379" s="0" t="s">
        <v>849</v>
      </c>
      <c r="C379" s="0" t="s">
        <v>2880</v>
      </c>
      <c r="D379" s="0" t="n">
        <v>2</v>
      </c>
    </row>
    <row r="380" customFormat="false" ht="15" hidden="false" customHeight="false" outlineLevel="0" collapsed="false">
      <c r="A380" s="0" t="s">
        <v>10</v>
      </c>
      <c r="B380" s="0" t="s">
        <v>852</v>
      </c>
      <c r="C380" s="0" t="s">
        <v>2873</v>
      </c>
      <c r="D380" s="0" t="n">
        <v>-0.3</v>
      </c>
    </row>
    <row r="381" customFormat="false" ht="15" hidden="false" customHeight="false" outlineLevel="0" collapsed="false">
      <c r="A381" s="0" t="s">
        <v>10</v>
      </c>
      <c r="B381" s="0" t="s">
        <v>852</v>
      </c>
      <c r="C381" s="0" t="s">
        <v>2879</v>
      </c>
      <c r="D381" s="0" t="n">
        <v>-0.45</v>
      </c>
    </row>
    <row r="382" customFormat="false" ht="15" hidden="false" customHeight="false" outlineLevel="0" collapsed="false">
      <c r="A382" s="0" t="s">
        <v>10</v>
      </c>
      <c r="B382" s="0" t="s">
        <v>852</v>
      </c>
      <c r="C382" s="0" t="s">
        <v>2880</v>
      </c>
      <c r="D382" s="0" t="n">
        <v>-0.15</v>
      </c>
    </row>
    <row r="383" customFormat="false" ht="15" hidden="false" customHeight="false" outlineLevel="0" collapsed="false">
      <c r="A383" s="0" t="s">
        <v>10</v>
      </c>
      <c r="B383" s="0" t="s">
        <v>858</v>
      </c>
      <c r="C383" s="0" t="s">
        <v>2873</v>
      </c>
      <c r="D383" s="0" t="n">
        <v>-0.4</v>
      </c>
    </row>
    <row r="384" customFormat="false" ht="15" hidden="false" customHeight="false" outlineLevel="0" collapsed="false">
      <c r="A384" s="0" t="s">
        <v>10</v>
      </c>
      <c r="B384" s="0" t="s">
        <v>858</v>
      </c>
      <c r="C384" s="0" t="s">
        <v>2879</v>
      </c>
      <c r="D384" s="0" t="n">
        <v>-0.6</v>
      </c>
    </row>
    <row r="385" customFormat="false" ht="15" hidden="false" customHeight="false" outlineLevel="0" collapsed="false">
      <c r="A385" s="0" t="s">
        <v>10</v>
      </c>
      <c r="B385" s="0" t="s">
        <v>858</v>
      </c>
      <c r="C385" s="0" t="s">
        <v>2880</v>
      </c>
      <c r="D385" s="0" t="n">
        <v>-0.2</v>
      </c>
    </row>
    <row r="386" customFormat="false" ht="15" hidden="false" customHeight="false" outlineLevel="0" collapsed="false">
      <c r="A386" s="0" t="s">
        <v>10</v>
      </c>
      <c r="B386" s="0" t="s">
        <v>861</v>
      </c>
      <c r="C386" s="0" t="s">
        <v>2873</v>
      </c>
      <c r="D386" s="0" t="n">
        <v>-0.4</v>
      </c>
    </row>
    <row r="387" customFormat="false" ht="15" hidden="false" customHeight="false" outlineLevel="0" collapsed="false">
      <c r="A387" s="0" t="s">
        <v>10</v>
      </c>
      <c r="B387" s="0" t="s">
        <v>861</v>
      </c>
      <c r="C387" s="0" t="s">
        <v>2879</v>
      </c>
      <c r="D387" s="0" t="n">
        <v>-0.6</v>
      </c>
    </row>
    <row r="388" customFormat="false" ht="15" hidden="false" customHeight="false" outlineLevel="0" collapsed="false">
      <c r="A388" s="0" t="s">
        <v>10</v>
      </c>
      <c r="B388" s="0" t="s">
        <v>861</v>
      </c>
      <c r="C388" s="0" t="s">
        <v>2880</v>
      </c>
      <c r="D388" s="0" t="n">
        <v>-0.2</v>
      </c>
    </row>
    <row r="389" customFormat="false" ht="15" hidden="false" customHeight="false" outlineLevel="0" collapsed="false">
      <c r="A389" s="0" t="s">
        <v>10</v>
      </c>
      <c r="B389" s="0" t="s">
        <v>864</v>
      </c>
      <c r="C389" s="0" t="s">
        <v>2873</v>
      </c>
      <c r="D389" s="0" t="n">
        <v>0.4</v>
      </c>
    </row>
    <row r="390" customFormat="false" ht="15" hidden="false" customHeight="false" outlineLevel="0" collapsed="false">
      <c r="A390" s="0" t="s">
        <v>10</v>
      </c>
      <c r="B390" s="0" t="s">
        <v>864</v>
      </c>
      <c r="C390" s="0" t="s">
        <v>2879</v>
      </c>
      <c r="D390" s="0" t="n">
        <v>0.25</v>
      </c>
    </row>
    <row r="391" customFormat="false" ht="15" hidden="false" customHeight="false" outlineLevel="0" collapsed="false">
      <c r="A391" s="0" t="s">
        <v>10</v>
      </c>
      <c r="B391" s="0" t="s">
        <v>864</v>
      </c>
      <c r="C391" s="0" t="s">
        <v>2880</v>
      </c>
      <c r="D391" s="0" t="n">
        <v>0.5</v>
      </c>
    </row>
    <row r="392" customFormat="false" ht="15" hidden="false" customHeight="false" outlineLevel="0" collapsed="false">
      <c r="A392" s="0" t="s">
        <v>10</v>
      </c>
      <c r="B392" s="0" t="s">
        <v>869</v>
      </c>
      <c r="C392" s="0" t="s">
        <v>2873</v>
      </c>
      <c r="D392" s="0" t="n">
        <v>0.15</v>
      </c>
    </row>
    <row r="393" customFormat="false" ht="15" hidden="false" customHeight="false" outlineLevel="0" collapsed="false">
      <c r="A393" s="0" t="s">
        <v>10</v>
      </c>
      <c r="B393" s="0" t="s">
        <v>869</v>
      </c>
      <c r="C393" s="0" t="s">
        <v>2879</v>
      </c>
      <c r="D393" s="0" t="n">
        <v>0.08</v>
      </c>
    </row>
    <row r="394" customFormat="false" ht="15" hidden="false" customHeight="false" outlineLevel="0" collapsed="false">
      <c r="A394" s="0" t="s">
        <v>10</v>
      </c>
      <c r="B394" s="0" t="s">
        <v>869</v>
      </c>
      <c r="C394" s="0" t="s">
        <v>2880</v>
      </c>
      <c r="D394" s="0" t="n">
        <v>0.25</v>
      </c>
    </row>
    <row r="395" customFormat="false" ht="15" hidden="false" customHeight="false" outlineLevel="0" collapsed="false">
      <c r="A395" s="0" t="s">
        <v>10</v>
      </c>
      <c r="B395" s="0" t="s">
        <v>871</v>
      </c>
      <c r="C395" s="0" t="s">
        <v>2873</v>
      </c>
      <c r="D395" s="0" t="n">
        <v>0.4</v>
      </c>
    </row>
    <row r="396" customFormat="false" ht="15" hidden="false" customHeight="false" outlineLevel="0" collapsed="false">
      <c r="A396" s="0" t="s">
        <v>10</v>
      </c>
      <c r="B396" s="0" t="s">
        <v>871</v>
      </c>
      <c r="C396" s="0" t="s">
        <v>2879</v>
      </c>
      <c r="D396" s="0" t="n">
        <v>0.3</v>
      </c>
    </row>
    <row r="397" customFormat="false" ht="15" hidden="false" customHeight="false" outlineLevel="0" collapsed="false">
      <c r="A397" s="0" t="s">
        <v>10</v>
      </c>
      <c r="B397" s="0" t="s">
        <v>871</v>
      </c>
      <c r="C397" s="0" t="s">
        <v>2880</v>
      </c>
      <c r="D397" s="0" t="n">
        <v>0.5</v>
      </c>
    </row>
    <row r="398" customFormat="false" ht="15" hidden="false" customHeight="false" outlineLevel="0" collapsed="false">
      <c r="A398" s="0" t="s">
        <v>10</v>
      </c>
      <c r="B398" s="0" t="s">
        <v>874</v>
      </c>
      <c r="C398" s="0" t="s">
        <v>2873</v>
      </c>
      <c r="D398" s="0" t="n">
        <v>0.45</v>
      </c>
    </row>
    <row r="399" customFormat="false" ht="15" hidden="false" customHeight="false" outlineLevel="0" collapsed="false">
      <c r="A399" s="0" t="s">
        <v>10</v>
      </c>
      <c r="B399" s="0" t="s">
        <v>874</v>
      </c>
      <c r="C399" s="0" t="s">
        <v>2879</v>
      </c>
      <c r="D399" s="0" t="n">
        <v>0.35</v>
      </c>
    </row>
    <row r="400" customFormat="false" ht="15" hidden="false" customHeight="false" outlineLevel="0" collapsed="false">
      <c r="A400" s="0" t="s">
        <v>10</v>
      </c>
      <c r="B400" s="0" t="s">
        <v>874</v>
      </c>
      <c r="C400" s="0" t="s">
        <v>2880</v>
      </c>
      <c r="D400" s="0" t="n">
        <v>0.55</v>
      </c>
    </row>
    <row r="401" customFormat="false" ht="15" hidden="false" customHeight="false" outlineLevel="0" collapsed="false">
      <c r="A401" s="0" t="s">
        <v>10</v>
      </c>
      <c r="B401" s="0" t="s">
        <v>875</v>
      </c>
      <c r="C401" s="0" t="s">
        <v>2873</v>
      </c>
      <c r="D401" s="0" t="n">
        <v>0.2</v>
      </c>
    </row>
    <row r="402" customFormat="false" ht="15" hidden="false" customHeight="false" outlineLevel="0" collapsed="false">
      <c r="A402" s="0" t="s">
        <v>10</v>
      </c>
      <c r="B402" s="0" t="s">
        <v>875</v>
      </c>
      <c r="C402" s="0" t="s">
        <v>2879</v>
      </c>
      <c r="D402" s="0" t="n">
        <v>0.1</v>
      </c>
    </row>
    <row r="403" customFormat="false" ht="15" hidden="false" customHeight="false" outlineLevel="0" collapsed="false">
      <c r="A403" s="0" t="s">
        <v>10</v>
      </c>
      <c r="B403" s="0" t="s">
        <v>875</v>
      </c>
      <c r="C403" s="0" t="s">
        <v>2880</v>
      </c>
      <c r="D403" s="0" t="n">
        <v>0.35</v>
      </c>
    </row>
    <row r="404" customFormat="false" ht="15" hidden="false" customHeight="false" outlineLevel="0" collapsed="false">
      <c r="A404" s="0" t="s">
        <v>10</v>
      </c>
      <c r="B404" s="0" t="s">
        <v>878</v>
      </c>
      <c r="C404" s="0" t="s">
        <v>2873</v>
      </c>
      <c r="D404" s="0" t="n">
        <v>0.55</v>
      </c>
    </row>
    <row r="405" customFormat="false" ht="15" hidden="false" customHeight="false" outlineLevel="0" collapsed="false">
      <c r="A405" s="0" t="s">
        <v>10</v>
      </c>
      <c r="B405" s="0" t="s">
        <v>878</v>
      </c>
      <c r="C405" s="0" t="s">
        <v>2879</v>
      </c>
      <c r="D405" s="0" t="n">
        <v>0.3</v>
      </c>
    </row>
    <row r="406" customFormat="false" ht="15" hidden="false" customHeight="false" outlineLevel="0" collapsed="false">
      <c r="A406" s="0" t="s">
        <v>10</v>
      </c>
      <c r="B406" s="0" t="s">
        <v>878</v>
      </c>
      <c r="C406" s="0" t="s">
        <v>2880</v>
      </c>
      <c r="D406" s="0" t="n">
        <v>0.75</v>
      </c>
    </row>
    <row r="407" customFormat="false" ht="15" hidden="false" customHeight="false" outlineLevel="0" collapsed="false">
      <c r="A407" s="0" t="s">
        <v>10</v>
      </c>
      <c r="B407" s="0" t="s">
        <v>881</v>
      </c>
      <c r="C407" s="0" t="s">
        <v>2873</v>
      </c>
      <c r="D407" s="0" t="n">
        <v>0.2</v>
      </c>
    </row>
    <row r="408" customFormat="false" ht="15" hidden="false" customHeight="false" outlineLevel="0" collapsed="false">
      <c r="A408" s="0" t="s">
        <v>10</v>
      </c>
      <c r="B408" s="0" t="s">
        <v>881</v>
      </c>
      <c r="C408" s="0" t="s">
        <v>2879</v>
      </c>
      <c r="D408" s="0" t="n">
        <v>0.1</v>
      </c>
    </row>
    <row r="409" customFormat="false" ht="15" hidden="false" customHeight="false" outlineLevel="0" collapsed="false">
      <c r="A409" s="0" t="s">
        <v>10</v>
      </c>
      <c r="B409" s="0" t="s">
        <v>881</v>
      </c>
      <c r="C409" s="0" t="s">
        <v>2880</v>
      </c>
      <c r="D409" s="0" t="n">
        <v>0.3</v>
      </c>
    </row>
    <row r="410" customFormat="false" ht="15" hidden="false" customHeight="false" outlineLevel="0" collapsed="false">
      <c r="A410" s="0" t="s">
        <v>10</v>
      </c>
      <c r="B410" s="0" t="s">
        <v>884</v>
      </c>
      <c r="C410" s="0" t="s">
        <v>2873</v>
      </c>
      <c r="D410" s="0" t="n">
        <v>10</v>
      </c>
    </row>
    <row r="411" customFormat="false" ht="15" hidden="false" customHeight="false" outlineLevel="0" collapsed="false">
      <c r="A411" s="0" t="s">
        <v>10</v>
      </c>
      <c r="B411" s="0" t="s">
        <v>884</v>
      </c>
      <c r="C411" s="0" t="s">
        <v>2879</v>
      </c>
      <c r="D411" s="0" t="n">
        <v>5</v>
      </c>
    </row>
    <row r="412" customFormat="false" ht="15" hidden="false" customHeight="false" outlineLevel="0" collapsed="false">
      <c r="A412" s="0" t="s">
        <v>10</v>
      </c>
      <c r="B412" s="0" t="s">
        <v>884</v>
      </c>
      <c r="C412" s="0" t="s">
        <v>2880</v>
      </c>
      <c r="D412" s="0" t="n">
        <v>30</v>
      </c>
    </row>
    <row r="413" customFormat="false" ht="15" hidden="false" customHeight="false" outlineLevel="0" collapsed="false">
      <c r="A413" s="0" t="s">
        <v>10</v>
      </c>
      <c r="B413" s="0" t="s">
        <v>889</v>
      </c>
      <c r="C413" s="0" t="s">
        <v>2873</v>
      </c>
      <c r="D413" s="0" t="n">
        <v>0</v>
      </c>
    </row>
    <row r="414" customFormat="false" ht="15" hidden="false" customHeight="false" outlineLevel="0" collapsed="false">
      <c r="A414" s="0" t="s">
        <v>10</v>
      </c>
      <c r="B414" s="0" t="s">
        <v>889</v>
      </c>
      <c r="C414" s="0" t="s">
        <v>2879</v>
      </c>
    </row>
    <row r="415" customFormat="false" ht="15" hidden="false" customHeight="false" outlineLevel="0" collapsed="false">
      <c r="A415" s="0" t="s">
        <v>10</v>
      </c>
      <c r="B415" s="0" t="s">
        <v>889</v>
      </c>
      <c r="C415" s="0" t="s">
        <v>2880</v>
      </c>
    </row>
    <row r="416" customFormat="false" ht="15" hidden="false" customHeight="false" outlineLevel="0" collapsed="false">
      <c r="A416" s="0" t="s">
        <v>10</v>
      </c>
      <c r="B416" s="0" t="s">
        <v>893</v>
      </c>
      <c r="C416" s="0" t="s">
        <v>2873</v>
      </c>
      <c r="D416" s="0" t="n">
        <v>1.34</v>
      </c>
    </row>
    <row r="417" customFormat="false" ht="15" hidden="false" customHeight="false" outlineLevel="0" collapsed="false">
      <c r="A417" s="0" t="s">
        <v>10</v>
      </c>
      <c r="B417" s="0" t="s">
        <v>893</v>
      </c>
      <c r="C417" s="0" t="s">
        <v>2879</v>
      </c>
    </row>
    <row r="418" customFormat="false" ht="15" hidden="false" customHeight="false" outlineLevel="0" collapsed="false">
      <c r="A418" s="0" t="s">
        <v>10</v>
      </c>
      <c r="B418" s="0" t="s">
        <v>893</v>
      </c>
      <c r="C418" s="0" t="s">
        <v>2880</v>
      </c>
    </row>
    <row r="419" customFormat="false" ht="15" hidden="false" customHeight="false" outlineLevel="0" collapsed="false">
      <c r="A419" s="0" t="s">
        <v>10</v>
      </c>
      <c r="B419" s="0" t="s">
        <v>894</v>
      </c>
      <c r="C419" s="0" t="s">
        <v>2873</v>
      </c>
      <c r="D419" s="0" t="n">
        <v>0.45</v>
      </c>
    </row>
    <row r="420" customFormat="false" ht="15" hidden="false" customHeight="false" outlineLevel="0" collapsed="false">
      <c r="A420" s="0" t="s">
        <v>10</v>
      </c>
      <c r="B420" s="0" t="s">
        <v>894</v>
      </c>
      <c r="C420" s="0" t="s">
        <v>2879</v>
      </c>
    </row>
    <row r="421" customFormat="false" ht="15" hidden="false" customHeight="false" outlineLevel="0" collapsed="false">
      <c r="A421" s="0" t="s">
        <v>10</v>
      </c>
      <c r="B421" s="0" t="s">
        <v>894</v>
      </c>
      <c r="C421" s="0" t="s">
        <v>2880</v>
      </c>
    </row>
    <row r="422" customFormat="false" ht="15" hidden="false" customHeight="false" outlineLevel="0" collapsed="false">
      <c r="A422" s="0" t="s">
        <v>10</v>
      </c>
      <c r="B422" s="0" t="s">
        <v>896</v>
      </c>
      <c r="C422" s="0" t="s">
        <v>2873</v>
      </c>
      <c r="D422" s="0" t="n">
        <v>0.35</v>
      </c>
    </row>
    <row r="423" customFormat="false" ht="15" hidden="false" customHeight="false" outlineLevel="0" collapsed="false">
      <c r="A423" s="0" t="s">
        <v>10</v>
      </c>
      <c r="B423" s="0" t="s">
        <v>896</v>
      </c>
      <c r="C423" s="0" t="s">
        <v>2879</v>
      </c>
    </row>
    <row r="424" customFormat="false" ht="15" hidden="false" customHeight="false" outlineLevel="0" collapsed="false">
      <c r="A424" s="0" t="s">
        <v>10</v>
      </c>
      <c r="B424" s="0" t="s">
        <v>896</v>
      </c>
      <c r="C424" s="0" t="s">
        <v>2880</v>
      </c>
    </row>
    <row r="425" customFormat="false" ht="15" hidden="false" customHeight="false" outlineLevel="0" collapsed="false">
      <c r="A425" s="0" t="s">
        <v>10</v>
      </c>
      <c r="B425" s="0" t="s">
        <v>898</v>
      </c>
      <c r="C425" s="0" t="s">
        <v>2873</v>
      </c>
      <c r="D425" s="0" t="n">
        <v>0.25</v>
      </c>
    </row>
    <row r="426" customFormat="false" ht="15" hidden="false" customHeight="false" outlineLevel="0" collapsed="false">
      <c r="A426" s="0" t="s">
        <v>10</v>
      </c>
      <c r="B426" s="0" t="s">
        <v>898</v>
      </c>
      <c r="C426" s="0" t="s">
        <v>2879</v>
      </c>
    </row>
    <row r="427" customFormat="false" ht="15" hidden="false" customHeight="false" outlineLevel="0" collapsed="false">
      <c r="A427" s="0" t="s">
        <v>10</v>
      </c>
      <c r="B427" s="0" t="s">
        <v>898</v>
      </c>
      <c r="C427" s="0" t="s">
        <v>2880</v>
      </c>
    </row>
    <row r="428" customFormat="false" ht="15" hidden="false" customHeight="false" outlineLevel="0" collapsed="false">
      <c r="A428" s="0" t="s">
        <v>10</v>
      </c>
      <c r="B428" s="0" t="s">
        <v>900</v>
      </c>
      <c r="C428" s="0" t="s">
        <v>2873</v>
      </c>
      <c r="D428" s="0" t="n">
        <v>0.2</v>
      </c>
    </row>
    <row r="429" customFormat="false" ht="15" hidden="false" customHeight="false" outlineLevel="0" collapsed="false">
      <c r="A429" s="0" t="s">
        <v>10</v>
      </c>
      <c r="B429" s="0" t="s">
        <v>900</v>
      </c>
      <c r="C429" s="0" t="s">
        <v>2879</v>
      </c>
    </row>
    <row r="430" customFormat="false" ht="15" hidden="false" customHeight="false" outlineLevel="0" collapsed="false">
      <c r="A430" s="0" t="s">
        <v>10</v>
      </c>
      <c r="B430" s="0" t="s">
        <v>900</v>
      </c>
      <c r="C430" s="0" t="s">
        <v>2880</v>
      </c>
    </row>
    <row r="431" customFormat="false" ht="15" hidden="false" customHeight="false" outlineLevel="0" collapsed="false">
      <c r="A431" s="0" t="s">
        <v>10</v>
      </c>
      <c r="B431" s="0" t="s">
        <v>902</v>
      </c>
      <c r="C431" s="0" t="s">
        <v>2873</v>
      </c>
      <c r="D431" s="0" t="n">
        <v>0.5</v>
      </c>
    </row>
    <row r="432" customFormat="false" ht="15" hidden="false" customHeight="false" outlineLevel="0" collapsed="false">
      <c r="A432" s="0" t="s">
        <v>10</v>
      </c>
      <c r="B432" s="0" t="s">
        <v>902</v>
      </c>
      <c r="C432" s="0" t="s">
        <v>2879</v>
      </c>
    </row>
    <row r="433" customFormat="false" ht="15" hidden="false" customHeight="false" outlineLevel="0" collapsed="false">
      <c r="A433" s="0" t="s">
        <v>10</v>
      </c>
      <c r="B433" s="0" t="s">
        <v>902</v>
      </c>
      <c r="C433" s="0" t="s">
        <v>2880</v>
      </c>
    </row>
    <row r="434" customFormat="false" ht="15" hidden="false" customHeight="false" outlineLevel="0" collapsed="false">
      <c r="A434" s="0" t="s">
        <v>10</v>
      </c>
      <c r="B434" s="0" t="s">
        <v>905</v>
      </c>
      <c r="C434" s="0" t="s">
        <v>2873</v>
      </c>
      <c r="D434" s="0" t="n">
        <v>1.5</v>
      </c>
    </row>
    <row r="435" customFormat="false" ht="15" hidden="false" customHeight="false" outlineLevel="0" collapsed="false">
      <c r="A435" s="0" t="s">
        <v>10</v>
      </c>
      <c r="B435" s="0" t="s">
        <v>905</v>
      </c>
      <c r="C435" s="0" t="s">
        <v>2879</v>
      </c>
    </row>
    <row r="436" customFormat="false" ht="15" hidden="false" customHeight="false" outlineLevel="0" collapsed="false">
      <c r="A436" s="0" t="s">
        <v>10</v>
      </c>
      <c r="B436" s="0" t="s">
        <v>905</v>
      </c>
      <c r="C436" s="0" t="s">
        <v>2880</v>
      </c>
    </row>
    <row r="437" customFormat="false" ht="15" hidden="false" customHeight="false" outlineLevel="0" collapsed="false">
      <c r="A437" s="0" t="s">
        <v>10</v>
      </c>
      <c r="B437" s="0" t="s">
        <v>907</v>
      </c>
      <c r="C437" s="0" t="s">
        <v>2873</v>
      </c>
      <c r="D437" s="0" t="n">
        <v>0</v>
      </c>
    </row>
    <row r="438" customFormat="false" ht="15" hidden="false" customHeight="false" outlineLevel="0" collapsed="false">
      <c r="A438" s="0" t="s">
        <v>10</v>
      </c>
      <c r="B438" s="0" t="s">
        <v>907</v>
      </c>
      <c r="C438" s="0" t="s">
        <v>2879</v>
      </c>
    </row>
    <row r="439" customFormat="false" ht="15" hidden="false" customHeight="false" outlineLevel="0" collapsed="false">
      <c r="A439" s="0" t="s">
        <v>10</v>
      </c>
      <c r="B439" s="0" t="s">
        <v>907</v>
      </c>
      <c r="C439" s="0" t="s">
        <v>2880</v>
      </c>
    </row>
    <row r="440" customFormat="false" ht="15" hidden="false" customHeight="false" outlineLevel="0" collapsed="false">
      <c r="A440" s="0" t="s">
        <v>10</v>
      </c>
      <c r="B440" s="0" t="s">
        <v>910</v>
      </c>
      <c r="C440" s="0" t="s">
        <v>2873</v>
      </c>
      <c r="D440" s="0" t="n">
        <v>0.2</v>
      </c>
    </row>
    <row r="441" customFormat="false" ht="15" hidden="false" customHeight="false" outlineLevel="0" collapsed="false">
      <c r="A441" s="0" t="s">
        <v>10</v>
      </c>
      <c r="B441" s="0" t="s">
        <v>910</v>
      </c>
      <c r="C441" s="0" t="s">
        <v>2879</v>
      </c>
    </row>
    <row r="442" customFormat="false" ht="15" hidden="false" customHeight="false" outlineLevel="0" collapsed="false">
      <c r="A442" s="0" t="s">
        <v>10</v>
      </c>
      <c r="B442" s="0" t="s">
        <v>910</v>
      </c>
      <c r="C442" s="0" t="s">
        <v>2880</v>
      </c>
    </row>
    <row r="443" customFormat="false" ht="15" hidden="false" customHeight="false" outlineLevel="0" collapsed="false">
      <c r="A443" s="0" t="s">
        <v>10</v>
      </c>
      <c r="B443" s="0" t="s">
        <v>911</v>
      </c>
      <c r="C443" s="0" t="s">
        <v>2873</v>
      </c>
      <c r="D443" s="0" t="n">
        <v>0.15</v>
      </c>
    </row>
    <row r="444" customFormat="false" ht="15" hidden="false" customHeight="false" outlineLevel="0" collapsed="false">
      <c r="A444" s="0" t="s">
        <v>10</v>
      </c>
      <c r="B444" s="0" t="s">
        <v>911</v>
      </c>
      <c r="C444" s="0" t="s">
        <v>2879</v>
      </c>
    </row>
    <row r="445" customFormat="false" ht="15" hidden="false" customHeight="false" outlineLevel="0" collapsed="false">
      <c r="A445" s="0" t="s">
        <v>10</v>
      </c>
      <c r="B445" s="0" t="s">
        <v>911</v>
      </c>
      <c r="C445" s="0" t="s">
        <v>2880</v>
      </c>
    </row>
    <row r="446" customFormat="false" ht="15" hidden="false" customHeight="false" outlineLevel="0" collapsed="false">
      <c r="A446" s="0" t="s">
        <v>10</v>
      </c>
      <c r="B446" s="0" t="s">
        <v>912</v>
      </c>
      <c r="C446" s="0" t="s">
        <v>2873</v>
      </c>
      <c r="D446" s="0" t="n">
        <v>0.12</v>
      </c>
    </row>
    <row r="447" customFormat="false" ht="15" hidden="false" customHeight="false" outlineLevel="0" collapsed="false">
      <c r="A447" s="0" t="s">
        <v>10</v>
      </c>
      <c r="B447" s="0" t="s">
        <v>912</v>
      </c>
      <c r="C447" s="0" t="s">
        <v>2879</v>
      </c>
    </row>
    <row r="448" customFormat="false" ht="15" hidden="false" customHeight="false" outlineLevel="0" collapsed="false">
      <c r="A448" s="0" t="s">
        <v>10</v>
      </c>
      <c r="B448" s="0" t="s">
        <v>912</v>
      </c>
      <c r="C448" s="0" t="s">
        <v>2880</v>
      </c>
    </row>
    <row r="449" customFormat="false" ht="15" hidden="false" customHeight="false" outlineLevel="0" collapsed="false">
      <c r="A449" s="0" t="s">
        <v>10</v>
      </c>
      <c r="B449" s="0" t="s">
        <v>913</v>
      </c>
      <c r="C449" s="0" t="s">
        <v>2873</v>
      </c>
      <c r="D449" s="0" t="n">
        <v>0.1</v>
      </c>
    </row>
    <row r="450" customFormat="false" ht="15" hidden="false" customHeight="false" outlineLevel="0" collapsed="false">
      <c r="A450" s="0" t="s">
        <v>10</v>
      </c>
      <c r="B450" s="0" t="s">
        <v>913</v>
      </c>
      <c r="C450" s="0" t="s">
        <v>2879</v>
      </c>
    </row>
    <row r="451" customFormat="false" ht="15" hidden="false" customHeight="false" outlineLevel="0" collapsed="false">
      <c r="A451" s="0" t="s">
        <v>10</v>
      </c>
      <c r="B451" s="0" t="s">
        <v>913</v>
      </c>
      <c r="C451" s="0" t="s">
        <v>2880</v>
      </c>
    </row>
    <row r="452" customFormat="false" ht="15" hidden="false" customHeight="false" outlineLevel="0" collapsed="false">
      <c r="A452" s="0" t="s">
        <v>10</v>
      </c>
      <c r="B452" s="0" t="s">
        <v>914</v>
      </c>
      <c r="C452" s="0" t="s">
        <v>2873</v>
      </c>
      <c r="D452" s="0" t="n">
        <v>0.08</v>
      </c>
    </row>
    <row r="453" customFormat="false" ht="15" hidden="false" customHeight="false" outlineLevel="0" collapsed="false">
      <c r="A453" s="0" t="s">
        <v>10</v>
      </c>
      <c r="B453" s="0" t="s">
        <v>914</v>
      </c>
      <c r="C453" s="0" t="s">
        <v>2879</v>
      </c>
    </row>
    <row r="454" customFormat="false" ht="15" hidden="false" customHeight="false" outlineLevel="0" collapsed="false">
      <c r="A454" s="0" t="s">
        <v>10</v>
      </c>
      <c r="B454" s="0" t="s">
        <v>914</v>
      </c>
      <c r="C454" s="0" t="s">
        <v>2880</v>
      </c>
    </row>
    <row r="455" customFormat="false" ht="15" hidden="false" customHeight="false" outlineLevel="0" collapsed="false">
      <c r="A455" s="0" t="s">
        <v>10</v>
      </c>
      <c r="B455" s="0" t="s">
        <v>915</v>
      </c>
      <c r="C455" s="0" t="s">
        <v>2873</v>
      </c>
      <c r="D455" s="0" t="n">
        <v>0.5</v>
      </c>
    </row>
    <row r="456" customFormat="false" ht="15" hidden="false" customHeight="false" outlineLevel="0" collapsed="false">
      <c r="A456" s="0" t="s">
        <v>10</v>
      </c>
      <c r="B456" s="0" t="s">
        <v>915</v>
      </c>
      <c r="C456" s="0" t="s">
        <v>2879</v>
      </c>
    </row>
    <row r="457" customFormat="false" ht="15" hidden="false" customHeight="false" outlineLevel="0" collapsed="false">
      <c r="A457" s="0" t="s">
        <v>10</v>
      </c>
      <c r="B457" s="0" t="s">
        <v>915</v>
      </c>
      <c r="C457" s="0" t="s">
        <v>2880</v>
      </c>
    </row>
    <row r="458" customFormat="false" ht="15" hidden="false" customHeight="false" outlineLevel="0" collapsed="false">
      <c r="A458" s="0" t="s">
        <v>10</v>
      </c>
      <c r="B458" s="0" t="s">
        <v>917</v>
      </c>
      <c r="C458" s="0" t="s">
        <v>2873</v>
      </c>
      <c r="D458" s="0" t="n">
        <v>1.5</v>
      </c>
    </row>
    <row r="459" customFormat="false" ht="15" hidden="false" customHeight="false" outlineLevel="0" collapsed="false">
      <c r="A459" s="0" t="s">
        <v>10</v>
      </c>
      <c r="B459" s="0" t="s">
        <v>917</v>
      </c>
      <c r="C459" s="0" t="s">
        <v>2879</v>
      </c>
    </row>
    <row r="460" customFormat="false" ht="15" hidden="false" customHeight="false" outlineLevel="0" collapsed="false">
      <c r="A460" s="0" t="s">
        <v>10</v>
      </c>
      <c r="B460" s="0" t="s">
        <v>917</v>
      </c>
      <c r="C460" s="0" t="s">
        <v>2880</v>
      </c>
    </row>
    <row r="461" customFormat="false" ht="15" hidden="false" customHeight="false" outlineLevel="0" collapsed="false">
      <c r="A461" s="0" t="s">
        <v>10</v>
      </c>
      <c r="B461" s="0" t="s">
        <v>919</v>
      </c>
      <c r="C461" s="0" t="s">
        <v>2873</v>
      </c>
      <c r="D461" s="0" t="n">
        <v>-0.7</v>
      </c>
    </row>
    <row r="462" customFormat="false" ht="15" hidden="false" customHeight="false" outlineLevel="0" collapsed="false">
      <c r="A462" s="0" t="s">
        <v>10</v>
      </c>
      <c r="B462" s="0" t="s">
        <v>919</v>
      </c>
      <c r="C462" s="0" t="s">
        <v>2879</v>
      </c>
      <c r="D462" s="0" t="n">
        <v>-1.05</v>
      </c>
    </row>
    <row r="463" customFormat="false" ht="15" hidden="false" customHeight="false" outlineLevel="0" collapsed="false">
      <c r="A463" s="0" t="s">
        <v>10</v>
      </c>
      <c r="B463" s="0" t="s">
        <v>919</v>
      </c>
      <c r="C463" s="0" t="s">
        <v>2880</v>
      </c>
      <c r="D463" s="0" t="n">
        <v>-0.35</v>
      </c>
    </row>
    <row r="464" customFormat="false" ht="15" hidden="false" customHeight="false" outlineLevel="0" collapsed="false">
      <c r="A464" s="0" t="s">
        <v>10</v>
      </c>
      <c r="B464" s="0" t="s">
        <v>924</v>
      </c>
      <c r="C464" s="0" t="s">
        <v>2873</v>
      </c>
      <c r="D464" s="0" t="n">
        <v>-0.3</v>
      </c>
    </row>
    <row r="465" customFormat="false" ht="15" hidden="false" customHeight="false" outlineLevel="0" collapsed="false">
      <c r="A465" s="0" t="s">
        <v>10</v>
      </c>
      <c r="B465" s="0" t="s">
        <v>924</v>
      </c>
      <c r="C465" s="0" t="s">
        <v>2879</v>
      </c>
      <c r="D465" s="0" t="n">
        <v>-0.45</v>
      </c>
    </row>
    <row r="466" customFormat="false" ht="15" hidden="false" customHeight="false" outlineLevel="0" collapsed="false">
      <c r="A466" s="0" t="s">
        <v>10</v>
      </c>
      <c r="B466" s="0" t="s">
        <v>924</v>
      </c>
      <c r="C466" s="0" t="s">
        <v>2880</v>
      </c>
      <c r="D466" s="0" t="n">
        <v>-0.15</v>
      </c>
    </row>
    <row r="467" customFormat="false" ht="15" hidden="false" customHeight="false" outlineLevel="0" collapsed="false">
      <c r="A467" s="0" t="s">
        <v>10</v>
      </c>
      <c r="B467" s="0" t="s">
        <v>927</v>
      </c>
      <c r="C467" s="0" t="s">
        <v>2873</v>
      </c>
      <c r="D467" s="0" t="s">
        <v>930</v>
      </c>
    </row>
    <row r="468" customFormat="false" ht="15" hidden="false" customHeight="false" outlineLevel="0" collapsed="false">
      <c r="A468" s="0" t="s">
        <v>10</v>
      </c>
      <c r="B468" s="0" t="s">
        <v>927</v>
      </c>
      <c r="C468" s="0" t="s">
        <v>2879</v>
      </c>
    </row>
    <row r="469" customFormat="false" ht="15" hidden="false" customHeight="false" outlineLevel="0" collapsed="false">
      <c r="A469" s="0" t="s">
        <v>10</v>
      </c>
      <c r="B469" s="0" t="s">
        <v>927</v>
      </c>
      <c r="C469" s="0" t="s">
        <v>2880</v>
      </c>
    </row>
    <row r="470" customFormat="false" ht="15" hidden="false" customHeight="false" outlineLevel="0" collapsed="false">
      <c r="A470" s="0" t="s">
        <v>10</v>
      </c>
      <c r="B470" s="0" t="s">
        <v>934</v>
      </c>
      <c r="C470" s="0" t="s">
        <v>2873</v>
      </c>
      <c r="D470" s="0" t="s">
        <v>937</v>
      </c>
    </row>
    <row r="471" customFormat="false" ht="15" hidden="false" customHeight="false" outlineLevel="0" collapsed="false">
      <c r="A471" s="0" t="s">
        <v>10</v>
      </c>
      <c r="B471" s="0" t="s">
        <v>934</v>
      </c>
      <c r="C471" s="0" t="s">
        <v>2879</v>
      </c>
    </row>
    <row r="472" customFormat="false" ht="15" hidden="false" customHeight="false" outlineLevel="0" collapsed="false">
      <c r="A472" s="0" t="s">
        <v>10</v>
      </c>
      <c r="B472" s="0" t="s">
        <v>934</v>
      </c>
      <c r="C472" s="0" t="s">
        <v>2880</v>
      </c>
    </row>
    <row r="473" customFormat="false" ht="15" hidden="false" customHeight="false" outlineLevel="0" collapsed="false">
      <c r="A473" s="0" t="s">
        <v>10</v>
      </c>
      <c r="B473" s="0" t="s">
        <v>940</v>
      </c>
      <c r="C473" s="0" t="s">
        <v>2873</v>
      </c>
      <c r="D473" s="0" t="s">
        <v>937</v>
      </c>
    </row>
    <row r="474" customFormat="false" ht="15" hidden="false" customHeight="false" outlineLevel="0" collapsed="false">
      <c r="A474" s="0" t="s">
        <v>10</v>
      </c>
      <c r="B474" s="0" t="s">
        <v>940</v>
      </c>
      <c r="C474" s="0" t="s">
        <v>2879</v>
      </c>
    </row>
    <row r="475" customFormat="false" ht="15" hidden="false" customHeight="false" outlineLevel="0" collapsed="false">
      <c r="A475" s="0" t="s">
        <v>10</v>
      </c>
      <c r="B475" s="0" t="s">
        <v>940</v>
      </c>
      <c r="C475" s="0" t="s">
        <v>2880</v>
      </c>
    </row>
    <row r="476" customFormat="false" ht="15" hidden="false" customHeight="false" outlineLevel="0" collapsed="false">
      <c r="A476" s="0" t="s">
        <v>10</v>
      </c>
      <c r="B476" s="0" t="s">
        <v>943</v>
      </c>
      <c r="C476" s="0" t="s">
        <v>2873</v>
      </c>
      <c r="D476" s="0" t="s">
        <v>946</v>
      </c>
    </row>
    <row r="477" customFormat="false" ht="15" hidden="false" customHeight="false" outlineLevel="0" collapsed="false">
      <c r="A477" s="0" t="s">
        <v>10</v>
      </c>
      <c r="B477" s="0" t="s">
        <v>943</v>
      </c>
      <c r="C477" s="0" t="s">
        <v>2879</v>
      </c>
    </row>
    <row r="478" customFormat="false" ht="15" hidden="false" customHeight="false" outlineLevel="0" collapsed="false">
      <c r="A478" s="0" t="s">
        <v>10</v>
      </c>
      <c r="B478" s="0" t="s">
        <v>943</v>
      </c>
      <c r="C478" s="0" t="s">
        <v>2880</v>
      </c>
    </row>
    <row r="479" customFormat="false" ht="15" hidden="false" customHeight="false" outlineLevel="0" collapsed="false">
      <c r="A479" s="0" t="s">
        <v>10</v>
      </c>
      <c r="B479" s="0" t="s">
        <v>947</v>
      </c>
      <c r="C479" s="0" t="s">
        <v>2873</v>
      </c>
      <c r="D479" s="0" t="s">
        <v>950</v>
      </c>
    </row>
    <row r="480" customFormat="false" ht="15" hidden="false" customHeight="false" outlineLevel="0" collapsed="false">
      <c r="A480" s="0" t="s">
        <v>10</v>
      </c>
      <c r="B480" s="0" t="s">
        <v>947</v>
      </c>
      <c r="C480" s="0" t="s">
        <v>2879</v>
      </c>
    </row>
    <row r="481" customFormat="false" ht="15" hidden="false" customHeight="false" outlineLevel="0" collapsed="false">
      <c r="A481" s="0" t="s">
        <v>10</v>
      </c>
      <c r="B481" s="0" t="s">
        <v>947</v>
      </c>
      <c r="C481" s="0" t="s">
        <v>2880</v>
      </c>
    </row>
    <row r="482" customFormat="false" ht="15" hidden="false" customHeight="false" outlineLevel="0" collapsed="false">
      <c r="A482" s="0" t="s">
        <v>10</v>
      </c>
      <c r="B482" s="0" t="s">
        <v>951</v>
      </c>
      <c r="C482" s="0" t="s">
        <v>2873</v>
      </c>
      <c r="D482" s="0" t="s">
        <v>946</v>
      </c>
    </row>
    <row r="483" customFormat="false" ht="15" hidden="false" customHeight="false" outlineLevel="0" collapsed="false">
      <c r="A483" s="0" t="s">
        <v>10</v>
      </c>
      <c r="B483" s="0" t="s">
        <v>951</v>
      </c>
      <c r="C483" s="0" t="s">
        <v>2879</v>
      </c>
    </row>
    <row r="484" customFormat="false" ht="15" hidden="false" customHeight="false" outlineLevel="0" collapsed="false">
      <c r="A484" s="0" t="s">
        <v>10</v>
      </c>
      <c r="B484" s="0" t="s">
        <v>951</v>
      </c>
      <c r="C484" s="0" t="s">
        <v>2880</v>
      </c>
    </row>
    <row r="485" customFormat="false" ht="15" hidden="false" customHeight="false" outlineLevel="0" collapsed="false">
      <c r="A485" s="0" t="s">
        <v>10</v>
      </c>
      <c r="B485" s="0" t="s">
        <v>954</v>
      </c>
      <c r="C485" s="0" t="s">
        <v>2873</v>
      </c>
      <c r="D485" s="0" t="n">
        <v>600</v>
      </c>
    </row>
    <row r="486" customFormat="false" ht="15" hidden="false" customHeight="false" outlineLevel="0" collapsed="false">
      <c r="A486" s="0" t="s">
        <v>10</v>
      </c>
      <c r="B486" s="0" t="s">
        <v>954</v>
      </c>
      <c r="C486" s="0" t="s">
        <v>2879</v>
      </c>
    </row>
    <row r="487" customFormat="false" ht="15" hidden="false" customHeight="false" outlineLevel="0" collapsed="false">
      <c r="A487" s="0" t="s">
        <v>10</v>
      </c>
      <c r="B487" s="0" t="s">
        <v>954</v>
      </c>
      <c r="C487" s="0" t="s">
        <v>2880</v>
      </c>
    </row>
    <row r="488" customFormat="false" ht="15" hidden="false" customHeight="false" outlineLevel="0" collapsed="false">
      <c r="A488" s="0" t="s">
        <v>10</v>
      </c>
      <c r="B488" s="0" t="s">
        <v>958</v>
      </c>
      <c r="C488" s="0" t="s">
        <v>2873</v>
      </c>
      <c r="D488" s="0" t="n">
        <v>1250</v>
      </c>
    </row>
    <row r="489" customFormat="false" ht="15" hidden="false" customHeight="false" outlineLevel="0" collapsed="false">
      <c r="A489" s="0" t="s">
        <v>10</v>
      </c>
      <c r="B489" s="0" t="s">
        <v>958</v>
      </c>
      <c r="C489" s="0" t="s">
        <v>2879</v>
      </c>
    </row>
    <row r="490" customFormat="false" ht="15" hidden="false" customHeight="false" outlineLevel="0" collapsed="false">
      <c r="A490" s="0" t="s">
        <v>10</v>
      </c>
      <c r="B490" s="0" t="s">
        <v>958</v>
      </c>
      <c r="C490" s="0" t="s">
        <v>2880</v>
      </c>
    </row>
    <row r="491" customFormat="false" ht="15" hidden="false" customHeight="false" outlineLevel="0" collapsed="false">
      <c r="A491" s="0" t="s">
        <v>10</v>
      </c>
      <c r="B491" s="0" t="s">
        <v>960</v>
      </c>
      <c r="C491" s="0" t="s">
        <v>2873</v>
      </c>
      <c r="D491" s="0" t="n">
        <v>1500</v>
      </c>
    </row>
    <row r="492" customFormat="false" ht="15" hidden="false" customHeight="false" outlineLevel="0" collapsed="false">
      <c r="A492" s="0" t="s">
        <v>10</v>
      </c>
      <c r="B492" s="0" t="s">
        <v>960</v>
      </c>
      <c r="C492" s="0" t="s">
        <v>2879</v>
      </c>
    </row>
    <row r="493" customFormat="false" ht="15" hidden="false" customHeight="false" outlineLevel="0" collapsed="false">
      <c r="A493" s="0" t="s">
        <v>10</v>
      </c>
      <c r="B493" s="0" t="s">
        <v>960</v>
      </c>
      <c r="C493" s="0" t="s">
        <v>2880</v>
      </c>
    </row>
    <row r="494" customFormat="false" ht="15" hidden="false" customHeight="false" outlineLevel="0" collapsed="false">
      <c r="A494" s="0" t="s">
        <v>10</v>
      </c>
      <c r="B494" s="0" t="s">
        <v>961</v>
      </c>
      <c r="C494" s="0" t="s">
        <v>2873</v>
      </c>
      <c r="D494" s="0" t="n">
        <v>1700</v>
      </c>
    </row>
    <row r="495" customFormat="false" ht="15" hidden="false" customHeight="false" outlineLevel="0" collapsed="false">
      <c r="A495" s="0" t="s">
        <v>10</v>
      </c>
      <c r="B495" s="0" t="s">
        <v>961</v>
      </c>
      <c r="C495" s="0" t="s">
        <v>2879</v>
      </c>
    </row>
    <row r="496" customFormat="false" ht="15" hidden="false" customHeight="false" outlineLevel="0" collapsed="false">
      <c r="A496" s="0" t="s">
        <v>10</v>
      </c>
      <c r="B496" s="0" t="s">
        <v>961</v>
      </c>
      <c r="C496" s="0" t="s">
        <v>2880</v>
      </c>
    </row>
    <row r="497" customFormat="false" ht="15" hidden="false" customHeight="false" outlineLevel="0" collapsed="false">
      <c r="A497" s="0" t="s">
        <v>10</v>
      </c>
      <c r="B497" s="0" t="s">
        <v>962</v>
      </c>
      <c r="C497" s="0" t="s">
        <v>2873</v>
      </c>
      <c r="D497" s="0" t="n">
        <v>1850</v>
      </c>
    </row>
    <row r="498" customFormat="false" ht="15" hidden="false" customHeight="false" outlineLevel="0" collapsed="false">
      <c r="A498" s="0" t="s">
        <v>10</v>
      </c>
      <c r="B498" s="0" t="s">
        <v>962</v>
      </c>
      <c r="C498" s="0" t="s">
        <v>2879</v>
      </c>
    </row>
    <row r="499" customFormat="false" ht="15" hidden="false" customHeight="false" outlineLevel="0" collapsed="false">
      <c r="A499" s="0" t="s">
        <v>10</v>
      </c>
      <c r="B499" s="0" t="s">
        <v>962</v>
      </c>
      <c r="C499" s="0" t="s">
        <v>2880</v>
      </c>
    </row>
    <row r="500" customFormat="false" ht="15" hidden="false" customHeight="false" outlineLevel="0" collapsed="false">
      <c r="A500" s="0" t="s">
        <v>10</v>
      </c>
      <c r="B500" s="0" t="s">
        <v>963</v>
      </c>
      <c r="C500" s="0" t="s">
        <v>2873</v>
      </c>
      <c r="D500" s="0" t="n">
        <v>0.8</v>
      </c>
    </row>
    <row r="501" customFormat="false" ht="15" hidden="false" customHeight="false" outlineLevel="0" collapsed="false">
      <c r="A501" s="0" t="s">
        <v>10</v>
      </c>
      <c r="B501" s="0" t="s">
        <v>963</v>
      </c>
      <c r="C501" s="0" t="s">
        <v>2879</v>
      </c>
    </row>
    <row r="502" customFormat="false" ht="15" hidden="false" customHeight="false" outlineLevel="0" collapsed="false">
      <c r="A502" s="0" t="s">
        <v>10</v>
      </c>
      <c r="B502" s="0" t="s">
        <v>963</v>
      </c>
      <c r="C502" s="0" t="s">
        <v>2880</v>
      </c>
    </row>
    <row r="503" customFormat="false" ht="15" hidden="false" customHeight="false" outlineLevel="0" collapsed="false">
      <c r="A503" s="0" t="s">
        <v>10</v>
      </c>
      <c r="B503" s="0" t="s">
        <v>966</v>
      </c>
      <c r="C503" s="0" t="s">
        <v>2873</v>
      </c>
      <c r="D503" s="0" t="n">
        <v>1.2</v>
      </c>
    </row>
    <row r="504" customFormat="false" ht="15" hidden="false" customHeight="false" outlineLevel="0" collapsed="false">
      <c r="A504" s="0" t="s">
        <v>10</v>
      </c>
      <c r="B504" s="0" t="s">
        <v>966</v>
      </c>
      <c r="C504" s="0" t="s">
        <v>2879</v>
      </c>
    </row>
    <row r="505" customFormat="false" ht="15" hidden="false" customHeight="false" outlineLevel="0" collapsed="false">
      <c r="A505" s="0" t="s">
        <v>10</v>
      </c>
      <c r="B505" s="0" t="s">
        <v>966</v>
      </c>
      <c r="C505" s="0" t="s">
        <v>2880</v>
      </c>
    </row>
    <row r="506" customFormat="false" ht="15" hidden="false" customHeight="false" outlineLevel="0" collapsed="false">
      <c r="A506" s="0" t="s">
        <v>10</v>
      </c>
      <c r="B506" s="0" t="s">
        <v>968</v>
      </c>
      <c r="C506" s="0" t="s">
        <v>2873</v>
      </c>
      <c r="D506" s="0" t="n">
        <v>2</v>
      </c>
    </row>
    <row r="507" customFormat="false" ht="15" hidden="false" customHeight="false" outlineLevel="0" collapsed="false">
      <c r="A507" s="0" t="s">
        <v>10</v>
      </c>
      <c r="B507" s="0" t="s">
        <v>968</v>
      </c>
      <c r="C507" s="0" t="s">
        <v>2879</v>
      </c>
    </row>
    <row r="508" customFormat="false" ht="15" hidden="false" customHeight="false" outlineLevel="0" collapsed="false">
      <c r="A508" s="0" t="s">
        <v>10</v>
      </c>
      <c r="B508" s="0" t="s">
        <v>968</v>
      </c>
      <c r="C508" s="0" t="s">
        <v>2880</v>
      </c>
    </row>
    <row r="509" customFormat="false" ht="15" hidden="false" customHeight="false" outlineLevel="0" collapsed="false">
      <c r="A509" s="0" t="s">
        <v>10</v>
      </c>
      <c r="B509" s="0" t="s">
        <v>971</v>
      </c>
      <c r="C509" s="0" t="s">
        <v>2873</v>
      </c>
      <c r="D509" s="0" t="n">
        <v>10</v>
      </c>
    </row>
    <row r="510" customFormat="false" ht="15" hidden="false" customHeight="false" outlineLevel="0" collapsed="false">
      <c r="A510" s="0" t="s">
        <v>10</v>
      </c>
      <c r="B510" s="0" t="s">
        <v>971</v>
      </c>
      <c r="C510" s="0" t="s">
        <v>2879</v>
      </c>
    </row>
    <row r="511" customFormat="false" ht="15" hidden="false" customHeight="false" outlineLevel="0" collapsed="false">
      <c r="A511" s="0" t="s">
        <v>10</v>
      </c>
      <c r="B511" s="0" t="s">
        <v>971</v>
      </c>
      <c r="C511" s="0" t="s">
        <v>2880</v>
      </c>
    </row>
    <row r="512" customFormat="false" ht="15" hidden="false" customHeight="false" outlineLevel="0" collapsed="false">
      <c r="A512" s="0" t="s">
        <v>10</v>
      </c>
      <c r="B512" s="0" t="s">
        <v>972</v>
      </c>
      <c r="C512" s="0" t="s">
        <v>2873</v>
      </c>
      <c r="D512" s="0" t="n">
        <v>22</v>
      </c>
    </row>
    <row r="513" customFormat="false" ht="15" hidden="false" customHeight="false" outlineLevel="0" collapsed="false">
      <c r="A513" s="0" t="s">
        <v>10</v>
      </c>
      <c r="B513" s="0" t="s">
        <v>972</v>
      </c>
      <c r="C513" s="0" t="s">
        <v>2879</v>
      </c>
    </row>
    <row r="514" customFormat="false" ht="15" hidden="false" customHeight="false" outlineLevel="0" collapsed="false">
      <c r="A514" s="0" t="s">
        <v>10</v>
      </c>
      <c r="B514" s="0" t="s">
        <v>972</v>
      </c>
      <c r="C514" s="0" t="s">
        <v>2880</v>
      </c>
    </row>
    <row r="515" customFormat="false" ht="15" hidden="false" customHeight="false" outlineLevel="0" collapsed="false">
      <c r="A515" s="0" t="s">
        <v>10</v>
      </c>
      <c r="B515" s="0" t="s">
        <v>973</v>
      </c>
      <c r="C515" s="0" t="s">
        <v>2873</v>
      </c>
      <c r="D515" s="0" t="n">
        <v>35</v>
      </c>
    </row>
    <row r="516" customFormat="false" ht="15" hidden="false" customHeight="false" outlineLevel="0" collapsed="false">
      <c r="A516" s="0" t="s">
        <v>10</v>
      </c>
      <c r="B516" s="0" t="s">
        <v>973</v>
      </c>
      <c r="C516" s="0" t="s">
        <v>2879</v>
      </c>
    </row>
    <row r="517" customFormat="false" ht="15" hidden="false" customHeight="false" outlineLevel="0" collapsed="false">
      <c r="A517" s="0" t="s">
        <v>10</v>
      </c>
      <c r="B517" s="0" t="s">
        <v>973</v>
      </c>
      <c r="C517" s="0" t="s">
        <v>2880</v>
      </c>
    </row>
    <row r="518" customFormat="false" ht="15" hidden="false" customHeight="false" outlineLevel="0" collapsed="false">
      <c r="A518" s="0" t="s">
        <v>10</v>
      </c>
      <c r="B518" s="0" t="s">
        <v>974</v>
      </c>
      <c r="C518" s="0" t="s">
        <v>2873</v>
      </c>
      <c r="D518" s="0" t="n">
        <v>45</v>
      </c>
    </row>
    <row r="519" customFormat="false" ht="15" hidden="false" customHeight="false" outlineLevel="0" collapsed="false">
      <c r="A519" s="0" t="s">
        <v>10</v>
      </c>
      <c r="B519" s="0" t="s">
        <v>974</v>
      </c>
      <c r="C519" s="0" t="s">
        <v>2879</v>
      </c>
    </row>
    <row r="520" customFormat="false" ht="15" hidden="false" customHeight="false" outlineLevel="0" collapsed="false">
      <c r="A520" s="0" t="s">
        <v>10</v>
      </c>
      <c r="B520" s="0" t="s">
        <v>974</v>
      </c>
      <c r="C520" s="0" t="s">
        <v>2880</v>
      </c>
    </row>
    <row r="521" customFormat="false" ht="15" hidden="false" customHeight="false" outlineLevel="0" collapsed="false">
      <c r="A521" s="0" t="s">
        <v>10</v>
      </c>
      <c r="B521" s="0" t="s">
        <v>975</v>
      </c>
      <c r="C521" s="0" t="s">
        <v>2873</v>
      </c>
      <c r="D521" s="0" t="n">
        <v>55</v>
      </c>
    </row>
    <row r="522" customFormat="false" ht="15" hidden="false" customHeight="false" outlineLevel="0" collapsed="false">
      <c r="A522" s="0" t="s">
        <v>10</v>
      </c>
      <c r="B522" s="0" t="s">
        <v>975</v>
      </c>
      <c r="C522" s="0" t="s">
        <v>2879</v>
      </c>
    </row>
    <row r="523" customFormat="false" ht="15" hidden="false" customHeight="false" outlineLevel="0" collapsed="false">
      <c r="A523" s="0" t="s">
        <v>10</v>
      </c>
      <c r="B523" s="0" t="s">
        <v>975</v>
      </c>
      <c r="C523" s="0" t="s">
        <v>2880</v>
      </c>
    </row>
    <row r="524" customFormat="false" ht="15" hidden="false" customHeight="false" outlineLevel="0" collapsed="false">
      <c r="A524" s="0" t="s">
        <v>10</v>
      </c>
      <c r="B524" s="0" t="s">
        <v>976</v>
      </c>
      <c r="C524" s="0" t="s">
        <v>2873</v>
      </c>
      <c r="D524" s="0" t="n">
        <v>0.6</v>
      </c>
    </row>
    <row r="525" customFormat="false" ht="15" hidden="false" customHeight="false" outlineLevel="0" collapsed="false">
      <c r="A525" s="0" t="s">
        <v>10</v>
      </c>
      <c r="B525" s="0" t="s">
        <v>976</v>
      </c>
      <c r="C525" s="0" t="s">
        <v>2879</v>
      </c>
    </row>
    <row r="526" customFormat="false" ht="15" hidden="false" customHeight="false" outlineLevel="0" collapsed="false">
      <c r="A526" s="0" t="s">
        <v>10</v>
      </c>
      <c r="B526" s="0" t="s">
        <v>976</v>
      </c>
      <c r="C526" s="0" t="s">
        <v>2880</v>
      </c>
    </row>
    <row r="527" customFormat="false" ht="15" hidden="false" customHeight="false" outlineLevel="0" collapsed="false">
      <c r="A527" s="0" t="s">
        <v>10</v>
      </c>
      <c r="B527" s="0" t="s">
        <v>978</v>
      </c>
      <c r="C527" s="0" t="s">
        <v>2873</v>
      </c>
      <c r="D527" s="0" t="n">
        <v>1.5</v>
      </c>
    </row>
    <row r="528" customFormat="false" ht="15" hidden="false" customHeight="false" outlineLevel="0" collapsed="false">
      <c r="A528" s="0" t="s">
        <v>10</v>
      </c>
      <c r="B528" s="0" t="s">
        <v>978</v>
      </c>
      <c r="C528" s="0" t="s">
        <v>2879</v>
      </c>
    </row>
    <row r="529" customFormat="false" ht="15" hidden="false" customHeight="false" outlineLevel="0" collapsed="false">
      <c r="A529" s="0" t="s">
        <v>10</v>
      </c>
      <c r="B529" s="0" t="s">
        <v>978</v>
      </c>
      <c r="C529" s="0" t="s">
        <v>2880</v>
      </c>
    </row>
    <row r="530" customFormat="false" ht="15" hidden="false" customHeight="false" outlineLevel="0" collapsed="false">
      <c r="A530" s="0" t="s">
        <v>10</v>
      </c>
      <c r="B530" s="0" t="s">
        <v>980</v>
      </c>
      <c r="C530" s="0" t="s">
        <v>2873</v>
      </c>
      <c r="D530" s="0" t="n">
        <v>46</v>
      </c>
    </row>
    <row r="531" customFormat="false" ht="15" hidden="false" customHeight="false" outlineLevel="0" collapsed="false">
      <c r="A531" s="0" t="s">
        <v>10</v>
      </c>
      <c r="B531" s="0" t="s">
        <v>980</v>
      </c>
      <c r="C531" s="0" t="s">
        <v>2879</v>
      </c>
    </row>
    <row r="532" customFormat="false" ht="15" hidden="false" customHeight="false" outlineLevel="0" collapsed="false">
      <c r="A532" s="0" t="s">
        <v>10</v>
      </c>
      <c r="B532" s="0" t="s">
        <v>980</v>
      </c>
      <c r="C532" s="0" t="s">
        <v>2880</v>
      </c>
    </row>
    <row r="533" customFormat="false" ht="15" hidden="false" customHeight="false" outlineLevel="0" collapsed="false">
      <c r="A533" s="0" t="s">
        <v>10</v>
      </c>
      <c r="B533" s="0" t="s">
        <v>983</v>
      </c>
      <c r="C533" s="0" t="s">
        <v>2873</v>
      </c>
      <c r="D533" s="0" t="n">
        <v>52</v>
      </c>
    </row>
    <row r="534" customFormat="false" ht="15" hidden="false" customHeight="false" outlineLevel="0" collapsed="false">
      <c r="A534" s="0" t="s">
        <v>10</v>
      </c>
      <c r="B534" s="0" t="s">
        <v>983</v>
      </c>
      <c r="C534" s="0" t="s">
        <v>2879</v>
      </c>
    </row>
    <row r="535" customFormat="false" ht="15" hidden="false" customHeight="false" outlineLevel="0" collapsed="false">
      <c r="A535" s="0" t="s">
        <v>10</v>
      </c>
      <c r="B535" s="0" t="s">
        <v>983</v>
      </c>
      <c r="C535" s="0" t="s">
        <v>2880</v>
      </c>
    </row>
    <row r="536" customFormat="false" ht="15" hidden="false" customHeight="false" outlineLevel="0" collapsed="false">
      <c r="A536" s="0" t="s">
        <v>10</v>
      </c>
      <c r="B536" s="0" t="s">
        <v>984</v>
      </c>
      <c r="C536" s="0" t="s">
        <v>2873</v>
      </c>
      <c r="D536" s="0" t="n">
        <v>57</v>
      </c>
    </row>
    <row r="537" customFormat="false" ht="15" hidden="false" customHeight="false" outlineLevel="0" collapsed="false">
      <c r="A537" s="0" t="s">
        <v>10</v>
      </c>
      <c r="B537" s="0" t="s">
        <v>984</v>
      </c>
      <c r="C537" s="0" t="s">
        <v>2879</v>
      </c>
    </row>
    <row r="538" customFormat="false" ht="15" hidden="false" customHeight="false" outlineLevel="0" collapsed="false">
      <c r="A538" s="0" t="s">
        <v>10</v>
      </c>
      <c r="B538" s="0" t="s">
        <v>984</v>
      </c>
      <c r="C538" s="0" t="s">
        <v>2880</v>
      </c>
    </row>
    <row r="539" customFormat="false" ht="15" hidden="false" customHeight="false" outlineLevel="0" collapsed="false">
      <c r="A539" s="0" t="s">
        <v>10</v>
      </c>
      <c r="B539" s="0" t="s">
        <v>985</v>
      </c>
      <c r="C539" s="0" t="s">
        <v>2873</v>
      </c>
      <c r="D539" s="0" t="n">
        <v>61</v>
      </c>
    </row>
    <row r="540" customFormat="false" ht="15" hidden="false" customHeight="false" outlineLevel="0" collapsed="false">
      <c r="A540" s="0" t="s">
        <v>10</v>
      </c>
      <c r="B540" s="0" t="s">
        <v>985</v>
      </c>
      <c r="C540" s="0" t="s">
        <v>2879</v>
      </c>
    </row>
    <row r="541" customFormat="false" ht="15" hidden="false" customHeight="false" outlineLevel="0" collapsed="false">
      <c r="A541" s="0" t="s">
        <v>10</v>
      </c>
      <c r="B541" s="0" t="s">
        <v>985</v>
      </c>
      <c r="C541" s="0" t="s">
        <v>2880</v>
      </c>
    </row>
    <row r="542" customFormat="false" ht="15" hidden="false" customHeight="false" outlineLevel="0" collapsed="false">
      <c r="A542" s="0" t="s">
        <v>10</v>
      </c>
      <c r="B542" s="0" t="s">
        <v>986</v>
      </c>
      <c r="C542" s="0" t="s">
        <v>2873</v>
      </c>
      <c r="D542" s="0" t="n">
        <v>64</v>
      </c>
    </row>
    <row r="543" customFormat="false" ht="15" hidden="false" customHeight="false" outlineLevel="0" collapsed="false">
      <c r="A543" s="0" t="s">
        <v>10</v>
      </c>
      <c r="B543" s="0" t="s">
        <v>986</v>
      </c>
      <c r="C543" s="0" t="s">
        <v>2879</v>
      </c>
    </row>
    <row r="544" customFormat="false" ht="15" hidden="false" customHeight="false" outlineLevel="0" collapsed="false">
      <c r="A544" s="0" t="s">
        <v>10</v>
      </c>
      <c r="B544" s="0" t="s">
        <v>986</v>
      </c>
      <c r="C544" s="0" t="s">
        <v>2880</v>
      </c>
    </row>
    <row r="545" customFormat="false" ht="15" hidden="false" customHeight="false" outlineLevel="0" collapsed="false">
      <c r="A545" s="0" t="s">
        <v>10</v>
      </c>
      <c r="B545" s="0" t="s">
        <v>987</v>
      </c>
      <c r="C545" s="0" t="s">
        <v>2873</v>
      </c>
      <c r="D545" s="0" t="n">
        <v>0.85</v>
      </c>
    </row>
    <row r="546" customFormat="false" ht="15" hidden="false" customHeight="false" outlineLevel="0" collapsed="false">
      <c r="A546" s="0" t="s">
        <v>10</v>
      </c>
      <c r="B546" s="0" t="s">
        <v>987</v>
      </c>
      <c r="C546" s="0" t="s">
        <v>2879</v>
      </c>
    </row>
    <row r="547" customFormat="false" ht="15" hidden="false" customHeight="false" outlineLevel="0" collapsed="false">
      <c r="A547" s="0" t="s">
        <v>10</v>
      </c>
      <c r="B547" s="0" t="s">
        <v>987</v>
      </c>
      <c r="C547" s="0" t="s">
        <v>2880</v>
      </c>
    </row>
    <row r="548" customFormat="false" ht="15" hidden="false" customHeight="false" outlineLevel="0" collapsed="false">
      <c r="A548" s="0" t="s">
        <v>10</v>
      </c>
      <c r="B548" s="0" t="s">
        <v>989</v>
      </c>
      <c r="C548" s="0" t="s">
        <v>2873</v>
      </c>
      <c r="D548" s="0" t="n">
        <v>1.15</v>
      </c>
    </row>
    <row r="549" customFormat="false" ht="15" hidden="false" customHeight="false" outlineLevel="0" collapsed="false">
      <c r="A549" s="0" t="s">
        <v>10</v>
      </c>
      <c r="B549" s="0" t="s">
        <v>989</v>
      </c>
      <c r="C549" s="0" t="s">
        <v>2879</v>
      </c>
    </row>
    <row r="550" customFormat="false" ht="15" hidden="false" customHeight="false" outlineLevel="0" collapsed="false">
      <c r="A550" s="0" t="s">
        <v>10</v>
      </c>
      <c r="B550" s="0" t="s">
        <v>989</v>
      </c>
      <c r="C550" s="0" t="s">
        <v>2880</v>
      </c>
    </row>
    <row r="551" customFormat="false" ht="15" hidden="false" customHeight="false" outlineLevel="0" collapsed="false">
      <c r="A551" s="0" t="s">
        <v>10</v>
      </c>
      <c r="B551" s="0" t="s">
        <v>991</v>
      </c>
      <c r="C551" s="0" t="s">
        <v>2873</v>
      </c>
      <c r="D551" s="0" t="n">
        <v>3</v>
      </c>
    </row>
    <row r="552" customFormat="false" ht="15" hidden="false" customHeight="false" outlineLevel="0" collapsed="false">
      <c r="A552" s="0" t="s">
        <v>10</v>
      </c>
      <c r="B552" s="0" t="s">
        <v>991</v>
      </c>
      <c r="C552" s="0" t="s">
        <v>2879</v>
      </c>
    </row>
    <row r="553" customFormat="false" ht="15" hidden="false" customHeight="false" outlineLevel="0" collapsed="false">
      <c r="A553" s="0" t="s">
        <v>10</v>
      </c>
      <c r="B553" s="0" t="s">
        <v>991</v>
      </c>
      <c r="C553" s="0" t="s">
        <v>2880</v>
      </c>
    </row>
    <row r="554" customFormat="false" ht="15" hidden="false" customHeight="false" outlineLevel="0" collapsed="false">
      <c r="A554" s="0" t="s">
        <v>10</v>
      </c>
      <c r="B554" s="0" t="s">
        <v>994</v>
      </c>
      <c r="C554" s="0" t="s">
        <v>2873</v>
      </c>
      <c r="D554" s="0" t="n">
        <v>14</v>
      </c>
    </row>
    <row r="555" customFormat="false" ht="15" hidden="false" customHeight="false" outlineLevel="0" collapsed="false">
      <c r="A555" s="0" t="s">
        <v>10</v>
      </c>
      <c r="B555" s="0" t="s">
        <v>994</v>
      </c>
      <c r="C555" s="0" t="s">
        <v>2879</v>
      </c>
    </row>
    <row r="556" customFormat="false" ht="15" hidden="false" customHeight="false" outlineLevel="0" collapsed="false">
      <c r="A556" s="0" t="s">
        <v>10</v>
      </c>
      <c r="B556" s="0" t="s">
        <v>994</v>
      </c>
      <c r="C556" s="0" t="s">
        <v>2880</v>
      </c>
    </row>
    <row r="557" customFormat="false" ht="15" hidden="false" customHeight="false" outlineLevel="0" collapsed="false">
      <c r="A557" s="0" t="s">
        <v>10</v>
      </c>
      <c r="B557" s="0" t="s">
        <v>995</v>
      </c>
      <c r="C557" s="0" t="s">
        <v>2873</v>
      </c>
      <c r="D557" s="0" t="n">
        <v>26</v>
      </c>
    </row>
    <row r="558" customFormat="false" ht="15" hidden="false" customHeight="false" outlineLevel="0" collapsed="false">
      <c r="A558" s="0" t="s">
        <v>10</v>
      </c>
      <c r="B558" s="0" t="s">
        <v>995</v>
      </c>
      <c r="C558" s="0" t="s">
        <v>2879</v>
      </c>
    </row>
    <row r="559" customFormat="false" ht="15" hidden="false" customHeight="false" outlineLevel="0" collapsed="false">
      <c r="A559" s="0" t="s">
        <v>10</v>
      </c>
      <c r="B559" s="0" t="s">
        <v>995</v>
      </c>
      <c r="C559" s="0" t="s">
        <v>2880</v>
      </c>
    </row>
    <row r="560" customFormat="false" ht="15" hidden="false" customHeight="false" outlineLevel="0" collapsed="false">
      <c r="A560" s="0" t="s">
        <v>10</v>
      </c>
      <c r="B560" s="0" t="s">
        <v>996</v>
      </c>
      <c r="C560" s="0" t="s">
        <v>2873</v>
      </c>
      <c r="D560" s="0" t="n">
        <v>38</v>
      </c>
    </row>
    <row r="561" customFormat="false" ht="15" hidden="false" customHeight="false" outlineLevel="0" collapsed="false">
      <c r="A561" s="0" t="s">
        <v>10</v>
      </c>
      <c r="B561" s="0" t="s">
        <v>996</v>
      </c>
      <c r="C561" s="0" t="s">
        <v>2879</v>
      </c>
    </row>
    <row r="562" customFormat="false" ht="15" hidden="false" customHeight="false" outlineLevel="0" collapsed="false">
      <c r="A562" s="0" t="s">
        <v>10</v>
      </c>
      <c r="B562" s="0" t="s">
        <v>996</v>
      </c>
      <c r="C562" s="0" t="s">
        <v>2880</v>
      </c>
    </row>
    <row r="563" customFormat="false" ht="15" hidden="false" customHeight="false" outlineLevel="0" collapsed="false">
      <c r="A563" s="0" t="s">
        <v>10</v>
      </c>
      <c r="B563" s="0" t="s">
        <v>997</v>
      </c>
      <c r="C563" s="0" t="s">
        <v>2873</v>
      </c>
      <c r="D563" s="0" t="n">
        <v>48</v>
      </c>
    </row>
    <row r="564" customFormat="false" ht="15" hidden="false" customHeight="false" outlineLevel="0" collapsed="false">
      <c r="A564" s="0" t="s">
        <v>10</v>
      </c>
      <c r="B564" s="0" t="s">
        <v>997</v>
      </c>
      <c r="C564" s="0" t="s">
        <v>2879</v>
      </c>
    </row>
    <row r="565" customFormat="false" ht="15" hidden="false" customHeight="false" outlineLevel="0" collapsed="false">
      <c r="A565" s="0" t="s">
        <v>10</v>
      </c>
      <c r="B565" s="0" t="s">
        <v>997</v>
      </c>
      <c r="C565" s="0" t="s">
        <v>2880</v>
      </c>
    </row>
    <row r="566" customFormat="false" ht="15" hidden="false" customHeight="false" outlineLevel="0" collapsed="false">
      <c r="A566" s="0" t="s">
        <v>10</v>
      </c>
      <c r="B566" s="0" t="s">
        <v>998</v>
      </c>
      <c r="C566" s="0" t="s">
        <v>2873</v>
      </c>
      <c r="D566" s="0" t="n">
        <v>56</v>
      </c>
    </row>
    <row r="567" customFormat="false" ht="15" hidden="false" customHeight="false" outlineLevel="0" collapsed="false">
      <c r="A567" s="0" t="s">
        <v>10</v>
      </c>
      <c r="B567" s="0" t="s">
        <v>998</v>
      </c>
      <c r="C567" s="0" t="s">
        <v>2879</v>
      </c>
    </row>
    <row r="568" customFormat="false" ht="15" hidden="false" customHeight="false" outlineLevel="0" collapsed="false">
      <c r="A568" s="0" t="s">
        <v>10</v>
      </c>
      <c r="B568" s="0" t="s">
        <v>998</v>
      </c>
      <c r="C568" s="0" t="s">
        <v>2880</v>
      </c>
    </row>
    <row r="569" customFormat="false" ht="15" hidden="false" customHeight="false" outlineLevel="0" collapsed="false">
      <c r="A569" s="0" t="s">
        <v>10</v>
      </c>
      <c r="B569" s="0" t="s">
        <v>999</v>
      </c>
      <c r="C569" s="0" t="s">
        <v>2873</v>
      </c>
      <c r="D569" s="0" t="n">
        <v>0.7</v>
      </c>
    </row>
    <row r="570" customFormat="false" ht="15" hidden="false" customHeight="false" outlineLevel="0" collapsed="false">
      <c r="A570" s="0" t="s">
        <v>10</v>
      </c>
      <c r="B570" s="0" t="s">
        <v>999</v>
      </c>
      <c r="C570" s="0" t="s">
        <v>2879</v>
      </c>
    </row>
    <row r="571" customFormat="false" ht="15" hidden="false" customHeight="false" outlineLevel="0" collapsed="false">
      <c r="A571" s="0" t="s">
        <v>10</v>
      </c>
      <c r="B571" s="0" t="s">
        <v>999</v>
      </c>
      <c r="C571" s="0" t="s">
        <v>2880</v>
      </c>
    </row>
    <row r="572" customFormat="false" ht="15" hidden="false" customHeight="false" outlineLevel="0" collapsed="false">
      <c r="A572" s="0" t="s">
        <v>10</v>
      </c>
      <c r="B572" s="0" t="s">
        <v>1001</v>
      </c>
      <c r="C572" s="0" t="s">
        <v>2873</v>
      </c>
      <c r="D572" s="0" t="n">
        <v>1.3</v>
      </c>
    </row>
    <row r="573" customFormat="false" ht="15" hidden="false" customHeight="false" outlineLevel="0" collapsed="false">
      <c r="A573" s="0" t="s">
        <v>10</v>
      </c>
      <c r="B573" s="0" t="s">
        <v>1001</v>
      </c>
      <c r="C573" s="0" t="s">
        <v>2879</v>
      </c>
    </row>
    <row r="574" customFormat="false" ht="15" hidden="false" customHeight="false" outlineLevel="0" collapsed="false">
      <c r="A574" s="0" t="s">
        <v>10</v>
      </c>
      <c r="B574" s="0" t="s">
        <v>1001</v>
      </c>
      <c r="C574" s="0" t="s">
        <v>2880</v>
      </c>
    </row>
    <row r="575" customFormat="false" ht="15" hidden="false" customHeight="false" outlineLevel="0" collapsed="false">
      <c r="A575" s="0" t="s">
        <v>10</v>
      </c>
      <c r="B575" s="0" t="s">
        <v>1003</v>
      </c>
      <c r="C575" s="0" t="s">
        <v>2873</v>
      </c>
      <c r="D575" s="0" t="n">
        <v>6</v>
      </c>
    </row>
    <row r="576" customFormat="false" ht="15" hidden="false" customHeight="false" outlineLevel="0" collapsed="false">
      <c r="A576" s="0" t="s">
        <v>10</v>
      </c>
      <c r="B576" s="0" t="s">
        <v>1003</v>
      </c>
      <c r="C576" s="0" t="s">
        <v>2879</v>
      </c>
      <c r="D576" s="0" t="n">
        <v>4</v>
      </c>
    </row>
    <row r="577" customFormat="false" ht="15" hidden="false" customHeight="false" outlineLevel="0" collapsed="false">
      <c r="A577" s="0" t="s">
        <v>10</v>
      </c>
      <c r="B577" s="0" t="s">
        <v>1003</v>
      </c>
      <c r="C577" s="0" t="s">
        <v>2880</v>
      </c>
      <c r="D577" s="0" t="n">
        <v>8</v>
      </c>
    </row>
    <row r="578" customFormat="false" ht="15" hidden="false" customHeight="false" outlineLevel="0" collapsed="false">
      <c r="A578" s="0" t="s">
        <v>10</v>
      </c>
      <c r="B578" s="0" t="s">
        <v>1007</v>
      </c>
      <c r="C578" s="0" t="s">
        <v>2873</v>
      </c>
      <c r="D578" s="0" t="n">
        <v>19.5</v>
      </c>
    </row>
    <row r="579" customFormat="false" ht="15" hidden="false" customHeight="false" outlineLevel="0" collapsed="false">
      <c r="A579" s="0" t="s">
        <v>10</v>
      </c>
      <c r="B579" s="0" t="s">
        <v>1007</v>
      </c>
      <c r="C579" s="0" t="s">
        <v>2879</v>
      </c>
      <c r="D579" s="0" t="n">
        <v>18</v>
      </c>
    </row>
    <row r="580" customFormat="false" ht="15" hidden="false" customHeight="false" outlineLevel="0" collapsed="false">
      <c r="A580" s="0" t="s">
        <v>10</v>
      </c>
      <c r="B580" s="0" t="s">
        <v>1007</v>
      </c>
      <c r="C580" s="0" t="s">
        <v>2880</v>
      </c>
      <c r="D580" s="0" t="n">
        <v>20</v>
      </c>
    </row>
    <row r="581" customFormat="false" ht="15" hidden="false" customHeight="false" outlineLevel="0" collapsed="false">
      <c r="A581" s="0" t="s">
        <v>10</v>
      </c>
      <c r="B581" s="0" t="s">
        <v>1010</v>
      </c>
      <c r="C581" s="0" t="s">
        <v>2873</v>
      </c>
      <c r="D581" s="0" t="n">
        <v>19</v>
      </c>
    </row>
    <row r="582" customFormat="false" ht="15" hidden="false" customHeight="false" outlineLevel="0" collapsed="false">
      <c r="A582" s="0" t="s">
        <v>10</v>
      </c>
      <c r="B582" s="0" t="s">
        <v>1010</v>
      </c>
      <c r="C582" s="0" t="s">
        <v>2879</v>
      </c>
      <c r="D582" s="0" t="n">
        <v>17</v>
      </c>
    </row>
    <row r="583" customFormat="false" ht="15" hidden="false" customHeight="false" outlineLevel="0" collapsed="false">
      <c r="A583" s="0" t="s">
        <v>10</v>
      </c>
      <c r="B583" s="0" t="s">
        <v>1010</v>
      </c>
      <c r="C583" s="0" t="s">
        <v>2880</v>
      </c>
      <c r="D583" s="0" t="n">
        <v>20</v>
      </c>
    </row>
    <row r="584" customFormat="false" ht="15" hidden="false" customHeight="false" outlineLevel="0" collapsed="false">
      <c r="A584" s="0" t="s">
        <v>10</v>
      </c>
      <c r="B584" s="0" t="s">
        <v>1012</v>
      </c>
      <c r="C584" s="0" t="s">
        <v>2873</v>
      </c>
      <c r="D584" s="0" t="n">
        <v>200</v>
      </c>
    </row>
    <row r="585" customFormat="false" ht="15" hidden="false" customHeight="false" outlineLevel="0" collapsed="false">
      <c r="A585" s="0" t="s">
        <v>10</v>
      </c>
      <c r="B585" s="0" t="s">
        <v>1012</v>
      </c>
      <c r="C585" s="0" t="s">
        <v>2879</v>
      </c>
      <c r="D585" s="0" t="n">
        <v>200</v>
      </c>
    </row>
    <row r="586" customFormat="false" ht="15" hidden="false" customHeight="false" outlineLevel="0" collapsed="false">
      <c r="A586" s="0" t="s">
        <v>10</v>
      </c>
      <c r="B586" s="0" t="s">
        <v>1012</v>
      </c>
      <c r="C586" s="0" t="s">
        <v>2880</v>
      </c>
      <c r="D586" s="0" t="n">
        <v>200</v>
      </c>
    </row>
    <row r="587" customFormat="false" ht="15" hidden="false" customHeight="false" outlineLevel="0" collapsed="false">
      <c r="A587" s="0" t="s">
        <v>10</v>
      </c>
      <c r="B587" s="0" t="s">
        <v>1015</v>
      </c>
      <c r="C587" s="0" t="s">
        <v>2873</v>
      </c>
      <c r="D587" s="0" t="n">
        <v>150</v>
      </c>
    </row>
    <row r="588" customFormat="false" ht="15" hidden="false" customHeight="false" outlineLevel="0" collapsed="false">
      <c r="A588" s="0" t="s">
        <v>10</v>
      </c>
      <c r="B588" s="0" t="s">
        <v>1015</v>
      </c>
      <c r="C588" s="0" t="s">
        <v>2879</v>
      </c>
      <c r="D588" s="0" t="n">
        <v>120</v>
      </c>
    </row>
    <row r="589" customFormat="false" ht="15" hidden="false" customHeight="false" outlineLevel="0" collapsed="false">
      <c r="A589" s="0" t="s">
        <v>10</v>
      </c>
      <c r="B589" s="0" t="s">
        <v>1015</v>
      </c>
      <c r="C589" s="0" t="s">
        <v>2880</v>
      </c>
      <c r="D589" s="0" t="n">
        <v>190</v>
      </c>
    </row>
    <row r="590" customFormat="false" ht="15" hidden="false" customHeight="false" outlineLevel="0" collapsed="false">
      <c r="A590" s="0" t="s">
        <v>10</v>
      </c>
      <c r="B590" s="0" t="s">
        <v>1016</v>
      </c>
      <c r="C590" s="0" t="s">
        <v>2873</v>
      </c>
      <c r="D590" s="0" t="n">
        <v>30</v>
      </c>
    </row>
    <row r="591" customFormat="false" ht="15" hidden="false" customHeight="false" outlineLevel="0" collapsed="false">
      <c r="A591" s="0" t="s">
        <v>10</v>
      </c>
      <c r="B591" s="0" t="s">
        <v>1016</v>
      </c>
      <c r="C591" s="0" t="s">
        <v>2879</v>
      </c>
      <c r="D591" s="0" t="n">
        <v>22</v>
      </c>
    </row>
    <row r="592" customFormat="false" ht="15" hidden="false" customHeight="false" outlineLevel="0" collapsed="false">
      <c r="A592" s="0" t="s">
        <v>10</v>
      </c>
      <c r="B592" s="0" t="s">
        <v>1016</v>
      </c>
      <c r="C592" s="0" t="s">
        <v>2880</v>
      </c>
      <c r="D592" s="0" t="n">
        <v>45</v>
      </c>
    </row>
    <row r="593" customFormat="false" ht="15" hidden="false" customHeight="false" outlineLevel="0" collapsed="false">
      <c r="A593" s="0" t="s">
        <v>10</v>
      </c>
      <c r="B593" s="0" t="s">
        <v>1019</v>
      </c>
      <c r="C593" s="0" t="s">
        <v>2873</v>
      </c>
      <c r="D593" s="0" t="n">
        <v>1.7</v>
      </c>
    </row>
    <row r="594" customFormat="false" ht="15" hidden="false" customHeight="false" outlineLevel="0" collapsed="false">
      <c r="A594" s="0" t="s">
        <v>10</v>
      </c>
      <c r="B594" s="0" t="s">
        <v>1019</v>
      </c>
      <c r="C594" s="0" t="s">
        <v>2879</v>
      </c>
    </row>
    <row r="595" customFormat="false" ht="15" hidden="false" customHeight="false" outlineLevel="0" collapsed="false">
      <c r="A595" s="0" t="s">
        <v>10</v>
      </c>
      <c r="B595" s="0" t="s">
        <v>1019</v>
      </c>
      <c r="C595" s="0" t="s">
        <v>2880</v>
      </c>
    </row>
    <row r="596" customFormat="false" ht="15" hidden="false" customHeight="false" outlineLevel="0" collapsed="false">
      <c r="A596" s="0" t="s">
        <v>10</v>
      </c>
      <c r="B596" s="0" t="s">
        <v>1024</v>
      </c>
      <c r="C596" s="0" t="s">
        <v>2873</v>
      </c>
      <c r="D596" s="0" t="n">
        <v>1.7</v>
      </c>
    </row>
    <row r="597" customFormat="false" ht="15" hidden="false" customHeight="false" outlineLevel="0" collapsed="false">
      <c r="A597" s="0" t="s">
        <v>10</v>
      </c>
      <c r="B597" s="0" t="s">
        <v>1024</v>
      </c>
      <c r="C597" s="0" t="s">
        <v>2879</v>
      </c>
    </row>
    <row r="598" customFormat="false" ht="15" hidden="false" customHeight="false" outlineLevel="0" collapsed="false">
      <c r="A598" s="0" t="s">
        <v>10</v>
      </c>
      <c r="B598" s="0" t="s">
        <v>1024</v>
      </c>
      <c r="C598" s="0" t="s">
        <v>2880</v>
      </c>
    </row>
    <row r="599" customFormat="false" ht="15" hidden="false" customHeight="false" outlineLevel="0" collapsed="false">
      <c r="A599" s="0" t="s">
        <v>10</v>
      </c>
      <c r="B599" s="0" t="s">
        <v>1025</v>
      </c>
      <c r="C599" s="0" t="s">
        <v>2873</v>
      </c>
      <c r="D599" s="0" t="n">
        <v>5.3</v>
      </c>
    </row>
    <row r="600" customFormat="false" ht="15" hidden="false" customHeight="false" outlineLevel="0" collapsed="false">
      <c r="A600" s="0" t="s">
        <v>10</v>
      </c>
      <c r="B600" s="0" t="s">
        <v>1025</v>
      </c>
      <c r="C600" s="0" t="s">
        <v>2879</v>
      </c>
    </row>
    <row r="601" customFormat="false" ht="15" hidden="false" customHeight="false" outlineLevel="0" collapsed="false">
      <c r="A601" s="0" t="s">
        <v>10</v>
      </c>
      <c r="B601" s="0" t="s">
        <v>1025</v>
      </c>
      <c r="C601" s="0" t="s">
        <v>2880</v>
      </c>
    </row>
    <row r="602" customFormat="false" ht="15" hidden="false" customHeight="false" outlineLevel="0" collapsed="false">
      <c r="A602" s="0" t="s">
        <v>10</v>
      </c>
      <c r="B602" s="0" t="s">
        <v>1028</v>
      </c>
      <c r="C602" s="0" t="s">
        <v>2873</v>
      </c>
      <c r="D602" s="0" t="n">
        <v>5.7</v>
      </c>
    </row>
    <row r="603" customFormat="false" ht="15" hidden="false" customHeight="false" outlineLevel="0" collapsed="false">
      <c r="A603" s="0" t="s">
        <v>10</v>
      </c>
      <c r="B603" s="0" t="s">
        <v>1028</v>
      </c>
      <c r="C603" s="0" t="s">
        <v>2879</v>
      </c>
    </row>
    <row r="604" customFormat="false" ht="15" hidden="false" customHeight="false" outlineLevel="0" collapsed="false">
      <c r="A604" s="0" t="s">
        <v>10</v>
      </c>
      <c r="B604" s="0" t="s">
        <v>1028</v>
      </c>
      <c r="C604" s="0" t="s">
        <v>2880</v>
      </c>
    </row>
    <row r="605" customFormat="false" ht="15" hidden="false" customHeight="false" outlineLevel="0" collapsed="false">
      <c r="A605" s="0" t="s">
        <v>10</v>
      </c>
      <c r="B605" s="0" t="s">
        <v>1029</v>
      </c>
      <c r="C605" s="0" t="s">
        <v>2873</v>
      </c>
      <c r="D605" s="0" t="n">
        <v>13.4</v>
      </c>
    </row>
    <row r="606" customFormat="false" ht="15" hidden="false" customHeight="false" outlineLevel="0" collapsed="false">
      <c r="A606" s="0" t="s">
        <v>10</v>
      </c>
      <c r="B606" s="0" t="s">
        <v>1029</v>
      </c>
      <c r="C606" s="0" t="s">
        <v>2879</v>
      </c>
    </row>
    <row r="607" customFormat="false" ht="15" hidden="false" customHeight="false" outlineLevel="0" collapsed="false">
      <c r="A607" s="0" t="s">
        <v>10</v>
      </c>
      <c r="B607" s="0" t="s">
        <v>1029</v>
      </c>
      <c r="C607" s="0" t="s">
        <v>2880</v>
      </c>
    </row>
    <row r="608" customFormat="false" ht="15" hidden="false" customHeight="false" outlineLevel="0" collapsed="false">
      <c r="A608" s="0" t="s">
        <v>10</v>
      </c>
      <c r="B608" s="0" t="s">
        <v>1032</v>
      </c>
      <c r="C608" s="0" t="s">
        <v>2873</v>
      </c>
      <c r="D608" s="0" t="n">
        <v>17.9</v>
      </c>
    </row>
    <row r="609" customFormat="false" ht="15" hidden="false" customHeight="false" outlineLevel="0" collapsed="false">
      <c r="A609" s="0" t="s">
        <v>10</v>
      </c>
      <c r="B609" s="0" t="s">
        <v>1032</v>
      </c>
      <c r="C609" s="0" t="s">
        <v>2879</v>
      </c>
    </row>
    <row r="610" customFormat="false" ht="15" hidden="false" customHeight="false" outlineLevel="0" collapsed="false">
      <c r="A610" s="0" t="s">
        <v>10</v>
      </c>
      <c r="B610" s="0" t="s">
        <v>1032</v>
      </c>
      <c r="C610" s="0" t="s">
        <v>2880</v>
      </c>
    </row>
    <row r="611" customFormat="false" ht="15" hidden="false" customHeight="false" outlineLevel="0" collapsed="false">
      <c r="A611" s="0" t="s">
        <v>10</v>
      </c>
      <c r="B611" s="0" t="s">
        <v>1033</v>
      </c>
      <c r="C611" s="0" t="s">
        <v>2873</v>
      </c>
      <c r="D611" s="0" t="n">
        <v>41</v>
      </c>
    </row>
    <row r="612" customFormat="false" ht="15" hidden="false" customHeight="false" outlineLevel="0" collapsed="false">
      <c r="A612" s="0" t="s">
        <v>10</v>
      </c>
      <c r="B612" s="0" t="s">
        <v>1033</v>
      </c>
      <c r="C612" s="0" t="s">
        <v>2879</v>
      </c>
    </row>
    <row r="613" customFormat="false" ht="15" hidden="false" customHeight="false" outlineLevel="0" collapsed="false">
      <c r="A613" s="0" t="s">
        <v>10</v>
      </c>
      <c r="B613" s="0" t="s">
        <v>1033</v>
      </c>
      <c r="C613" s="0" t="s">
        <v>2880</v>
      </c>
    </row>
    <row r="614" customFormat="false" ht="15" hidden="false" customHeight="false" outlineLevel="0" collapsed="false">
      <c r="A614" s="0" t="s">
        <v>10</v>
      </c>
      <c r="B614" s="0" t="s">
        <v>1036</v>
      </c>
      <c r="C614" s="0" t="s">
        <v>2873</v>
      </c>
      <c r="D614" s="0" t="n">
        <v>51.4</v>
      </c>
    </row>
    <row r="615" customFormat="false" ht="15" hidden="false" customHeight="false" outlineLevel="0" collapsed="false">
      <c r="A615" s="0" t="s">
        <v>10</v>
      </c>
      <c r="B615" s="0" t="s">
        <v>1036</v>
      </c>
      <c r="C615" s="0" t="s">
        <v>2879</v>
      </c>
    </row>
    <row r="616" customFormat="false" ht="15" hidden="false" customHeight="false" outlineLevel="0" collapsed="false">
      <c r="A616" s="0" t="s">
        <v>10</v>
      </c>
      <c r="B616" s="0" t="s">
        <v>1036</v>
      </c>
      <c r="C616" s="0" t="s">
        <v>2880</v>
      </c>
    </row>
    <row r="617" customFormat="false" ht="15" hidden="false" customHeight="false" outlineLevel="0" collapsed="false">
      <c r="A617" s="0" t="s">
        <v>10</v>
      </c>
      <c r="B617" s="0" t="s">
        <v>1037</v>
      </c>
      <c r="C617" s="0" t="s">
        <v>2873</v>
      </c>
      <c r="D617" s="0" t="n">
        <v>10.7</v>
      </c>
    </row>
    <row r="618" customFormat="false" ht="15" hidden="false" customHeight="false" outlineLevel="0" collapsed="false">
      <c r="A618" s="0" t="s">
        <v>10</v>
      </c>
      <c r="B618" s="0" t="s">
        <v>1037</v>
      </c>
      <c r="C618" s="0" t="s">
        <v>2879</v>
      </c>
    </row>
    <row r="619" customFormat="false" ht="15" hidden="false" customHeight="false" outlineLevel="0" collapsed="false">
      <c r="A619" s="0" t="s">
        <v>10</v>
      </c>
      <c r="B619" s="0" t="s">
        <v>1037</v>
      </c>
      <c r="C619" s="0" t="s">
        <v>2880</v>
      </c>
    </row>
    <row r="620" customFormat="false" ht="15" hidden="false" customHeight="false" outlineLevel="0" collapsed="false">
      <c r="A620" s="0" t="s">
        <v>10</v>
      </c>
      <c r="B620" s="0" t="s">
        <v>1040</v>
      </c>
      <c r="C620" s="0" t="s">
        <v>2873</v>
      </c>
      <c r="D620" s="0" t="n">
        <v>14.3</v>
      </c>
    </row>
    <row r="621" customFormat="false" ht="15" hidden="false" customHeight="false" outlineLevel="0" collapsed="false">
      <c r="A621" s="0" t="s">
        <v>10</v>
      </c>
      <c r="B621" s="0" t="s">
        <v>1040</v>
      </c>
      <c r="C621" s="0" t="s">
        <v>2879</v>
      </c>
    </row>
    <row r="622" customFormat="false" ht="15" hidden="false" customHeight="false" outlineLevel="0" collapsed="false">
      <c r="A622" s="0" t="s">
        <v>10</v>
      </c>
      <c r="B622" s="0" t="s">
        <v>1040</v>
      </c>
      <c r="C622" s="0" t="s">
        <v>2880</v>
      </c>
    </row>
    <row r="623" customFormat="false" ht="15" hidden="false" customHeight="false" outlineLevel="0" collapsed="false">
      <c r="A623" s="0" t="s">
        <v>10</v>
      </c>
      <c r="B623" s="0" t="s">
        <v>1041</v>
      </c>
      <c r="C623" s="0" t="s">
        <v>2873</v>
      </c>
      <c r="D623" s="0" t="n">
        <v>2</v>
      </c>
    </row>
    <row r="624" customFormat="false" ht="15" hidden="false" customHeight="false" outlineLevel="0" collapsed="false">
      <c r="A624" s="0" t="s">
        <v>10</v>
      </c>
      <c r="B624" s="0" t="s">
        <v>1041</v>
      </c>
      <c r="C624" s="0" t="s">
        <v>2879</v>
      </c>
    </row>
    <row r="625" customFormat="false" ht="15" hidden="false" customHeight="false" outlineLevel="0" collapsed="false">
      <c r="A625" s="0" t="s">
        <v>10</v>
      </c>
      <c r="B625" s="0" t="s">
        <v>1041</v>
      </c>
      <c r="C625" s="0" t="s">
        <v>2880</v>
      </c>
    </row>
    <row r="626" customFormat="false" ht="15" hidden="false" customHeight="false" outlineLevel="0" collapsed="false">
      <c r="A626" s="0" t="s">
        <v>10</v>
      </c>
      <c r="B626" s="0" t="s">
        <v>1044</v>
      </c>
      <c r="C626" s="0" t="s">
        <v>2873</v>
      </c>
      <c r="D626" s="0" t="n">
        <v>2.94</v>
      </c>
    </row>
    <row r="627" customFormat="false" ht="15" hidden="false" customHeight="false" outlineLevel="0" collapsed="false">
      <c r="A627" s="0" t="s">
        <v>10</v>
      </c>
      <c r="B627" s="0" t="s">
        <v>1044</v>
      </c>
      <c r="C627" s="0" t="s">
        <v>2879</v>
      </c>
    </row>
    <row r="628" customFormat="false" ht="15" hidden="false" customHeight="false" outlineLevel="0" collapsed="false">
      <c r="A628" s="0" t="s">
        <v>10</v>
      </c>
      <c r="B628" s="0" t="s">
        <v>1044</v>
      </c>
      <c r="C628" s="0" t="s">
        <v>2880</v>
      </c>
    </row>
    <row r="629" customFormat="false" ht="15" hidden="false" customHeight="false" outlineLevel="0" collapsed="false">
      <c r="A629" s="0" t="s">
        <v>10</v>
      </c>
      <c r="B629" s="0" t="s">
        <v>1045</v>
      </c>
      <c r="C629" s="0" t="s">
        <v>2873</v>
      </c>
      <c r="D629" s="0" t="n">
        <v>3</v>
      </c>
    </row>
    <row r="630" customFormat="false" ht="15" hidden="false" customHeight="false" outlineLevel="0" collapsed="false">
      <c r="A630" s="0" t="s">
        <v>10</v>
      </c>
      <c r="B630" s="0" t="s">
        <v>1045</v>
      </c>
      <c r="C630" s="0" t="s">
        <v>2879</v>
      </c>
    </row>
    <row r="631" customFormat="false" ht="15" hidden="false" customHeight="false" outlineLevel="0" collapsed="false">
      <c r="A631" s="0" t="s">
        <v>10</v>
      </c>
      <c r="B631" s="0" t="s">
        <v>1045</v>
      </c>
      <c r="C631" s="0" t="s">
        <v>2880</v>
      </c>
    </row>
    <row r="632" customFormat="false" ht="15" hidden="false" customHeight="false" outlineLevel="0" collapsed="false">
      <c r="A632" s="0" t="s">
        <v>10</v>
      </c>
      <c r="B632" s="0" t="s">
        <v>1048</v>
      </c>
      <c r="C632" s="0" t="s">
        <v>2873</v>
      </c>
      <c r="D632" s="0" t="n">
        <v>4.39</v>
      </c>
    </row>
    <row r="633" customFormat="false" ht="15" hidden="false" customHeight="false" outlineLevel="0" collapsed="false">
      <c r="A633" s="0" t="s">
        <v>10</v>
      </c>
      <c r="B633" s="0" t="s">
        <v>1048</v>
      </c>
      <c r="C633" s="0" t="s">
        <v>2879</v>
      </c>
    </row>
    <row r="634" customFormat="false" ht="15" hidden="false" customHeight="false" outlineLevel="0" collapsed="false">
      <c r="A634" s="0" t="s">
        <v>10</v>
      </c>
      <c r="B634" s="0" t="s">
        <v>1048</v>
      </c>
      <c r="C634" s="0" t="s">
        <v>2880</v>
      </c>
    </row>
    <row r="635" customFormat="false" ht="15" hidden="false" customHeight="false" outlineLevel="0" collapsed="false">
      <c r="A635" s="0" t="s">
        <v>10</v>
      </c>
      <c r="B635" s="0" t="s">
        <v>1049</v>
      </c>
      <c r="C635" s="0" t="s">
        <v>2873</v>
      </c>
      <c r="D635" s="0" t="n">
        <v>4</v>
      </c>
    </row>
    <row r="636" customFormat="false" ht="15" hidden="false" customHeight="false" outlineLevel="0" collapsed="false">
      <c r="A636" s="0" t="s">
        <v>10</v>
      </c>
      <c r="B636" s="0" t="s">
        <v>1049</v>
      </c>
      <c r="C636" s="0" t="s">
        <v>2879</v>
      </c>
    </row>
    <row r="637" customFormat="false" ht="15" hidden="false" customHeight="false" outlineLevel="0" collapsed="false">
      <c r="A637" s="0" t="s">
        <v>10</v>
      </c>
      <c r="B637" s="0" t="s">
        <v>1049</v>
      </c>
      <c r="C637" s="0" t="s">
        <v>2880</v>
      </c>
    </row>
    <row r="638" customFormat="false" ht="15" hidden="false" customHeight="false" outlineLevel="0" collapsed="false">
      <c r="A638" s="0" t="s">
        <v>10</v>
      </c>
      <c r="B638" s="0" t="s">
        <v>1052</v>
      </c>
      <c r="C638" s="0" t="s">
        <v>2873</v>
      </c>
      <c r="D638" s="0" t="n">
        <v>6.15</v>
      </c>
    </row>
    <row r="639" customFormat="false" ht="15" hidden="false" customHeight="false" outlineLevel="0" collapsed="false">
      <c r="A639" s="0" t="s">
        <v>10</v>
      </c>
      <c r="B639" s="0" t="s">
        <v>1052</v>
      </c>
      <c r="C639" s="0" t="s">
        <v>2879</v>
      </c>
    </row>
    <row r="640" customFormat="false" ht="15" hidden="false" customHeight="false" outlineLevel="0" collapsed="false">
      <c r="A640" s="0" t="s">
        <v>10</v>
      </c>
      <c r="B640" s="0" t="s">
        <v>1052</v>
      </c>
      <c r="C640" s="0" t="s">
        <v>2880</v>
      </c>
    </row>
    <row r="641" customFormat="false" ht="15" hidden="false" customHeight="false" outlineLevel="0" collapsed="false">
      <c r="A641" s="0" t="s">
        <v>10</v>
      </c>
      <c r="B641" s="0" t="s">
        <v>1053</v>
      </c>
      <c r="C641" s="0" t="s">
        <v>2873</v>
      </c>
      <c r="D641" s="0" t="n">
        <v>10</v>
      </c>
    </row>
    <row r="642" customFormat="false" ht="15" hidden="false" customHeight="false" outlineLevel="0" collapsed="false">
      <c r="A642" s="0" t="s">
        <v>10</v>
      </c>
      <c r="B642" s="0" t="s">
        <v>1053</v>
      </c>
      <c r="C642" s="0" t="s">
        <v>2879</v>
      </c>
    </row>
    <row r="643" customFormat="false" ht="15" hidden="false" customHeight="false" outlineLevel="0" collapsed="false">
      <c r="A643" s="0" t="s">
        <v>10</v>
      </c>
      <c r="B643" s="0" t="s">
        <v>1053</v>
      </c>
      <c r="C643" s="0" t="s">
        <v>2880</v>
      </c>
    </row>
    <row r="644" customFormat="false" ht="15" hidden="false" customHeight="false" outlineLevel="0" collapsed="false">
      <c r="A644" s="0" t="s">
        <v>10</v>
      </c>
      <c r="B644" s="0" t="s">
        <v>1056</v>
      </c>
      <c r="C644" s="0" t="s">
        <v>2873</v>
      </c>
      <c r="D644" s="0" t="n">
        <v>15.6</v>
      </c>
    </row>
    <row r="645" customFormat="false" ht="15" hidden="false" customHeight="false" outlineLevel="0" collapsed="false">
      <c r="A645" s="0" t="s">
        <v>10</v>
      </c>
      <c r="B645" s="0" t="s">
        <v>1056</v>
      </c>
      <c r="C645" s="0" t="s">
        <v>2879</v>
      </c>
    </row>
    <row r="646" customFormat="false" ht="15" hidden="false" customHeight="false" outlineLevel="0" collapsed="false">
      <c r="A646" s="0" t="s">
        <v>10</v>
      </c>
      <c r="B646" s="0" t="s">
        <v>1056</v>
      </c>
      <c r="C646" s="0" t="s">
        <v>2880</v>
      </c>
    </row>
    <row r="647" customFormat="false" ht="15" hidden="false" customHeight="false" outlineLevel="0" collapsed="false">
      <c r="A647" s="0" t="s">
        <v>10</v>
      </c>
      <c r="B647" s="0" t="s">
        <v>1057</v>
      </c>
      <c r="C647" s="0" t="s">
        <v>2873</v>
      </c>
      <c r="D647" s="0" t="n">
        <v>4</v>
      </c>
    </row>
    <row r="648" customFormat="false" ht="15" hidden="false" customHeight="false" outlineLevel="0" collapsed="false">
      <c r="A648" s="0" t="s">
        <v>10</v>
      </c>
      <c r="B648" s="0" t="s">
        <v>1057</v>
      </c>
      <c r="C648" s="0" t="s">
        <v>2879</v>
      </c>
    </row>
    <row r="649" customFormat="false" ht="15" hidden="false" customHeight="false" outlineLevel="0" collapsed="false">
      <c r="A649" s="0" t="s">
        <v>10</v>
      </c>
      <c r="B649" s="0" t="s">
        <v>1057</v>
      </c>
      <c r="C649" s="0" t="s">
        <v>2880</v>
      </c>
    </row>
    <row r="650" customFormat="false" ht="15" hidden="false" customHeight="false" outlineLevel="0" collapsed="false">
      <c r="A650" s="0" t="s">
        <v>10</v>
      </c>
      <c r="B650" s="0" t="s">
        <v>1060</v>
      </c>
      <c r="C650" s="0" t="s">
        <v>2873</v>
      </c>
      <c r="D650" s="0" t="n">
        <v>5.94</v>
      </c>
    </row>
    <row r="651" customFormat="false" ht="15" hidden="false" customHeight="false" outlineLevel="0" collapsed="false">
      <c r="A651" s="0" t="s">
        <v>10</v>
      </c>
      <c r="B651" s="0" t="s">
        <v>1060</v>
      </c>
      <c r="C651" s="0" t="s">
        <v>2879</v>
      </c>
    </row>
    <row r="652" customFormat="false" ht="15" hidden="false" customHeight="false" outlineLevel="0" collapsed="false">
      <c r="A652" s="0" t="s">
        <v>10</v>
      </c>
      <c r="B652" s="0" t="s">
        <v>1060</v>
      </c>
      <c r="C652" s="0" t="s">
        <v>2880</v>
      </c>
    </row>
    <row r="653" customFormat="false" ht="15" hidden="false" customHeight="false" outlineLevel="0" collapsed="false">
      <c r="A653" s="0" t="s">
        <v>10</v>
      </c>
      <c r="B653" s="0" t="s">
        <v>1061</v>
      </c>
      <c r="C653" s="0" t="s">
        <v>2873</v>
      </c>
      <c r="D653" s="0" t="n">
        <v>0.1</v>
      </c>
    </row>
    <row r="654" customFormat="false" ht="15" hidden="false" customHeight="false" outlineLevel="0" collapsed="false">
      <c r="A654" s="0" t="s">
        <v>10</v>
      </c>
      <c r="B654" s="0" t="s">
        <v>1061</v>
      </c>
      <c r="C654" s="0" t="s">
        <v>2879</v>
      </c>
      <c r="D654" s="0" t="n">
        <v>0.05</v>
      </c>
    </row>
    <row r="655" customFormat="false" ht="15" hidden="false" customHeight="false" outlineLevel="0" collapsed="false">
      <c r="A655" s="0" t="s">
        <v>10</v>
      </c>
      <c r="B655" s="0" t="s">
        <v>1061</v>
      </c>
      <c r="C655" s="0" t="s">
        <v>2880</v>
      </c>
      <c r="D655" s="0" t="n">
        <v>0.2</v>
      </c>
    </row>
    <row r="656" customFormat="false" ht="15" hidden="false" customHeight="false" outlineLevel="0" collapsed="false">
      <c r="A656" s="0" t="s">
        <v>10</v>
      </c>
      <c r="B656" s="0" t="s">
        <v>1064</v>
      </c>
      <c r="C656" s="0" t="s">
        <v>2873</v>
      </c>
      <c r="D656" s="0" t="n">
        <v>0.15</v>
      </c>
    </row>
    <row r="657" customFormat="false" ht="15" hidden="false" customHeight="false" outlineLevel="0" collapsed="false">
      <c r="A657" s="0" t="s">
        <v>10</v>
      </c>
      <c r="B657" s="0" t="s">
        <v>1064</v>
      </c>
      <c r="C657" s="0" t="s">
        <v>2879</v>
      </c>
      <c r="D657" s="0" t="n">
        <v>0.1</v>
      </c>
    </row>
    <row r="658" customFormat="false" ht="15" hidden="false" customHeight="false" outlineLevel="0" collapsed="false">
      <c r="A658" s="0" t="s">
        <v>10</v>
      </c>
      <c r="B658" s="0" t="s">
        <v>1064</v>
      </c>
      <c r="C658" s="0" t="s">
        <v>2880</v>
      </c>
      <c r="D658" s="0" t="n">
        <v>0.25</v>
      </c>
    </row>
    <row r="659" customFormat="false" ht="15" hidden="false" customHeight="false" outlineLevel="0" collapsed="false">
      <c r="A659" s="0" t="s">
        <v>10</v>
      </c>
      <c r="B659" s="0" t="s">
        <v>1068</v>
      </c>
      <c r="C659" s="0" t="s">
        <v>2873</v>
      </c>
      <c r="D659" s="0" t="n">
        <v>0</v>
      </c>
    </row>
    <row r="660" customFormat="false" ht="15" hidden="false" customHeight="false" outlineLevel="0" collapsed="false">
      <c r="A660" s="0" t="s">
        <v>10</v>
      </c>
      <c r="B660" s="0" t="s">
        <v>1068</v>
      </c>
      <c r="C660" s="0" t="s">
        <v>2879</v>
      </c>
      <c r="D660" s="0" t="n">
        <v>0</v>
      </c>
    </row>
    <row r="661" customFormat="false" ht="15" hidden="false" customHeight="false" outlineLevel="0" collapsed="false">
      <c r="A661" s="0" t="s">
        <v>10</v>
      </c>
      <c r="B661" s="0" t="s">
        <v>1068</v>
      </c>
      <c r="C661" s="0" t="s">
        <v>2880</v>
      </c>
      <c r="D661" s="0" t="n">
        <v>0</v>
      </c>
    </row>
    <row r="662" customFormat="false" ht="15" hidden="false" customHeight="false" outlineLevel="0" collapsed="false">
      <c r="A662" s="0" t="s">
        <v>10</v>
      </c>
      <c r="B662" s="0" t="s">
        <v>1073</v>
      </c>
      <c r="C662" s="0" t="s">
        <v>2873</v>
      </c>
      <c r="D662" s="0" t="n">
        <v>0.25</v>
      </c>
    </row>
    <row r="663" customFormat="false" ht="15" hidden="false" customHeight="false" outlineLevel="0" collapsed="false">
      <c r="A663" s="0" t="s">
        <v>10</v>
      </c>
      <c r="B663" s="0" t="s">
        <v>1073</v>
      </c>
      <c r="C663" s="0" t="s">
        <v>2879</v>
      </c>
      <c r="D663" s="0" t="n">
        <v>0.15</v>
      </c>
    </row>
    <row r="664" customFormat="false" ht="15" hidden="false" customHeight="false" outlineLevel="0" collapsed="false">
      <c r="A664" s="0" t="s">
        <v>10</v>
      </c>
      <c r="B664" s="0" t="s">
        <v>1073</v>
      </c>
      <c r="C664" s="0" t="s">
        <v>2880</v>
      </c>
      <c r="D664" s="0" t="n">
        <v>0.35</v>
      </c>
    </row>
    <row r="665" customFormat="false" ht="15" hidden="false" customHeight="false" outlineLevel="0" collapsed="false">
      <c r="A665" s="0" t="s">
        <v>10</v>
      </c>
      <c r="B665" s="0" t="s">
        <v>1074</v>
      </c>
      <c r="C665" s="0" t="s">
        <v>2873</v>
      </c>
      <c r="D665" s="0" t="n">
        <v>0.35</v>
      </c>
    </row>
    <row r="666" customFormat="false" ht="15" hidden="false" customHeight="false" outlineLevel="0" collapsed="false">
      <c r="A666" s="0" t="s">
        <v>10</v>
      </c>
      <c r="B666" s="0" t="s">
        <v>1074</v>
      </c>
      <c r="C666" s="0" t="s">
        <v>2879</v>
      </c>
      <c r="D666" s="0" t="n">
        <v>0.25</v>
      </c>
    </row>
    <row r="667" customFormat="false" ht="15" hidden="false" customHeight="false" outlineLevel="0" collapsed="false">
      <c r="A667" s="0" t="s">
        <v>10</v>
      </c>
      <c r="B667" s="0" t="s">
        <v>1074</v>
      </c>
      <c r="C667" s="0" t="s">
        <v>2880</v>
      </c>
      <c r="D667" s="0" t="n">
        <v>0.5</v>
      </c>
    </row>
    <row r="668" customFormat="false" ht="15" hidden="false" customHeight="false" outlineLevel="0" collapsed="false">
      <c r="A668" s="0" t="s">
        <v>10</v>
      </c>
      <c r="B668" s="0" t="s">
        <v>1075</v>
      </c>
      <c r="C668" s="0" t="s">
        <v>2873</v>
      </c>
      <c r="D668" s="0" t="n">
        <v>0.4</v>
      </c>
    </row>
    <row r="669" customFormat="false" ht="15" hidden="false" customHeight="false" outlineLevel="0" collapsed="false">
      <c r="A669" s="0" t="s">
        <v>10</v>
      </c>
      <c r="B669" s="0" t="s">
        <v>1075</v>
      </c>
      <c r="C669" s="0" t="s">
        <v>2879</v>
      </c>
      <c r="D669" s="0" t="n">
        <v>0.3</v>
      </c>
    </row>
    <row r="670" customFormat="false" ht="15" hidden="false" customHeight="false" outlineLevel="0" collapsed="false">
      <c r="A670" s="0" t="s">
        <v>10</v>
      </c>
      <c r="B670" s="0" t="s">
        <v>1075</v>
      </c>
      <c r="C670" s="0" t="s">
        <v>2880</v>
      </c>
      <c r="D670" s="0" t="n">
        <v>0.6</v>
      </c>
    </row>
    <row r="671" customFormat="false" ht="15" hidden="false" customHeight="false" outlineLevel="0" collapsed="false">
      <c r="A671" s="0" t="s">
        <v>10</v>
      </c>
      <c r="B671" s="0" t="s">
        <v>1076</v>
      </c>
      <c r="C671" s="0" t="s">
        <v>2873</v>
      </c>
      <c r="D671" s="0" t="n">
        <v>0.45</v>
      </c>
    </row>
    <row r="672" customFormat="false" ht="15" hidden="false" customHeight="false" outlineLevel="0" collapsed="false">
      <c r="A672" s="0" t="s">
        <v>10</v>
      </c>
      <c r="B672" s="0" t="s">
        <v>1076</v>
      </c>
      <c r="C672" s="0" t="s">
        <v>2879</v>
      </c>
      <c r="D672" s="0" t="n">
        <v>0.3</v>
      </c>
    </row>
    <row r="673" customFormat="false" ht="15" hidden="false" customHeight="false" outlineLevel="0" collapsed="false">
      <c r="A673" s="0" t="s">
        <v>10</v>
      </c>
      <c r="B673" s="0" t="s">
        <v>1076</v>
      </c>
      <c r="C673" s="0" t="s">
        <v>2880</v>
      </c>
      <c r="D673" s="0" t="n">
        <v>0.65</v>
      </c>
    </row>
    <row r="674" customFormat="false" ht="15" hidden="false" customHeight="false" outlineLevel="0" collapsed="false">
      <c r="A674" s="0" t="s">
        <v>10</v>
      </c>
      <c r="B674" s="0" t="s">
        <v>1077</v>
      </c>
      <c r="C674" s="0" t="s">
        <v>2873</v>
      </c>
      <c r="D674" s="0" t="n">
        <v>0.5</v>
      </c>
    </row>
    <row r="675" customFormat="false" ht="15" hidden="false" customHeight="false" outlineLevel="0" collapsed="false">
      <c r="A675" s="0" t="s">
        <v>10</v>
      </c>
      <c r="B675" s="0" t="s">
        <v>1077</v>
      </c>
      <c r="C675" s="0" t="s">
        <v>2879</v>
      </c>
      <c r="D675" s="0" t="n">
        <v>0.35</v>
      </c>
    </row>
    <row r="676" customFormat="false" ht="15" hidden="false" customHeight="false" outlineLevel="0" collapsed="false">
      <c r="A676" s="0" t="s">
        <v>10</v>
      </c>
      <c r="B676" s="0" t="s">
        <v>1077</v>
      </c>
      <c r="C676" s="0" t="s">
        <v>2880</v>
      </c>
      <c r="D676" s="0" t="n">
        <v>0.7</v>
      </c>
    </row>
    <row r="677" customFormat="false" ht="15" hidden="false" customHeight="false" outlineLevel="0" collapsed="false">
      <c r="A677" s="0" t="s">
        <v>10</v>
      </c>
      <c r="B677" s="0" t="s">
        <v>1078</v>
      </c>
      <c r="C677" s="0" t="s">
        <v>2873</v>
      </c>
      <c r="D677" s="0" t="n">
        <v>0</v>
      </c>
    </row>
    <row r="678" customFormat="false" ht="15" hidden="false" customHeight="false" outlineLevel="0" collapsed="false">
      <c r="A678" s="0" t="s">
        <v>10</v>
      </c>
      <c r="B678" s="0" t="s">
        <v>1078</v>
      </c>
      <c r="C678" s="0" t="s">
        <v>2879</v>
      </c>
      <c r="D678" s="0" t="n">
        <v>0</v>
      </c>
    </row>
    <row r="679" customFormat="false" ht="15" hidden="false" customHeight="false" outlineLevel="0" collapsed="false">
      <c r="A679" s="0" t="s">
        <v>10</v>
      </c>
      <c r="B679" s="0" t="s">
        <v>1078</v>
      </c>
      <c r="C679" s="0" t="s">
        <v>2880</v>
      </c>
      <c r="D679" s="0" t="n">
        <v>0</v>
      </c>
    </row>
    <row r="680" customFormat="false" ht="15" hidden="false" customHeight="false" outlineLevel="0" collapsed="false">
      <c r="A680" s="0" t="s">
        <v>10</v>
      </c>
      <c r="B680" s="0" t="s">
        <v>1083</v>
      </c>
      <c r="C680" s="0" t="s">
        <v>2873</v>
      </c>
      <c r="D680" s="0" t="n">
        <v>3</v>
      </c>
    </row>
    <row r="681" customFormat="false" ht="15" hidden="false" customHeight="false" outlineLevel="0" collapsed="false">
      <c r="A681" s="0" t="s">
        <v>10</v>
      </c>
      <c r="B681" s="0" t="s">
        <v>1083</v>
      </c>
      <c r="C681" s="0" t="s">
        <v>2879</v>
      </c>
      <c r="D681" s="0" t="n">
        <v>1.5</v>
      </c>
    </row>
    <row r="682" customFormat="false" ht="15" hidden="false" customHeight="false" outlineLevel="0" collapsed="false">
      <c r="A682" s="0" t="s">
        <v>10</v>
      </c>
      <c r="B682" s="0" t="s">
        <v>1083</v>
      </c>
      <c r="C682" s="0" t="s">
        <v>2880</v>
      </c>
      <c r="D682" s="0" t="n">
        <v>5</v>
      </c>
    </row>
    <row r="683" customFormat="false" ht="15" hidden="false" customHeight="false" outlineLevel="0" collapsed="false">
      <c r="A683" s="0" t="s">
        <v>10</v>
      </c>
      <c r="B683" s="0" t="s">
        <v>1084</v>
      </c>
      <c r="C683" s="0" t="s">
        <v>2873</v>
      </c>
      <c r="D683" s="0" t="n">
        <v>4</v>
      </c>
    </row>
    <row r="684" customFormat="false" ht="15" hidden="false" customHeight="false" outlineLevel="0" collapsed="false">
      <c r="A684" s="0" t="s">
        <v>10</v>
      </c>
      <c r="B684" s="0" t="s">
        <v>1084</v>
      </c>
      <c r="C684" s="0" t="s">
        <v>2879</v>
      </c>
      <c r="D684" s="0" t="n">
        <v>2</v>
      </c>
    </row>
    <row r="685" customFormat="false" ht="15" hidden="false" customHeight="false" outlineLevel="0" collapsed="false">
      <c r="A685" s="0" t="s">
        <v>10</v>
      </c>
      <c r="B685" s="0" t="s">
        <v>1084</v>
      </c>
      <c r="C685" s="0" t="s">
        <v>2880</v>
      </c>
      <c r="D685" s="0" t="n">
        <v>6</v>
      </c>
    </row>
    <row r="686" customFormat="false" ht="15" hidden="false" customHeight="false" outlineLevel="0" collapsed="false">
      <c r="A686" s="0" t="s">
        <v>10</v>
      </c>
      <c r="B686" s="0" t="s">
        <v>1085</v>
      </c>
      <c r="C686" s="0" t="s">
        <v>2873</v>
      </c>
      <c r="D686" s="0" t="n">
        <v>4.5</v>
      </c>
    </row>
    <row r="687" customFormat="false" ht="15" hidden="false" customHeight="false" outlineLevel="0" collapsed="false">
      <c r="A687" s="0" t="s">
        <v>10</v>
      </c>
      <c r="B687" s="0" t="s">
        <v>1085</v>
      </c>
      <c r="C687" s="0" t="s">
        <v>2879</v>
      </c>
      <c r="D687" s="0" t="n">
        <v>2.5</v>
      </c>
    </row>
    <row r="688" customFormat="false" ht="15" hidden="false" customHeight="false" outlineLevel="0" collapsed="false">
      <c r="A688" s="0" t="s">
        <v>10</v>
      </c>
      <c r="B688" s="0" t="s">
        <v>1085</v>
      </c>
      <c r="C688" s="0" t="s">
        <v>2880</v>
      </c>
      <c r="D688" s="0" t="n">
        <v>7.5</v>
      </c>
    </row>
    <row r="689" customFormat="false" ht="15" hidden="false" customHeight="false" outlineLevel="0" collapsed="false">
      <c r="A689" s="0" t="s">
        <v>10</v>
      </c>
      <c r="B689" s="0" t="s">
        <v>1086</v>
      </c>
      <c r="C689" s="0" t="s">
        <v>2873</v>
      </c>
      <c r="D689" s="0" t="n">
        <v>5</v>
      </c>
    </row>
    <row r="690" customFormat="false" ht="15" hidden="false" customHeight="false" outlineLevel="0" collapsed="false">
      <c r="A690" s="0" t="s">
        <v>10</v>
      </c>
      <c r="B690" s="0" t="s">
        <v>1086</v>
      </c>
      <c r="C690" s="0" t="s">
        <v>2879</v>
      </c>
      <c r="D690" s="0" t="n">
        <v>3</v>
      </c>
    </row>
    <row r="691" customFormat="false" ht="15" hidden="false" customHeight="false" outlineLevel="0" collapsed="false">
      <c r="A691" s="0" t="s">
        <v>10</v>
      </c>
      <c r="B691" s="0" t="s">
        <v>1086</v>
      </c>
      <c r="C691" s="0" t="s">
        <v>2880</v>
      </c>
      <c r="D691" s="0" t="n">
        <v>9</v>
      </c>
    </row>
    <row r="692" customFormat="false" ht="15" hidden="false" customHeight="false" outlineLevel="0" collapsed="false">
      <c r="A692" s="0" t="s">
        <v>10</v>
      </c>
      <c r="B692" s="0" t="s">
        <v>1087</v>
      </c>
      <c r="C692" s="0" t="s">
        <v>2873</v>
      </c>
      <c r="D692" s="0" t="n">
        <v>5.5</v>
      </c>
    </row>
    <row r="693" customFormat="false" ht="15" hidden="false" customHeight="false" outlineLevel="0" collapsed="false">
      <c r="A693" s="0" t="s">
        <v>10</v>
      </c>
      <c r="B693" s="0" t="s">
        <v>1087</v>
      </c>
      <c r="C693" s="0" t="s">
        <v>2879</v>
      </c>
      <c r="D693" s="0" t="n">
        <v>3.5</v>
      </c>
    </row>
    <row r="694" customFormat="false" ht="15" hidden="false" customHeight="false" outlineLevel="0" collapsed="false">
      <c r="A694" s="0" t="s">
        <v>10</v>
      </c>
      <c r="B694" s="0" t="s">
        <v>1087</v>
      </c>
      <c r="C694" s="0" t="s">
        <v>2880</v>
      </c>
      <c r="D694" s="0" t="n">
        <v>11</v>
      </c>
    </row>
    <row r="695" customFormat="false" ht="15" hidden="false" customHeight="false" outlineLevel="0" collapsed="false">
      <c r="A695" s="0" t="s">
        <v>10</v>
      </c>
      <c r="B695" s="0" t="s">
        <v>1088</v>
      </c>
      <c r="C695" s="0" t="s">
        <v>2873</v>
      </c>
      <c r="D695" s="0" t="n">
        <v>0</v>
      </c>
    </row>
    <row r="696" customFormat="false" ht="15" hidden="false" customHeight="false" outlineLevel="0" collapsed="false">
      <c r="A696" s="0" t="s">
        <v>10</v>
      </c>
      <c r="B696" s="0" t="s">
        <v>1088</v>
      </c>
      <c r="C696" s="0" t="s">
        <v>2879</v>
      </c>
    </row>
    <row r="697" customFormat="false" ht="15" hidden="false" customHeight="false" outlineLevel="0" collapsed="false">
      <c r="A697" s="0" t="s">
        <v>10</v>
      </c>
      <c r="B697" s="0" t="s">
        <v>1088</v>
      </c>
      <c r="C697" s="0" t="s">
        <v>2880</v>
      </c>
    </row>
    <row r="698" customFormat="false" ht="15" hidden="false" customHeight="false" outlineLevel="0" collapsed="false">
      <c r="A698" s="0" t="s">
        <v>10</v>
      </c>
      <c r="B698" s="0" t="s">
        <v>1092</v>
      </c>
      <c r="C698" s="0" t="s">
        <v>2873</v>
      </c>
      <c r="D698" s="0" t="n">
        <v>-0.35</v>
      </c>
    </row>
    <row r="699" customFormat="false" ht="15" hidden="false" customHeight="false" outlineLevel="0" collapsed="false">
      <c r="A699" s="0" t="s">
        <v>10</v>
      </c>
      <c r="B699" s="0" t="s">
        <v>1092</v>
      </c>
      <c r="C699" s="0" t="s">
        <v>2879</v>
      </c>
    </row>
    <row r="700" customFormat="false" ht="15" hidden="false" customHeight="false" outlineLevel="0" collapsed="false">
      <c r="A700" s="0" t="s">
        <v>10</v>
      </c>
      <c r="B700" s="0" t="s">
        <v>1092</v>
      </c>
      <c r="C700" s="0" t="s">
        <v>2880</v>
      </c>
    </row>
    <row r="701" customFormat="false" ht="15" hidden="false" customHeight="false" outlineLevel="0" collapsed="false">
      <c r="A701" s="0" t="s">
        <v>10</v>
      </c>
      <c r="B701" s="0" t="s">
        <v>1096</v>
      </c>
      <c r="C701" s="0" t="s">
        <v>2873</v>
      </c>
      <c r="D701" s="0" t="n">
        <v>-0.15</v>
      </c>
    </row>
    <row r="702" customFormat="false" ht="15" hidden="false" customHeight="false" outlineLevel="0" collapsed="false">
      <c r="A702" s="0" t="s">
        <v>10</v>
      </c>
      <c r="B702" s="0" t="s">
        <v>1096</v>
      </c>
      <c r="C702" s="0" t="s">
        <v>2879</v>
      </c>
    </row>
    <row r="703" customFormat="false" ht="15" hidden="false" customHeight="false" outlineLevel="0" collapsed="false">
      <c r="A703" s="0" t="s">
        <v>10</v>
      </c>
      <c r="B703" s="0" t="s">
        <v>1096</v>
      </c>
      <c r="C703" s="0" t="s">
        <v>2880</v>
      </c>
    </row>
    <row r="704" customFormat="false" ht="15" hidden="false" customHeight="false" outlineLevel="0" collapsed="false">
      <c r="A704" s="0" t="s">
        <v>10</v>
      </c>
      <c r="B704" s="0" t="s">
        <v>1099</v>
      </c>
      <c r="C704" s="0" t="s">
        <v>2873</v>
      </c>
      <c r="D704" s="0" t="n">
        <v>0.25</v>
      </c>
    </row>
    <row r="705" customFormat="false" ht="15" hidden="false" customHeight="false" outlineLevel="0" collapsed="false">
      <c r="A705" s="0" t="s">
        <v>10</v>
      </c>
      <c r="B705" s="0" t="s">
        <v>1099</v>
      </c>
      <c r="C705" s="0" t="s">
        <v>2879</v>
      </c>
    </row>
    <row r="706" customFormat="false" ht="15" hidden="false" customHeight="false" outlineLevel="0" collapsed="false">
      <c r="A706" s="0" t="s">
        <v>10</v>
      </c>
      <c r="B706" s="0" t="s">
        <v>1099</v>
      </c>
      <c r="C706" s="0" t="s">
        <v>2880</v>
      </c>
    </row>
    <row r="707" customFormat="false" ht="15" hidden="false" customHeight="false" outlineLevel="0" collapsed="false">
      <c r="A707" s="0" t="s">
        <v>10</v>
      </c>
      <c r="B707" s="0" t="s">
        <v>1102</v>
      </c>
      <c r="C707" s="0" t="s">
        <v>2873</v>
      </c>
      <c r="D707" s="0" t="n">
        <v>-0.45</v>
      </c>
    </row>
    <row r="708" customFormat="false" ht="15" hidden="false" customHeight="false" outlineLevel="0" collapsed="false">
      <c r="A708" s="0" t="s">
        <v>10</v>
      </c>
      <c r="B708" s="0" t="s">
        <v>1102</v>
      </c>
      <c r="C708" s="0" t="s">
        <v>2879</v>
      </c>
    </row>
    <row r="709" customFormat="false" ht="15" hidden="false" customHeight="false" outlineLevel="0" collapsed="false">
      <c r="A709" s="0" t="s">
        <v>10</v>
      </c>
      <c r="B709" s="0" t="s">
        <v>1102</v>
      </c>
      <c r="C709" s="0" t="s">
        <v>2880</v>
      </c>
    </row>
    <row r="710" customFormat="false" ht="15" hidden="false" customHeight="false" outlineLevel="0" collapsed="false">
      <c r="A710" s="0" t="s">
        <v>10</v>
      </c>
      <c r="B710" s="0" t="s">
        <v>1105</v>
      </c>
      <c r="C710" s="0" t="s">
        <v>2873</v>
      </c>
      <c r="D710" s="0" t="n">
        <v>-0.6</v>
      </c>
    </row>
    <row r="711" customFormat="false" ht="15" hidden="false" customHeight="false" outlineLevel="0" collapsed="false">
      <c r="A711" s="0" t="s">
        <v>10</v>
      </c>
      <c r="B711" s="0" t="s">
        <v>1105</v>
      </c>
      <c r="C711" s="0" t="s">
        <v>2879</v>
      </c>
    </row>
    <row r="712" customFormat="false" ht="15" hidden="false" customHeight="false" outlineLevel="0" collapsed="false">
      <c r="A712" s="0" t="s">
        <v>10</v>
      </c>
      <c r="B712" s="0" t="s">
        <v>1105</v>
      </c>
      <c r="C712" s="0" t="s">
        <v>2880</v>
      </c>
    </row>
    <row r="713" customFormat="false" ht="15" hidden="false" customHeight="false" outlineLevel="0" collapsed="false">
      <c r="A713" s="0" t="s">
        <v>10</v>
      </c>
      <c r="B713" s="0" t="s">
        <v>1108</v>
      </c>
      <c r="C713" s="0" t="s">
        <v>2873</v>
      </c>
      <c r="D713" s="0" t="n">
        <v>-0.6</v>
      </c>
    </row>
    <row r="714" customFormat="false" ht="15" hidden="false" customHeight="false" outlineLevel="0" collapsed="false">
      <c r="A714" s="0" t="s">
        <v>10</v>
      </c>
      <c r="B714" s="0" t="s">
        <v>1108</v>
      </c>
      <c r="C714" s="0" t="s">
        <v>2879</v>
      </c>
    </row>
    <row r="715" customFormat="false" ht="15" hidden="false" customHeight="false" outlineLevel="0" collapsed="false">
      <c r="A715" s="0" t="s">
        <v>10</v>
      </c>
      <c r="B715" s="0" t="s">
        <v>1108</v>
      </c>
      <c r="C715" s="0" t="s">
        <v>2880</v>
      </c>
    </row>
    <row r="716" customFormat="false" ht="15" hidden="false" customHeight="false" outlineLevel="0" collapsed="false">
      <c r="A716" s="0" t="s">
        <v>10</v>
      </c>
      <c r="B716" s="0" t="s">
        <v>1111</v>
      </c>
      <c r="C716" s="0" t="s">
        <v>2873</v>
      </c>
      <c r="D716" s="0" t="n">
        <v>-0.7</v>
      </c>
    </row>
    <row r="717" customFormat="false" ht="15" hidden="false" customHeight="false" outlineLevel="0" collapsed="false">
      <c r="A717" s="0" t="s">
        <v>10</v>
      </c>
      <c r="B717" s="0" t="s">
        <v>1111</v>
      </c>
      <c r="C717" s="0" t="s">
        <v>2879</v>
      </c>
    </row>
    <row r="718" customFormat="false" ht="15" hidden="false" customHeight="false" outlineLevel="0" collapsed="false">
      <c r="A718" s="0" t="s">
        <v>10</v>
      </c>
      <c r="B718" s="0" t="s">
        <v>1111</v>
      </c>
      <c r="C718" s="0" t="s">
        <v>2880</v>
      </c>
    </row>
    <row r="719" customFormat="false" ht="15" hidden="false" customHeight="false" outlineLevel="0" collapsed="false">
      <c r="A719" s="0" t="s">
        <v>10</v>
      </c>
      <c r="B719" s="0" t="s">
        <v>1114</v>
      </c>
      <c r="C719" s="0" t="s">
        <v>2873</v>
      </c>
      <c r="D719" s="0" t="n">
        <v>-0.3</v>
      </c>
    </row>
    <row r="720" customFormat="false" ht="15" hidden="false" customHeight="false" outlineLevel="0" collapsed="false">
      <c r="A720" s="0" t="s">
        <v>10</v>
      </c>
      <c r="B720" s="0" t="s">
        <v>1114</v>
      </c>
      <c r="C720" s="0" t="s">
        <v>2879</v>
      </c>
    </row>
    <row r="721" customFormat="false" ht="15" hidden="false" customHeight="false" outlineLevel="0" collapsed="false">
      <c r="A721" s="0" t="s">
        <v>10</v>
      </c>
      <c r="B721" s="0" t="s">
        <v>1114</v>
      </c>
      <c r="C721" s="0" t="s">
        <v>2880</v>
      </c>
    </row>
    <row r="722" customFormat="false" ht="15" hidden="false" customHeight="false" outlineLevel="0" collapsed="false">
      <c r="A722" s="0" t="s">
        <v>10</v>
      </c>
      <c r="B722" s="0" t="s">
        <v>1117</v>
      </c>
      <c r="C722" s="0" t="s">
        <v>2873</v>
      </c>
      <c r="D722" s="0" t="n">
        <v>0.15</v>
      </c>
    </row>
    <row r="723" customFormat="false" ht="15" hidden="false" customHeight="false" outlineLevel="0" collapsed="false">
      <c r="A723" s="0" t="s">
        <v>10</v>
      </c>
      <c r="B723" s="0" t="s">
        <v>1117</v>
      </c>
      <c r="C723" s="0" t="s">
        <v>2879</v>
      </c>
    </row>
    <row r="724" customFormat="false" ht="15" hidden="false" customHeight="false" outlineLevel="0" collapsed="false">
      <c r="A724" s="0" t="s">
        <v>10</v>
      </c>
      <c r="B724" s="0" t="s">
        <v>1117</v>
      </c>
      <c r="C724" s="0" t="s">
        <v>2880</v>
      </c>
    </row>
    <row r="725" customFormat="false" ht="15" hidden="false" customHeight="false" outlineLevel="0" collapsed="false">
      <c r="A725" s="0" t="s">
        <v>10</v>
      </c>
      <c r="B725" s="0" t="s">
        <v>1120</v>
      </c>
      <c r="C725" s="0" t="s">
        <v>2873</v>
      </c>
      <c r="D725" s="0" t="n">
        <v>-0.3</v>
      </c>
    </row>
    <row r="726" customFormat="false" ht="15" hidden="false" customHeight="false" outlineLevel="0" collapsed="false">
      <c r="A726" s="0" t="s">
        <v>10</v>
      </c>
      <c r="B726" s="0" t="s">
        <v>1120</v>
      </c>
      <c r="C726" s="0" t="s">
        <v>2879</v>
      </c>
    </row>
    <row r="727" customFormat="false" ht="15" hidden="false" customHeight="false" outlineLevel="0" collapsed="false">
      <c r="A727" s="0" t="s">
        <v>10</v>
      </c>
      <c r="B727" s="0" t="s">
        <v>1120</v>
      </c>
      <c r="C727" s="0" t="s">
        <v>2880</v>
      </c>
    </row>
    <row r="728" customFormat="false" ht="15" hidden="false" customHeight="false" outlineLevel="0" collapsed="false">
      <c r="A728" s="0" t="s">
        <v>10</v>
      </c>
      <c r="B728" s="0" t="s">
        <v>1123</v>
      </c>
      <c r="C728" s="0" t="s">
        <v>2873</v>
      </c>
      <c r="D728" s="0" t="n">
        <v>-0.4</v>
      </c>
    </row>
    <row r="729" customFormat="false" ht="15" hidden="false" customHeight="false" outlineLevel="0" collapsed="false">
      <c r="A729" s="0" t="s">
        <v>10</v>
      </c>
      <c r="B729" s="0" t="s">
        <v>1123</v>
      </c>
      <c r="C729" s="0" t="s">
        <v>2879</v>
      </c>
    </row>
    <row r="730" customFormat="false" ht="15" hidden="false" customHeight="false" outlineLevel="0" collapsed="false">
      <c r="A730" s="0" t="s">
        <v>10</v>
      </c>
      <c r="B730" s="0" t="s">
        <v>1123</v>
      </c>
      <c r="C730" s="0" t="s">
        <v>2880</v>
      </c>
    </row>
    <row r="731" customFormat="false" ht="15" hidden="false" customHeight="false" outlineLevel="0" collapsed="false">
      <c r="A731" s="0" t="s">
        <v>10</v>
      </c>
      <c r="B731" s="0" t="s">
        <v>1126</v>
      </c>
      <c r="C731" s="0" t="s">
        <v>2873</v>
      </c>
      <c r="D731" s="0" t="n">
        <v>-0.4</v>
      </c>
    </row>
    <row r="732" customFormat="false" ht="15" hidden="false" customHeight="false" outlineLevel="0" collapsed="false">
      <c r="A732" s="0" t="s">
        <v>10</v>
      </c>
      <c r="B732" s="0" t="s">
        <v>1126</v>
      </c>
      <c r="C732" s="0" t="s">
        <v>2879</v>
      </c>
    </row>
    <row r="733" customFormat="false" ht="15" hidden="false" customHeight="false" outlineLevel="0" collapsed="false">
      <c r="A733" s="0" t="s">
        <v>10</v>
      </c>
      <c r="B733" s="0" t="s">
        <v>1126</v>
      </c>
      <c r="C733" s="0" t="s">
        <v>2880</v>
      </c>
    </row>
    <row r="734" customFormat="false" ht="15" hidden="false" customHeight="false" outlineLevel="0" collapsed="false">
      <c r="A734" s="0" t="s">
        <v>10</v>
      </c>
      <c r="B734" s="0" t="s">
        <v>1129</v>
      </c>
      <c r="C734" s="0" t="s">
        <v>2873</v>
      </c>
      <c r="D734" s="0" t="n">
        <v>-1.05</v>
      </c>
    </row>
    <row r="735" customFormat="false" ht="15" hidden="false" customHeight="false" outlineLevel="0" collapsed="false">
      <c r="A735" s="0" t="s">
        <v>10</v>
      </c>
      <c r="B735" s="0" t="s">
        <v>1129</v>
      </c>
      <c r="C735" s="0" t="s">
        <v>2879</v>
      </c>
    </row>
    <row r="736" customFormat="false" ht="15" hidden="false" customHeight="false" outlineLevel="0" collapsed="false">
      <c r="A736" s="0" t="s">
        <v>10</v>
      </c>
      <c r="B736" s="0" t="s">
        <v>1129</v>
      </c>
      <c r="C736" s="0" t="s">
        <v>2880</v>
      </c>
    </row>
    <row r="737" customFormat="false" ht="15" hidden="false" customHeight="false" outlineLevel="0" collapsed="false">
      <c r="A737" s="0" t="s">
        <v>10</v>
      </c>
      <c r="B737" s="0" t="s">
        <v>1132</v>
      </c>
      <c r="C737" s="0" t="s">
        <v>2873</v>
      </c>
      <c r="D737" s="0" t="n">
        <v>-0.45</v>
      </c>
    </row>
    <row r="738" customFormat="false" ht="15" hidden="false" customHeight="false" outlineLevel="0" collapsed="false">
      <c r="A738" s="0" t="s">
        <v>10</v>
      </c>
      <c r="B738" s="0" t="s">
        <v>1132</v>
      </c>
      <c r="C738" s="0" t="s">
        <v>2879</v>
      </c>
    </row>
    <row r="739" customFormat="false" ht="15" hidden="false" customHeight="false" outlineLevel="0" collapsed="false">
      <c r="A739" s="0" t="s">
        <v>10</v>
      </c>
      <c r="B739" s="0" t="s">
        <v>1132</v>
      </c>
      <c r="C739" s="0" t="s">
        <v>2880</v>
      </c>
    </row>
    <row r="740" customFormat="false" ht="15" hidden="false" customHeight="false" outlineLevel="0" collapsed="false">
      <c r="A740" s="0" t="s">
        <v>10</v>
      </c>
      <c r="B740" s="0" t="s">
        <v>1135</v>
      </c>
      <c r="C740" s="0" t="s">
        <v>2873</v>
      </c>
      <c r="D740" s="0" t="n">
        <v>0.1</v>
      </c>
    </row>
    <row r="741" customFormat="false" ht="15" hidden="false" customHeight="false" outlineLevel="0" collapsed="false">
      <c r="A741" s="0" t="s">
        <v>10</v>
      </c>
      <c r="B741" s="0" t="s">
        <v>1135</v>
      </c>
      <c r="C741" s="0" t="s">
        <v>2879</v>
      </c>
    </row>
    <row r="742" customFormat="false" ht="15" hidden="false" customHeight="false" outlineLevel="0" collapsed="false">
      <c r="A742" s="0" t="s">
        <v>10</v>
      </c>
      <c r="B742" s="0" t="s">
        <v>1135</v>
      </c>
      <c r="C742" s="0" t="s">
        <v>2880</v>
      </c>
    </row>
    <row r="743" customFormat="false" ht="15" hidden="false" customHeight="false" outlineLevel="0" collapsed="false">
      <c r="A743" s="0" t="s">
        <v>10</v>
      </c>
      <c r="B743" s="0" t="s">
        <v>1138</v>
      </c>
      <c r="C743" s="0" t="s">
        <v>2873</v>
      </c>
      <c r="D743" s="0" t="n">
        <v>-0.3</v>
      </c>
    </row>
    <row r="744" customFormat="false" ht="15" hidden="false" customHeight="false" outlineLevel="0" collapsed="false">
      <c r="A744" s="0" t="s">
        <v>10</v>
      </c>
      <c r="B744" s="0" t="s">
        <v>1138</v>
      </c>
      <c r="C744" s="0" t="s">
        <v>2879</v>
      </c>
    </row>
    <row r="745" customFormat="false" ht="15" hidden="false" customHeight="false" outlineLevel="0" collapsed="false">
      <c r="A745" s="0" t="s">
        <v>10</v>
      </c>
      <c r="B745" s="0" t="s">
        <v>1138</v>
      </c>
      <c r="C745" s="0" t="s">
        <v>2880</v>
      </c>
    </row>
    <row r="746" customFormat="false" ht="15" hidden="false" customHeight="false" outlineLevel="0" collapsed="false">
      <c r="A746" s="0" t="s">
        <v>10</v>
      </c>
      <c r="B746" s="0" t="s">
        <v>1141</v>
      </c>
      <c r="C746" s="0" t="s">
        <v>2873</v>
      </c>
      <c r="D746" s="0" t="n">
        <v>-0.4</v>
      </c>
    </row>
    <row r="747" customFormat="false" ht="15" hidden="false" customHeight="false" outlineLevel="0" collapsed="false">
      <c r="A747" s="0" t="s">
        <v>10</v>
      </c>
      <c r="B747" s="0" t="s">
        <v>1141</v>
      </c>
      <c r="C747" s="0" t="s">
        <v>2879</v>
      </c>
    </row>
    <row r="748" customFormat="false" ht="15" hidden="false" customHeight="false" outlineLevel="0" collapsed="false">
      <c r="A748" s="0" t="s">
        <v>10</v>
      </c>
      <c r="B748" s="0" t="s">
        <v>1141</v>
      </c>
      <c r="C748" s="0" t="s">
        <v>2880</v>
      </c>
    </row>
    <row r="749" customFormat="false" ht="15" hidden="false" customHeight="false" outlineLevel="0" collapsed="false">
      <c r="A749" s="0" t="s">
        <v>10</v>
      </c>
      <c r="B749" s="0" t="s">
        <v>1144</v>
      </c>
      <c r="C749" s="0" t="s">
        <v>2873</v>
      </c>
      <c r="D749" s="0" t="n">
        <v>-0.4</v>
      </c>
    </row>
    <row r="750" customFormat="false" ht="15" hidden="false" customHeight="false" outlineLevel="0" collapsed="false">
      <c r="A750" s="0" t="s">
        <v>10</v>
      </c>
      <c r="B750" s="0" t="s">
        <v>1144</v>
      </c>
      <c r="C750" s="0" t="s">
        <v>2879</v>
      </c>
    </row>
    <row r="751" customFormat="false" ht="15" hidden="false" customHeight="false" outlineLevel="0" collapsed="false">
      <c r="A751" s="0" t="s">
        <v>10</v>
      </c>
      <c r="B751" s="0" t="s">
        <v>1144</v>
      </c>
      <c r="C751" s="0" t="s">
        <v>2880</v>
      </c>
    </row>
    <row r="752" customFormat="false" ht="15" hidden="false" customHeight="false" outlineLevel="0" collapsed="false">
      <c r="A752" s="0" t="s">
        <v>10</v>
      </c>
      <c r="B752" s="0" t="s">
        <v>1147</v>
      </c>
      <c r="C752" s="0" t="s">
        <v>2873</v>
      </c>
      <c r="D752" s="0" t="n">
        <v>0.9</v>
      </c>
    </row>
    <row r="753" customFormat="false" ht="15" hidden="false" customHeight="false" outlineLevel="0" collapsed="false">
      <c r="A753" s="0" t="s">
        <v>10</v>
      </c>
      <c r="B753" s="0" t="s">
        <v>1147</v>
      </c>
      <c r="C753" s="0" t="s">
        <v>2879</v>
      </c>
    </row>
    <row r="754" customFormat="false" ht="15" hidden="false" customHeight="false" outlineLevel="0" collapsed="false">
      <c r="A754" s="0" t="s">
        <v>10</v>
      </c>
      <c r="B754" s="0" t="s">
        <v>1147</v>
      </c>
      <c r="C754" s="0" t="s">
        <v>2880</v>
      </c>
    </row>
    <row r="755" customFormat="false" ht="15" hidden="false" customHeight="false" outlineLevel="0" collapsed="false">
      <c r="A755" s="0" t="s">
        <v>10</v>
      </c>
      <c r="B755" s="0" t="s">
        <v>1152</v>
      </c>
      <c r="C755" s="0" t="s">
        <v>2873</v>
      </c>
      <c r="D755" s="0" t="n">
        <v>0.1</v>
      </c>
    </row>
    <row r="756" customFormat="false" ht="15" hidden="false" customHeight="false" outlineLevel="0" collapsed="false">
      <c r="A756" s="0" t="s">
        <v>10</v>
      </c>
      <c r="B756" s="0" t="s">
        <v>1152</v>
      </c>
      <c r="C756" s="0" t="s">
        <v>2879</v>
      </c>
    </row>
    <row r="757" customFormat="false" ht="15" hidden="false" customHeight="false" outlineLevel="0" collapsed="false">
      <c r="A757" s="0" t="s">
        <v>10</v>
      </c>
      <c r="B757" s="0" t="s">
        <v>1152</v>
      </c>
      <c r="C757" s="0" t="s">
        <v>2880</v>
      </c>
    </row>
    <row r="758" customFormat="false" ht="15" hidden="false" customHeight="false" outlineLevel="0" collapsed="false">
      <c r="A758" s="0" t="s">
        <v>10</v>
      </c>
      <c r="B758" s="0" t="s">
        <v>1154</v>
      </c>
      <c r="C758" s="0" t="s">
        <v>2873</v>
      </c>
      <c r="D758" s="0" t="n">
        <v>0</v>
      </c>
    </row>
    <row r="759" customFormat="false" ht="15" hidden="false" customHeight="false" outlineLevel="0" collapsed="false">
      <c r="A759" s="0" t="s">
        <v>10</v>
      </c>
      <c r="B759" s="0" t="s">
        <v>1154</v>
      </c>
      <c r="C759" s="0" t="s">
        <v>2879</v>
      </c>
    </row>
    <row r="760" customFormat="false" ht="15" hidden="false" customHeight="false" outlineLevel="0" collapsed="false">
      <c r="A760" s="0" t="s">
        <v>10</v>
      </c>
      <c r="B760" s="0" t="s">
        <v>1154</v>
      </c>
      <c r="C760" s="0" t="s">
        <v>2880</v>
      </c>
    </row>
    <row r="761" customFormat="false" ht="15" hidden="false" customHeight="false" outlineLevel="0" collapsed="false">
      <c r="A761" s="0" t="s">
        <v>10</v>
      </c>
      <c r="B761" s="0" t="s">
        <v>1156</v>
      </c>
      <c r="C761" s="0" t="s">
        <v>2873</v>
      </c>
      <c r="D761" s="0" t="n">
        <v>0.25</v>
      </c>
    </row>
    <row r="762" customFormat="false" ht="15" hidden="false" customHeight="false" outlineLevel="0" collapsed="false">
      <c r="A762" s="0" t="s">
        <v>10</v>
      </c>
      <c r="B762" s="0" t="s">
        <v>1156</v>
      </c>
      <c r="C762" s="0" t="s">
        <v>2879</v>
      </c>
    </row>
    <row r="763" customFormat="false" ht="15" hidden="false" customHeight="false" outlineLevel="0" collapsed="false">
      <c r="A763" s="0" t="s">
        <v>10</v>
      </c>
      <c r="B763" s="0" t="s">
        <v>1156</v>
      </c>
      <c r="C763" s="0" t="s">
        <v>2880</v>
      </c>
    </row>
    <row r="764" customFormat="false" ht="15" hidden="false" customHeight="false" outlineLevel="0" collapsed="false">
      <c r="A764" s="0" t="s">
        <v>10</v>
      </c>
      <c r="B764" s="0" t="s">
        <v>1158</v>
      </c>
      <c r="C764" s="0" t="s">
        <v>2873</v>
      </c>
      <c r="D764" s="0" t="n">
        <v>0.4</v>
      </c>
    </row>
    <row r="765" customFormat="false" ht="15" hidden="false" customHeight="false" outlineLevel="0" collapsed="false">
      <c r="A765" s="0" t="s">
        <v>10</v>
      </c>
      <c r="B765" s="0" t="s">
        <v>1158</v>
      </c>
      <c r="C765" s="0" t="s">
        <v>2879</v>
      </c>
    </row>
    <row r="766" customFormat="false" ht="15" hidden="false" customHeight="false" outlineLevel="0" collapsed="false">
      <c r="A766" s="0" t="s">
        <v>10</v>
      </c>
      <c r="B766" s="0" t="s">
        <v>1158</v>
      </c>
      <c r="C766" s="0" t="s">
        <v>2880</v>
      </c>
    </row>
    <row r="767" customFormat="false" ht="15" hidden="false" customHeight="false" outlineLevel="0" collapsed="false">
      <c r="A767" s="0" t="s">
        <v>10</v>
      </c>
      <c r="B767" s="0" t="s">
        <v>1160</v>
      </c>
      <c r="C767" s="0" t="s">
        <v>2873</v>
      </c>
      <c r="D767" s="0" t="n">
        <v>0.85</v>
      </c>
    </row>
    <row r="768" customFormat="false" ht="15" hidden="false" customHeight="false" outlineLevel="0" collapsed="false">
      <c r="A768" s="0" t="s">
        <v>10</v>
      </c>
      <c r="B768" s="0" t="s">
        <v>1160</v>
      </c>
      <c r="C768" s="0" t="s">
        <v>2879</v>
      </c>
    </row>
    <row r="769" customFormat="false" ht="15" hidden="false" customHeight="false" outlineLevel="0" collapsed="false">
      <c r="A769" s="0" t="s">
        <v>10</v>
      </c>
      <c r="B769" s="0" t="s">
        <v>1160</v>
      </c>
      <c r="C769" s="0" t="s">
        <v>2880</v>
      </c>
    </row>
    <row r="770" customFormat="false" ht="15" hidden="false" customHeight="false" outlineLevel="0" collapsed="false">
      <c r="A770" s="0" t="s">
        <v>10</v>
      </c>
      <c r="B770" s="0" t="s">
        <v>1163</v>
      </c>
      <c r="C770" s="0" t="s">
        <v>2873</v>
      </c>
      <c r="D770" s="0" t="n">
        <v>0.15</v>
      </c>
    </row>
    <row r="771" customFormat="false" ht="15" hidden="false" customHeight="false" outlineLevel="0" collapsed="false">
      <c r="A771" s="0" t="s">
        <v>10</v>
      </c>
      <c r="B771" s="0" t="s">
        <v>1163</v>
      </c>
      <c r="C771" s="0" t="s">
        <v>2879</v>
      </c>
    </row>
    <row r="772" customFormat="false" ht="15" hidden="false" customHeight="false" outlineLevel="0" collapsed="false">
      <c r="A772" s="0" t="s">
        <v>10</v>
      </c>
      <c r="B772" s="0" t="s">
        <v>1163</v>
      </c>
      <c r="C772" s="0" t="s">
        <v>2880</v>
      </c>
    </row>
    <row r="773" customFormat="false" ht="15" hidden="false" customHeight="false" outlineLevel="0" collapsed="false">
      <c r="A773" s="0" t="s">
        <v>10</v>
      </c>
      <c r="B773" s="0" t="s">
        <v>1164</v>
      </c>
      <c r="C773" s="0" t="s">
        <v>2873</v>
      </c>
      <c r="D773" s="0" t="n">
        <v>0</v>
      </c>
    </row>
    <row r="774" customFormat="false" ht="15" hidden="false" customHeight="false" outlineLevel="0" collapsed="false">
      <c r="A774" s="0" t="s">
        <v>10</v>
      </c>
      <c r="B774" s="0" t="s">
        <v>1164</v>
      </c>
      <c r="C774" s="0" t="s">
        <v>2879</v>
      </c>
    </row>
    <row r="775" customFormat="false" ht="15" hidden="false" customHeight="false" outlineLevel="0" collapsed="false">
      <c r="A775" s="0" t="s">
        <v>10</v>
      </c>
      <c r="B775" s="0" t="s">
        <v>1164</v>
      </c>
      <c r="C775" s="0" t="s">
        <v>2880</v>
      </c>
    </row>
    <row r="776" customFormat="false" ht="15" hidden="false" customHeight="false" outlineLevel="0" collapsed="false">
      <c r="A776" s="0" t="s">
        <v>10</v>
      </c>
      <c r="B776" s="0" t="s">
        <v>1165</v>
      </c>
      <c r="C776" s="0" t="s">
        <v>2873</v>
      </c>
      <c r="D776" s="0" t="n">
        <v>0.25</v>
      </c>
    </row>
    <row r="777" customFormat="false" ht="15" hidden="false" customHeight="false" outlineLevel="0" collapsed="false">
      <c r="A777" s="0" t="s">
        <v>10</v>
      </c>
      <c r="B777" s="0" t="s">
        <v>1165</v>
      </c>
      <c r="C777" s="0" t="s">
        <v>2879</v>
      </c>
    </row>
    <row r="778" customFormat="false" ht="15" hidden="false" customHeight="false" outlineLevel="0" collapsed="false">
      <c r="A778" s="0" t="s">
        <v>10</v>
      </c>
      <c r="B778" s="0" t="s">
        <v>1165</v>
      </c>
      <c r="C778" s="0" t="s">
        <v>2880</v>
      </c>
    </row>
    <row r="779" customFormat="false" ht="15" hidden="false" customHeight="false" outlineLevel="0" collapsed="false">
      <c r="A779" s="0" t="s">
        <v>10</v>
      </c>
      <c r="B779" s="0" t="s">
        <v>1166</v>
      </c>
      <c r="C779" s="0" t="s">
        <v>2873</v>
      </c>
      <c r="D779" s="0" t="n">
        <v>0.4</v>
      </c>
    </row>
    <row r="780" customFormat="false" ht="15" hidden="false" customHeight="false" outlineLevel="0" collapsed="false">
      <c r="A780" s="0" t="s">
        <v>10</v>
      </c>
      <c r="B780" s="0" t="s">
        <v>1166</v>
      </c>
      <c r="C780" s="0" t="s">
        <v>2879</v>
      </c>
    </row>
    <row r="781" customFormat="false" ht="15" hidden="false" customHeight="false" outlineLevel="0" collapsed="false">
      <c r="A781" s="0" t="s">
        <v>10</v>
      </c>
      <c r="B781" s="0" t="s">
        <v>1166</v>
      </c>
      <c r="C781" s="0" t="s">
        <v>2880</v>
      </c>
    </row>
    <row r="782" customFormat="false" ht="15" hidden="false" customHeight="false" outlineLevel="0" collapsed="false">
      <c r="A782" s="0" t="s">
        <v>10</v>
      </c>
      <c r="B782" s="0" t="s">
        <v>1167</v>
      </c>
      <c r="C782" s="0" t="s">
        <v>2873</v>
      </c>
      <c r="D782" s="0" t="n">
        <v>0.35</v>
      </c>
    </row>
    <row r="783" customFormat="false" ht="15" hidden="false" customHeight="false" outlineLevel="0" collapsed="false">
      <c r="A783" s="0" t="s">
        <v>10</v>
      </c>
      <c r="B783" s="0" t="s">
        <v>1167</v>
      </c>
      <c r="C783" s="0" t="s">
        <v>2879</v>
      </c>
    </row>
    <row r="784" customFormat="false" ht="15" hidden="false" customHeight="false" outlineLevel="0" collapsed="false">
      <c r="A784" s="0" t="s">
        <v>10</v>
      </c>
      <c r="B784" s="0" t="s">
        <v>1167</v>
      </c>
      <c r="C784" s="0" t="s">
        <v>2880</v>
      </c>
    </row>
    <row r="785" customFormat="false" ht="15" hidden="false" customHeight="false" outlineLevel="0" collapsed="false">
      <c r="A785" s="0" t="s">
        <v>10</v>
      </c>
      <c r="B785" s="0" t="s">
        <v>1170</v>
      </c>
      <c r="C785" s="0" t="s">
        <v>2873</v>
      </c>
      <c r="D785" s="0" t="n">
        <v>0.6</v>
      </c>
    </row>
    <row r="786" customFormat="false" ht="15" hidden="false" customHeight="false" outlineLevel="0" collapsed="false">
      <c r="A786" s="0" t="s">
        <v>10</v>
      </c>
      <c r="B786" s="0" t="s">
        <v>1170</v>
      </c>
      <c r="C786" s="0" t="s">
        <v>2879</v>
      </c>
    </row>
    <row r="787" customFormat="false" ht="15" hidden="false" customHeight="false" outlineLevel="0" collapsed="false">
      <c r="A787" s="0" t="s">
        <v>10</v>
      </c>
      <c r="B787" s="0" t="s">
        <v>1170</v>
      </c>
      <c r="C787" s="0" t="s">
        <v>2880</v>
      </c>
    </row>
    <row r="788" customFormat="false" ht="15" hidden="false" customHeight="false" outlineLevel="0" collapsed="false">
      <c r="A788" s="0" t="s">
        <v>10</v>
      </c>
      <c r="B788" s="0" t="s">
        <v>1171</v>
      </c>
      <c r="C788" s="0" t="s">
        <v>2873</v>
      </c>
      <c r="D788" s="0" t="n">
        <v>0.05</v>
      </c>
    </row>
    <row r="789" customFormat="false" ht="15" hidden="false" customHeight="false" outlineLevel="0" collapsed="false">
      <c r="A789" s="0" t="s">
        <v>10</v>
      </c>
      <c r="B789" s="0" t="s">
        <v>1171</v>
      </c>
      <c r="C789" s="0" t="s">
        <v>2879</v>
      </c>
    </row>
    <row r="790" customFormat="false" ht="15" hidden="false" customHeight="false" outlineLevel="0" collapsed="false">
      <c r="A790" s="0" t="s">
        <v>10</v>
      </c>
      <c r="B790" s="0" t="s">
        <v>1171</v>
      </c>
      <c r="C790" s="0" t="s">
        <v>2880</v>
      </c>
    </row>
    <row r="791" customFormat="false" ht="15" hidden="false" customHeight="false" outlineLevel="0" collapsed="false">
      <c r="A791" s="0" t="s">
        <v>10</v>
      </c>
      <c r="B791" s="0" t="s">
        <v>1172</v>
      </c>
      <c r="C791" s="0" t="s">
        <v>2873</v>
      </c>
      <c r="D791" s="0" t="n">
        <v>0.4</v>
      </c>
    </row>
    <row r="792" customFormat="false" ht="15" hidden="false" customHeight="false" outlineLevel="0" collapsed="false">
      <c r="A792" s="0" t="s">
        <v>10</v>
      </c>
      <c r="B792" s="0" t="s">
        <v>1172</v>
      </c>
      <c r="C792" s="0" t="s">
        <v>2879</v>
      </c>
    </row>
    <row r="793" customFormat="false" ht="15" hidden="false" customHeight="false" outlineLevel="0" collapsed="false">
      <c r="A793" s="0" t="s">
        <v>10</v>
      </c>
      <c r="B793" s="0" t="s">
        <v>1172</v>
      </c>
      <c r="C793" s="0" t="s">
        <v>2880</v>
      </c>
    </row>
    <row r="794" customFormat="false" ht="15" hidden="false" customHeight="false" outlineLevel="0" collapsed="false">
      <c r="A794" s="0" t="s">
        <v>10</v>
      </c>
      <c r="B794" s="0" t="s">
        <v>1173</v>
      </c>
      <c r="C794" s="0" t="s">
        <v>2873</v>
      </c>
      <c r="D794" s="0" t="n">
        <v>0.5</v>
      </c>
    </row>
    <row r="795" customFormat="false" ht="15" hidden="false" customHeight="false" outlineLevel="0" collapsed="false">
      <c r="A795" s="0" t="s">
        <v>10</v>
      </c>
      <c r="B795" s="0" t="s">
        <v>1173</v>
      </c>
      <c r="C795" s="0" t="s">
        <v>2879</v>
      </c>
    </row>
    <row r="796" customFormat="false" ht="15" hidden="false" customHeight="false" outlineLevel="0" collapsed="false">
      <c r="A796" s="0" t="s">
        <v>10</v>
      </c>
      <c r="B796" s="0" t="s">
        <v>1173</v>
      </c>
      <c r="C796" s="0" t="s">
        <v>2880</v>
      </c>
    </row>
    <row r="797" customFormat="false" ht="15" hidden="false" customHeight="false" outlineLevel="0" collapsed="false">
      <c r="A797" s="0" t="s">
        <v>10</v>
      </c>
      <c r="B797" s="0" t="s">
        <v>1174</v>
      </c>
      <c r="C797" s="0" t="s">
        <v>2873</v>
      </c>
      <c r="D797" s="0" t="n">
        <v>0.1</v>
      </c>
    </row>
    <row r="798" customFormat="false" ht="15" hidden="false" customHeight="false" outlineLevel="0" collapsed="false">
      <c r="A798" s="0" t="s">
        <v>10</v>
      </c>
      <c r="B798" s="0" t="s">
        <v>1174</v>
      </c>
      <c r="C798" s="0" t="s">
        <v>2879</v>
      </c>
    </row>
    <row r="799" customFormat="false" ht="15" hidden="false" customHeight="false" outlineLevel="0" collapsed="false">
      <c r="A799" s="0" t="s">
        <v>10</v>
      </c>
      <c r="B799" s="0" t="s">
        <v>1174</v>
      </c>
      <c r="C799" s="0" t="s">
        <v>2880</v>
      </c>
    </row>
    <row r="800" customFormat="false" ht="15" hidden="false" customHeight="false" outlineLevel="0" collapsed="false">
      <c r="A800" s="0" t="s">
        <v>10</v>
      </c>
      <c r="B800" s="0" t="s">
        <v>1177</v>
      </c>
      <c r="C800" s="0" t="s">
        <v>2873</v>
      </c>
      <c r="D800" s="0" t="n">
        <v>0.5</v>
      </c>
    </row>
    <row r="801" customFormat="false" ht="15" hidden="false" customHeight="false" outlineLevel="0" collapsed="false">
      <c r="A801" s="0" t="s">
        <v>10</v>
      </c>
      <c r="B801" s="0" t="s">
        <v>1177</v>
      </c>
      <c r="C801" s="0" t="s">
        <v>2879</v>
      </c>
    </row>
    <row r="802" customFormat="false" ht="15" hidden="false" customHeight="false" outlineLevel="0" collapsed="false">
      <c r="A802" s="0" t="s">
        <v>10</v>
      </c>
      <c r="B802" s="0" t="s">
        <v>1177</v>
      </c>
      <c r="C802" s="0" t="s">
        <v>2880</v>
      </c>
    </row>
    <row r="803" customFormat="false" ht="15" hidden="false" customHeight="false" outlineLevel="0" collapsed="false">
      <c r="A803" s="0" t="s">
        <v>10</v>
      </c>
      <c r="B803" s="0" t="s">
        <v>1178</v>
      </c>
      <c r="C803" s="0" t="s">
        <v>2873</v>
      </c>
      <c r="D803" s="0" t="n">
        <v>0.4</v>
      </c>
    </row>
    <row r="804" customFormat="false" ht="15" hidden="false" customHeight="false" outlineLevel="0" collapsed="false">
      <c r="A804" s="0" t="s">
        <v>10</v>
      </c>
      <c r="B804" s="0" t="s">
        <v>1178</v>
      </c>
      <c r="C804" s="0" t="s">
        <v>2879</v>
      </c>
    </row>
    <row r="805" customFormat="false" ht="15" hidden="false" customHeight="false" outlineLevel="0" collapsed="false">
      <c r="A805" s="0" t="s">
        <v>10</v>
      </c>
      <c r="B805" s="0" t="s">
        <v>1178</v>
      </c>
      <c r="C805" s="0" t="s">
        <v>2880</v>
      </c>
    </row>
    <row r="806" customFormat="false" ht="15" hidden="false" customHeight="false" outlineLevel="0" collapsed="false">
      <c r="A806" s="0" t="s">
        <v>10</v>
      </c>
      <c r="B806" s="0" t="s">
        <v>1179</v>
      </c>
      <c r="C806" s="0" t="s">
        <v>2873</v>
      </c>
      <c r="D806" s="0" t="n">
        <v>0.5</v>
      </c>
    </row>
    <row r="807" customFormat="false" ht="15" hidden="false" customHeight="false" outlineLevel="0" collapsed="false">
      <c r="A807" s="0" t="s">
        <v>10</v>
      </c>
      <c r="B807" s="0" t="s">
        <v>1179</v>
      </c>
      <c r="C807" s="0" t="s">
        <v>2879</v>
      </c>
    </row>
    <row r="808" customFormat="false" ht="15" hidden="false" customHeight="false" outlineLevel="0" collapsed="false">
      <c r="A808" s="0" t="s">
        <v>10</v>
      </c>
      <c r="B808" s="0" t="s">
        <v>1179</v>
      </c>
      <c r="C808" s="0" t="s">
        <v>2880</v>
      </c>
    </row>
    <row r="809" customFormat="false" ht="15" hidden="false" customHeight="false" outlineLevel="0" collapsed="false">
      <c r="A809" s="0" t="s">
        <v>10</v>
      </c>
      <c r="B809" s="0" t="s">
        <v>1180</v>
      </c>
      <c r="C809" s="0" t="s">
        <v>2873</v>
      </c>
      <c r="D809" s="0" t="n">
        <v>0.6</v>
      </c>
    </row>
    <row r="810" customFormat="false" ht="15" hidden="false" customHeight="false" outlineLevel="0" collapsed="false">
      <c r="A810" s="0" t="s">
        <v>10</v>
      </c>
      <c r="B810" s="0" t="s">
        <v>1180</v>
      </c>
      <c r="C810" s="0" t="s">
        <v>2879</v>
      </c>
    </row>
    <row r="811" customFormat="false" ht="15" hidden="false" customHeight="false" outlineLevel="0" collapsed="false">
      <c r="A811" s="0" t="s">
        <v>10</v>
      </c>
      <c r="B811" s="0" t="s">
        <v>1180</v>
      </c>
      <c r="C811" s="0" t="s">
        <v>2880</v>
      </c>
    </row>
    <row r="812" customFormat="false" ht="15" hidden="false" customHeight="false" outlineLevel="0" collapsed="false">
      <c r="A812" s="0" t="s">
        <v>10</v>
      </c>
      <c r="B812" s="0" t="s">
        <v>1181</v>
      </c>
      <c r="C812" s="0" t="s">
        <v>2873</v>
      </c>
      <c r="D812" s="0" t="n">
        <v>0.3</v>
      </c>
    </row>
    <row r="813" customFormat="false" ht="15" hidden="false" customHeight="false" outlineLevel="0" collapsed="false">
      <c r="A813" s="0" t="s">
        <v>10</v>
      </c>
      <c r="B813" s="0" t="s">
        <v>1181</v>
      </c>
      <c r="C813" s="0" t="s">
        <v>2879</v>
      </c>
    </row>
    <row r="814" customFormat="false" ht="15" hidden="false" customHeight="false" outlineLevel="0" collapsed="false">
      <c r="A814" s="0" t="s">
        <v>10</v>
      </c>
      <c r="B814" s="0" t="s">
        <v>1181</v>
      </c>
      <c r="C814" s="0" t="s">
        <v>2880</v>
      </c>
    </row>
    <row r="815" customFormat="false" ht="15" hidden="false" customHeight="false" outlineLevel="0" collapsed="false">
      <c r="A815" s="0" t="s">
        <v>10</v>
      </c>
      <c r="B815" s="0" t="s">
        <v>1184</v>
      </c>
      <c r="C815" s="0" t="s">
        <v>2873</v>
      </c>
      <c r="D815" s="0" t="n">
        <v>0.65</v>
      </c>
    </row>
    <row r="816" customFormat="false" ht="15" hidden="false" customHeight="false" outlineLevel="0" collapsed="false">
      <c r="A816" s="0" t="s">
        <v>10</v>
      </c>
      <c r="B816" s="0" t="s">
        <v>1184</v>
      </c>
      <c r="C816" s="0" t="s">
        <v>2879</v>
      </c>
    </row>
    <row r="817" customFormat="false" ht="15" hidden="false" customHeight="false" outlineLevel="0" collapsed="false">
      <c r="A817" s="0" t="s">
        <v>10</v>
      </c>
      <c r="B817" s="0" t="s">
        <v>1184</v>
      </c>
      <c r="C817" s="0" t="s">
        <v>2880</v>
      </c>
    </row>
    <row r="818" customFormat="false" ht="15" hidden="false" customHeight="false" outlineLevel="0" collapsed="false">
      <c r="A818" s="0" t="s">
        <v>10</v>
      </c>
      <c r="B818" s="0" t="s">
        <v>1185</v>
      </c>
      <c r="C818" s="0" t="s">
        <v>2873</v>
      </c>
      <c r="D818" s="0" t="n">
        <v>0.05</v>
      </c>
    </row>
    <row r="819" customFormat="false" ht="15" hidden="false" customHeight="false" outlineLevel="0" collapsed="false">
      <c r="A819" s="0" t="s">
        <v>10</v>
      </c>
      <c r="B819" s="0" t="s">
        <v>1185</v>
      </c>
      <c r="C819" s="0" t="s">
        <v>2879</v>
      </c>
    </row>
    <row r="820" customFormat="false" ht="15" hidden="false" customHeight="false" outlineLevel="0" collapsed="false">
      <c r="A820" s="0" t="s">
        <v>10</v>
      </c>
      <c r="B820" s="0" t="s">
        <v>1185</v>
      </c>
      <c r="C820" s="0" t="s">
        <v>2880</v>
      </c>
    </row>
    <row r="821" customFormat="false" ht="15" hidden="false" customHeight="false" outlineLevel="0" collapsed="false">
      <c r="A821" s="0" t="s">
        <v>10</v>
      </c>
      <c r="B821" s="0" t="s">
        <v>1186</v>
      </c>
      <c r="C821" s="0" t="s">
        <v>2873</v>
      </c>
      <c r="D821" s="0" t="n">
        <v>0.35</v>
      </c>
    </row>
    <row r="822" customFormat="false" ht="15" hidden="false" customHeight="false" outlineLevel="0" collapsed="false">
      <c r="A822" s="0" t="s">
        <v>10</v>
      </c>
      <c r="B822" s="0" t="s">
        <v>1186</v>
      </c>
      <c r="C822" s="0" t="s">
        <v>2879</v>
      </c>
    </row>
    <row r="823" customFormat="false" ht="15" hidden="false" customHeight="false" outlineLevel="0" collapsed="false">
      <c r="A823" s="0" t="s">
        <v>10</v>
      </c>
      <c r="B823" s="0" t="s">
        <v>1186</v>
      </c>
      <c r="C823" s="0" t="s">
        <v>2880</v>
      </c>
    </row>
    <row r="824" customFormat="false" ht="15" hidden="false" customHeight="false" outlineLevel="0" collapsed="false">
      <c r="A824" s="0" t="s">
        <v>10</v>
      </c>
      <c r="B824" s="0" t="s">
        <v>1187</v>
      </c>
      <c r="C824" s="0" t="s">
        <v>2873</v>
      </c>
      <c r="D824" s="0" t="n">
        <v>0.55</v>
      </c>
    </row>
    <row r="825" customFormat="false" ht="15" hidden="false" customHeight="false" outlineLevel="0" collapsed="false">
      <c r="A825" s="0" t="s">
        <v>10</v>
      </c>
      <c r="B825" s="0" t="s">
        <v>1187</v>
      </c>
      <c r="C825" s="0" t="s">
        <v>2879</v>
      </c>
    </row>
    <row r="826" customFormat="false" ht="15" hidden="false" customHeight="false" outlineLevel="0" collapsed="false">
      <c r="A826" s="0" t="s">
        <v>10</v>
      </c>
      <c r="B826" s="0" t="s">
        <v>1187</v>
      </c>
      <c r="C826" s="0" t="s">
        <v>2880</v>
      </c>
    </row>
    <row r="827" customFormat="false" ht="15" hidden="false" customHeight="false" outlineLevel="0" collapsed="false">
      <c r="A827" s="0" t="s">
        <v>10</v>
      </c>
      <c r="B827" s="0" t="s">
        <v>1188</v>
      </c>
      <c r="C827" s="0" t="s">
        <v>2873</v>
      </c>
      <c r="D827" s="0" t="n">
        <v>0.5</v>
      </c>
    </row>
    <row r="828" customFormat="false" ht="15" hidden="false" customHeight="false" outlineLevel="0" collapsed="false">
      <c r="A828" s="0" t="s">
        <v>10</v>
      </c>
      <c r="B828" s="0" t="s">
        <v>1188</v>
      </c>
      <c r="C828" s="0" t="s">
        <v>2879</v>
      </c>
      <c r="D828" s="0" t="n">
        <v>0.3</v>
      </c>
    </row>
    <row r="829" customFormat="false" ht="15" hidden="false" customHeight="false" outlineLevel="0" collapsed="false">
      <c r="A829" s="0" t="s">
        <v>10</v>
      </c>
      <c r="B829" s="0" t="s">
        <v>1188</v>
      </c>
      <c r="C829" s="0" t="s">
        <v>2880</v>
      </c>
      <c r="D829" s="0" t="n">
        <v>0.65</v>
      </c>
    </row>
    <row r="830" customFormat="false" ht="15" hidden="false" customHeight="false" outlineLevel="0" collapsed="false">
      <c r="A830" s="0" t="s">
        <v>10</v>
      </c>
      <c r="B830" s="0" t="s">
        <v>1192</v>
      </c>
      <c r="C830" s="0" t="s">
        <v>2873</v>
      </c>
      <c r="D830" s="0" t="s">
        <v>1195</v>
      </c>
    </row>
    <row r="831" customFormat="false" ht="15" hidden="false" customHeight="false" outlineLevel="0" collapsed="false">
      <c r="A831" s="0" t="s">
        <v>10</v>
      </c>
      <c r="B831" s="0" t="s">
        <v>1192</v>
      </c>
      <c r="C831" s="0" t="s">
        <v>2879</v>
      </c>
    </row>
    <row r="832" customFormat="false" ht="15" hidden="false" customHeight="false" outlineLevel="0" collapsed="false">
      <c r="A832" s="0" t="s">
        <v>10</v>
      </c>
      <c r="B832" s="0" t="s">
        <v>1192</v>
      </c>
      <c r="C832" s="0" t="s">
        <v>2880</v>
      </c>
    </row>
    <row r="833" customFormat="false" ht="15" hidden="false" customHeight="false" outlineLevel="0" collapsed="false">
      <c r="A833" s="0" t="s">
        <v>10</v>
      </c>
      <c r="B833" s="0" t="s">
        <v>1199</v>
      </c>
      <c r="C833" s="0" t="s">
        <v>2873</v>
      </c>
      <c r="D833" s="0" t="n">
        <v>2025</v>
      </c>
    </row>
    <row r="834" customFormat="false" ht="15" hidden="false" customHeight="false" outlineLevel="0" collapsed="false">
      <c r="A834" s="0" t="s">
        <v>10</v>
      </c>
      <c r="B834" s="0" t="s">
        <v>1199</v>
      </c>
      <c r="C834" s="0" t="s">
        <v>2879</v>
      </c>
      <c r="D834" s="0" t="n">
        <v>2025</v>
      </c>
    </row>
    <row r="835" customFormat="false" ht="15" hidden="false" customHeight="false" outlineLevel="0" collapsed="false">
      <c r="A835" s="0" t="s">
        <v>10</v>
      </c>
      <c r="B835" s="0" t="s">
        <v>1199</v>
      </c>
      <c r="C835" s="0" t="s">
        <v>2880</v>
      </c>
      <c r="D835" s="0" t="n">
        <v>2026</v>
      </c>
    </row>
    <row r="836" customFormat="false" ht="15" hidden="false" customHeight="false" outlineLevel="0" collapsed="false">
      <c r="A836" s="0" t="s">
        <v>10</v>
      </c>
      <c r="B836" s="0" t="s">
        <v>1203</v>
      </c>
      <c r="C836" s="0" t="s">
        <v>2873</v>
      </c>
      <c r="D836" s="0" t="n">
        <v>2030</v>
      </c>
    </row>
    <row r="837" customFormat="false" ht="15" hidden="false" customHeight="false" outlineLevel="0" collapsed="false">
      <c r="A837" s="0" t="s">
        <v>10</v>
      </c>
      <c r="B837" s="0" t="s">
        <v>1203</v>
      </c>
      <c r="C837" s="0" t="s">
        <v>2879</v>
      </c>
      <c r="D837" s="0" t="n">
        <v>2029</v>
      </c>
    </row>
    <row r="838" customFormat="false" ht="15" hidden="false" customHeight="false" outlineLevel="0" collapsed="false">
      <c r="A838" s="0" t="s">
        <v>10</v>
      </c>
      <c r="B838" s="0" t="s">
        <v>1203</v>
      </c>
      <c r="C838" s="0" t="s">
        <v>2880</v>
      </c>
      <c r="D838" s="0" t="n">
        <v>2032</v>
      </c>
    </row>
    <row r="839" customFormat="false" ht="15" hidden="false" customHeight="false" outlineLevel="0" collapsed="false">
      <c r="A839" s="0" t="s">
        <v>10</v>
      </c>
      <c r="B839" s="0" t="s">
        <v>1207</v>
      </c>
      <c r="C839" s="0" t="s">
        <v>2873</v>
      </c>
      <c r="D839" s="0" t="n">
        <v>20</v>
      </c>
    </row>
    <row r="840" customFormat="false" ht="15" hidden="false" customHeight="false" outlineLevel="0" collapsed="false">
      <c r="A840" s="0" t="s">
        <v>10</v>
      </c>
      <c r="B840" s="0" t="s">
        <v>1207</v>
      </c>
      <c r="C840" s="0" t="s">
        <v>2879</v>
      </c>
      <c r="D840" s="0" t="n">
        <v>20</v>
      </c>
    </row>
    <row r="841" customFormat="false" ht="15" hidden="false" customHeight="false" outlineLevel="0" collapsed="false">
      <c r="A841" s="0" t="s">
        <v>10</v>
      </c>
      <c r="B841" s="0" t="s">
        <v>1207</v>
      </c>
      <c r="C841" s="0" t="s">
        <v>2880</v>
      </c>
      <c r="D841" s="0" t="n">
        <v>25</v>
      </c>
    </row>
    <row r="842" customFormat="false" ht="15" hidden="false" customHeight="false" outlineLevel="0" collapsed="false">
      <c r="A842" s="0" t="s">
        <v>10</v>
      </c>
      <c r="B842" s="0" t="s">
        <v>1210</v>
      </c>
      <c r="C842" s="0" t="s">
        <v>2873</v>
      </c>
      <c r="D842" s="0" t="n">
        <v>2031</v>
      </c>
    </row>
    <row r="843" customFormat="false" ht="15" hidden="false" customHeight="false" outlineLevel="0" collapsed="false">
      <c r="A843" s="0" t="s">
        <v>10</v>
      </c>
      <c r="B843" s="0" t="s">
        <v>1210</v>
      </c>
      <c r="C843" s="0" t="s">
        <v>2879</v>
      </c>
      <c r="D843" s="0" t="n">
        <v>2029</v>
      </c>
    </row>
    <row r="844" customFormat="false" ht="15" hidden="false" customHeight="false" outlineLevel="0" collapsed="false">
      <c r="A844" s="0" t="s">
        <v>10</v>
      </c>
      <c r="B844" s="0" t="s">
        <v>1210</v>
      </c>
      <c r="C844" s="0" t="s">
        <v>2880</v>
      </c>
      <c r="D844" s="0" t="n">
        <v>2032</v>
      </c>
    </row>
    <row r="845" customFormat="false" ht="15" hidden="false" customHeight="false" outlineLevel="0" collapsed="false">
      <c r="A845" s="0" t="s">
        <v>10</v>
      </c>
      <c r="B845" s="0" t="s">
        <v>1213</v>
      </c>
      <c r="C845" s="0" t="s">
        <v>2873</v>
      </c>
      <c r="D845" s="0" t="n">
        <v>0</v>
      </c>
    </row>
    <row r="846" customFormat="false" ht="15" hidden="false" customHeight="false" outlineLevel="0" collapsed="false">
      <c r="A846" s="0" t="s">
        <v>10</v>
      </c>
      <c r="B846" s="0" t="s">
        <v>1213</v>
      </c>
      <c r="C846" s="0" t="s">
        <v>2879</v>
      </c>
    </row>
    <row r="847" customFormat="false" ht="15" hidden="false" customHeight="false" outlineLevel="0" collapsed="false">
      <c r="A847" s="0" t="s">
        <v>10</v>
      </c>
      <c r="B847" s="0" t="s">
        <v>1213</v>
      </c>
      <c r="C847" s="0" t="s">
        <v>2880</v>
      </c>
    </row>
    <row r="848" customFormat="false" ht="15" hidden="false" customHeight="false" outlineLevel="0" collapsed="false">
      <c r="A848" s="0" t="s">
        <v>10</v>
      </c>
      <c r="B848" s="0" t="s">
        <v>1216</v>
      </c>
      <c r="C848" s="0" t="s">
        <v>2873</v>
      </c>
      <c r="D848" s="0" t="n">
        <v>20</v>
      </c>
    </row>
    <row r="849" customFormat="false" ht="15" hidden="false" customHeight="false" outlineLevel="0" collapsed="false">
      <c r="A849" s="0" t="s">
        <v>10</v>
      </c>
      <c r="B849" s="0" t="s">
        <v>1216</v>
      </c>
      <c r="C849" s="0" t="s">
        <v>2879</v>
      </c>
    </row>
    <row r="850" customFormat="false" ht="15" hidden="false" customHeight="false" outlineLevel="0" collapsed="false">
      <c r="A850" s="0" t="s">
        <v>10</v>
      </c>
      <c r="B850" s="0" t="s">
        <v>1216</v>
      </c>
      <c r="C850" s="0" t="s">
        <v>2880</v>
      </c>
    </row>
    <row r="851" customFormat="false" ht="15" hidden="false" customHeight="false" outlineLevel="0" collapsed="false">
      <c r="A851" s="0" t="s">
        <v>10</v>
      </c>
      <c r="B851" s="0" t="s">
        <v>1218</v>
      </c>
      <c r="C851" s="0" t="s">
        <v>2873</v>
      </c>
      <c r="D851" s="0" t="n">
        <v>30</v>
      </c>
    </row>
    <row r="852" customFormat="false" ht="15" hidden="false" customHeight="false" outlineLevel="0" collapsed="false">
      <c r="A852" s="0" t="s">
        <v>10</v>
      </c>
      <c r="B852" s="0" t="s">
        <v>1218</v>
      </c>
      <c r="C852" s="0" t="s">
        <v>2879</v>
      </c>
    </row>
    <row r="853" customFormat="false" ht="15" hidden="false" customHeight="false" outlineLevel="0" collapsed="false">
      <c r="A853" s="0" t="s">
        <v>10</v>
      </c>
      <c r="B853" s="0" t="s">
        <v>1218</v>
      </c>
      <c r="C853" s="0" t="s">
        <v>2880</v>
      </c>
    </row>
    <row r="854" customFormat="false" ht="15" hidden="false" customHeight="false" outlineLevel="0" collapsed="false">
      <c r="A854" s="0" t="s">
        <v>10</v>
      </c>
      <c r="B854" s="0" t="s">
        <v>1219</v>
      </c>
      <c r="C854" s="0" t="s">
        <v>2873</v>
      </c>
      <c r="D854" s="0" t="n">
        <v>45</v>
      </c>
    </row>
    <row r="855" customFormat="false" ht="15" hidden="false" customHeight="false" outlineLevel="0" collapsed="false">
      <c r="A855" s="0" t="s">
        <v>10</v>
      </c>
      <c r="B855" s="0" t="s">
        <v>1219</v>
      </c>
      <c r="C855" s="0" t="s">
        <v>2879</v>
      </c>
    </row>
    <row r="856" customFormat="false" ht="15" hidden="false" customHeight="false" outlineLevel="0" collapsed="false">
      <c r="A856" s="0" t="s">
        <v>10</v>
      </c>
      <c r="B856" s="0" t="s">
        <v>1219</v>
      </c>
      <c r="C856" s="0" t="s">
        <v>2880</v>
      </c>
    </row>
    <row r="857" customFormat="false" ht="15" hidden="false" customHeight="false" outlineLevel="0" collapsed="false">
      <c r="A857" s="0" t="s">
        <v>10</v>
      </c>
      <c r="B857" s="0" t="s">
        <v>1220</v>
      </c>
      <c r="C857" s="0" t="s">
        <v>2873</v>
      </c>
      <c r="D857" s="0" t="n">
        <v>60</v>
      </c>
    </row>
    <row r="858" customFormat="false" ht="15" hidden="false" customHeight="false" outlineLevel="0" collapsed="false">
      <c r="A858" s="0" t="s">
        <v>10</v>
      </c>
      <c r="B858" s="0" t="s">
        <v>1220</v>
      </c>
      <c r="C858" s="0" t="s">
        <v>2879</v>
      </c>
    </row>
    <row r="859" customFormat="false" ht="15" hidden="false" customHeight="false" outlineLevel="0" collapsed="false">
      <c r="A859" s="0" t="s">
        <v>10</v>
      </c>
      <c r="B859" s="0" t="s">
        <v>1220</v>
      </c>
      <c r="C859" s="0" t="s">
        <v>2880</v>
      </c>
    </row>
    <row r="860" customFormat="false" ht="15" hidden="false" customHeight="false" outlineLevel="0" collapsed="false">
      <c r="A860" s="0" t="s">
        <v>10</v>
      </c>
      <c r="B860" s="0" t="s">
        <v>1221</v>
      </c>
      <c r="C860" s="0" t="s">
        <v>2873</v>
      </c>
      <c r="D860" s="0" t="n">
        <v>70</v>
      </c>
    </row>
    <row r="861" customFormat="false" ht="15" hidden="false" customHeight="false" outlineLevel="0" collapsed="false">
      <c r="A861" s="0" t="s">
        <v>10</v>
      </c>
      <c r="B861" s="0" t="s">
        <v>1221</v>
      </c>
      <c r="C861" s="0" t="s">
        <v>2879</v>
      </c>
    </row>
    <row r="862" customFormat="false" ht="15" hidden="false" customHeight="false" outlineLevel="0" collapsed="false">
      <c r="A862" s="0" t="s">
        <v>10</v>
      </c>
      <c r="B862" s="0" t="s">
        <v>1221</v>
      </c>
      <c r="C862" s="0" t="s">
        <v>2880</v>
      </c>
    </row>
    <row r="863" customFormat="false" ht="15" hidden="false" customHeight="false" outlineLevel="0" collapsed="false">
      <c r="A863" s="0" t="s">
        <v>10</v>
      </c>
      <c r="B863" s="0" t="s">
        <v>1222</v>
      </c>
      <c r="C863" s="0" t="s">
        <v>2873</v>
      </c>
      <c r="D863" s="0" t="n">
        <v>0.6</v>
      </c>
    </row>
    <row r="864" customFormat="false" ht="15" hidden="false" customHeight="false" outlineLevel="0" collapsed="false">
      <c r="A864" s="0" t="s">
        <v>10</v>
      </c>
      <c r="B864" s="0" t="s">
        <v>1222</v>
      </c>
      <c r="C864" s="0" t="s">
        <v>2879</v>
      </c>
    </row>
    <row r="865" customFormat="false" ht="15" hidden="false" customHeight="false" outlineLevel="0" collapsed="false">
      <c r="A865" s="0" t="s">
        <v>10</v>
      </c>
      <c r="B865" s="0" t="s">
        <v>1222</v>
      </c>
      <c r="C865" s="0" t="s">
        <v>2880</v>
      </c>
    </row>
    <row r="866" customFormat="false" ht="15" hidden="false" customHeight="false" outlineLevel="0" collapsed="false">
      <c r="A866" s="0" t="s">
        <v>10</v>
      </c>
      <c r="B866" s="0" t="s">
        <v>1224</v>
      </c>
      <c r="C866" s="0" t="s">
        <v>2873</v>
      </c>
      <c r="D866" s="0" t="n">
        <v>1.5</v>
      </c>
    </row>
    <row r="867" customFormat="false" ht="15" hidden="false" customHeight="false" outlineLevel="0" collapsed="false">
      <c r="A867" s="0" t="s">
        <v>10</v>
      </c>
      <c r="B867" s="0" t="s">
        <v>1224</v>
      </c>
      <c r="C867" s="0" t="s">
        <v>2879</v>
      </c>
    </row>
    <row r="868" customFormat="false" ht="15" hidden="false" customHeight="false" outlineLevel="0" collapsed="false">
      <c r="A868" s="0" t="s">
        <v>10</v>
      </c>
      <c r="B868" s="0" t="s">
        <v>1224</v>
      </c>
      <c r="C868" s="0" t="s">
        <v>2880</v>
      </c>
    </row>
    <row r="869" customFormat="false" ht="15" hidden="false" customHeight="false" outlineLevel="0" collapsed="false">
      <c r="A869" s="0" t="s">
        <v>10</v>
      </c>
      <c r="B869" s="0" t="s">
        <v>1226</v>
      </c>
      <c r="C869" s="0" t="s">
        <v>2873</v>
      </c>
      <c r="D869" s="0" t="n">
        <v>0</v>
      </c>
    </row>
    <row r="870" customFormat="false" ht="15" hidden="false" customHeight="false" outlineLevel="0" collapsed="false">
      <c r="A870" s="0" t="s">
        <v>10</v>
      </c>
      <c r="B870" s="0" t="s">
        <v>1226</v>
      </c>
      <c r="C870" s="0" t="s">
        <v>2879</v>
      </c>
      <c r="D870" s="0" t="n">
        <v>0</v>
      </c>
    </row>
    <row r="871" customFormat="false" ht="15" hidden="false" customHeight="false" outlineLevel="0" collapsed="false">
      <c r="A871" s="0" t="s">
        <v>10</v>
      </c>
      <c r="B871" s="0" t="s">
        <v>1226</v>
      </c>
      <c r="C871" s="0" t="s">
        <v>2880</v>
      </c>
      <c r="D871" s="0" t="n">
        <v>0.3</v>
      </c>
    </row>
    <row r="872" customFormat="false" ht="15" hidden="false" customHeight="false" outlineLevel="0" collapsed="false">
      <c r="A872" s="0" t="s">
        <v>10</v>
      </c>
      <c r="B872" s="0" t="s">
        <v>1231</v>
      </c>
      <c r="C872" s="0" t="s">
        <v>2873</v>
      </c>
      <c r="D872" s="0" t="n">
        <v>0.33</v>
      </c>
    </row>
    <row r="873" customFormat="false" ht="15" hidden="false" customHeight="false" outlineLevel="0" collapsed="false">
      <c r="A873" s="0" t="s">
        <v>10</v>
      </c>
      <c r="B873" s="0" t="s">
        <v>1231</v>
      </c>
      <c r="C873" s="0" t="s">
        <v>2879</v>
      </c>
    </row>
    <row r="874" customFormat="false" ht="15" hidden="false" customHeight="false" outlineLevel="0" collapsed="false">
      <c r="A874" s="0" t="s">
        <v>10</v>
      </c>
      <c r="B874" s="0" t="s">
        <v>1231</v>
      </c>
      <c r="C874" s="0" t="s">
        <v>2880</v>
      </c>
    </row>
    <row r="875" customFormat="false" ht="15" hidden="false" customHeight="false" outlineLevel="0" collapsed="false">
      <c r="A875" s="0" t="s">
        <v>10</v>
      </c>
      <c r="B875" s="0" t="s">
        <v>1236</v>
      </c>
      <c r="C875" s="0" t="s">
        <v>2873</v>
      </c>
      <c r="D875" s="0" t="n">
        <v>0.265</v>
      </c>
    </row>
    <row r="876" customFormat="false" ht="15" hidden="false" customHeight="false" outlineLevel="0" collapsed="false">
      <c r="A876" s="0" t="s">
        <v>10</v>
      </c>
      <c r="B876" s="0" t="s">
        <v>1236</v>
      </c>
      <c r="C876" s="0" t="s">
        <v>2879</v>
      </c>
    </row>
    <row r="877" customFormat="false" ht="15" hidden="false" customHeight="false" outlineLevel="0" collapsed="false">
      <c r="A877" s="0" t="s">
        <v>10</v>
      </c>
      <c r="B877" s="0" t="s">
        <v>1236</v>
      </c>
      <c r="C877" s="0" t="s">
        <v>2880</v>
      </c>
    </row>
    <row r="878" customFormat="false" ht="15" hidden="false" customHeight="false" outlineLevel="0" collapsed="false">
      <c r="A878" s="0" t="s">
        <v>10</v>
      </c>
      <c r="B878" s="0" t="s">
        <v>1237</v>
      </c>
      <c r="C878" s="0" t="s">
        <v>2873</v>
      </c>
      <c r="D878" s="0" t="n">
        <v>0.22</v>
      </c>
    </row>
    <row r="879" customFormat="false" ht="15" hidden="false" customHeight="false" outlineLevel="0" collapsed="false">
      <c r="A879" s="0" t="s">
        <v>10</v>
      </c>
      <c r="B879" s="0" t="s">
        <v>1237</v>
      </c>
      <c r="C879" s="0" t="s">
        <v>2879</v>
      </c>
    </row>
    <row r="880" customFormat="false" ht="15" hidden="false" customHeight="false" outlineLevel="0" collapsed="false">
      <c r="A880" s="0" t="s">
        <v>10</v>
      </c>
      <c r="B880" s="0" t="s">
        <v>1237</v>
      </c>
      <c r="C880" s="0" t="s">
        <v>2880</v>
      </c>
    </row>
    <row r="881" customFormat="false" ht="15" hidden="false" customHeight="false" outlineLevel="0" collapsed="false">
      <c r="A881" s="0" t="s">
        <v>10</v>
      </c>
      <c r="B881" s="0" t="s">
        <v>1238</v>
      </c>
      <c r="C881" s="0" t="s">
        <v>2873</v>
      </c>
      <c r="D881" s="0" t="n">
        <v>0.18</v>
      </c>
    </row>
    <row r="882" customFormat="false" ht="15" hidden="false" customHeight="false" outlineLevel="0" collapsed="false">
      <c r="A882" s="0" t="s">
        <v>10</v>
      </c>
      <c r="B882" s="0" t="s">
        <v>1238</v>
      </c>
      <c r="C882" s="0" t="s">
        <v>2879</v>
      </c>
    </row>
    <row r="883" customFormat="false" ht="15" hidden="false" customHeight="false" outlineLevel="0" collapsed="false">
      <c r="A883" s="0" t="s">
        <v>10</v>
      </c>
      <c r="B883" s="0" t="s">
        <v>1238</v>
      </c>
      <c r="C883" s="0" t="s">
        <v>2880</v>
      </c>
    </row>
    <row r="884" customFormat="false" ht="15" hidden="false" customHeight="false" outlineLevel="0" collapsed="false">
      <c r="A884" s="0" t="s">
        <v>10</v>
      </c>
      <c r="B884" s="0" t="s">
        <v>1239</v>
      </c>
      <c r="C884" s="0" t="s">
        <v>2873</v>
      </c>
      <c r="D884" s="0" t="n">
        <v>0.14</v>
      </c>
    </row>
    <row r="885" customFormat="false" ht="15" hidden="false" customHeight="false" outlineLevel="0" collapsed="false">
      <c r="A885" s="0" t="s">
        <v>10</v>
      </c>
      <c r="B885" s="0" t="s">
        <v>1239</v>
      </c>
      <c r="C885" s="0" t="s">
        <v>2879</v>
      </c>
    </row>
    <row r="886" customFormat="false" ht="15" hidden="false" customHeight="false" outlineLevel="0" collapsed="false">
      <c r="A886" s="0" t="s">
        <v>10</v>
      </c>
      <c r="B886" s="0" t="s">
        <v>1239</v>
      </c>
      <c r="C886" s="0" t="s">
        <v>2880</v>
      </c>
    </row>
    <row r="887" customFormat="false" ht="15" hidden="false" customHeight="false" outlineLevel="0" collapsed="false">
      <c r="A887" s="0" t="s">
        <v>10</v>
      </c>
      <c r="B887" s="0" t="s">
        <v>1240</v>
      </c>
      <c r="C887" s="0" t="s">
        <v>2873</v>
      </c>
      <c r="D887" s="0" t="n">
        <v>0.8</v>
      </c>
    </row>
    <row r="888" customFormat="false" ht="15" hidden="false" customHeight="false" outlineLevel="0" collapsed="false">
      <c r="A888" s="0" t="s">
        <v>10</v>
      </c>
      <c r="B888" s="0" t="s">
        <v>1240</v>
      </c>
      <c r="C888" s="0" t="s">
        <v>2879</v>
      </c>
    </row>
    <row r="889" customFormat="false" ht="15" hidden="false" customHeight="false" outlineLevel="0" collapsed="false">
      <c r="A889" s="0" t="s">
        <v>10</v>
      </c>
      <c r="B889" s="0" t="s">
        <v>1240</v>
      </c>
      <c r="C889" s="0" t="s">
        <v>2880</v>
      </c>
    </row>
    <row r="890" customFormat="false" ht="15" hidden="false" customHeight="false" outlineLevel="0" collapsed="false">
      <c r="A890" s="0" t="s">
        <v>10</v>
      </c>
      <c r="B890" s="0" t="s">
        <v>1243</v>
      </c>
      <c r="C890" s="0" t="s">
        <v>2873</v>
      </c>
      <c r="D890" s="0" t="n">
        <v>1.3</v>
      </c>
    </row>
    <row r="891" customFormat="false" ht="15" hidden="false" customHeight="false" outlineLevel="0" collapsed="false">
      <c r="A891" s="0" t="s">
        <v>10</v>
      </c>
      <c r="B891" s="0" t="s">
        <v>1243</v>
      </c>
      <c r="C891" s="0" t="s">
        <v>2879</v>
      </c>
    </row>
    <row r="892" customFormat="false" ht="15" hidden="false" customHeight="false" outlineLevel="0" collapsed="false">
      <c r="A892" s="0" t="s">
        <v>10</v>
      </c>
      <c r="B892" s="0" t="s">
        <v>1243</v>
      </c>
      <c r="C892" s="0" t="s">
        <v>2880</v>
      </c>
    </row>
    <row r="893" customFormat="false" ht="15" hidden="false" customHeight="false" outlineLevel="0" collapsed="false">
      <c r="A893" s="0" t="s">
        <v>10</v>
      </c>
      <c r="B893" s="0" t="s">
        <v>1245</v>
      </c>
      <c r="C893" s="0" t="s">
        <v>2873</v>
      </c>
      <c r="D893" s="0" t="n">
        <v>10</v>
      </c>
    </row>
    <row r="894" customFormat="false" ht="15" hidden="false" customHeight="false" outlineLevel="0" collapsed="false">
      <c r="A894" s="0" t="s">
        <v>10</v>
      </c>
      <c r="B894" s="0" t="s">
        <v>1245</v>
      </c>
      <c r="C894" s="0" t="s">
        <v>2879</v>
      </c>
      <c r="D894" s="0" t="n">
        <v>5</v>
      </c>
    </row>
    <row r="895" customFormat="false" ht="15" hidden="false" customHeight="false" outlineLevel="0" collapsed="false">
      <c r="A895" s="0" t="s">
        <v>10</v>
      </c>
      <c r="B895" s="0" t="s">
        <v>1245</v>
      </c>
      <c r="C895" s="0" t="s">
        <v>2880</v>
      </c>
      <c r="D895" s="0" t="n">
        <v>20</v>
      </c>
    </row>
    <row r="896" customFormat="false" ht="15" hidden="false" customHeight="false" outlineLevel="0" collapsed="false">
      <c r="A896" s="0" t="s">
        <v>10</v>
      </c>
      <c r="B896" s="0" t="s">
        <v>1249</v>
      </c>
      <c r="C896" s="0" t="s">
        <v>2873</v>
      </c>
      <c r="D896" s="0" t="n">
        <v>0.6</v>
      </c>
    </row>
    <row r="897" customFormat="false" ht="15" hidden="false" customHeight="false" outlineLevel="0" collapsed="false">
      <c r="A897" s="0" t="s">
        <v>10</v>
      </c>
      <c r="B897" s="0" t="s">
        <v>1249</v>
      </c>
      <c r="C897" s="0" t="s">
        <v>2879</v>
      </c>
      <c r="D897" s="0" t="n">
        <v>0.4</v>
      </c>
    </row>
    <row r="898" customFormat="false" ht="15" hidden="false" customHeight="false" outlineLevel="0" collapsed="false">
      <c r="A898" s="0" t="s">
        <v>10</v>
      </c>
      <c r="B898" s="0" t="s">
        <v>1249</v>
      </c>
      <c r="C898" s="0" t="s">
        <v>2880</v>
      </c>
      <c r="D898" s="0" t="n">
        <v>1</v>
      </c>
    </row>
    <row r="899" customFormat="false" ht="15" hidden="false" customHeight="false" outlineLevel="0" collapsed="false">
      <c r="A899" s="0" t="s">
        <v>10</v>
      </c>
      <c r="B899" s="0" t="s">
        <v>1254</v>
      </c>
      <c r="C899" s="0" t="s">
        <v>2873</v>
      </c>
      <c r="D899" s="0" t="n">
        <v>0.6</v>
      </c>
    </row>
    <row r="900" customFormat="false" ht="15" hidden="false" customHeight="false" outlineLevel="0" collapsed="false">
      <c r="A900" s="0" t="s">
        <v>10</v>
      </c>
      <c r="B900" s="0" t="s">
        <v>1254</v>
      </c>
      <c r="C900" s="0" t="s">
        <v>2879</v>
      </c>
    </row>
    <row r="901" customFormat="false" ht="15" hidden="false" customHeight="false" outlineLevel="0" collapsed="false">
      <c r="A901" s="0" t="s">
        <v>10</v>
      </c>
      <c r="B901" s="0" t="s">
        <v>1254</v>
      </c>
      <c r="C901" s="0" t="s">
        <v>2880</v>
      </c>
    </row>
    <row r="902" customFormat="false" ht="15" hidden="false" customHeight="false" outlineLevel="0" collapsed="false">
      <c r="A902" s="0" t="s">
        <v>10</v>
      </c>
      <c r="B902" s="0" t="s">
        <v>1259</v>
      </c>
      <c r="C902" s="0" t="s">
        <v>2873</v>
      </c>
      <c r="D902" s="0" t="n">
        <v>0.35</v>
      </c>
    </row>
    <row r="903" customFormat="false" ht="15" hidden="false" customHeight="false" outlineLevel="0" collapsed="false">
      <c r="A903" s="0" t="s">
        <v>10</v>
      </c>
      <c r="B903" s="0" t="s">
        <v>1259</v>
      </c>
      <c r="C903" s="0" t="s">
        <v>2879</v>
      </c>
    </row>
    <row r="904" customFormat="false" ht="15" hidden="false" customHeight="false" outlineLevel="0" collapsed="false">
      <c r="A904" s="0" t="s">
        <v>10</v>
      </c>
      <c r="B904" s="0" t="s">
        <v>1259</v>
      </c>
      <c r="C904" s="0" t="s">
        <v>2880</v>
      </c>
    </row>
    <row r="905" customFormat="false" ht="15" hidden="false" customHeight="false" outlineLevel="0" collapsed="false">
      <c r="A905" s="0" t="s">
        <v>10</v>
      </c>
      <c r="B905" s="0" t="s">
        <v>1260</v>
      </c>
      <c r="C905" s="0" t="s">
        <v>2873</v>
      </c>
      <c r="D905" s="0" t="n">
        <v>0.15</v>
      </c>
    </row>
    <row r="906" customFormat="false" ht="15" hidden="false" customHeight="false" outlineLevel="0" collapsed="false">
      <c r="A906" s="0" t="s">
        <v>10</v>
      </c>
      <c r="B906" s="0" t="s">
        <v>1260</v>
      </c>
      <c r="C906" s="0" t="s">
        <v>2879</v>
      </c>
    </row>
    <row r="907" customFormat="false" ht="15" hidden="false" customHeight="false" outlineLevel="0" collapsed="false">
      <c r="A907" s="0" t="s">
        <v>10</v>
      </c>
      <c r="B907" s="0" t="s">
        <v>1260</v>
      </c>
      <c r="C907" s="0" t="s">
        <v>2880</v>
      </c>
    </row>
    <row r="908" customFormat="false" ht="15" hidden="false" customHeight="false" outlineLevel="0" collapsed="false">
      <c r="A908" s="0" t="s">
        <v>10</v>
      </c>
      <c r="B908" s="0" t="s">
        <v>1261</v>
      </c>
      <c r="C908" s="0" t="s">
        <v>2873</v>
      </c>
      <c r="D908" s="0" t="n">
        <v>0.05</v>
      </c>
    </row>
    <row r="909" customFormat="false" ht="15" hidden="false" customHeight="false" outlineLevel="0" collapsed="false">
      <c r="A909" s="0" t="s">
        <v>10</v>
      </c>
      <c r="B909" s="0" t="s">
        <v>1261</v>
      </c>
      <c r="C909" s="0" t="s">
        <v>2879</v>
      </c>
    </row>
    <row r="910" customFormat="false" ht="15" hidden="false" customHeight="false" outlineLevel="0" collapsed="false">
      <c r="A910" s="0" t="s">
        <v>10</v>
      </c>
      <c r="B910" s="0" t="s">
        <v>1261</v>
      </c>
      <c r="C910" s="0" t="s">
        <v>2880</v>
      </c>
    </row>
    <row r="911" customFormat="false" ht="15" hidden="false" customHeight="false" outlineLevel="0" collapsed="false">
      <c r="A911" s="0" t="s">
        <v>10</v>
      </c>
      <c r="B911" s="0" t="s">
        <v>1262</v>
      </c>
      <c r="C911" s="0" t="s">
        <v>2873</v>
      </c>
      <c r="D911" s="0" t="n">
        <v>0</v>
      </c>
    </row>
    <row r="912" customFormat="false" ht="15" hidden="false" customHeight="false" outlineLevel="0" collapsed="false">
      <c r="A912" s="0" t="s">
        <v>10</v>
      </c>
      <c r="B912" s="0" t="s">
        <v>1262</v>
      </c>
      <c r="C912" s="0" t="s">
        <v>2879</v>
      </c>
    </row>
    <row r="913" customFormat="false" ht="15" hidden="false" customHeight="false" outlineLevel="0" collapsed="false">
      <c r="A913" s="0" t="s">
        <v>10</v>
      </c>
      <c r="B913" s="0" t="s">
        <v>1262</v>
      </c>
      <c r="C913" s="0" t="s">
        <v>2880</v>
      </c>
    </row>
    <row r="914" customFormat="false" ht="15" hidden="false" customHeight="false" outlineLevel="0" collapsed="false">
      <c r="A914" s="0" t="s">
        <v>10</v>
      </c>
      <c r="B914" s="0" t="s">
        <v>1263</v>
      </c>
      <c r="C914" s="0" t="s">
        <v>2873</v>
      </c>
      <c r="D914" s="0" t="n">
        <v>0</v>
      </c>
    </row>
    <row r="915" customFormat="false" ht="15" hidden="false" customHeight="false" outlineLevel="0" collapsed="false">
      <c r="A915" s="0" t="s">
        <v>10</v>
      </c>
      <c r="B915" s="0" t="s">
        <v>1263</v>
      </c>
      <c r="C915" s="0" t="s">
        <v>2879</v>
      </c>
    </row>
    <row r="916" customFormat="false" ht="15" hidden="false" customHeight="false" outlineLevel="0" collapsed="false">
      <c r="A916" s="0" t="s">
        <v>10</v>
      </c>
      <c r="B916" s="0" t="s">
        <v>1263</v>
      </c>
      <c r="C916" s="0" t="s">
        <v>2880</v>
      </c>
    </row>
    <row r="917" customFormat="false" ht="15" hidden="false" customHeight="false" outlineLevel="0" collapsed="false">
      <c r="A917" s="0" t="s">
        <v>10</v>
      </c>
      <c r="B917" s="0" t="s">
        <v>1264</v>
      </c>
      <c r="C917" s="0" t="s">
        <v>2873</v>
      </c>
      <c r="D917" s="0" t="n">
        <v>0.4</v>
      </c>
    </row>
    <row r="918" customFormat="false" ht="15" hidden="false" customHeight="false" outlineLevel="0" collapsed="false">
      <c r="A918" s="0" t="s">
        <v>10</v>
      </c>
      <c r="B918" s="0" t="s">
        <v>1264</v>
      </c>
      <c r="C918" s="0" t="s">
        <v>2879</v>
      </c>
    </row>
    <row r="919" customFormat="false" ht="15" hidden="false" customHeight="false" outlineLevel="0" collapsed="false">
      <c r="A919" s="0" t="s">
        <v>10</v>
      </c>
      <c r="B919" s="0" t="s">
        <v>1264</v>
      </c>
      <c r="C919" s="0" t="s">
        <v>2880</v>
      </c>
    </row>
    <row r="920" customFormat="false" ht="15" hidden="false" customHeight="false" outlineLevel="0" collapsed="false">
      <c r="A920" s="0" t="s">
        <v>10</v>
      </c>
      <c r="B920" s="0" t="s">
        <v>1268</v>
      </c>
      <c r="C920" s="0" t="s">
        <v>2873</v>
      </c>
      <c r="D920" s="0" t="n">
        <v>0.55</v>
      </c>
    </row>
    <row r="921" customFormat="false" ht="15" hidden="false" customHeight="false" outlineLevel="0" collapsed="false">
      <c r="A921" s="0" t="s">
        <v>10</v>
      </c>
      <c r="B921" s="0" t="s">
        <v>1268</v>
      </c>
      <c r="C921" s="0" t="s">
        <v>2879</v>
      </c>
    </row>
    <row r="922" customFormat="false" ht="15" hidden="false" customHeight="false" outlineLevel="0" collapsed="false">
      <c r="A922" s="0" t="s">
        <v>10</v>
      </c>
      <c r="B922" s="0" t="s">
        <v>1268</v>
      </c>
      <c r="C922" s="0" t="s">
        <v>2880</v>
      </c>
    </row>
    <row r="923" customFormat="false" ht="15" hidden="false" customHeight="false" outlineLevel="0" collapsed="false">
      <c r="A923" s="0" t="s">
        <v>10</v>
      </c>
      <c r="B923" s="0" t="s">
        <v>1269</v>
      </c>
      <c r="C923" s="0" t="s">
        <v>2873</v>
      </c>
      <c r="D923" s="0" t="n">
        <v>0.45</v>
      </c>
    </row>
    <row r="924" customFormat="false" ht="15" hidden="false" customHeight="false" outlineLevel="0" collapsed="false">
      <c r="A924" s="0" t="s">
        <v>10</v>
      </c>
      <c r="B924" s="0" t="s">
        <v>1269</v>
      </c>
      <c r="C924" s="0" t="s">
        <v>2879</v>
      </c>
    </row>
    <row r="925" customFormat="false" ht="15" hidden="false" customHeight="false" outlineLevel="0" collapsed="false">
      <c r="A925" s="0" t="s">
        <v>10</v>
      </c>
      <c r="B925" s="0" t="s">
        <v>1269</v>
      </c>
      <c r="C925" s="0" t="s">
        <v>2880</v>
      </c>
    </row>
    <row r="926" customFormat="false" ht="15" hidden="false" customHeight="false" outlineLevel="0" collapsed="false">
      <c r="A926" s="0" t="s">
        <v>10</v>
      </c>
      <c r="B926" s="0" t="s">
        <v>1270</v>
      </c>
      <c r="C926" s="0" t="s">
        <v>2873</v>
      </c>
      <c r="D926" s="0" t="n">
        <v>0.3</v>
      </c>
    </row>
    <row r="927" customFormat="false" ht="15" hidden="false" customHeight="false" outlineLevel="0" collapsed="false">
      <c r="A927" s="0" t="s">
        <v>10</v>
      </c>
      <c r="B927" s="0" t="s">
        <v>1270</v>
      </c>
      <c r="C927" s="0" t="s">
        <v>2879</v>
      </c>
    </row>
    <row r="928" customFormat="false" ht="15" hidden="false" customHeight="false" outlineLevel="0" collapsed="false">
      <c r="A928" s="0" t="s">
        <v>10</v>
      </c>
      <c r="B928" s="0" t="s">
        <v>1270</v>
      </c>
      <c r="C928" s="0" t="s">
        <v>2880</v>
      </c>
    </row>
    <row r="929" customFormat="false" ht="15" hidden="false" customHeight="false" outlineLevel="0" collapsed="false">
      <c r="A929" s="0" t="s">
        <v>10</v>
      </c>
      <c r="B929" s="0" t="s">
        <v>1271</v>
      </c>
      <c r="C929" s="0" t="s">
        <v>2873</v>
      </c>
      <c r="D929" s="0" t="n">
        <v>0.2</v>
      </c>
    </row>
    <row r="930" customFormat="false" ht="15" hidden="false" customHeight="false" outlineLevel="0" collapsed="false">
      <c r="A930" s="0" t="s">
        <v>10</v>
      </c>
      <c r="B930" s="0" t="s">
        <v>1271</v>
      </c>
      <c r="C930" s="0" t="s">
        <v>2879</v>
      </c>
    </row>
    <row r="931" customFormat="false" ht="15" hidden="false" customHeight="false" outlineLevel="0" collapsed="false">
      <c r="A931" s="0" t="s">
        <v>10</v>
      </c>
      <c r="B931" s="0" t="s">
        <v>1271</v>
      </c>
      <c r="C931" s="0" t="s">
        <v>2880</v>
      </c>
    </row>
    <row r="932" customFormat="false" ht="15" hidden="false" customHeight="false" outlineLevel="0" collapsed="false">
      <c r="A932" s="0" t="s">
        <v>10</v>
      </c>
      <c r="B932" s="0" t="s">
        <v>1272</v>
      </c>
      <c r="C932" s="0" t="s">
        <v>2873</v>
      </c>
      <c r="D932" s="0" t="n">
        <v>0.1</v>
      </c>
    </row>
    <row r="933" customFormat="false" ht="15" hidden="false" customHeight="false" outlineLevel="0" collapsed="false">
      <c r="A933" s="0" t="s">
        <v>10</v>
      </c>
      <c r="B933" s="0" t="s">
        <v>1272</v>
      </c>
      <c r="C933" s="0" t="s">
        <v>2879</v>
      </c>
    </row>
    <row r="934" customFormat="false" ht="15" hidden="false" customHeight="false" outlineLevel="0" collapsed="false">
      <c r="A934" s="0" t="s">
        <v>10</v>
      </c>
      <c r="B934" s="0" t="s">
        <v>1272</v>
      </c>
      <c r="C934" s="0" t="s">
        <v>2880</v>
      </c>
    </row>
    <row r="935" customFormat="false" ht="15" hidden="false" customHeight="false" outlineLevel="0" collapsed="false">
      <c r="A935" s="0" t="s">
        <v>10</v>
      </c>
      <c r="B935" s="0" t="s">
        <v>1273</v>
      </c>
      <c r="C935" s="0" t="s">
        <v>2873</v>
      </c>
      <c r="D935" s="0" t="n">
        <v>0</v>
      </c>
    </row>
    <row r="936" customFormat="false" ht="15" hidden="false" customHeight="false" outlineLevel="0" collapsed="false">
      <c r="A936" s="0" t="s">
        <v>10</v>
      </c>
      <c r="B936" s="0" t="s">
        <v>1273</v>
      </c>
      <c r="C936" s="0" t="s">
        <v>2879</v>
      </c>
    </row>
    <row r="937" customFormat="false" ht="15" hidden="false" customHeight="false" outlineLevel="0" collapsed="false">
      <c r="A937" s="0" t="s">
        <v>10</v>
      </c>
      <c r="B937" s="0" t="s">
        <v>1273</v>
      </c>
      <c r="C937" s="0" t="s">
        <v>2880</v>
      </c>
    </row>
    <row r="938" customFormat="false" ht="15" hidden="false" customHeight="false" outlineLevel="0" collapsed="false">
      <c r="A938" s="0" t="s">
        <v>10</v>
      </c>
      <c r="B938" s="0" t="s">
        <v>1276</v>
      </c>
      <c r="C938" s="0" t="s">
        <v>2873</v>
      </c>
      <c r="D938" s="0" t="n">
        <v>0.05</v>
      </c>
    </row>
    <row r="939" customFormat="false" ht="15" hidden="false" customHeight="false" outlineLevel="0" collapsed="false">
      <c r="A939" s="0" t="s">
        <v>10</v>
      </c>
      <c r="B939" s="0" t="s">
        <v>1276</v>
      </c>
      <c r="C939" s="0" t="s">
        <v>2879</v>
      </c>
    </row>
    <row r="940" customFormat="false" ht="15" hidden="false" customHeight="false" outlineLevel="0" collapsed="false">
      <c r="A940" s="0" t="s">
        <v>10</v>
      </c>
      <c r="B940" s="0" t="s">
        <v>1276</v>
      </c>
      <c r="C940" s="0" t="s">
        <v>2880</v>
      </c>
    </row>
    <row r="941" customFormat="false" ht="15" hidden="false" customHeight="false" outlineLevel="0" collapsed="false">
      <c r="A941" s="0" t="s">
        <v>10</v>
      </c>
      <c r="B941" s="0" t="s">
        <v>1277</v>
      </c>
      <c r="C941" s="0" t="s">
        <v>2873</v>
      </c>
      <c r="D941" s="0" t="n">
        <v>0.3</v>
      </c>
    </row>
    <row r="942" customFormat="false" ht="15" hidden="false" customHeight="false" outlineLevel="0" collapsed="false">
      <c r="A942" s="0" t="s">
        <v>10</v>
      </c>
      <c r="B942" s="0" t="s">
        <v>1277</v>
      </c>
      <c r="C942" s="0" t="s">
        <v>2879</v>
      </c>
    </row>
    <row r="943" customFormat="false" ht="15" hidden="false" customHeight="false" outlineLevel="0" collapsed="false">
      <c r="A943" s="0" t="s">
        <v>10</v>
      </c>
      <c r="B943" s="0" t="s">
        <v>1277</v>
      </c>
      <c r="C943" s="0" t="s">
        <v>2880</v>
      </c>
    </row>
    <row r="944" customFormat="false" ht="15" hidden="false" customHeight="false" outlineLevel="0" collapsed="false">
      <c r="A944" s="0" t="s">
        <v>10</v>
      </c>
      <c r="B944" s="0" t="s">
        <v>1278</v>
      </c>
      <c r="C944" s="0" t="s">
        <v>2873</v>
      </c>
      <c r="D944" s="0" t="n">
        <v>0.45</v>
      </c>
    </row>
    <row r="945" customFormat="false" ht="15" hidden="false" customHeight="false" outlineLevel="0" collapsed="false">
      <c r="A945" s="0" t="s">
        <v>10</v>
      </c>
      <c r="B945" s="0" t="s">
        <v>1278</v>
      </c>
      <c r="C945" s="0" t="s">
        <v>2879</v>
      </c>
    </row>
    <row r="946" customFormat="false" ht="15" hidden="false" customHeight="false" outlineLevel="0" collapsed="false">
      <c r="A946" s="0" t="s">
        <v>10</v>
      </c>
      <c r="B946" s="0" t="s">
        <v>1278</v>
      </c>
      <c r="C946" s="0" t="s">
        <v>2880</v>
      </c>
    </row>
    <row r="947" customFormat="false" ht="15" hidden="false" customHeight="false" outlineLevel="0" collapsed="false">
      <c r="A947" s="0" t="s">
        <v>10</v>
      </c>
      <c r="B947" s="0" t="s">
        <v>1279</v>
      </c>
      <c r="C947" s="0" t="s">
        <v>2873</v>
      </c>
      <c r="D947" s="0" t="n">
        <v>0.5</v>
      </c>
    </row>
    <row r="948" customFormat="false" ht="15" hidden="false" customHeight="false" outlineLevel="0" collapsed="false">
      <c r="A948" s="0" t="s">
        <v>10</v>
      </c>
      <c r="B948" s="0" t="s">
        <v>1279</v>
      </c>
      <c r="C948" s="0" t="s">
        <v>2879</v>
      </c>
    </row>
    <row r="949" customFormat="false" ht="15" hidden="false" customHeight="false" outlineLevel="0" collapsed="false">
      <c r="A949" s="0" t="s">
        <v>10</v>
      </c>
      <c r="B949" s="0" t="s">
        <v>1279</v>
      </c>
      <c r="C949" s="0" t="s">
        <v>2880</v>
      </c>
    </row>
    <row r="950" customFormat="false" ht="15" hidden="false" customHeight="false" outlineLevel="0" collapsed="false">
      <c r="A950" s="0" t="s">
        <v>10</v>
      </c>
      <c r="B950" s="0" t="s">
        <v>1280</v>
      </c>
      <c r="C950" s="0" t="s">
        <v>2873</v>
      </c>
      <c r="D950" s="0" t="n">
        <v>0.45</v>
      </c>
    </row>
    <row r="951" customFormat="false" ht="15" hidden="false" customHeight="false" outlineLevel="0" collapsed="false">
      <c r="A951" s="0" t="s">
        <v>10</v>
      </c>
      <c r="B951" s="0" t="s">
        <v>1280</v>
      </c>
      <c r="C951" s="0" t="s">
        <v>2879</v>
      </c>
    </row>
    <row r="952" customFormat="false" ht="15" hidden="false" customHeight="false" outlineLevel="0" collapsed="false">
      <c r="A952" s="0" t="s">
        <v>10</v>
      </c>
      <c r="B952" s="0" t="s">
        <v>1280</v>
      </c>
      <c r="C952" s="0" t="s">
        <v>2880</v>
      </c>
    </row>
    <row r="953" customFormat="false" ht="15" hidden="false" customHeight="false" outlineLevel="0" collapsed="false">
      <c r="A953" s="0" t="s">
        <v>10</v>
      </c>
      <c r="B953" s="0" t="s">
        <v>1281</v>
      </c>
      <c r="C953" s="0" t="s">
        <v>2873</v>
      </c>
      <c r="D953" s="0" t="n">
        <v>0</v>
      </c>
    </row>
    <row r="954" customFormat="false" ht="15" hidden="false" customHeight="false" outlineLevel="0" collapsed="false">
      <c r="A954" s="0" t="s">
        <v>10</v>
      </c>
      <c r="B954" s="0" t="s">
        <v>1281</v>
      </c>
      <c r="C954" s="0" t="s">
        <v>2879</v>
      </c>
    </row>
    <row r="955" customFormat="false" ht="15" hidden="false" customHeight="false" outlineLevel="0" collapsed="false">
      <c r="A955" s="0" t="s">
        <v>10</v>
      </c>
      <c r="B955" s="0" t="s">
        <v>1281</v>
      </c>
      <c r="C955" s="0" t="s">
        <v>2880</v>
      </c>
    </row>
    <row r="956" customFormat="false" ht="15" hidden="false" customHeight="false" outlineLevel="0" collapsed="false">
      <c r="A956" s="0" t="s">
        <v>10</v>
      </c>
      <c r="B956" s="0" t="s">
        <v>1284</v>
      </c>
      <c r="C956" s="0" t="s">
        <v>2873</v>
      </c>
      <c r="D956" s="0" t="n">
        <v>0</v>
      </c>
    </row>
    <row r="957" customFormat="false" ht="15" hidden="false" customHeight="false" outlineLevel="0" collapsed="false">
      <c r="A957" s="0" t="s">
        <v>10</v>
      </c>
      <c r="B957" s="0" t="s">
        <v>1284</v>
      </c>
      <c r="C957" s="0" t="s">
        <v>2879</v>
      </c>
    </row>
    <row r="958" customFormat="false" ht="15" hidden="false" customHeight="false" outlineLevel="0" collapsed="false">
      <c r="A958" s="0" t="s">
        <v>10</v>
      </c>
      <c r="B958" s="0" t="s">
        <v>1284</v>
      </c>
      <c r="C958" s="0" t="s">
        <v>2880</v>
      </c>
    </row>
    <row r="959" customFormat="false" ht="15" hidden="false" customHeight="false" outlineLevel="0" collapsed="false">
      <c r="A959" s="0" t="s">
        <v>10</v>
      </c>
      <c r="B959" s="0" t="s">
        <v>1285</v>
      </c>
      <c r="C959" s="0" t="s">
        <v>2873</v>
      </c>
      <c r="D959" s="0" t="n">
        <v>0</v>
      </c>
    </row>
    <row r="960" customFormat="false" ht="15" hidden="false" customHeight="false" outlineLevel="0" collapsed="false">
      <c r="A960" s="0" t="s">
        <v>10</v>
      </c>
      <c r="B960" s="0" t="s">
        <v>1285</v>
      </c>
      <c r="C960" s="0" t="s">
        <v>2879</v>
      </c>
    </row>
    <row r="961" customFormat="false" ht="15" hidden="false" customHeight="false" outlineLevel="0" collapsed="false">
      <c r="A961" s="0" t="s">
        <v>10</v>
      </c>
      <c r="B961" s="0" t="s">
        <v>1285</v>
      </c>
      <c r="C961" s="0" t="s">
        <v>2880</v>
      </c>
    </row>
    <row r="962" customFormat="false" ht="15" hidden="false" customHeight="false" outlineLevel="0" collapsed="false">
      <c r="A962" s="0" t="s">
        <v>10</v>
      </c>
      <c r="B962" s="0" t="s">
        <v>1286</v>
      </c>
      <c r="C962" s="0" t="s">
        <v>2873</v>
      </c>
      <c r="D962" s="0" t="n">
        <v>0.05</v>
      </c>
    </row>
    <row r="963" customFormat="false" ht="15" hidden="false" customHeight="false" outlineLevel="0" collapsed="false">
      <c r="A963" s="0" t="s">
        <v>10</v>
      </c>
      <c r="B963" s="0" t="s">
        <v>1286</v>
      </c>
      <c r="C963" s="0" t="s">
        <v>2879</v>
      </c>
    </row>
    <row r="964" customFormat="false" ht="15" hidden="false" customHeight="false" outlineLevel="0" collapsed="false">
      <c r="A964" s="0" t="s">
        <v>10</v>
      </c>
      <c r="B964" s="0" t="s">
        <v>1286</v>
      </c>
      <c r="C964" s="0" t="s">
        <v>2880</v>
      </c>
    </row>
    <row r="965" customFormat="false" ht="15" hidden="false" customHeight="false" outlineLevel="0" collapsed="false">
      <c r="A965" s="0" t="s">
        <v>10</v>
      </c>
      <c r="B965" s="0" t="s">
        <v>1287</v>
      </c>
      <c r="C965" s="0" t="s">
        <v>2873</v>
      </c>
      <c r="D965" s="0" t="n">
        <v>0.1</v>
      </c>
    </row>
    <row r="966" customFormat="false" ht="15" hidden="false" customHeight="false" outlineLevel="0" collapsed="false">
      <c r="A966" s="0" t="s">
        <v>10</v>
      </c>
      <c r="B966" s="0" t="s">
        <v>1287</v>
      </c>
      <c r="C966" s="0" t="s">
        <v>2879</v>
      </c>
    </row>
    <row r="967" customFormat="false" ht="15" hidden="false" customHeight="false" outlineLevel="0" collapsed="false">
      <c r="A967" s="0" t="s">
        <v>10</v>
      </c>
      <c r="B967" s="0" t="s">
        <v>1287</v>
      </c>
      <c r="C967" s="0" t="s">
        <v>2880</v>
      </c>
    </row>
    <row r="968" customFormat="false" ht="15" hidden="false" customHeight="false" outlineLevel="0" collapsed="false">
      <c r="A968" s="0" t="s">
        <v>10</v>
      </c>
      <c r="B968" s="0" t="s">
        <v>1288</v>
      </c>
      <c r="C968" s="0" t="s">
        <v>2873</v>
      </c>
      <c r="D968" s="0" t="n">
        <v>0.2</v>
      </c>
    </row>
    <row r="969" customFormat="false" ht="15" hidden="false" customHeight="false" outlineLevel="0" collapsed="false">
      <c r="A969" s="0" t="s">
        <v>10</v>
      </c>
      <c r="B969" s="0" t="s">
        <v>1288</v>
      </c>
      <c r="C969" s="0" t="s">
        <v>2879</v>
      </c>
    </row>
    <row r="970" customFormat="false" ht="15" hidden="false" customHeight="false" outlineLevel="0" collapsed="false">
      <c r="A970" s="0" t="s">
        <v>10</v>
      </c>
      <c r="B970" s="0" t="s">
        <v>1288</v>
      </c>
      <c r="C970" s="0" t="s">
        <v>2880</v>
      </c>
    </row>
    <row r="971" customFormat="false" ht="15" hidden="false" customHeight="false" outlineLevel="0" collapsed="false">
      <c r="A971" s="0" t="s">
        <v>10</v>
      </c>
      <c r="B971" s="0" t="s">
        <v>1289</v>
      </c>
      <c r="C971" s="0" t="s">
        <v>2873</v>
      </c>
      <c r="D971" s="0" t="n">
        <v>12</v>
      </c>
    </row>
    <row r="972" customFormat="false" ht="15" hidden="false" customHeight="false" outlineLevel="0" collapsed="false">
      <c r="A972" s="0" t="s">
        <v>10</v>
      </c>
      <c r="B972" s="0" t="s">
        <v>1289</v>
      </c>
      <c r="C972" s="0" t="s">
        <v>2879</v>
      </c>
      <c r="D972" s="0" t="n">
        <v>8</v>
      </c>
    </row>
    <row r="973" customFormat="false" ht="15" hidden="false" customHeight="false" outlineLevel="0" collapsed="false">
      <c r="A973" s="0" t="s">
        <v>10</v>
      </c>
      <c r="B973" s="0" t="s">
        <v>1289</v>
      </c>
      <c r="C973" s="0" t="s">
        <v>2880</v>
      </c>
      <c r="D973" s="0" t="n">
        <v>20</v>
      </c>
    </row>
    <row r="974" customFormat="false" ht="15" hidden="false" customHeight="false" outlineLevel="0" collapsed="false">
      <c r="A974" s="0" t="s">
        <v>10</v>
      </c>
      <c r="B974" s="0" t="s">
        <v>1296</v>
      </c>
      <c r="C974" s="0" t="s">
        <v>2873</v>
      </c>
      <c r="D974" s="0" t="n">
        <v>1.41</v>
      </c>
    </row>
    <row r="975" customFormat="false" ht="15" hidden="false" customHeight="false" outlineLevel="0" collapsed="false">
      <c r="A975" s="0" t="s">
        <v>10</v>
      </c>
      <c r="B975" s="0" t="s">
        <v>1296</v>
      </c>
      <c r="C975" s="0" t="s">
        <v>2879</v>
      </c>
      <c r="D975" s="0" t="n">
        <v>0</v>
      </c>
    </row>
    <row r="976" customFormat="false" ht="15" hidden="false" customHeight="false" outlineLevel="0" collapsed="false">
      <c r="A976" s="0" t="s">
        <v>10</v>
      </c>
      <c r="B976" s="0" t="s">
        <v>1296</v>
      </c>
      <c r="C976" s="0" t="s">
        <v>2880</v>
      </c>
      <c r="D976" s="0" t="n">
        <v>2.91</v>
      </c>
    </row>
    <row r="977" customFormat="false" ht="15" hidden="false" customHeight="false" outlineLevel="0" collapsed="false">
      <c r="A977" s="0" t="s">
        <v>10</v>
      </c>
      <c r="B977" s="0" t="s">
        <v>1302</v>
      </c>
      <c r="C977" s="0" t="s">
        <v>2873</v>
      </c>
      <c r="D977" s="0" t="n">
        <v>0.1</v>
      </c>
    </row>
    <row r="978" customFormat="false" ht="15" hidden="false" customHeight="false" outlineLevel="0" collapsed="false">
      <c r="A978" s="0" t="s">
        <v>10</v>
      </c>
      <c r="B978" s="0" t="s">
        <v>1302</v>
      </c>
      <c r="C978" s="0" t="s">
        <v>2879</v>
      </c>
    </row>
    <row r="979" customFormat="false" ht="15" hidden="false" customHeight="false" outlineLevel="0" collapsed="false">
      <c r="A979" s="0" t="s">
        <v>10</v>
      </c>
      <c r="B979" s="0" t="s">
        <v>1302</v>
      </c>
      <c r="C979" s="0" t="s">
        <v>2880</v>
      </c>
    </row>
    <row r="980" customFormat="false" ht="15" hidden="false" customHeight="false" outlineLevel="0" collapsed="false">
      <c r="A980" s="0" t="s">
        <v>10</v>
      </c>
      <c r="B980" s="0" t="s">
        <v>1305</v>
      </c>
      <c r="C980" s="0" t="s">
        <v>2873</v>
      </c>
      <c r="D980" s="0" t="n">
        <v>0.3</v>
      </c>
    </row>
    <row r="981" customFormat="false" ht="15" hidden="false" customHeight="false" outlineLevel="0" collapsed="false">
      <c r="A981" s="0" t="s">
        <v>10</v>
      </c>
      <c r="B981" s="0" t="s">
        <v>1305</v>
      </c>
      <c r="C981" s="0" t="s">
        <v>2879</v>
      </c>
    </row>
    <row r="982" customFormat="false" ht="15" hidden="false" customHeight="false" outlineLevel="0" collapsed="false">
      <c r="A982" s="0" t="s">
        <v>10</v>
      </c>
      <c r="B982" s="0" t="s">
        <v>1305</v>
      </c>
      <c r="C982" s="0" t="s">
        <v>2880</v>
      </c>
    </row>
    <row r="983" customFormat="false" ht="15" hidden="false" customHeight="false" outlineLevel="0" collapsed="false">
      <c r="A983" s="0" t="s">
        <v>10</v>
      </c>
      <c r="B983" s="0" t="s">
        <v>1310</v>
      </c>
      <c r="C983" s="0" t="s">
        <v>2873</v>
      </c>
      <c r="D983" s="0" t="n">
        <v>1.05555555555556</v>
      </c>
    </row>
    <row r="984" customFormat="false" ht="15" hidden="false" customHeight="false" outlineLevel="0" collapsed="false">
      <c r="A984" s="0" t="s">
        <v>10</v>
      </c>
      <c r="B984" s="0" t="s">
        <v>1310</v>
      </c>
      <c r="C984" s="0" t="s">
        <v>2879</v>
      </c>
      <c r="D984" s="0" t="n">
        <v>0.844444444444444</v>
      </c>
    </row>
    <row r="985" customFormat="false" ht="15" hidden="false" customHeight="false" outlineLevel="0" collapsed="false">
      <c r="A985" s="0" t="s">
        <v>10</v>
      </c>
      <c r="B985" s="0" t="s">
        <v>1310</v>
      </c>
      <c r="C985" s="0" t="s">
        <v>2880</v>
      </c>
      <c r="D985" s="0" t="n">
        <v>1.26666666666667</v>
      </c>
    </row>
    <row r="986" customFormat="false" ht="15" hidden="false" customHeight="false" outlineLevel="0" collapsed="false">
      <c r="A986" s="0" t="s">
        <v>10</v>
      </c>
      <c r="B986" s="0" t="s">
        <v>1315</v>
      </c>
      <c r="C986" s="0" t="s">
        <v>2873</v>
      </c>
      <c r="D986" s="0" t="n">
        <v>0.857142857142857</v>
      </c>
    </row>
    <row r="987" customFormat="false" ht="15" hidden="false" customHeight="false" outlineLevel="0" collapsed="false">
      <c r="A987" s="0" t="s">
        <v>10</v>
      </c>
      <c r="B987" s="0" t="s">
        <v>1315</v>
      </c>
      <c r="C987" s="0" t="s">
        <v>2879</v>
      </c>
      <c r="D987" s="0" t="n">
        <v>0.8</v>
      </c>
    </row>
    <row r="988" customFormat="false" ht="15" hidden="false" customHeight="false" outlineLevel="0" collapsed="false">
      <c r="A988" s="0" t="s">
        <v>10</v>
      </c>
      <c r="B988" s="0" t="s">
        <v>1315</v>
      </c>
      <c r="C988" s="0" t="s">
        <v>2880</v>
      </c>
      <c r="D988" s="0" t="n">
        <v>0.942857142857143</v>
      </c>
    </row>
    <row r="989" customFormat="false" ht="15" hidden="false" customHeight="false" outlineLevel="0" collapsed="false">
      <c r="A989" s="0" t="s">
        <v>10</v>
      </c>
      <c r="B989" s="0" t="s">
        <v>1319</v>
      </c>
      <c r="C989" s="0" t="s">
        <v>2873</v>
      </c>
      <c r="D989" s="0" t="n">
        <v>0.008</v>
      </c>
    </row>
    <row r="990" customFormat="false" ht="15" hidden="false" customHeight="false" outlineLevel="0" collapsed="false">
      <c r="A990" s="0" t="s">
        <v>10</v>
      </c>
      <c r="B990" s="0" t="s">
        <v>1319</v>
      </c>
      <c r="C990" s="0" t="s">
        <v>2879</v>
      </c>
      <c r="D990" s="0" t="n">
        <v>0.005</v>
      </c>
    </row>
    <row r="991" customFormat="false" ht="15" hidden="false" customHeight="false" outlineLevel="0" collapsed="false">
      <c r="A991" s="0" t="s">
        <v>10</v>
      </c>
      <c r="B991" s="0" t="s">
        <v>1319</v>
      </c>
      <c r="C991" s="0" t="s">
        <v>2880</v>
      </c>
      <c r="D991" s="0" t="n">
        <v>0.01</v>
      </c>
    </row>
    <row r="992" customFormat="false" ht="15" hidden="false" customHeight="false" outlineLevel="0" collapsed="false">
      <c r="A992" s="0" t="s">
        <v>10</v>
      </c>
      <c r="B992" s="0" t="s">
        <v>1324</v>
      </c>
      <c r="C992" s="0" t="s">
        <v>2873</v>
      </c>
      <c r="D992" s="0" t="n">
        <v>5</v>
      </c>
    </row>
    <row r="993" customFormat="false" ht="15" hidden="false" customHeight="false" outlineLevel="0" collapsed="false">
      <c r="A993" s="0" t="s">
        <v>10</v>
      </c>
      <c r="B993" s="0" t="s">
        <v>1324</v>
      </c>
      <c r="C993" s="0" t="s">
        <v>2879</v>
      </c>
      <c r="D993" s="0" t="n">
        <v>3.8</v>
      </c>
    </row>
    <row r="994" customFormat="false" ht="15" hidden="false" customHeight="false" outlineLevel="0" collapsed="false">
      <c r="A994" s="0" t="s">
        <v>10</v>
      </c>
      <c r="B994" s="0" t="s">
        <v>1324</v>
      </c>
      <c r="C994" s="0" t="s">
        <v>2880</v>
      </c>
      <c r="D994" s="0" t="n">
        <v>6.1</v>
      </c>
    </row>
    <row r="995" customFormat="false" ht="15" hidden="false" customHeight="false" outlineLevel="0" collapsed="false">
      <c r="A995" s="0" t="s">
        <v>10</v>
      </c>
      <c r="B995" s="0" t="s">
        <v>1329</v>
      </c>
      <c r="C995" s="0" t="s">
        <v>2873</v>
      </c>
      <c r="D995" s="0" t="n">
        <v>525600</v>
      </c>
    </row>
    <row r="996" customFormat="false" ht="15" hidden="false" customHeight="false" outlineLevel="0" collapsed="false">
      <c r="A996" s="0" t="s">
        <v>10</v>
      </c>
      <c r="B996" s="0" t="s">
        <v>1329</v>
      </c>
      <c r="C996" s="0" t="s">
        <v>2879</v>
      </c>
      <c r="D996" s="0" t="n">
        <v>525600</v>
      </c>
    </row>
    <row r="997" customFormat="false" ht="15" hidden="false" customHeight="false" outlineLevel="0" collapsed="false">
      <c r="A997" s="0" t="s">
        <v>10</v>
      </c>
      <c r="B997" s="0" t="s">
        <v>1329</v>
      </c>
      <c r="C997" s="0" t="s">
        <v>2880</v>
      </c>
      <c r="D997" s="0" t="n">
        <v>525600</v>
      </c>
    </row>
    <row r="998" customFormat="false" ht="15" hidden="false" customHeight="false" outlineLevel="0" collapsed="false">
      <c r="A998" s="0" t="s">
        <v>10</v>
      </c>
      <c r="B998" s="0" t="s">
        <v>1334</v>
      </c>
      <c r="C998" s="0" t="s">
        <v>2873</v>
      </c>
      <c r="D998" s="0" t="n">
        <v>1000</v>
      </c>
    </row>
    <row r="999" customFormat="false" ht="15" hidden="false" customHeight="false" outlineLevel="0" collapsed="false">
      <c r="A999" s="0" t="s">
        <v>10</v>
      </c>
      <c r="B999" s="0" t="s">
        <v>1334</v>
      </c>
      <c r="C999" s="0" t="s">
        <v>2879</v>
      </c>
      <c r="D999" s="0" t="n">
        <v>1000</v>
      </c>
    </row>
    <row r="1000" customFormat="false" ht="15" hidden="false" customHeight="false" outlineLevel="0" collapsed="false">
      <c r="A1000" s="0" t="s">
        <v>10</v>
      </c>
      <c r="B1000" s="0" t="s">
        <v>1334</v>
      </c>
      <c r="C1000" s="0" t="s">
        <v>2880</v>
      </c>
      <c r="D1000" s="0" t="n">
        <v>1000</v>
      </c>
    </row>
    <row r="1001" customFormat="false" ht="15" hidden="false" customHeight="false" outlineLevel="0" collapsed="false">
      <c r="A1001" s="0" t="s">
        <v>10</v>
      </c>
      <c r="B1001" s="0" t="s">
        <v>1339</v>
      </c>
      <c r="C1001" s="0" t="s">
        <v>2873</v>
      </c>
      <c r="D1001" s="0" t="n">
        <v>0.008</v>
      </c>
    </row>
    <row r="1002" customFormat="false" ht="15" hidden="false" customHeight="false" outlineLevel="0" collapsed="false">
      <c r="A1002" s="0" t="s">
        <v>10</v>
      </c>
      <c r="B1002" s="0" t="s">
        <v>1339</v>
      </c>
      <c r="C1002" s="0" t="s">
        <v>2879</v>
      </c>
      <c r="D1002" s="0" t="n">
        <v>0.005</v>
      </c>
    </row>
    <row r="1003" customFormat="false" ht="15" hidden="false" customHeight="false" outlineLevel="0" collapsed="false">
      <c r="A1003" s="0" t="s">
        <v>10</v>
      </c>
      <c r="B1003" s="0" t="s">
        <v>1339</v>
      </c>
      <c r="C1003" s="0" t="s">
        <v>2880</v>
      </c>
      <c r="D1003" s="0" t="n">
        <v>0.02</v>
      </c>
    </row>
    <row r="1004" customFormat="false" ht="15" hidden="false" customHeight="false" outlineLevel="0" collapsed="false">
      <c r="A1004" s="0" t="s">
        <v>10</v>
      </c>
      <c r="B1004" s="0" t="s">
        <v>1343</v>
      </c>
      <c r="C1004" s="0" t="s">
        <v>2873</v>
      </c>
      <c r="D1004" s="0" t="n">
        <v>0.008</v>
      </c>
    </row>
    <row r="1005" customFormat="false" ht="15" hidden="false" customHeight="false" outlineLevel="0" collapsed="false">
      <c r="A1005" s="0" t="s">
        <v>10</v>
      </c>
      <c r="B1005" s="0" t="s">
        <v>1343</v>
      </c>
      <c r="C1005" s="0" t="s">
        <v>2879</v>
      </c>
      <c r="D1005" s="0" t="n">
        <v>0.005</v>
      </c>
    </row>
    <row r="1006" customFormat="false" ht="15" hidden="false" customHeight="false" outlineLevel="0" collapsed="false">
      <c r="A1006" s="0" t="s">
        <v>10</v>
      </c>
      <c r="B1006" s="0" t="s">
        <v>1343</v>
      </c>
      <c r="C1006" s="0" t="s">
        <v>2880</v>
      </c>
      <c r="D1006" s="0" t="n">
        <v>0.02</v>
      </c>
    </row>
    <row r="1007" customFormat="false" ht="15" hidden="false" customHeight="false" outlineLevel="0" collapsed="false">
      <c r="A1007" s="0" t="s">
        <v>10</v>
      </c>
      <c r="B1007" s="0" t="s">
        <v>1344</v>
      </c>
      <c r="C1007" s="0" t="s">
        <v>2873</v>
      </c>
      <c r="D1007" s="0" t="n">
        <v>0.008</v>
      </c>
    </row>
    <row r="1008" customFormat="false" ht="15" hidden="false" customHeight="false" outlineLevel="0" collapsed="false">
      <c r="A1008" s="0" t="s">
        <v>10</v>
      </c>
      <c r="B1008" s="0" t="s">
        <v>1344</v>
      </c>
      <c r="C1008" s="0" t="s">
        <v>2879</v>
      </c>
      <c r="D1008" s="0" t="n">
        <v>0.005</v>
      </c>
    </row>
    <row r="1009" customFormat="false" ht="15" hidden="false" customHeight="false" outlineLevel="0" collapsed="false">
      <c r="A1009" s="0" t="s">
        <v>10</v>
      </c>
      <c r="B1009" s="0" t="s">
        <v>1344</v>
      </c>
      <c r="C1009" s="0" t="s">
        <v>2880</v>
      </c>
      <c r="D1009" s="0" t="n">
        <v>0.02</v>
      </c>
    </row>
    <row r="1010" customFormat="false" ht="15" hidden="false" customHeight="false" outlineLevel="0" collapsed="false">
      <c r="A1010" s="0" t="s">
        <v>10</v>
      </c>
      <c r="B1010" s="0" t="s">
        <v>1345</v>
      </c>
      <c r="C1010" s="0" t="s">
        <v>2873</v>
      </c>
      <c r="D1010" s="0" t="n">
        <v>0.008</v>
      </c>
    </row>
    <row r="1011" customFormat="false" ht="15" hidden="false" customHeight="false" outlineLevel="0" collapsed="false">
      <c r="A1011" s="0" t="s">
        <v>10</v>
      </c>
      <c r="B1011" s="0" t="s">
        <v>1345</v>
      </c>
      <c r="C1011" s="0" t="s">
        <v>2879</v>
      </c>
      <c r="D1011" s="0" t="n">
        <v>0.005</v>
      </c>
    </row>
    <row r="1012" customFormat="false" ht="15" hidden="false" customHeight="false" outlineLevel="0" collapsed="false">
      <c r="A1012" s="0" t="s">
        <v>10</v>
      </c>
      <c r="B1012" s="0" t="s">
        <v>1345</v>
      </c>
      <c r="C1012" s="0" t="s">
        <v>2880</v>
      </c>
      <c r="D1012" s="0" t="n">
        <v>0.02</v>
      </c>
    </row>
    <row r="1013" customFormat="false" ht="15" hidden="false" customHeight="false" outlineLevel="0" collapsed="false">
      <c r="A1013" s="0" t="s">
        <v>10</v>
      </c>
      <c r="B1013" s="0" t="s">
        <v>1346</v>
      </c>
      <c r="C1013" s="0" t="s">
        <v>2873</v>
      </c>
      <c r="D1013" s="0" t="n">
        <v>2</v>
      </c>
    </row>
    <row r="1014" customFormat="false" ht="15" hidden="false" customHeight="false" outlineLevel="0" collapsed="false">
      <c r="A1014" s="0" t="s">
        <v>10</v>
      </c>
      <c r="B1014" s="0" t="s">
        <v>1346</v>
      </c>
      <c r="C1014" s="0" t="s">
        <v>2879</v>
      </c>
      <c r="D1014" s="0" t="n">
        <v>2</v>
      </c>
    </row>
    <row r="1015" customFormat="false" ht="15" hidden="false" customHeight="false" outlineLevel="0" collapsed="false">
      <c r="A1015" s="0" t="s">
        <v>10</v>
      </c>
      <c r="B1015" s="0" t="s">
        <v>1346</v>
      </c>
      <c r="C1015" s="0" t="s">
        <v>2880</v>
      </c>
      <c r="D1015" s="0" t="n">
        <v>5</v>
      </c>
    </row>
    <row r="1016" customFormat="false" ht="15" hidden="false" customHeight="false" outlineLevel="0" collapsed="false">
      <c r="A1016" s="0" t="s">
        <v>10</v>
      </c>
      <c r="B1016" s="0" t="s">
        <v>1351</v>
      </c>
      <c r="C1016" s="0" t="s">
        <v>2873</v>
      </c>
      <c r="D1016" s="0" t="n">
        <v>1</v>
      </c>
    </row>
    <row r="1017" customFormat="false" ht="15" hidden="false" customHeight="false" outlineLevel="0" collapsed="false">
      <c r="A1017" s="0" t="s">
        <v>10</v>
      </c>
      <c r="B1017" s="0" t="s">
        <v>1351</v>
      </c>
      <c r="C1017" s="0" t="s">
        <v>2879</v>
      </c>
      <c r="D1017" s="0" t="n">
        <v>0</v>
      </c>
    </row>
    <row r="1018" customFormat="false" ht="15" hidden="false" customHeight="false" outlineLevel="0" collapsed="false">
      <c r="A1018" s="0" t="s">
        <v>10</v>
      </c>
      <c r="B1018" s="0" t="s">
        <v>1351</v>
      </c>
      <c r="C1018" s="0" t="s">
        <v>2880</v>
      </c>
      <c r="D1018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2026-10-04T14:02:56Z</dcterms:created>
  <dc:creator>openpyxl</dc:creator>
  <dc:description/>
  <dc:language>en-US</dc:language>
  <cp:lastModifiedBy/>
  <dcterms:modified xsi:type="dcterms:W3CDTF">2026-10-04T14:02:56Z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