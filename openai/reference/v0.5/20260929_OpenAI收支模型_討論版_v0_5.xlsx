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輸入" sheetId="2" state="visible" r:id="rId4"/>
    <sheet name="查核清單" sheetId="3" state="visible" r:id="rId5"/>
    <sheet name="算力MW" sheetId="4" state="visible" r:id="rId6"/>
    <sheet name="訂閱與廣告" sheetId="5" state="visible" r:id="rId7"/>
    <sheet name="API" sheetId="6" state="visible" r:id="rId8"/>
    <sheet name="營收彙總" sheetId="7" state="visible" r:id="rId9"/>
    <sheet name="推論成本" sheetId="8" state="visible" r:id="rId10"/>
    <sheet name="訓練成本" sheetId="9" state="visible" r:id="rId11"/>
    <sheet name="反向" sheetId="10" state="visible" r:id="rId12"/>
    <sheet name="支出" sheetId="11" state="visible" r:id="rId13"/>
    <sheet name="資金與檢查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<sst xmlns="http://schemas.openxmlformats.org/spreadsheetml/2006/main" count="2644" uniqueCount="1014">
  <si>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— 摘要（討論用 </t>
    </r>
    <r>
      <rPr>
        <b val="true"/>
        <sz val="13"/>
        <rFont val="Arial"/>
        <family val="0"/>
        <charset val="1"/>
      </rPr>
      <t xml:space="preserve">v0.5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FY2025A–FY2030E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$B</t>
    </r>
    <r>
      <rPr>
        <b val="true"/>
        <sz val="13"/>
        <rFont val="Noto Sans CJK SC"/>
        <family val="2"/>
      </rPr>
      <t xml:space="preserve">）</t>
    </r>
  </si>
  <si>
    <t xml:space="preserve">項目</t>
  </si>
  <si>
    <t xml:space="preserve">單位</t>
  </si>
  <si>
    <r>
      <rPr>
        <b val="true"/>
        <sz val="11"/>
        <color rgb="FFFFFFFF"/>
        <rFont val="Arial"/>
        <family val="0"/>
        <charset val="1"/>
      </rPr>
      <t xml:space="preserve">2026–30 </t>
    </r>
    <r>
      <rPr>
        <b val="true"/>
        <sz val="11"/>
        <color rgb="FFFFFFFF"/>
        <rFont val="Noto Sans CJK SC"/>
        <family val="2"/>
      </rPr>
      <t xml:space="preserve">合計</t>
    </r>
  </si>
  <si>
    <t xml:space="preserve">說明</t>
  </si>
  <si>
    <t xml:space="preserve">營收（正向）</t>
  </si>
  <si>
    <t xml:space="preserve">訂閱</t>
  </si>
  <si>
    <t xml:space="preserve">$B</t>
  </si>
  <si>
    <t xml:space="preserve">API</t>
  </si>
  <si>
    <r>
      <rPr>
        <b val="true"/>
        <sz val="11"/>
        <rFont val="Noto Sans CJK SC"/>
        <family val="2"/>
      </rPr>
      <t xml:space="preserve">核心（訂閱＋</t>
    </r>
    <r>
      <rPr>
        <b val="true"/>
        <sz val="11"/>
        <rFont val="Arial"/>
        <family val="0"/>
        <charset val="1"/>
      </rPr>
      <t xml:space="preserve">API</t>
    </r>
    <r>
      <rPr>
        <b val="true"/>
        <sz val="11"/>
        <rFont val="Noto Sans CJK SC"/>
        <family val="2"/>
      </rPr>
      <t xml:space="preserve">）</t>
    </r>
  </si>
  <si>
    <t xml:space="preserve">廣告（不進核心）</t>
  </si>
  <si>
    <t xml:space="preserve">總額</t>
  </si>
  <si>
    <r>
      <rPr>
        <sz val="11"/>
        <rFont val="Arial"/>
        <family val="0"/>
        <charset val="1"/>
      </rPr>
      <t xml:space="preserve">Microsoft </t>
    </r>
    <r>
      <rPr>
        <sz val="11"/>
        <rFont val="Noto Sans CJK SC"/>
        <family val="2"/>
      </rPr>
      <t xml:space="preserve">分潤</t>
    </r>
  </si>
  <si>
    <t xml:space="preserve">淨額</t>
  </si>
  <si>
    <t xml:space="preserve">  其中：消費端</t>
  </si>
  <si>
    <t xml:space="preserve">  其中：企業端</t>
  </si>
  <si>
    <t xml:space="preserve">  企業端占總額</t>
  </si>
  <si>
    <t xml:space="preserve">%</t>
  </si>
  <si>
    <r>
      <rPr>
        <b val="true"/>
        <sz val="11"/>
        <color rgb="FF1F3864"/>
        <rFont val="Noto Sans CJK SC"/>
        <family val="2"/>
      </rPr>
      <t xml:space="preserve">算力（</t>
    </r>
    <r>
      <rPr>
        <b val="true"/>
        <sz val="11"/>
        <color rgb="FF1F3864"/>
        <rFont val="Arial"/>
        <family val="0"/>
        <charset val="1"/>
      </rPr>
      <t xml:space="preserve">GW</t>
    </r>
    <r>
      <rPr>
        <b val="true"/>
        <sz val="11"/>
        <color rgb="FF1F3864"/>
        <rFont val="Noto Sans CJK SC"/>
        <family val="2"/>
      </rPr>
      <t xml:space="preserve">；</t>
    </r>
    <r>
      <rPr>
        <b val="true"/>
        <sz val="11"/>
        <color rgb="FF1F3864"/>
        <rFont val="Arial"/>
        <family val="0"/>
        <charset val="1"/>
      </rPr>
      <t xml:space="preserve">VR-eq</t>
    </r>
    <r>
      <rPr>
        <b val="true"/>
        <sz val="11"/>
        <color rgb="FF1F3864"/>
        <rFont val="Noto Sans CJK SC"/>
        <family val="2"/>
      </rPr>
      <t xml:space="preserve">＝</t>
    </r>
    <r>
      <rPr>
        <b val="true"/>
        <sz val="11"/>
        <color rgb="FF1F3864"/>
        <rFont val="Arial"/>
        <family val="0"/>
        <charset val="1"/>
      </rPr>
      <t xml:space="preserve">Vera Rubin </t>
    </r>
    <r>
      <rPr>
        <b val="true"/>
        <sz val="11"/>
        <color rgb="FF1F3864"/>
        <rFont val="Noto Sans CJK SC"/>
        <family val="2"/>
      </rPr>
      <t xml:space="preserve">等值）</t>
    </r>
  </si>
  <si>
    <r>
      <rPr>
        <sz val="11"/>
        <rFont val="Noto Sans CJK SC"/>
        <family val="2"/>
      </rPr>
      <t xml:space="preserve">實體 </t>
    </r>
    <r>
      <rPr>
        <sz val="11"/>
        <rFont val="Arial"/>
        <family val="0"/>
        <charset val="1"/>
      </rPr>
      <t xml:space="preserve">GW</t>
    </r>
    <r>
      <rPr>
        <sz val="11"/>
        <rFont val="Noto Sans CJK SC"/>
        <family val="2"/>
      </rPr>
      <t xml:space="preserve">（年平均）</t>
    </r>
  </si>
  <si>
    <t xml:space="preserve">GW</t>
  </si>
  <si>
    <r>
      <rPr>
        <sz val="11"/>
        <rFont val="Arial"/>
        <family val="0"/>
        <charset val="1"/>
      </rPr>
      <t xml:space="preserve">VR-eq GW </t>
    </r>
    <r>
      <rPr>
        <sz val="11"/>
        <rFont val="Noto Sans CJK SC"/>
        <family val="2"/>
      </rPr>
      <t xml:space="preserve">供給</t>
    </r>
  </si>
  <si>
    <r>
      <rPr>
        <sz val="11"/>
        <rFont val="Noto Sans CJK SC"/>
        <family val="2"/>
      </rPr>
      <t xml:space="preserve">  推論 </t>
    </r>
    <r>
      <rPr>
        <sz val="11"/>
        <rFont val="Arial"/>
        <family val="0"/>
        <charset val="1"/>
      </rPr>
      <t xml:space="preserve">GW</t>
    </r>
  </si>
  <si>
    <r>
      <rPr>
        <sz val="11"/>
        <rFont val="Noto Sans CJK SC"/>
        <family val="2"/>
      </rPr>
      <t xml:space="preserve">  訓練 </t>
    </r>
    <r>
      <rPr>
        <sz val="11"/>
        <rFont val="Arial"/>
        <family val="0"/>
        <charset val="1"/>
      </rPr>
      <t xml:space="preserve">GW</t>
    </r>
  </si>
  <si>
    <r>
      <rPr>
        <sz val="11"/>
        <rFont val="Noto Sans CJK SC"/>
        <family val="2"/>
      </rPr>
      <t xml:space="preserve">  閒置 </t>
    </r>
    <r>
      <rPr>
        <sz val="11"/>
        <rFont val="Arial"/>
        <family val="0"/>
        <charset val="1"/>
      </rPr>
      <t xml:space="preserve">GW</t>
    </r>
  </si>
  <si>
    <r>
      <rPr>
        <sz val="11"/>
        <rFont val="Noto Sans CJK SC"/>
        <family val="2"/>
      </rPr>
      <t xml:space="preserve">容量上限係數（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＝未受限）</t>
    </r>
  </si>
  <si>
    <t xml:space="preserve">x</t>
  </si>
  <si>
    <r>
      <rPr>
        <sz val="11"/>
        <rFont val="Noto Sans CJK SC"/>
        <family val="2"/>
      </rPr>
      <t xml:space="preserve">營收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實體 </t>
    </r>
    <r>
      <rPr>
        <sz val="11"/>
        <rFont val="Arial"/>
        <family val="0"/>
        <charset val="1"/>
      </rPr>
      <t xml:space="preserve">GW</t>
    </r>
  </si>
  <si>
    <t xml:space="preserve">$B/GW</t>
  </si>
  <si>
    <r>
      <rPr>
        <sz val="11"/>
        <rFont val="Noto Sans CJK SC"/>
        <family val="2"/>
      </rPr>
      <t xml:space="preserve">算力成本 </t>
    </r>
    <r>
      <rPr>
        <sz val="11"/>
        <rFont val="Arial"/>
        <family val="0"/>
        <charset val="1"/>
      </rPr>
      <t xml:space="preserve">÷ VR-eq GW</t>
    </r>
  </si>
  <si>
    <t xml:space="preserve">成本（推論與訓練）</t>
  </si>
  <si>
    <t xml:space="preserve">推論成本</t>
  </si>
  <si>
    <t xml:space="preserve">毛利率</t>
  </si>
  <si>
    <t xml:space="preserve">訓練成本</t>
  </si>
  <si>
    <t xml:space="preserve">扣除訓練後貢獻率</t>
  </si>
  <si>
    <t xml:space="preserve">對照管理層目標（反向）</t>
  </si>
  <si>
    <t xml:space="preserve">管理層目標</t>
  </si>
  <si>
    <t xml:space="preserve">達標所需核心倍數（等比例）</t>
  </si>
  <si>
    <t xml:space="preserve">支出與資金</t>
  </si>
  <si>
    <t xml:space="preserve">算力現金（合約＋自有）</t>
  </si>
  <si>
    <t xml:space="preserve">自由現金流（正向）</t>
  </si>
  <si>
    <t xml:space="preserve">累計外部資金需求（正向）</t>
  </si>
  <si>
    <t xml:space="preserve">自由現金流（反向：目標營收）</t>
  </si>
  <si>
    <t xml:space="preserve">累計外部資金需求（反向）</t>
  </si>
  <si>
    <r>
      <rPr>
        <i val="true"/>
        <sz val="11"/>
        <rFont val="Noto Sans CJK SC"/>
        <family val="2"/>
      </rPr>
      <t xml:space="preserve">閱讀順序：摘要 → 算力</t>
    </r>
    <r>
      <rPr>
        <i val="true"/>
        <sz val="11"/>
        <rFont val="Arial"/>
        <family val="0"/>
        <charset val="1"/>
      </rPr>
      <t xml:space="preserve">MW → </t>
    </r>
    <r>
      <rPr>
        <i val="true"/>
        <sz val="11"/>
        <rFont val="Noto Sans CJK SC"/>
        <family val="2"/>
      </rPr>
      <t xml:space="preserve">營收彙總 → 推論成本／訓練成本 → 反向 → 支出 → 資金與檢查；輸入全部在「輸入」頁（藍字）。</t>
    </r>
  </si>
  <si>
    <r>
      <rPr>
        <i val="true"/>
        <sz val="11"/>
        <rFont val="Noto Sans CJK SC"/>
        <family val="2"/>
      </rPr>
      <t xml:space="preserve">顏色：藍＝輸入；黑＝公式；黃底＝關鍵假設／選單。標記：</t>
    </r>
    <r>
      <rPr>
        <i val="true"/>
        <sz val="11"/>
        <rFont val="Arial"/>
        <family val="0"/>
        <charset val="1"/>
      </rPr>
      <t xml:space="preserve">Verified</t>
    </r>
    <r>
      <rPr>
        <i val="true"/>
        <sz val="11"/>
        <rFont val="Noto Sans CJK SC"/>
        <family val="2"/>
      </rPr>
      <t xml:space="preserve">／</t>
    </r>
    <r>
      <rPr>
        <i val="true"/>
        <sz val="11"/>
        <rFont val="Arial"/>
        <family val="0"/>
        <charset val="1"/>
      </rPr>
      <t xml:space="preserve">Interested-party</t>
    </r>
    <r>
      <rPr>
        <i val="true"/>
        <sz val="11"/>
        <rFont val="Noto Sans CJK SC"/>
        <family val="2"/>
      </rPr>
      <t xml:space="preserve">／</t>
    </r>
    <r>
      <rPr>
        <i val="true"/>
        <sz val="11"/>
        <rFont val="Arial"/>
        <family val="0"/>
        <charset val="1"/>
      </rPr>
      <t xml:space="preserve">Analogy</t>
    </r>
    <r>
      <rPr>
        <i val="true"/>
        <sz val="11"/>
        <rFont val="Noto Sans CJK SC"/>
        <family val="2"/>
      </rPr>
      <t xml:space="preserve">／</t>
    </r>
    <r>
      <rPr>
        <i val="true"/>
        <sz val="11"/>
        <rFont val="Arial"/>
        <family val="0"/>
        <charset val="1"/>
      </rPr>
      <t xml:space="preserve">Assumed</t>
    </r>
    <r>
      <rPr>
        <i val="true"/>
        <sz val="11"/>
        <rFont val="Noto Sans CJK SC"/>
        <family val="2"/>
      </rPr>
      <t xml:space="preserve">／</t>
    </r>
    <r>
      <rPr>
        <i val="true"/>
        <sz val="11"/>
        <rFont val="Arial"/>
        <family val="0"/>
        <charset val="1"/>
      </rPr>
      <t xml:space="preserve">Derived</t>
    </r>
    <r>
      <rPr>
        <i val="true"/>
        <sz val="11"/>
        <rFont val="Noto Sans CJK SC"/>
        <family val="2"/>
      </rPr>
      <t xml:space="preserve">／</t>
    </r>
    <r>
      <rPr>
        <i val="true"/>
        <sz val="11"/>
        <rFont val="Arial"/>
        <family val="0"/>
        <charset val="1"/>
      </rPr>
      <t xml:space="preserve">Decision</t>
    </r>
    <r>
      <rPr>
        <i val="true"/>
        <sz val="11"/>
        <rFont val="Noto Sans CJK SC"/>
        <family val="2"/>
      </rPr>
      <t xml:space="preserve">。</t>
    </r>
  </si>
  <si>
    <r>
      <rPr>
        <i val="true"/>
        <sz val="11"/>
        <rFont val="Noto Sans CJK SC"/>
        <family val="2"/>
      </rPr>
      <t xml:space="preserve">本檔為討論用；定稿後由 </t>
    </r>
    <r>
      <rPr>
        <i val="true"/>
        <sz val="11"/>
        <rFont val="Arial"/>
        <family val="0"/>
        <charset val="1"/>
      </rPr>
      <t xml:space="preserve">CC </t>
    </r>
    <r>
      <rPr>
        <i val="true"/>
        <sz val="11"/>
        <rFont val="Noto Sans CJK SC"/>
        <family val="2"/>
      </rPr>
      <t xml:space="preserve">依規格（定稿時改版）以 </t>
    </r>
    <r>
      <rPr>
        <i val="true"/>
        <sz val="11"/>
        <rFont val="Arial"/>
        <family val="0"/>
        <charset val="1"/>
      </rPr>
      <t xml:space="preserve">build </t>
    </r>
    <r>
      <rPr>
        <i val="true"/>
        <sz val="11"/>
        <rFont val="Noto Sans CJK SC"/>
        <family val="2"/>
      </rPr>
      <t xml:space="preserve">程式產生正式版（</t>
    </r>
    <r>
      <rPr>
        <i val="true"/>
        <sz val="11"/>
        <rFont val="Arial"/>
        <family val="0"/>
        <charset val="1"/>
      </rPr>
      <t xml:space="preserve">company.json → Excel → HTML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</si>
  <si>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— 輸入（藍字＝可改輸入；數值來源：</t>
    </r>
    <r>
      <rPr>
        <b val="true"/>
        <sz val="13"/>
        <rFont val="Arial"/>
        <family val="0"/>
        <charset val="1"/>
      </rPr>
      <t xml:space="preserve">openai_token_revenue.json v0.5</t>
    </r>
    <r>
      <rPr>
        <b val="true"/>
        <sz val="13"/>
        <rFont val="Noto Sans CJK SC"/>
        <family val="2"/>
      </rPr>
      <t xml:space="preserve">）</t>
    </r>
  </si>
  <si>
    <t xml:space="preserve">所有輸入集中於此頁；其他頁只放公式。數列不足之年度以最後一值延伸。</t>
  </si>
  <si>
    <t xml:space="preserve">標記</t>
  </si>
  <si>
    <t xml:space="preserve">來源／說明</t>
  </si>
  <si>
    <t xml:space="preserve">查核</t>
  </si>
  <si>
    <t xml:space="preserve">控制</t>
  </si>
  <si>
    <r>
      <rPr>
        <sz val="11"/>
        <rFont val="Noto Sans CJK SC"/>
        <family val="2"/>
      </rPr>
      <t xml:space="preserve">情境（</t>
    </r>
    <r>
      <rPr>
        <sz val="11"/>
        <rFont val="Arial"/>
        <family val="0"/>
        <charset val="1"/>
      </rPr>
      <t xml:space="preserve">low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base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high</t>
    </r>
    <r>
      <rPr>
        <sz val="11"/>
        <rFont val="Noto Sans CJK SC"/>
        <family val="2"/>
      </rPr>
      <t xml:space="preserve">）</t>
    </r>
  </si>
  <si>
    <t xml:space="preserve">選單</t>
  </si>
  <si>
    <t xml:space="preserve">base</t>
  </si>
  <si>
    <t xml:space="preserve">Decision</t>
  </si>
  <si>
    <r>
      <rPr>
        <sz val="11"/>
        <rFont val="Arial"/>
        <family val="0"/>
        <charset val="1"/>
      </rPr>
      <t xml:space="preserve">D11 </t>
    </r>
    <r>
      <rPr>
        <sz val="11"/>
        <rFont val="Noto Sans CJK SC"/>
        <family val="2"/>
      </rPr>
      <t xml:space="preserve">情境軸：</t>
    </r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彈性、牌價年變動、訂閱每任務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成長</t>
    </r>
  </si>
  <si>
    <t xml:space="preserve">假設</t>
  </si>
  <si>
    <r>
      <rPr>
        <sz val="11"/>
        <rFont val="Noto Sans CJK SC"/>
        <family val="2"/>
      </rPr>
      <t xml:space="preserve">未揭露時程合約之付款型態（</t>
    </r>
    <r>
      <rPr>
        <sz val="11"/>
        <rFont val="Arial"/>
        <family val="0"/>
        <charset val="1"/>
      </rPr>
      <t xml:space="preserve">even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ramp</t>
    </r>
    <r>
      <rPr>
        <sz val="11"/>
        <rFont val="Noto Sans CJK SC"/>
        <family val="2"/>
      </rPr>
      <t xml:space="preserve">）</t>
    </r>
  </si>
  <si>
    <t xml:space="preserve">ramp</t>
  </si>
  <si>
    <r>
      <rPr>
        <sz val="11"/>
        <rFont val="Arial"/>
        <family val="0"/>
        <charset val="1"/>
      </rPr>
      <t xml:space="preserve">N4(b)</t>
    </r>
    <r>
      <rPr>
        <sz val="11"/>
        <rFont val="Noto Sans CJK SC"/>
        <family val="2"/>
      </rPr>
      <t xml:space="preserve">：期間內線性爬升（</t>
    </r>
    <r>
      <rPr>
        <sz val="11"/>
        <rFont val="Arial"/>
        <family val="0"/>
        <charset val="1"/>
      </rPr>
      <t xml:space="preserve">Andy 2026-09-29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</si>
  <si>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計入 </t>
    </r>
    <r>
      <rPr>
        <sz val="11"/>
        <rFont val="Arial"/>
        <family val="0"/>
        <charset val="1"/>
      </rPr>
      <t xml:space="preserve">Amazon </t>
    </r>
    <r>
      <rPr>
        <sz val="11"/>
        <rFont val="Noto Sans CJK SC"/>
        <family val="2"/>
      </rPr>
      <t xml:space="preserve">條件式 </t>
    </r>
    <r>
      <rPr>
        <sz val="11"/>
        <rFont val="Arial"/>
        <family val="0"/>
        <charset val="1"/>
      </rPr>
      <t xml:space="preserve">$35B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＝是）</t>
    </r>
  </si>
  <si>
    <t xml:space="preserve">0/1</t>
  </si>
  <si>
    <r>
      <rPr>
        <sz val="11"/>
        <rFont val="Noto Sans CJK SC"/>
        <family val="2"/>
      </rPr>
      <t xml:space="preserve">以 </t>
    </r>
    <r>
      <rPr>
        <sz val="11"/>
        <rFont val="Arial"/>
        <family val="0"/>
        <charset val="1"/>
      </rPr>
      <t xml:space="preserve">IPO </t>
    </r>
    <r>
      <rPr>
        <sz val="11"/>
        <rFont val="Noto Sans CJK SC"/>
        <family val="2"/>
      </rPr>
      <t xml:space="preserve">或 </t>
    </r>
    <r>
      <rPr>
        <sz val="11"/>
        <rFont val="Arial"/>
        <family val="0"/>
        <charset val="1"/>
      </rPr>
      <t xml:space="preserve">AGI </t>
    </r>
    <r>
      <rPr>
        <sz val="11"/>
        <rFont val="Noto Sans CJK SC"/>
        <family val="2"/>
      </rPr>
      <t xml:space="preserve">里程碑為條件；</t>
    </r>
    <r>
      <rPr>
        <sz val="11"/>
        <rFont val="Arial"/>
        <family val="0"/>
        <charset val="1"/>
      </rPr>
      <t xml:space="preserve">base </t>
    </r>
    <r>
      <rPr>
        <sz val="11"/>
        <rFont val="Noto Sans CJK SC"/>
        <family val="2"/>
      </rPr>
      <t xml:space="preserve">不計入</t>
    </r>
  </si>
  <si>
    <t xml:space="preserve">實際數與錨點</t>
  </si>
  <si>
    <r>
      <rPr>
        <sz val="11"/>
        <rFont val="Arial"/>
        <family val="0"/>
        <charset val="1"/>
      </rPr>
      <t xml:space="preserve">FY2025 </t>
    </r>
    <r>
      <rPr>
        <sz val="11"/>
        <rFont val="Noto Sans CJK SC"/>
        <family val="2"/>
      </rPr>
      <t xml:space="preserve">營收</t>
    </r>
  </si>
  <si>
    <t xml:space="preserve">Interested-party</t>
  </si>
  <si>
    <r>
      <rPr>
        <sz val="11"/>
        <rFont val="Arial"/>
        <family val="0"/>
        <charset val="1"/>
      </rPr>
      <t xml:space="preserve">Fortune/FT 2026-06 </t>
    </r>
    <r>
      <rPr>
        <sz val="11"/>
        <rFont val="Noto Sans CJK SC"/>
        <family val="2"/>
      </rPr>
      <t xml:space="preserve">報導之 </t>
    </r>
    <r>
      <rPr>
        <sz val="11"/>
        <rFont val="Arial"/>
        <family val="0"/>
        <charset val="1"/>
      </rPr>
      <t xml:space="preserve">FY2025 </t>
    </r>
    <r>
      <rPr>
        <sz val="11"/>
        <rFont val="Noto Sans CJK SC"/>
        <family val="2"/>
      </rPr>
      <t xml:space="preserve">認列營收（經查核數字外流）</t>
    </r>
  </si>
  <si>
    <r>
      <rPr>
        <sz val="11"/>
        <rFont val="Noto Sans CJK SC"/>
        <family val="2"/>
      </rPr>
      <t xml:space="preserve">待查核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報導</t>
    </r>
  </si>
  <si>
    <r>
      <rPr>
        <sz val="11"/>
        <rFont val="Arial"/>
        <family val="0"/>
        <charset val="1"/>
      </rPr>
      <t xml:space="preserve">2026 Q1 </t>
    </r>
    <r>
      <rPr>
        <sz val="11"/>
        <rFont val="Noto Sans CJK SC"/>
        <family val="2"/>
      </rPr>
      <t xml:space="preserve">營收</t>
    </r>
  </si>
  <si>
    <r>
      <rPr>
        <sz val="11"/>
        <rFont val="Arial"/>
        <family val="0"/>
        <charset val="1"/>
      </rPr>
      <t xml:space="preserve">The Information 2026-06-16</t>
    </r>
    <r>
      <rPr>
        <sz val="11"/>
        <rFont val="Noto Sans CJK SC"/>
        <family val="2"/>
      </rPr>
      <t xml:space="preserve">（股東文件）</t>
    </r>
  </si>
  <si>
    <r>
      <rPr>
        <sz val="11"/>
        <rFont val="Arial"/>
        <family val="0"/>
        <charset val="1"/>
      </rPr>
      <t xml:space="preserve">2026 Q2 </t>
    </r>
    <r>
      <rPr>
        <sz val="11"/>
        <rFont val="Noto Sans CJK SC"/>
        <family val="2"/>
      </rPr>
      <t xml:space="preserve">營收</t>
    </r>
  </si>
  <si>
    <r>
      <rPr>
        <sz val="11"/>
        <rFont val="Arial"/>
        <family val="0"/>
        <charset val="1"/>
      </rPr>
      <t xml:space="preserve">WSJ 2026-08-18</t>
    </r>
    <r>
      <rPr>
        <sz val="11"/>
        <rFont val="Noto Sans CJK SC"/>
        <family val="2"/>
      </rPr>
      <t xml:space="preserve">（告知投資人）</t>
    </r>
  </si>
  <si>
    <r>
      <rPr>
        <sz val="11"/>
        <rFont val="Arial"/>
        <family val="0"/>
        <charset val="1"/>
      </rPr>
      <t xml:space="preserve">FY2025 </t>
    </r>
    <r>
      <rPr>
        <sz val="11"/>
        <rFont val="Noto Sans CJK SC"/>
        <family val="2"/>
      </rPr>
      <t xml:space="preserve">營業成本（含推論）</t>
    </r>
  </si>
  <si>
    <r>
      <rPr>
        <sz val="11"/>
        <rFont val="Noto Sans CJK SC"/>
        <family val="2"/>
      </rPr>
      <t xml:space="preserve">同上；</t>
    </r>
    <r>
      <rPr>
        <sz val="11"/>
        <rFont val="Arial"/>
        <family val="0"/>
        <charset val="1"/>
      </rPr>
      <t xml:space="preserve">cost of revenue </t>
    </r>
    <r>
      <rPr>
        <sz val="11"/>
        <rFont val="Noto Sans CJK SC"/>
        <family val="2"/>
      </rPr>
      <t xml:space="preserve">含推論</t>
    </r>
  </si>
  <si>
    <r>
      <rPr>
        <sz val="11"/>
        <rFont val="Arial"/>
        <family val="0"/>
        <charset val="1"/>
      </rPr>
      <t xml:space="preserve">FY2025 API </t>
    </r>
    <r>
      <rPr>
        <sz val="11"/>
        <rFont val="Noto Sans CJK SC"/>
        <family val="2"/>
      </rPr>
      <t xml:space="preserve">處理 </t>
    </r>
    <r>
      <rPr>
        <sz val="11"/>
        <rFont val="Arial"/>
        <family val="0"/>
        <charset val="1"/>
      </rPr>
      <t xml:space="preserve">token</t>
    </r>
    <r>
      <rPr>
        <sz val="11"/>
        <rFont val="Noto Sans CJK SC"/>
        <family val="2"/>
      </rPr>
      <t xml:space="preserve">（揭露推估）</t>
    </r>
  </si>
  <si>
    <t xml:space="preserve">T</t>
  </si>
  <si>
    <t xml:space="preserve">Derived</t>
  </si>
  <si>
    <r>
      <rPr>
        <sz val="11"/>
        <rFont val="Arial"/>
        <family val="0"/>
        <charset val="1"/>
      </rPr>
      <t xml:space="preserve">FY </t>
    </r>
    <r>
      <rPr>
        <sz val="11"/>
        <rFont val="Noto Sans CJK SC"/>
        <family val="2"/>
      </rPr>
      <t xml:space="preserve">平均約 </t>
    </r>
    <r>
      <rPr>
        <sz val="11"/>
        <rFont val="Arial"/>
        <family val="0"/>
        <charset val="1"/>
      </rPr>
      <t xml:space="preserve">5B/min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workbook </t>
    </r>
    <r>
      <rPr>
        <sz val="11"/>
        <rFont val="Noto Sans CJK SC"/>
        <family val="2"/>
      </rPr>
      <t xml:space="preserve">列 </t>
    </r>
    <r>
      <rPr>
        <sz val="11"/>
        <rFont val="Arial"/>
        <family val="0"/>
        <charset val="1"/>
      </rPr>
      <t xml:space="preserve">242 </t>
    </r>
    <r>
      <rPr>
        <sz val="11"/>
        <rFont val="Noto Sans CJK SC"/>
        <family val="2"/>
      </rPr>
      <t xml:space="preserve">估計）</t>
    </r>
    <r>
      <rPr>
        <sz val="11"/>
        <rFont val="Arial"/>
        <family val="0"/>
        <charset val="1"/>
      </rPr>
      <t xml:space="preserve">× 525,600 </t>
    </r>
    <r>
      <rPr>
        <sz val="11"/>
        <rFont val="Noto Sans CJK SC"/>
        <family val="2"/>
      </rPr>
      <t xml:space="preserve">分</t>
    </r>
  </si>
  <si>
    <r>
      <rPr>
        <sz val="11"/>
        <rFont val="Noto Sans CJK SC"/>
        <family val="2"/>
      </rPr>
      <t xml:space="preserve">待查核</t>
    </r>
    <r>
      <rPr>
        <sz val="11"/>
        <rFont val="Arial"/>
        <family val="0"/>
        <charset val="1"/>
      </rPr>
      <t xml:space="preserve">-workbook</t>
    </r>
  </si>
  <si>
    <r>
      <rPr>
        <sz val="11"/>
        <rFont val="Arial"/>
        <family val="0"/>
        <charset val="1"/>
      </rPr>
      <t xml:space="preserve">FY2026 </t>
    </r>
    <r>
      <rPr>
        <sz val="11"/>
        <rFont val="Noto Sans CJK SC"/>
        <family val="2"/>
      </rPr>
      <t xml:space="preserve">獨立推估下限</t>
    </r>
  </si>
  <si>
    <r>
      <rPr>
        <sz val="11"/>
        <rFont val="Arial"/>
        <family val="0"/>
        <charset val="1"/>
      </rPr>
      <t xml:space="preserve">Q1 5.7 + Q2 6.7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WSJ</t>
    </r>
    <r>
      <rPr>
        <sz val="11"/>
        <rFont val="Noto Sans CJK SC"/>
        <family val="2"/>
      </rPr>
      <t xml:space="preserve">）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下半年以 </t>
    </r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月 </t>
    </r>
    <r>
      <rPr>
        <sz val="11"/>
        <rFont val="Arial"/>
        <family val="0"/>
        <charset val="1"/>
      </rPr>
      <t xml:space="preserve">ARR $40B </t>
    </r>
    <r>
      <rPr>
        <sz val="11"/>
        <rFont val="Noto Sans CJK SC"/>
        <family val="2"/>
      </rPr>
      <t xml:space="preserve">外推；上限放寬至簡報 </t>
    </r>
    <r>
      <rPr>
        <sz val="11"/>
        <rFont val="Arial"/>
        <family val="0"/>
        <charset val="1"/>
      </rPr>
      <t xml:space="preserve">36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7 </t>
    </r>
    <r>
      <rPr>
        <sz val="11"/>
        <rFont val="Noto Sans CJK SC"/>
        <family val="2"/>
      </rPr>
      <t xml:space="preserve">月 </t>
    </r>
    <r>
      <rPr>
        <sz val="11"/>
        <rFont val="Arial"/>
        <family val="0"/>
        <charset val="1"/>
      </rPr>
      <t xml:space="preserve">ARR </t>
    </r>
    <r>
      <rPr>
        <sz val="11"/>
        <rFont val="Noto Sans CJK SC"/>
        <family val="2"/>
      </rPr>
      <t xml:space="preserve">月增 </t>
    </r>
    <r>
      <rPr>
        <sz val="11"/>
        <rFont val="Arial"/>
        <family val="0"/>
        <charset val="1"/>
      </rPr>
      <t xml:space="preserve">20%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</si>
  <si>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FY2026 </t>
    </r>
    <r>
      <rPr>
        <sz val="11"/>
        <rFont val="Noto Sans CJK SC"/>
        <family val="2"/>
      </rPr>
      <t xml:space="preserve">獨立推估上限</t>
    </r>
  </si>
  <si>
    <r>
      <rPr>
        <sz val="11"/>
        <rFont val="Noto Sans CJK SC"/>
        <family val="2"/>
      </rPr>
      <t xml:space="preserve">上限放寬至 </t>
    </r>
    <r>
      <rPr>
        <sz val="11"/>
        <rFont val="Arial"/>
        <family val="0"/>
        <charset val="1"/>
      </rPr>
      <t xml:space="preserve">7 </t>
    </r>
    <r>
      <rPr>
        <sz val="11"/>
        <rFont val="Noto Sans CJK SC"/>
        <family val="2"/>
      </rPr>
      <t xml:space="preserve">月簡報 </t>
    </r>
    <r>
      <rPr>
        <sz val="11"/>
        <rFont val="Arial"/>
        <family val="0"/>
        <charset val="1"/>
      </rPr>
      <t xml:space="preserve">$36B</t>
    </r>
  </si>
  <si>
    <r>
      <rPr>
        <b val="true"/>
        <sz val="11"/>
        <color rgb="FF1F3864"/>
        <rFont val="Arial"/>
        <family val="0"/>
        <charset val="1"/>
      </rPr>
      <t xml:space="preserve">Microsoft </t>
    </r>
    <r>
      <rPr>
        <b val="true"/>
        <sz val="11"/>
        <color rgb="FF1F3864"/>
        <rFont val="Noto Sans CJK SC"/>
        <family val="2"/>
      </rPr>
      <t xml:space="preserve">營收分潤</t>
    </r>
  </si>
  <si>
    <t xml:space="preserve">分潤比率</t>
  </si>
  <si>
    <r>
      <rPr>
        <sz val="11"/>
        <rFont val="Arial"/>
        <family val="0"/>
        <charset val="1"/>
      </rPr>
      <t xml:space="preserve">CNBC 2026-04-27 </t>
    </r>
    <r>
      <rPr>
        <sz val="11"/>
        <rFont val="Noto Sans CJK SC"/>
        <family val="2"/>
      </rPr>
      <t xml:space="preserve">引述知情人士；</t>
    </r>
    <r>
      <rPr>
        <sz val="11"/>
        <rFont val="Arial"/>
        <family val="0"/>
        <charset val="1"/>
      </rPr>
      <t xml:space="preserve">VentureBeat </t>
    </r>
    <r>
      <rPr>
        <sz val="11"/>
        <rFont val="Noto Sans CJK SC"/>
        <family val="2"/>
      </rPr>
      <t xml:space="preserve">同</t>
    </r>
  </si>
  <si>
    <t xml:space="preserve">分潤總額上限</t>
  </si>
  <si>
    <r>
      <rPr>
        <sz val="11"/>
        <rFont val="Arial"/>
        <family val="0"/>
        <charset val="1"/>
      </rPr>
      <t xml:space="preserve">The Information 2026-05</t>
    </r>
    <r>
      <rPr>
        <sz val="11"/>
        <rFont val="Noto Sans CJK SC"/>
        <family val="2"/>
      </rPr>
      <t xml:space="preserve">（經 </t>
    </r>
    <r>
      <rPr>
        <sz val="11"/>
        <rFont val="Arial"/>
        <family val="0"/>
        <charset val="1"/>
      </rPr>
      <t xml:space="preserve">AI Magazine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GuruFocus </t>
    </r>
    <r>
      <rPr>
        <sz val="11"/>
        <rFont val="Noto Sans CJK SC"/>
        <family val="2"/>
      </rPr>
      <t xml:space="preserve">轉述）</t>
    </r>
  </si>
  <si>
    <t xml:space="preserve">上限起算年</t>
  </si>
  <si>
    <t xml:space="preserve">年</t>
  </si>
  <si>
    <t xml:space="preserve">N2(a)</t>
  </si>
  <si>
    <t xml:space="preserve">分潤付至</t>
  </si>
  <si>
    <t xml:space="preserve">Verified</t>
  </si>
  <si>
    <r>
      <rPr>
        <sz val="11"/>
        <rFont val="Arial"/>
        <family val="0"/>
        <charset val="1"/>
      </rPr>
      <t xml:space="preserve">OpenAI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Microsoft 2026-04-27 </t>
    </r>
    <r>
      <rPr>
        <sz val="11"/>
        <rFont val="Noto Sans CJK SC"/>
        <family val="2"/>
      </rPr>
      <t xml:space="preserve">公告：付款持續至 </t>
    </r>
    <r>
      <rPr>
        <sz val="11"/>
        <rFont val="Arial"/>
        <family val="0"/>
        <charset val="1"/>
      </rPr>
      <t xml:space="preserve">2030</t>
    </r>
    <r>
      <rPr>
        <sz val="11"/>
        <rFont val="Noto Sans CJK SC"/>
        <family val="2"/>
      </rPr>
      <t xml:space="preserve">，受總額上限</t>
    </r>
  </si>
  <si>
    <t xml:space="preserve">已核實</t>
  </si>
  <si>
    <r>
      <rPr>
        <b val="true"/>
        <sz val="11"/>
        <color rgb="FF1F3864"/>
        <rFont val="Arial"/>
        <family val="0"/>
        <charset val="1"/>
      </rPr>
      <t xml:space="preserve">API</t>
    </r>
    <r>
      <rPr>
        <b val="true"/>
        <sz val="11"/>
        <color rgb="FF1F3864"/>
        <rFont val="Noto Sans CJK SC"/>
        <family val="2"/>
      </rPr>
      <t xml:space="preserve">：牌價（</t>
    </r>
    <r>
      <rPr>
        <b val="true"/>
        <sz val="11"/>
        <color rgb="FF1F3864"/>
        <rFont val="Arial"/>
        <family val="0"/>
        <charset val="1"/>
      </rPr>
      <t xml:space="preserve">FY </t>
    </r>
    <r>
      <rPr>
        <b val="true"/>
        <sz val="11"/>
        <color rgb="FF1F3864"/>
        <rFont val="Noto Sans CJK SC"/>
        <family val="2"/>
      </rPr>
      <t xml:space="preserve">平均，</t>
    </r>
    <r>
      <rPr>
        <b val="true"/>
        <sz val="11"/>
        <color rgb="FF1F3864"/>
        <rFont val="Arial"/>
        <family val="0"/>
        <charset val="1"/>
      </rPr>
      <t xml:space="preserve">$/M tokens</t>
    </r>
    <r>
      <rPr>
        <b val="true"/>
        <sz val="11"/>
        <color rgb="FF1F3864"/>
        <rFont val="Noto Sans CJK SC"/>
        <family val="2"/>
      </rPr>
      <t xml:space="preserve">；層級角色口徑 </t>
    </r>
    <r>
      <rPr>
        <b val="true"/>
        <sz val="11"/>
        <color rgb="FF1F3864"/>
        <rFont val="Arial"/>
        <family val="0"/>
        <charset val="1"/>
      </rPr>
      <t xml:space="preserve">N3a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</si>
  <si>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頂層 輸入牌價 </t>
    </r>
    <r>
      <rPr>
        <sz val="11"/>
        <rFont val="Arial"/>
        <family val="0"/>
        <charset val="1"/>
      </rPr>
      <t xml:space="preserve">2025–26</t>
    </r>
  </si>
  <si>
    <t xml:space="preserve">$/M</t>
  </si>
  <si>
    <t xml:space="preserve">Analogy/Derived</t>
  </si>
  <si>
    <r>
      <rPr>
        <sz val="11"/>
        <rFont val="Arial"/>
        <family val="0"/>
        <charset val="1"/>
      </rPr>
      <t xml:space="preserve">2025 Analogy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依 </t>
    </r>
    <r>
      <rPr>
        <sz val="11"/>
        <rFont val="Arial"/>
        <family val="0"/>
        <charset val="1"/>
      </rPr>
      <t xml:space="preserve">7–9 </t>
    </r>
    <r>
      <rPr>
        <sz val="11"/>
        <rFont val="Noto Sans CJK SC"/>
        <family val="2"/>
      </rPr>
      <t xml:space="preserve">月價格事件按月加權</t>
    </r>
  </si>
  <si>
    <r>
      <rPr>
        <sz val="11"/>
        <rFont val="Noto Sans CJK SC"/>
        <family val="2"/>
      </rPr>
      <t xml:space="preserve">頂層 輸出牌價 </t>
    </r>
    <r>
      <rPr>
        <sz val="11"/>
        <rFont val="Arial"/>
        <family val="0"/>
        <charset val="1"/>
      </rPr>
      <t xml:space="preserve">2025–26</t>
    </r>
  </si>
  <si>
    <r>
      <rPr>
        <sz val="11"/>
        <rFont val="Arial"/>
        <family val="0"/>
        <charset val="1"/>
      </rPr>
      <t xml:space="preserve">openai.com 2026-07-30 GPT-5.6 </t>
    </r>
    <r>
      <rPr>
        <sz val="11"/>
        <rFont val="Noto Sans CJK SC"/>
        <family val="2"/>
      </rPr>
      <t xml:space="preserve">降價公告；</t>
    </r>
    <r>
      <rPr>
        <sz val="11"/>
        <rFont val="Arial"/>
        <family val="0"/>
        <charset val="1"/>
      </rPr>
      <t xml:space="preserve">GPT-6 Sol/Luna 2026-09-22 </t>
    </r>
    <r>
      <rPr>
        <sz val="11"/>
        <rFont val="Noto Sans CJK SC"/>
        <family val="2"/>
      </rPr>
      <t xml:space="preserve">發布（</t>
    </r>
    <r>
      <rPr>
        <sz val="11"/>
        <rFont val="Arial"/>
        <family val="0"/>
        <charset val="1"/>
      </rPr>
      <t xml:space="preserve">Techzine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MarkTechPost</t>
    </r>
    <r>
      <rPr>
        <sz val="11"/>
        <rFont val="Noto Sans CJK SC"/>
        <family val="2"/>
      </rPr>
      <t xml:space="preserve">）；</t>
    </r>
    <r>
      <rPr>
        <sz val="11"/>
        <rFont val="Arial"/>
        <family val="0"/>
        <charset val="1"/>
      </rPr>
      <t xml:space="preserve">GPT-6 Astra 2026-09-03</t>
    </r>
  </si>
  <si>
    <r>
      <rPr>
        <sz val="11"/>
        <rFont val="Noto Sans CJK SC"/>
        <family val="2"/>
      </rPr>
      <t xml:space="preserve">中層 輸入牌價 </t>
    </r>
    <r>
      <rPr>
        <sz val="11"/>
        <rFont val="Arial"/>
        <family val="0"/>
        <charset val="1"/>
      </rPr>
      <t xml:space="preserve">2025–26</t>
    </r>
  </si>
  <si>
    <r>
      <rPr>
        <sz val="11"/>
        <rFont val="Noto Sans CJK SC"/>
        <family val="2"/>
      </rPr>
      <t xml:space="preserve">中層 輸出牌價 </t>
    </r>
    <r>
      <rPr>
        <sz val="11"/>
        <rFont val="Arial"/>
        <family val="0"/>
        <charset val="1"/>
      </rPr>
      <t xml:space="preserve">2025–26</t>
    </r>
  </si>
  <si>
    <r>
      <rPr>
        <sz val="11"/>
        <rFont val="Noto Sans CJK SC"/>
        <family val="2"/>
      </rPr>
      <t xml:space="preserve">低層 輸入牌價 </t>
    </r>
    <r>
      <rPr>
        <sz val="11"/>
        <rFont val="Arial"/>
        <family val="0"/>
        <charset val="1"/>
      </rPr>
      <t xml:space="preserve">2025–26</t>
    </r>
  </si>
  <si>
    <r>
      <rPr>
        <sz val="11"/>
        <rFont val="Noto Sans CJK SC"/>
        <family val="2"/>
      </rPr>
      <t xml:space="preserve">低層 輸出牌價 </t>
    </r>
    <r>
      <rPr>
        <sz val="11"/>
        <rFont val="Arial"/>
        <family val="0"/>
        <charset val="1"/>
      </rPr>
      <t xml:space="preserve">2025–26</t>
    </r>
  </si>
  <si>
    <r>
      <rPr>
        <b val="true"/>
        <sz val="11"/>
        <color rgb="FF1F3864"/>
        <rFont val="Arial"/>
        <family val="0"/>
        <charset val="1"/>
      </rPr>
      <t xml:space="preserve">API</t>
    </r>
    <r>
      <rPr>
        <b val="true"/>
        <sz val="11"/>
        <color rgb="FF1F3864"/>
        <rFont val="Noto Sans CJK SC"/>
        <family val="2"/>
      </rPr>
      <t xml:space="preserve">：情境參數（欄 </t>
    </r>
    <r>
      <rPr>
        <b val="true"/>
        <sz val="11"/>
        <color rgb="FF1F3864"/>
        <rFont val="Arial"/>
        <family val="0"/>
        <charset val="1"/>
      </rPr>
      <t xml:space="preserve">C</t>
    </r>
    <r>
      <rPr>
        <b val="true"/>
        <sz val="11"/>
        <color rgb="FF1F3864"/>
        <rFont val="Noto Sans CJK SC"/>
        <family val="2"/>
      </rPr>
      <t xml:space="preserve">＝</t>
    </r>
    <r>
      <rPr>
        <b val="true"/>
        <sz val="11"/>
        <color rgb="FF1F3864"/>
        <rFont val="Arial"/>
        <family val="0"/>
        <charset val="1"/>
      </rPr>
      <t xml:space="preserve">low</t>
    </r>
    <r>
      <rPr>
        <b val="true"/>
        <sz val="11"/>
        <color rgb="FF1F3864"/>
        <rFont val="Noto Sans CJK SC"/>
        <family val="2"/>
      </rPr>
      <t xml:space="preserve">、</t>
    </r>
    <r>
      <rPr>
        <b val="true"/>
        <sz val="11"/>
        <color rgb="FF1F3864"/>
        <rFont val="Arial"/>
        <family val="0"/>
        <charset val="1"/>
      </rPr>
      <t xml:space="preserve">D</t>
    </r>
    <r>
      <rPr>
        <b val="true"/>
        <sz val="11"/>
        <color rgb="FF1F3864"/>
        <rFont val="Noto Sans CJK SC"/>
        <family val="2"/>
      </rPr>
      <t xml:space="preserve">＝</t>
    </r>
    <r>
      <rPr>
        <b val="true"/>
        <sz val="11"/>
        <color rgb="FF1F3864"/>
        <rFont val="Arial"/>
        <family val="0"/>
        <charset val="1"/>
      </rPr>
      <t xml:space="preserve">base</t>
    </r>
    <r>
      <rPr>
        <b val="true"/>
        <sz val="11"/>
        <color rgb="FF1F3864"/>
        <rFont val="Noto Sans CJK SC"/>
        <family val="2"/>
      </rPr>
      <t xml:space="preserve">、</t>
    </r>
    <r>
      <rPr>
        <b val="true"/>
        <sz val="11"/>
        <color rgb="FF1F3864"/>
        <rFont val="Arial"/>
        <family val="0"/>
        <charset val="1"/>
      </rPr>
      <t xml:space="preserve">E</t>
    </r>
    <r>
      <rPr>
        <b val="true"/>
        <sz val="11"/>
        <color rgb="FF1F3864"/>
        <rFont val="Noto Sans CJK SC"/>
        <family val="2"/>
      </rPr>
      <t xml:space="preserve">＝</t>
    </r>
    <r>
      <rPr>
        <b val="true"/>
        <sz val="11"/>
        <color rgb="FF1F3864"/>
        <rFont val="Arial"/>
        <family val="0"/>
        <charset val="1"/>
      </rPr>
      <t xml:space="preserve">high</t>
    </r>
    <r>
      <rPr>
        <b val="true"/>
        <sz val="11"/>
        <color rgb="FF1F3864"/>
        <rFont val="Noto Sans CJK SC"/>
        <family val="2"/>
      </rPr>
      <t xml:space="preserve">、</t>
    </r>
    <r>
      <rPr>
        <b val="true"/>
        <sz val="11"/>
        <color rgb="FF1F3864"/>
        <rFont val="Arial"/>
        <family val="0"/>
        <charset val="1"/>
      </rPr>
      <t xml:space="preserve">F</t>
    </r>
    <r>
      <rPr>
        <b val="true"/>
        <sz val="11"/>
        <color rgb="FF1F3864"/>
        <rFont val="Noto Sans CJK SC"/>
        <family val="2"/>
      </rPr>
      <t xml:space="preserve">＝選用）</t>
    </r>
  </si>
  <si>
    <t xml:space="preserve">low</t>
  </si>
  <si>
    <t xml:space="preserve">high</t>
  </si>
  <si>
    <t xml:space="preserve">選用</t>
  </si>
  <si>
    <r>
      <rPr>
        <sz val="11"/>
        <rFont val="Noto Sans CJK SC"/>
        <family val="2"/>
      </rPr>
      <t xml:space="preserve">頂層牌價年變動（</t>
    </r>
    <r>
      <rPr>
        <sz val="11"/>
        <rFont val="Arial"/>
        <family val="0"/>
        <charset val="1"/>
      </rPr>
      <t xml:space="preserve">2027 </t>
    </r>
    <r>
      <rPr>
        <sz val="11"/>
        <rFont val="Noto Sans CJK SC"/>
        <family val="2"/>
      </rPr>
      <t xml:space="preserve">起）</t>
    </r>
  </si>
  <si>
    <r>
      <rPr>
        <sz val="11"/>
        <rFont val="Arial"/>
        <family val="0"/>
        <charset val="1"/>
      </rPr>
      <t xml:space="preserve">%/</t>
    </r>
    <r>
      <rPr>
        <sz val="11"/>
        <rFont val="Noto Sans CJK SC"/>
        <family val="2"/>
      </rPr>
      <t xml:space="preserve">年</t>
    </r>
  </si>
  <si>
    <t xml:space="preserve">Assumed</t>
  </si>
  <si>
    <t xml:space="preserve">情境軸</t>
  </si>
  <si>
    <r>
      <rPr>
        <sz val="11"/>
        <rFont val="Noto Sans CJK SC"/>
        <family val="2"/>
      </rPr>
      <t xml:space="preserve">中層牌價年變動（</t>
    </r>
    <r>
      <rPr>
        <sz val="11"/>
        <rFont val="Arial"/>
        <family val="0"/>
        <charset val="1"/>
      </rPr>
      <t xml:space="preserve">2027 </t>
    </r>
    <r>
      <rPr>
        <sz val="11"/>
        <rFont val="Noto Sans CJK SC"/>
        <family val="2"/>
      </rPr>
      <t xml:space="preserve">起）</t>
    </r>
  </si>
  <si>
    <r>
      <rPr>
        <sz val="11"/>
        <rFont val="Noto Sans CJK SC"/>
        <family val="2"/>
      </rPr>
      <t xml:space="preserve">低層牌價年變動（</t>
    </r>
    <r>
      <rPr>
        <sz val="11"/>
        <rFont val="Arial"/>
        <family val="0"/>
        <charset val="1"/>
      </rPr>
      <t xml:space="preserve">2027 </t>
    </r>
    <r>
      <rPr>
        <sz val="11"/>
        <rFont val="Noto Sans CJK SC"/>
        <family val="2"/>
      </rPr>
      <t xml:space="preserve">起）</t>
    </r>
  </si>
  <si>
    <t xml:space="preserve">彈性：任務數對單價</t>
  </si>
  <si>
    <t xml:space="preserve">ε</t>
  </si>
  <si>
    <t xml:space="preserve">無法由公開資料分離（價格與能力同時變動）</t>
  </si>
  <si>
    <r>
      <rPr>
        <sz val="11"/>
        <rFont val="Noto Sans CJK SC"/>
        <family val="2"/>
      </rPr>
      <t xml:space="preserve">彈性：每任務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對單價</t>
    </r>
  </si>
  <si>
    <t xml:space="preserve">同上</t>
  </si>
  <si>
    <r>
      <rPr>
        <sz val="11"/>
        <rFont val="Arial"/>
        <family val="0"/>
        <charset val="1"/>
      </rPr>
      <t xml:space="preserve">Plus→Go </t>
    </r>
    <r>
      <rPr>
        <sz val="11"/>
        <rFont val="Noto Sans CJK SC"/>
        <family val="2"/>
      </rPr>
      <t xml:space="preserve">遷移：公司 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計畫幅度之比例</t>
    </r>
  </si>
  <si>
    <r>
      <rPr>
        <sz val="11"/>
        <rFont val="Arial"/>
        <family val="0"/>
        <charset val="1"/>
      </rPr>
      <t xml:space="preserve">T4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low 0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base 30%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high 80%</t>
    </r>
  </si>
  <si>
    <r>
      <rPr>
        <sz val="11"/>
        <rFont val="Noto Sans CJK SC"/>
        <family val="2"/>
      </rPr>
      <t xml:space="preserve">訂閱每任務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年成長（</t>
    </r>
    <r>
      <rPr>
        <sz val="11"/>
        <rFont val="Arial"/>
        <family val="0"/>
        <charset val="1"/>
      </rPr>
      <t xml:space="preserve">2027 </t>
    </r>
    <r>
      <rPr>
        <sz val="11"/>
        <rFont val="Noto Sans CJK SC"/>
        <family val="2"/>
      </rPr>
      <t xml:space="preserve">起）</t>
    </r>
  </si>
  <si>
    <t xml:space="preserve">只影響成本，不影響訂閱營收</t>
  </si>
  <si>
    <r>
      <rPr>
        <b val="true"/>
        <sz val="11"/>
        <color rgb="FF1F3864"/>
        <rFont val="Arial"/>
        <family val="0"/>
        <charset val="1"/>
      </rPr>
      <t xml:space="preserve">API</t>
    </r>
    <r>
      <rPr>
        <b val="true"/>
        <sz val="11"/>
        <color rgb="FF1F3864"/>
        <rFont val="Noto Sans CJK SC"/>
        <family val="2"/>
      </rPr>
      <t xml:space="preserve">：組合、折扣與量</t>
    </r>
  </si>
  <si>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組合：頂層占比</t>
    </r>
  </si>
  <si>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組合：中層占比</t>
    </r>
  </si>
  <si>
    <r>
      <rPr>
        <sz val="11"/>
        <rFont val="Noto Sans CJK SC"/>
        <family val="2"/>
      </rPr>
      <t xml:space="preserve">低層＝</t>
    </r>
    <r>
      <rPr>
        <sz val="11"/>
        <rFont val="Arial"/>
        <family val="0"/>
        <charset val="1"/>
      </rPr>
      <t xml:space="preserve">1−</t>
    </r>
    <r>
      <rPr>
        <sz val="11"/>
        <rFont val="Noto Sans CJK SC"/>
        <family val="2"/>
      </rPr>
      <t xml:space="preserve">頂層−中層</t>
    </r>
  </si>
  <si>
    <r>
      <rPr>
        <sz val="11"/>
        <rFont val="Noto Sans CJK SC"/>
        <family val="2"/>
      </rPr>
      <t xml:space="preserve">輸出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占比 </t>
    </r>
    <r>
      <rPr>
        <sz val="11"/>
        <rFont val="Arial"/>
        <family val="0"/>
        <charset val="1"/>
      </rPr>
      <t xml:space="preserve">φ</t>
    </r>
  </si>
  <si>
    <t xml:space="preserve">Analogy</t>
  </si>
  <si>
    <r>
      <rPr>
        <sz val="11"/>
        <rFont val="Arial"/>
        <family val="0"/>
        <charset val="1"/>
      </rPr>
      <t xml:space="preserve">workbook API I:O </t>
    </r>
    <r>
      <rPr>
        <sz val="11"/>
        <rFont val="Noto Sans CJK SC"/>
        <family val="2"/>
      </rPr>
      <t xml:space="preserve">約 </t>
    </r>
    <r>
      <rPr>
        <sz val="11"/>
        <rFont val="Arial"/>
        <family val="0"/>
        <charset val="1"/>
      </rPr>
      <t xml:space="preserve">4:1</t>
    </r>
    <r>
      <rPr>
        <sz val="11"/>
        <rFont val="Noto Sans CJK SC"/>
        <family val="2"/>
      </rPr>
      <t xml:space="preserve">；代理式工作負載使輸出占比上升</t>
    </r>
  </si>
  <si>
    <r>
      <rPr>
        <sz val="11"/>
        <rFont val="Noto Sans CJK SC"/>
        <family val="2"/>
      </rPr>
      <t xml:space="preserve">快取命中率 </t>
    </r>
    <r>
      <rPr>
        <sz val="11"/>
        <rFont val="Arial"/>
        <family val="0"/>
        <charset val="1"/>
      </rPr>
      <t xml:space="preserve">h</t>
    </r>
  </si>
  <si>
    <r>
      <rPr>
        <sz val="11"/>
        <rFont val="Noto Sans CJK SC"/>
        <family val="2"/>
      </rPr>
      <t xml:space="preserve">快取輸入價比 </t>
    </r>
    <r>
      <rPr>
        <sz val="11"/>
        <rFont val="Arial"/>
        <family val="0"/>
        <charset val="1"/>
      </rPr>
      <t xml:space="preserve">r</t>
    </r>
  </si>
  <si>
    <r>
      <rPr>
        <sz val="11"/>
        <rFont val="Noto Sans CJK SC"/>
        <family val="2"/>
      </rPr>
      <t xml:space="preserve">定價頁：</t>
    </r>
    <r>
      <rPr>
        <sz val="11"/>
        <rFont val="Arial"/>
        <family val="0"/>
        <charset val="1"/>
      </rPr>
      <t xml:space="preserve">cached input = </t>
    </r>
    <r>
      <rPr>
        <sz val="11"/>
        <rFont val="Noto Sans CJK SC"/>
        <family val="2"/>
      </rPr>
      <t xml:space="preserve">輸入價 </t>
    </r>
    <r>
      <rPr>
        <sz val="11"/>
        <rFont val="Arial"/>
        <family val="0"/>
        <charset val="1"/>
      </rPr>
      <t xml:space="preserve">10%</t>
    </r>
  </si>
  <si>
    <r>
      <rPr>
        <sz val="11"/>
        <rFont val="Noto Sans CJK SC"/>
        <family val="2"/>
      </rPr>
      <t xml:space="preserve">加權折扣 </t>
    </r>
    <r>
      <rPr>
        <sz val="11"/>
        <rFont val="Arial"/>
        <family val="0"/>
        <charset val="1"/>
      </rPr>
      <t xml:space="preserve">d</t>
    </r>
  </si>
  <si>
    <r>
      <rPr>
        <sz val="11"/>
        <rFont val="Arial"/>
        <family val="0"/>
        <charset val="1"/>
      </rPr>
      <t xml:space="preserve">Batch/Flex </t>
    </r>
    <r>
      <rPr>
        <sz val="11"/>
        <rFont val="Noto Sans CJK SC"/>
        <family val="2"/>
      </rPr>
      <t xml:space="preserve">半價 </t>
    </r>
    <r>
      <rPr>
        <sz val="11"/>
        <rFont val="Arial"/>
        <family val="0"/>
        <charset val="1"/>
      </rPr>
      <t xml:space="preserve">[Verified]</t>
    </r>
    <r>
      <rPr>
        <sz val="11"/>
        <rFont val="Noto Sans CJK SC"/>
        <family val="2"/>
      </rPr>
      <t xml:space="preserve">；企業折扣 </t>
    </r>
    <r>
      <rPr>
        <sz val="11"/>
        <rFont val="Arial"/>
        <family val="0"/>
        <charset val="1"/>
      </rPr>
      <t xml:space="preserve">[Analogy]</t>
    </r>
    <r>
      <rPr>
        <sz val="11"/>
        <rFont val="Noto Sans CJK SC"/>
        <family val="2"/>
      </rPr>
      <t xml:space="preserve">；兩者合併為加權折扣</t>
    </r>
  </si>
  <si>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基準（</t>
    </r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）</t>
    </r>
  </si>
  <si>
    <t xml:space="preserve">K tok</t>
  </si>
  <si>
    <r>
      <rPr>
        <sz val="11"/>
        <rFont val="Noto Sans CJK SC"/>
        <family val="2"/>
      </rPr>
      <t xml:space="preserve">層級正規化：只影響 </t>
    </r>
    <r>
      <rPr>
        <sz val="11"/>
        <rFont val="Arial"/>
        <family val="0"/>
        <charset val="1"/>
      </rPr>
      <t xml:space="preserve">N </t>
    </r>
    <r>
      <rPr>
        <sz val="11"/>
        <rFont val="Noto Sans CJK SC"/>
        <family val="2"/>
      </rPr>
      <t xml:space="preserve">與 </t>
    </r>
    <r>
      <rPr>
        <sz val="11"/>
        <rFont val="Arial"/>
        <family val="0"/>
        <charset val="1"/>
      </rPr>
      <t xml:space="preserve">k </t>
    </r>
    <r>
      <rPr>
        <sz val="11"/>
        <rFont val="Noto Sans CJK SC"/>
        <family val="2"/>
      </rPr>
      <t xml:space="preserve">的水準拆分，不影響營收</t>
    </r>
  </si>
  <si>
    <t xml:space="preserve">任務數年成長（未計價格反應）</t>
  </si>
  <si>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為校準年</t>
    </r>
  </si>
  <si>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年成長（未計價格反應）</t>
    </r>
  </si>
  <si>
    <t xml:space="preserve">彈性生效年</t>
  </si>
  <si>
    <r>
      <rPr>
        <sz val="11"/>
        <rFont val="Arial"/>
        <family val="0"/>
        <charset val="1"/>
      </rPr>
      <t xml:space="preserve">2025–26 </t>
    </r>
    <r>
      <rPr>
        <sz val="11"/>
        <rFont val="Noto Sans CJK SC"/>
        <family val="2"/>
      </rPr>
      <t xml:space="preserve">為校準年</t>
    </r>
  </si>
  <si>
    <r>
      <rPr>
        <b val="true"/>
        <sz val="11"/>
        <color rgb="FF1F3864"/>
        <rFont val="Noto Sans CJK SC"/>
        <family val="2"/>
      </rPr>
      <t xml:space="preserve">訂閱：人數（</t>
    </r>
    <r>
      <rPr>
        <b val="true"/>
        <sz val="11"/>
        <color rgb="FF1F3864"/>
        <rFont val="Arial"/>
        <family val="0"/>
        <charset val="1"/>
      </rPr>
      <t xml:space="preserve">FY </t>
    </r>
    <r>
      <rPr>
        <b val="true"/>
        <sz val="11"/>
        <color rgb="FF1F3864"/>
        <rFont val="Noto Sans CJK SC"/>
        <family val="2"/>
      </rPr>
      <t xml:space="preserve">平均）、</t>
    </r>
    <r>
      <rPr>
        <b val="true"/>
        <sz val="11"/>
        <color rgb="FF1F3864"/>
        <rFont val="Arial"/>
        <family val="0"/>
        <charset val="1"/>
      </rPr>
      <t xml:space="preserve">ARPU</t>
    </r>
    <r>
      <rPr>
        <b val="true"/>
        <sz val="11"/>
        <color rgb="FF1F3864"/>
        <rFont val="Noto Sans CJK SC"/>
        <family val="2"/>
      </rPr>
      <t xml:space="preserve">、使用量</t>
    </r>
  </si>
  <si>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人數</t>
    </r>
  </si>
  <si>
    <t xml:space="preserve">M</t>
  </si>
  <si>
    <r>
      <rPr>
        <sz val="11"/>
        <rFont val="Arial"/>
        <family val="0"/>
        <charset val="1"/>
      </rPr>
      <t xml:space="preserve">WAU 900M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2026-02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OpenAI</t>
    </r>
    <r>
      <rPr>
        <sz val="11"/>
        <rFont val="Noto Sans CJK SC"/>
        <family val="2"/>
      </rPr>
      <t xml:space="preserve">）；</t>
    </r>
    <r>
      <rPr>
        <sz val="11"/>
        <rFont val="Arial"/>
        <family val="0"/>
        <charset val="1"/>
      </rPr>
      <t xml:space="preserve">2027+ Assumed</t>
    </r>
  </si>
  <si>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人數（無遷移基準）</t>
    </r>
  </si>
  <si>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Arial"/>
        <family val="0"/>
        <charset val="1"/>
      </rPr>
      <t xml:space="preserve">3M</t>
    </r>
    <r>
      <rPr>
        <sz val="11"/>
        <rFont val="Noto Sans CJK SC"/>
        <family val="2"/>
      </rPr>
      <t xml:space="preserve">（年底，</t>
    </r>
    <r>
      <rPr>
        <sz val="11"/>
        <rFont val="Arial"/>
        <family val="0"/>
        <charset val="1"/>
      </rPr>
      <t xml:space="preserve">The Information</t>
    </r>
    <r>
      <rPr>
        <sz val="11"/>
        <rFont val="Noto Sans CJK SC"/>
        <family val="2"/>
      </rPr>
      <t xml:space="preserve">）；</t>
    </r>
    <r>
      <rPr>
        <sz val="11"/>
        <rFont val="Arial"/>
        <family val="0"/>
        <charset val="1"/>
      </rPr>
      <t xml:space="preserve">2026+ </t>
    </r>
    <r>
      <rPr>
        <sz val="11"/>
        <rFont val="Noto Sans CJK SC"/>
        <family val="2"/>
      </rPr>
      <t xml:space="preserve">為無遷移基準 </t>
    </r>
    <r>
      <rPr>
        <sz val="11"/>
        <rFont val="Arial"/>
        <family val="0"/>
        <charset val="1"/>
      </rPr>
      <t xml:space="preserve">[Assumed]</t>
    </r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</si>
  <si>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人數（無遷移基準）</t>
    </r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</si>
  <si>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7 </t>
    </r>
    <r>
      <rPr>
        <sz val="11"/>
        <rFont val="Noto Sans CJK SC"/>
        <family val="2"/>
      </rPr>
      <t xml:space="preserve">月 </t>
    </r>
    <r>
      <rPr>
        <sz val="11"/>
        <rFont val="Arial"/>
        <family val="0"/>
        <charset val="1"/>
      </rPr>
      <t xml:space="preserve">Plus+Pro </t>
    </r>
    <r>
      <rPr>
        <sz val="11"/>
        <rFont val="Noto Sans CJK SC"/>
        <family val="2"/>
      </rPr>
      <t xml:space="preserve">約 </t>
    </r>
    <r>
      <rPr>
        <sz val="11"/>
        <rFont val="Arial"/>
        <family val="0"/>
        <charset val="1"/>
      </rPr>
      <t xml:space="preserve">35M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Reuters/The Information 2025-11</t>
    </r>
    <r>
      <rPr>
        <sz val="11"/>
        <rFont val="Noto Sans CJK SC"/>
        <family val="2"/>
      </rPr>
      <t xml:space="preserve">）、</t>
    </r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內部文件 </t>
    </r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Arial"/>
        <family val="0"/>
        <charset val="1"/>
      </rPr>
      <t xml:space="preserve">44M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The Information 2026-04-28</t>
    </r>
    <r>
      <rPr>
        <sz val="11"/>
        <rFont val="Noto Sans CJK SC"/>
        <family val="2"/>
      </rPr>
      <t xml:space="preserve">）→ </t>
    </r>
    <r>
      <rPr>
        <sz val="11"/>
        <rFont val="Arial"/>
        <family val="0"/>
        <charset val="1"/>
      </rPr>
      <t xml:space="preserve">FY </t>
    </r>
    <r>
      <rPr>
        <sz val="11"/>
        <rFont val="Noto Sans CJK SC"/>
        <family val="2"/>
      </rPr>
      <t xml:space="preserve">平均 </t>
    </r>
    <r>
      <rPr>
        <sz val="11"/>
        <rFont val="Arial"/>
        <family val="0"/>
        <charset val="1"/>
      </rPr>
      <t xml:space="preserve">28–33M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2026+ </t>
    </r>
    <r>
      <rPr>
        <sz val="11"/>
        <rFont val="Noto Sans CJK SC"/>
        <family val="2"/>
      </rPr>
      <t xml:space="preserve">為「無遷移」基準 </t>
    </r>
    <r>
      <rPr>
        <sz val="11"/>
        <rFont val="Arial"/>
        <family val="0"/>
        <charset val="1"/>
      </rPr>
      <t xml:space="preserve">[Assumed]</t>
    </r>
  </si>
  <si>
    <r>
      <rPr>
        <sz val="11"/>
        <rFont val="Arial"/>
        <family val="0"/>
        <charset val="1"/>
      </rPr>
      <t xml:space="preserve">Pro </t>
    </r>
    <r>
      <rPr>
        <sz val="11"/>
        <rFont val="Noto Sans CJK SC"/>
        <family val="2"/>
      </rPr>
      <t xml:space="preserve">人數</t>
    </r>
  </si>
  <si>
    <r>
      <rPr>
        <sz val="11"/>
        <rFont val="Noto Sans CJK SC"/>
        <family val="2"/>
      </rPr>
      <t xml:space="preserve">內部預測：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倍增但 </t>
    </r>
    <r>
      <rPr>
        <sz val="11"/>
        <rFont val="Arial"/>
        <family val="0"/>
        <charset val="1"/>
      </rPr>
      <t xml:space="preserve">&lt;1% </t>
    </r>
    <r>
      <rPr>
        <sz val="11"/>
        <rFont val="Noto Sans CJK SC"/>
        <family val="2"/>
      </rPr>
      <t xml:space="preserve">付費總數（</t>
    </r>
    <r>
      <rPr>
        <sz val="11"/>
        <rFont val="Arial"/>
        <family val="0"/>
        <charset val="1"/>
      </rPr>
      <t xml:space="preserve">The Information 2026-04-28</t>
    </r>
    <r>
      <rPr>
        <sz val="11"/>
        <rFont val="Noto Sans CJK SC"/>
        <family val="2"/>
      </rPr>
      <t xml:space="preserve">）；</t>
    </r>
    <r>
      <rPr>
        <sz val="11"/>
        <rFont val="Arial"/>
        <family val="0"/>
        <charset val="1"/>
      </rPr>
      <t xml:space="preserve">2027+ Assumed</t>
    </r>
  </si>
  <si>
    <t xml:space="preserve">企業席位 人數</t>
  </si>
  <si>
    <r>
      <rPr>
        <sz val="11"/>
        <rFont val="Noto Sans CJK SC"/>
        <family val="2"/>
      </rPr>
      <t xml:space="preserve">逾 </t>
    </r>
    <r>
      <rPr>
        <sz val="11"/>
        <rFont val="Arial"/>
        <family val="0"/>
        <charset val="1"/>
      </rPr>
      <t xml:space="preserve">9M </t>
    </r>
    <r>
      <rPr>
        <sz val="11"/>
        <rFont val="Noto Sans CJK SC"/>
        <family val="2"/>
      </rPr>
      <t xml:space="preserve">付費企業用戶（</t>
    </r>
    <r>
      <rPr>
        <sz val="11"/>
        <rFont val="Arial"/>
        <family val="0"/>
        <charset val="1"/>
      </rPr>
      <t xml:space="preserve">OpenAI 2026-02</t>
    </r>
    <r>
      <rPr>
        <sz val="11"/>
        <rFont val="Noto Sans CJK SC"/>
        <family val="2"/>
      </rPr>
      <t xml:space="preserve">）；</t>
    </r>
    <r>
      <rPr>
        <sz val="11"/>
        <rFont val="Arial"/>
        <family val="0"/>
        <charset val="1"/>
      </rPr>
      <t xml:space="preserve">FY2025 </t>
    </r>
    <r>
      <rPr>
        <sz val="11"/>
        <rFont val="Noto Sans CJK SC"/>
        <family val="2"/>
      </rPr>
      <t xml:space="preserve">平均 </t>
    </r>
    <r>
      <rPr>
        <sz val="11"/>
        <rFont val="Arial"/>
        <family val="0"/>
        <charset val="1"/>
      </rPr>
      <t xml:space="preserve">Assumed</t>
    </r>
  </si>
  <si>
    <r>
      <rPr>
        <sz val="11"/>
        <rFont val="Noto Sans CJK SC"/>
        <family val="2"/>
      </rPr>
      <t xml:space="preserve">公司計畫 </t>
    </r>
    <r>
      <rPr>
        <sz val="11"/>
        <rFont val="Arial"/>
        <family val="0"/>
        <charset val="1"/>
      </rPr>
      <t xml:space="preserve">2026 Go </t>
    </r>
    <r>
      <rPr>
        <sz val="11"/>
        <rFont val="Noto Sans CJK SC"/>
        <family val="2"/>
      </rPr>
      <t xml:space="preserve">人數</t>
    </r>
  </si>
  <si>
    <r>
      <rPr>
        <sz val="11"/>
        <rFont val="Arial"/>
        <family val="0"/>
        <charset val="1"/>
      </rPr>
      <t xml:space="preserve">The Information 2026-04-28</t>
    </r>
    <r>
      <rPr>
        <sz val="11"/>
        <rFont val="Noto Sans CJK SC"/>
        <family val="2"/>
      </rPr>
      <t xml:space="preserve">（年初內部預測）</t>
    </r>
  </si>
  <si>
    <r>
      <rPr>
        <sz val="11"/>
        <rFont val="Noto Sans CJK SC"/>
        <family val="2"/>
      </rPr>
      <t xml:space="preserve">公司計畫 </t>
    </r>
    <r>
      <rPr>
        <sz val="11"/>
        <rFont val="Arial"/>
        <family val="0"/>
        <charset val="1"/>
      </rPr>
      <t xml:space="preserve">2026 Plus </t>
    </r>
    <r>
      <rPr>
        <sz val="11"/>
        <rFont val="Noto Sans CJK SC"/>
        <family val="2"/>
      </rPr>
      <t xml:space="preserve">人數</t>
    </r>
  </si>
  <si>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實收 </t>
    </r>
    <r>
      <rPr>
        <sz val="11"/>
        <rFont val="Arial"/>
        <family val="0"/>
        <charset val="1"/>
      </rPr>
      <t xml:space="preserve">ARPU</t>
    </r>
  </si>
  <si>
    <r>
      <rPr>
        <sz val="11"/>
        <rFont val="Arial"/>
        <family val="0"/>
        <charset val="1"/>
      </rPr>
      <t xml:space="preserve">$/</t>
    </r>
    <r>
      <rPr>
        <sz val="11"/>
        <rFont val="Noto Sans CJK SC"/>
        <family val="2"/>
      </rPr>
      <t xml:space="preserve">月</t>
    </r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</si>
  <si>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實收 </t>
    </r>
    <r>
      <rPr>
        <sz val="11"/>
        <rFont val="Arial"/>
        <family val="0"/>
        <charset val="1"/>
      </rPr>
      <t xml:space="preserve">ARPU</t>
    </r>
  </si>
  <si>
    <r>
      <rPr>
        <sz val="11"/>
        <rFont val="Arial"/>
        <family val="0"/>
        <charset val="1"/>
      </rPr>
      <t xml:space="preserve">$20 </t>
    </r>
    <r>
      <rPr>
        <sz val="11"/>
        <rFont val="Noto Sans CJK SC"/>
        <family val="2"/>
      </rPr>
      <t xml:space="preserve">美國、僅月繳（</t>
    </r>
    <r>
      <rPr>
        <sz val="11"/>
        <rFont val="Arial"/>
        <family val="0"/>
        <charset val="1"/>
      </rPr>
      <t xml:space="preserve">2026-09 </t>
    </r>
    <r>
      <rPr>
        <sz val="11"/>
        <rFont val="Noto Sans CJK SC"/>
        <family val="2"/>
      </rPr>
      <t xml:space="preserve">定價頁）；區間反映含稅地區與促銷</t>
    </r>
  </si>
  <si>
    <r>
      <rPr>
        <sz val="11"/>
        <rFont val="Arial"/>
        <family val="0"/>
        <charset val="1"/>
      </rPr>
      <t xml:space="preserve">Pro </t>
    </r>
    <r>
      <rPr>
        <sz val="11"/>
        <rFont val="Noto Sans CJK SC"/>
        <family val="2"/>
      </rPr>
      <t xml:space="preserve">實收 </t>
    </r>
    <r>
      <rPr>
        <sz val="11"/>
        <rFont val="Arial"/>
        <family val="0"/>
        <charset val="1"/>
      </rPr>
      <t xml:space="preserve">ARPU</t>
    </r>
  </si>
  <si>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起兩檔 </t>
    </r>
    <r>
      <rPr>
        <sz val="11"/>
        <rFont val="Arial"/>
        <family val="0"/>
        <charset val="1"/>
      </rPr>
      <t xml:space="preserve">$100/$200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</si>
  <si>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企業席位 實收 </t>
    </r>
    <r>
      <rPr>
        <sz val="11"/>
        <rFont val="Arial"/>
        <family val="0"/>
        <charset val="1"/>
      </rPr>
      <t xml:space="preserve">ARPU</t>
    </r>
  </si>
  <si>
    <r>
      <rPr>
        <sz val="11"/>
        <rFont val="Arial"/>
        <family val="0"/>
        <charset val="1"/>
      </rPr>
      <t xml:space="preserve">Business $20-25 [Verified]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Enterprise </t>
    </r>
    <r>
      <rPr>
        <sz val="11"/>
        <rFont val="Noto Sans CJK SC"/>
        <family val="2"/>
      </rPr>
      <t xml:space="preserve">議價 </t>
    </r>
    <r>
      <rPr>
        <sz val="11"/>
        <rFont val="Arial"/>
        <family val="0"/>
        <charset val="1"/>
      </rPr>
      <t xml:space="preserve">$60+ [Analogy]</t>
    </r>
  </si>
  <si>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每日任務數 </t>
    </r>
    <r>
      <rPr>
        <sz val="11"/>
        <rFont val="Arial"/>
        <family val="0"/>
        <charset val="1"/>
      </rPr>
      <t xml:space="preserve">2025–26</t>
    </r>
  </si>
  <si>
    <r>
      <rPr>
        <sz val="11"/>
        <rFont val="Noto Sans CJK SC"/>
        <family val="2"/>
      </rPr>
      <t xml:space="preserve">次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日</t>
    </r>
  </si>
  <si>
    <r>
      <rPr>
        <sz val="11"/>
        <rFont val="Arial"/>
        <family val="0"/>
        <charset val="1"/>
      </rPr>
      <t xml:space="preserve">Tokenomics workbook 8B-ii </t>
    </r>
    <r>
      <rPr>
        <sz val="11"/>
        <rFont val="Noto Sans CJK SC"/>
        <family val="2"/>
      </rPr>
      <t xml:space="preserve">註記（未經查核）；總量對照：</t>
    </r>
    <r>
      <rPr>
        <sz val="11"/>
        <rFont val="Arial"/>
        <family val="0"/>
        <charset val="1"/>
      </rPr>
      <t xml:space="preserve">2025-07 </t>
    </r>
    <r>
      <rPr>
        <sz val="11"/>
        <rFont val="Noto Sans CJK SC"/>
        <family val="2"/>
      </rPr>
      <t xml:space="preserve">每日 </t>
    </r>
    <r>
      <rPr>
        <sz val="11"/>
        <rFont val="Arial"/>
        <family val="0"/>
        <charset val="1"/>
      </rPr>
      <t xml:space="preserve">2.5B </t>
    </r>
    <r>
      <rPr>
        <sz val="11"/>
        <rFont val="Noto Sans CJK SC"/>
        <family val="2"/>
      </rPr>
      <t xml:space="preserve">則訊息（</t>
    </r>
    <r>
      <rPr>
        <sz val="11"/>
        <rFont val="Arial"/>
        <family val="0"/>
        <charset val="1"/>
      </rPr>
      <t xml:space="preserve">OpenAI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</si>
  <si>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每日任務數 </t>
    </r>
    <r>
      <rPr>
        <sz val="11"/>
        <rFont val="Arial"/>
        <family val="0"/>
        <charset val="1"/>
      </rPr>
      <t xml:space="preserve">2025–26</t>
    </r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</si>
  <si>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每日任務數 </t>
    </r>
    <r>
      <rPr>
        <sz val="11"/>
        <rFont val="Arial"/>
        <family val="0"/>
        <charset val="1"/>
      </rPr>
      <t xml:space="preserve">2025–26</t>
    </r>
  </si>
  <si>
    <r>
      <rPr>
        <sz val="11"/>
        <rFont val="Arial"/>
        <family val="0"/>
        <charset val="1"/>
      </rPr>
      <t xml:space="preserve">Pro </t>
    </r>
    <r>
      <rPr>
        <sz val="11"/>
        <rFont val="Noto Sans CJK SC"/>
        <family val="2"/>
      </rPr>
      <t xml:space="preserve">每日任務數 </t>
    </r>
    <r>
      <rPr>
        <sz val="11"/>
        <rFont val="Arial"/>
        <family val="0"/>
        <charset val="1"/>
      </rPr>
      <t xml:space="preserve">2025–26</t>
    </r>
  </si>
  <si>
    <r>
      <rPr>
        <sz val="11"/>
        <rFont val="Noto Sans CJK SC"/>
        <family val="2"/>
      </rPr>
      <t xml:space="preserve">企業席位 每日任務數 </t>
    </r>
    <r>
      <rPr>
        <sz val="11"/>
        <rFont val="Arial"/>
        <family val="0"/>
        <charset val="1"/>
      </rPr>
      <t xml:space="preserve">2025–26</t>
    </r>
  </si>
  <si>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 2025–26</t>
    </r>
  </si>
  <si>
    <r>
      <rPr>
        <sz val="11"/>
        <rFont val="Arial"/>
        <family val="0"/>
        <charset val="1"/>
      </rPr>
      <t xml:space="preserve">Tokenomics workbook</t>
    </r>
    <r>
      <rPr>
        <sz val="11"/>
        <rFont val="Noto Sans CJK SC"/>
        <family val="2"/>
      </rPr>
      <t xml:space="preserve">（未經查核）；於「推論成本」頁以 </t>
    </r>
    <r>
      <rPr>
        <sz val="11"/>
        <rFont val="Arial"/>
        <family val="0"/>
        <charset val="1"/>
      </rPr>
      <t xml:space="preserve">FY2025 </t>
    </r>
    <r>
      <rPr>
        <sz val="11"/>
        <rFont val="Noto Sans CJK SC"/>
        <family val="2"/>
      </rPr>
      <t xml:space="preserve">成本分拆反推校正倍數 </t>
    </r>
    <r>
      <rPr>
        <sz val="11"/>
        <rFont val="Arial"/>
        <family val="0"/>
        <charset val="1"/>
      </rPr>
      <t xml:space="preserve">k</t>
    </r>
  </si>
  <si>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 2025–26</t>
    </r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</si>
  <si>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 2025–26</t>
    </r>
  </si>
  <si>
    <r>
      <rPr>
        <sz val="11"/>
        <rFont val="Arial"/>
        <family val="0"/>
        <charset val="1"/>
      </rPr>
      <t xml:space="preserve">Pro </t>
    </r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 2025–26</t>
    </r>
  </si>
  <si>
    <r>
      <rPr>
        <sz val="11"/>
        <rFont val="Noto Sans CJK SC"/>
        <family val="2"/>
      </rPr>
      <t xml:space="preserve">企業席位 每任務 </t>
    </r>
    <r>
      <rPr>
        <sz val="11"/>
        <rFont val="Arial"/>
        <family val="0"/>
        <charset val="1"/>
      </rPr>
      <t xml:space="preserve">token 2025–26</t>
    </r>
  </si>
  <si>
    <r>
      <rPr>
        <sz val="11"/>
        <rFont val="Noto Sans CJK SC"/>
        <family val="2"/>
      </rPr>
      <t xml:space="preserve">每日任務數年成長（</t>
    </r>
    <r>
      <rPr>
        <sz val="11"/>
        <rFont val="Arial"/>
        <family val="0"/>
        <charset val="1"/>
      </rPr>
      <t xml:space="preserve">2027 </t>
    </r>
    <r>
      <rPr>
        <sz val="11"/>
        <rFont val="Noto Sans CJK SC"/>
        <family val="2"/>
      </rPr>
      <t xml:space="preserve">起）</t>
    </r>
  </si>
  <si>
    <r>
      <rPr>
        <b val="true"/>
        <sz val="11"/>
        <color rgb="FF1F3864"/>
        <rFont val="Arial"/>
        <family val="0"/>
        <charset val="1"/>
      </rPr>
      <t xml:space="preserve">Vera Rubin NVL72 </t>
    </r>
    <r>
      <rPr>
        <b val="true"/>
        <sz val="11"/>
        <color rgb="FF1F3864"/>
        <rFont val="Noto Sans CJK SC"/>
        <family val="2"/>
      </rPr>
      <t xml:space="preserve">規格（預設沿用 </t>
    </r>
    <r>
      <rPr>
        <b val="true"/>
        <sz val="11"/>
        <color rgb="FF1F3864"/>
        <rFont val="Arial"/>
        <family val="0"/>
        <charset val="1"/>
      </rPr>
      <t xml:space="preserve">Tokenomics v4</t>
    </r>
    <r>
      <rPr>
        <b val="true"/>
        <sz val="11"/>
        <color rgb="FF1F3864"/>
        <rFont val="Noto Sans CJK SC"/>
        <family val="2"/>
      </rPr>
      <t xml:space="preserve">；要改一起改）與推論物理參數</t>
    </r>
  </si>
  <si>
    <r>
      <rPr>
        <sz val="11"/>
        <rFont val="Noto Sans CJK SC"/>
        <family val="2"/>
      </rPr>
      <t xml:space="preserve">機架 </t>
    </r>
    <r>
      <rPr>
        <sz val="11"/>
        <rFont val="Arial"/>
        <family val="0"/>
        <charset val="1"/>
      </rPr>
      <t xml:space="preserve">HBM </t>
    </r>
    <r>
      <rPr>
        <sz val="11"/>
        <rFont val="Noto Sans CJK SC"/>
        <family val="2"/>
      </rPr>
      <t xml:space="preserve">頻寬</t>
    </r>
  </si>
  <si>
    <t xml:space="preserve">TB/s</t>
  </si>
  <si>
    <r>
      <rPr>
        <sz val="11"/>
        <rFont val="Arial"/>
        <family val="0"/>
        <charset val="1"/>
      </rPr>
      <t xml:space="preserve">Tokenomics v4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Config F </t>
    </r>
    <r>
      <rPr>
        <sz val="11"/>
        <rFont val="Noto Sans CJK SC"/>
        <family val="2"/>
      </rPr>
      <t xml:space="preserve">欄 </t>
    </r>
    <r>
      <rPr>
        <sz val="11"/>
        <rFont val="Arial"/>
        <family val="0"/>
        <charset val="1"/>
      </rPr>
      <t xml:space="preserve">VR NVL72 </t>
    </r>
    <r>
      <rPr>
        <sz val="11"/>
        <rFont val="Noto Sans CJK SC"/>
        <family val="2"/>
      </rPr>
      <t xml:space="preserve">預設；要改一起改）　</t>
    </r>
    <r>
      <rPr>
        <sz val="11"/>
        <rFont val="Arial"/>
        <family val="0"/>
        <charset val="1"/>
      </rPr>
      <t xml:space="preserve">Config!F18</t>
    </r>
  </si>
  <si>
    <r>
      <rPr>
        <sz val="11"/>
        <rFont val="Noto Sans CJK SC"/>
        <family val="2"/>
      </rPr>
      <t xml:space="preserve">機架 </t>
    </r>
    <r>
      <rPr>
        <sz val="11"/>
        <rFont val="Arial"/>
        <family val="0"/>
        <charset val="1"/>
      </rPr>
      <t xml:space="preserve">FP4 </t>
    </r>
    <r>
      <rPr>
        <sz val="11"/>
        <rFont val="Noto Sans CJK SC"/>
        <family val="2"/>
      </rPr>
      <t xml:space="preserve">推論算力</t>
    </r>
  </si>
  <si>
    <t xml:space="preserve">PFLOPS</t>
  </si>
  <si>
    <r>
      <rPr>
        <sz val="11"/>
        <rFont val="Arial"/>
        <family val="0"/>
        <charset val="1"/>
      </rPr>
      <t xml:space="preserve">Tokenomics v4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Config F </t>
    </r>
    <r>
      <rPr>
        <sz val="11"/>
        <rFont val="Noto Sans CJK SC"/>
        <family val="2"/>
      </rPr>
      <t xml:space="preserve">欄 </t>
    </r>
    <r>
      <rPr>
        <sz val="11"/>
        <rFont val="Arial"/>
        <family val="0"/>
        <charset val="1"/>
      </rPr>
      <t xml:space="preserve">VR NVL72 </t>
    </r>
    <r>
      <rPr>
        <sz val="11"/>
        <rFont val="Noto Sans CJK SC"/>
        <family val="2"/>
      </rPr>
      <t xml:space="preserve">預設；要改一起改）　</t>
    </r>
    <r>
      <rPr>
        <sz val="11"/>
        <rFont val="Arial"/>
        <family val="0"/>
        <charset val="1"/>
      </rPr>
      <t xml:space="preserve">Config!F19</t>
    </r>
  </si>
  <si>
    <r>
      <rPr>
        <sz val="11"/>
        <rFont val="Noto Sans CJK SC"/>
        <family val="2"/>
      </rPr>
      <t xml:space="preserve">機架 </t>
    </r>
    <r>
      <rPr>
        <sz val="11"/>
        <rFont val="Arial"/>
        <family val="0"/>
        <charset val="1"/>
      </rPr>
      <t xml:space="preserve">HBM </t>
    </r>
    <r>
      <rPr>
        <sz val="11"/>
        <rFont val="Noto Sans CJK SC"/>
        <family val="2"/>
      </rPr>
      <t xml:space="preserve">容量</t>
    </r>
  </si>
  <si>
    <t xml:space="preserve">TB</t>
  </si>
  <si>
    <r>
      <rPr>
        <sz val="11"/>
        <rFont val="Arial"/>
        <family val="0"/>
        <charset val="1"/>
      </rPr>
      <t xml:space="preserve">Tokenomics v4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Config F </t>
    </r>
    <r>
      <rPr>
        <sz val="11"/>
        <rFont val="Noto Sans CJK SC"/>
        <family val="2"/>
      </rPr>
      <t xml:space="preserve">欄 </t>
    </r>
    <r>
      <rPr>
        <sz val="11"/>
        <rFont val="Arial"/>
        <family val="0"/>
        <charset val="1"/>
      </rPr>
      <t xml:space="preserve">VR NVL72 </t>
    </r>
    <r>
      <rPr>
        <sz val="11"/>
        <rFont val="Noto Sans CJK SC"/>
        <family val="2"/>
      </rPr>
      <t xml:space="preserve">預設；要改一起改）　</t>
    </r>
    <r>
      <rPr>
        <sz val="11"/>
        <rFont val="Arial"/>
        <family val="0"/>
        <charset val="1"/>
      </rPr>
      <t xml:space="preserve">Config!F17</t>
    </r>
  </si>
  <si>
    <r>
      <rPr>
        <sz val="11"/>
        <rFont val="Arial"/>
        <family val="0"/>
        <charset val="1"/>
      </rPr>
      <t xml:space="preserve">MFU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prefill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</si>
  <si>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Tokenomics v4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Config F </t>
    </r>
    <r>
      <rPr>
        <sz val="11"/>
        <rFont val="Noto Sans CJK SC"/>
        <family val="2"/>
      </rPr>
      <t xml:space="preserve">欄 </t>
    </r>
    <r>
      <rPr>
        <sz val="11"/>
        <rFont val="Arial"/>
        <family val="0"/>
        <charset val="1"/>
      </rPr>
      <t xml:space="preserve">VR NVL72 </t>
    </r>
    <r>
      <rPr>
        <sz val="11"/>
        <rFont val="Noto Sans CJK SC"/>
        <family val="2"/>
      </rPr>
      <t xml:space="preserve">預設；要改一起改）　</t>
    </r>
    <r>
      <rPr>
        <sz val="11"/>
        <rFont val="Arial"/>
        <family val="0"/>
        <charset val="1"/>
      </rPr>
      <t xml:space="preserve">Config!B46</t>
    </r>
  </si>
  <si>
    <t xml:space="preserve">每架年營運費用（含折舊）</t>
  </si>
  <si>
    <r>
      <rPr>
        <sz val="11"/>
        <rFont val="Arial"/>
        <family val="0"/>
        <charset val="1"/>
      </rPr>
      <t xml:space="preserve">$M/</t>
    </r>
    <r>
      <rPr>
        <sz val="11"/>
        <rFont val="Noto Sans CJK SC"/>
        <family val="2"/>
      </rPr>
      <t xml:space="preserve">年</t>
    </r>
  </si>
  <si>
    <r>
      <rPr>
        <sz val="11"/>
        <rFont val="Arial"/>
        <family val="0"/>
        <charset val="1"/>
      </rPr>
      <t xml:space="preserve">Tokenomics v4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Config F </t>
    </r>
    <r>
      <rPr>
        <sz val="11"/>
        <rFont val="Noto Sans CJK SC"/>
        <family val="2"/>
      </rPr>
      <t xml:space="preserve">欄 </t>
    </r>
    <r>
      <rPr>
        <sz val="11"/>
        <rFont val="Arial"/>
        <family val="0"/>
        <charset val="1"/>
      </rPr>
      <t xml:space="preserve">VR NVL72 </t>
    </r>
    <r>
      <rPr>
        <sz val="11"/>
        <rFont val="Noto Sans CJK SC"/>
        <family val="2"/>
      </rPr>
      <t xml:space="preserve">預設；要改一起改）　</t>
    </r>
    <r>
      <rPr>
        <sz val="11"/>
        <rFont val="Arial"/>
        <family val="0"/>
        <charset val="1"/>
      </rPr>
      <t xml:space="preserve">DC_Cost_Model!D88 ÷ D9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DC_Cost_Model</t>
    </r>
    <r>
      <rPr>
        <sz val="11"/>
        <rFont val="Noto Sans CJK SC"/>
        <family val="2"/>
      </rPr>
      <t xml:space="preserve">：年營運費用 </t>
    </r>
    <r>
      <rPr>
        <sz val="11"/>
        <rFont val="Arial"/>
        <family val="0"/>
        <charset val="1"/>
      </rPr>
      <t xml:space="preserve">$9,298M ÷ 5,263 </t>
    </r>
    <r>
      <rPr>
        <sz val="11"/>
        <rFont val="Noto Sans CJK SC"/>
        <family val="2"/>
      </rPr>
      <t xml:space="preserve">架（含折舊）</t>
    </r>
  </si>
  <si>
    <r>
      <rPr>
        <sz val="11"/>
        <rFont val="Noto Sans CJK SC"/>
        <family val="2"/>
      </rPr>
      <t xml:space="preserve">推測解碼每步接受 </t>
    </r>
    <r>
      <rPr>
        <sz val="11"/>
        <rFont val="Arial"/>
        <family val="0"/>
        <charset val="1"/>
      </rPr>
      <t xml:space="preserve">token</t>
    </r>
  </si>
  <si>
    <t xml:space="preserve">tok</t>
  </si>
  <si>
    <r>
      <rPr>
        <sz val="11"/>
        <rFont val="Arial"/>
        <family val="0"/>
        <charset val="1"/>
      </rPr>
      <t xml:space="preserve">Tokenomics v4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Config F </t>
    </r>
    <r>
      <rPr>
        <sz val="11"/>
        <rFont val="Noto Sans CJK SC"/>
        <family val="2"/>
      </rPr>
      <t xml:space="preserve">欄 </t>
    </r>
    <r>
      <rPr>
        <sz val="11"/>
        <rFont val="Arial"/>
        <family val="0"/>
        <charset val="1"/>
      </rPr>
      <t xml:space="preserve">VR NVL72 </t>
    </r>
    <r>
      <rPr>
        <sz val="11"/>
        <rFont val="Noto Sans CJK SC"/>
        <family val="2"/>
      </rPr>
      <t xml:space="preserve">預設；要改一起改）　</t>
    </r>
    <r>
      <rPr>
        <sz val="11"/>
        <rFont val="Arial"/>
        <family val="0"/>
        <charset val="1"/>
      </rPr>
      <t xml:space="preserve">Config!B59</t>
    </r>
  </si>
  <si>
    <t xml:space="preserve">機架平均利用率</t>
  </si>
  <si>
    <r>
      <rPr>
        <sz val="11"/>
        <rFont val="Noto Sans CJK SC"/>
        <family val="2"/>
      </rPr>
      <t xml:space="preserve">區間 </t>
    </r>
    <r>
      <rPr>
        <sz val="11"/>
        <rFont val="Arial"/>
        <family val="0"/>
        <charset val="1"/>
      </rPr>
      <t xml:space="preserve">40–80%</t>
    </r>
  </si>
  <si>
    <r>
      <rPr>
        <sz val="11"/>
        <rFont val="Arial"/>
        <family val="0"/>
        <charset val="1"/>
      </rPr>
      <t xml:space="preserve">decode </t>
    </r>
    <r>
      <rPr>
        <sz val="11"/>
        <rFont val="Noto Sans CJK SC"/>
        <family val="2"/>
      </rPr>
      <t xml:space="preserve">批次上限</t>
    </r>
  </si>
  <si>
    <t xml:space="preserve">序列</t>
  </si>
  <si>
    <r>
      <rPr>
        <sz val="11"/>
        <rFont val="Noto Sans CJK SC"/>
        <family val="2"/>
      </rPr>
      <t xml:space="preserve">區間 </t>
    </r>
    <r>
      <rPr>
        <sz val="11"/>
        <rFont val="Arial"/>
        <family val="0"/>
        <charset val="1"/>
      </rPr>
      <t xml:space="preserve">64–1,024</t>
    </r>
    <r>
      <rPr>
        <sz val="11"/>
        <rFont val="Noto Sans CJK SC"/>
        <family val="2"/>
      </rPr>
      <t xml:space="preserve">；決定權重讀取的攤提</t>
    </r>
  </si>
  <si>
    <t xml:space="preserve">平均上下文長度</t>
  </si>
  <si>
    <r>
      <rPr>
        <sz val="11"/>
        <rFont val="Noto Sans CJK SC"/>
        <family val="2"/>
      </rPr>
      <t xml:space="preserve">區間 </t>
    </r>
    <r>
      <rPr>
        <sz val="11"/>
        <rFont val="Arial"/>
        <family val="0"/>
        <charset val="1"/>
      </rPr>
      <t xml:space="preserve">4–32K</t>
    </r>
    <r>
      <rPr>
        <sz val="11"/>
        <rFont val="Noto Sans CJK SC"/>
        <family val="2"/>
      </rPr>
      <t xml:space="preserve">；決定 </t>
    </r>
    <r>
      <rPr>
        <sz val="11"/>
        <rFont val="Arial"/>
        <family val="0"/>
        <charset val="1"/>
      </rPr>
      <t xml:space="preserve">KV </t>
    </r>
    <r>
      <rPr>
        <sz val="11"/>
        <rFont val="Noto Sans CJK SC"/>
        <family val="2"/>
      </rPr>
      <t xml:space="preserve">快取讀取量</t>
    </r>
  </si>
  <si>
    <r>
      <rPr>
        <sz val="11"/>
        <rFont val="Arial"/>
        <family val="0"/>
        <charset val="1"/>
      </rPr>
      <t xml:space="preserve">prefill </t>
    </r>
    <r>
      <rPr>
        <sz val="11"/>
        <rFont val="Noto Sans CJK SC"/>
        <family val="2"/>
      </rPr>
      <t xml:space="preserve">注意力額外計算倍數</t>
    </r>
  </si>
  <si>
    <r>
      <rPr>
        <sz val="11"/>
        <rFont val="Noto Sans CJK SC"/>
        <family val="2"/>
      </rPr>
      <t xml:space="preserve">快取輸入成本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新鮮輸入成本</t>
    </r>
  </si>
  <si>
    <r>
      <rPr>
        <sz val="11"/>
        <rFont val="Noto Sans CJK SC"/>
        <family val="2"/>
      </rPr>
      <t xml:space="preserve">牌價快取讀取比 </t>
    </r>
    <r>
      <rPr>
        <sz val="11"/>
        <rFont val="Arial"/>
        <family val="0"/>
        <charset val="1"/>
      </rPr>
      <t xml:space="preserve">0.05–0.1 </t>
    </r>
    <r>
      <rPr>
        <sz val="11"/>
        <rFont val="Noto Sans CJK SC"/>
        <family val="2"/>
      </rPr>
      <t xml:space="preserve">代理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</si>
  <si>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（低層） 總參數</t>
    </r>
  </si>
  <si>
    <t xml:space="preserve">B</t>
  </si>
  <si>
    <r>
      <rPr>
        <sz val="11"/>
        <rFont val="Arial"/>
        <family val="0"/>
        <charset val="1"/>
      </rPr>
      <t xml:space="preserve">Tokenomics </t>
    </r>
    <r>
      <rPr>
        <sz val="11"/>
        <rFont val="Noto Sans CJK SC"/>
        <family val="2"/>
      </rPr>
      <t xml:space="preserve">預設架構類比：</t>
    </r>
    <r>
      <rPr>
        <sz val="11"/>
        <rFont val="Arial"/>
        <family val="0"/>
        <charset val="1"/>
      </rPr>
      <t xml:space="preserve">DeepSeek V4-Flash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</si>
  <si>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（低層） 啟用參數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</si>
  <si>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（低層） 每 </t>
    </r>
    <r>
      <rPr>
        <sz val="11"/>
        <rFont val="Arial"/>
        <family val="0"/>
        <charset val="1"/>
      </rPr>
      <t xml:space="preserve">token KV </t>
    </r>
    <r>
      <rPr>
        <sz val="11"/>
        <rFont val="Noto Sans CJK SC"/>
        <family val="2"/>
      </rPr>
      <t xml:space="preserve">快取</t>
    </r>
  </si>
  <si>
    <t xml:space="preserve">bytes</t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</si>
  <si>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（低層） 每參數位元組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</si>
  <si>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（中層） 總參數</t>
    </r>
  </si>
  <si>
    <r>
      <rPr>
        <sz val="11"/>
        <rFont val="Arial"/>
        <family val="0"/>
        <charset val="1"/>
      </rPr>
      <t xml:space="preserve">Tokenomics </t>
    </r>
    <r>
      <rPr>
        <sz val="11"/>
        <rFont val="Noto Sans CJK SC"/>
        <family val="2"/>
      </rPr>
      <t xml:space="preserve">預設架構類比：</t>
    </r>
    <r>
      <rPr>
        <sz val="11"/>
        <rFont val="Arial"/>
        <family val="0"/>
        <charset val="1"/>
      </rPr>
      <t xml:space="preserve">DeepSeek V4-Pro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</si>
  <si>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（中層） 啟用參數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</si>
  <si>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（中層） 每 </t>
    </r>
    <r>
      <rPr>
        <sz val="11"/>
        <rFont val="Arial"/>
        <family val="0"/>
        <charset val="1"/>
      </rPr>
      <t xml:space="preserve">token KV </t>
    </r>
    <r>
      <rPr>
        <sz val="11"/>
        <rFont val="Noto Sans CJK SC"/>
        <family val="2"/>
      </rPr>
      <t xml:space="preserve">快取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</si>
  <si>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（中層） 每參數位元組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</si>
  <si>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（頂層） 總參數</t>
    </r>
  </si>
  <si>
    <r>
      <rPr>
        <sz val="11"/>
        <rFont val="Arial"/>
        <family val="0"/>
        <charset val="1"/>
      </rPr>
      <t xml:space="preserve">Tokenomics </t>
    </r>
    <r>
      <rPr>
        <sz val="11"/>
        <rFont val="Noto Sans CJK SC"/>
        <family val="2"/>
      </rPr>
      <t xml:space="preserve">預設架構類比：</t>
    </r>
    <r>
      <rPr>
        <sz val="11"/>
        <rFont val="Arial"/>
        <family val="0"/>
        <charset val="1"/>
      </rPr>
      <t xml:space="preserve">Closed-frontier proxy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</si>
  <si>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（頂層） 啟用參數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</si>
  <si>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（頂層） 每 </t>
    </r>
    <r>
      <rPr>
        <sz val="11"/>
        <rFont val="Arial"/>
        <family val="0"/>
        <charset val="1"/>
      </rPr>
      <t xml:space="preserve">token KV </t>
    </r>
    <r>
      <rPr>
        <sz val="11"/>
        <rFont val="Noto Sans CJK SC"/>
        <family val="2"/>
      </rPr>
      <t xml:space="preserve">快取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</si>
  <si>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（頂層） 每參數位元組</t>
    </r>
  </si>
  <si>
    <r>
      <rPr>
        <b val="true"/>
        <sz val="11"/>
        <color rgb="FF1F3864"/>
        <rFont val="Noto Sans CJK SC"/>
        <family val="2"/>
      </rPr>
      <t xml:space="preserve">推論成本：各方案使用型態（模型組合 </t>
    </r>
    <r>
      <rPr>
        <b val="true"/>
        <sz val="11"/>
        <color rgb="FF1F3864"/>
        <rFont val="Arial"/>
        <family val="0"/>
        <charset val="1"/>
      </rPr>
      <t xml:space="preserve">Luna</t>
    </r>
    <r>
      <rPr>
        <b val="true"/>
        <sz val="11"/>
        <color rgb="FF1F3864"/>
        <rFont val="Noto Sans CJK SC"/>
        <family val="2"/>
      </rPr>
      <t xml:space="preserve">／</t>
    </r>
    <r>
      <rPr>
        <b val="true"/>
        <sz val="11"/>
        <color rgb="FF1F3864"/>
        <rFont val="Arial"/>
        <family val="0"/>
        <charset val="1"/>
      </rPr>
      <t xml:space="preserve">Sol</t>
    </r>
    <r>
      <rPr>
        <b val="true"/>
        <sz val="11"/>
        <color rgb="FF1F3864"/>
        <rFont val="Noto Sans CJK SC"/>
        <family val="2"/>
      </rPr>
      <t xml:space="preserve">／</t>
    </r>
    <r>
      <rPr>
        <b val="true"/>
        <sz val="11"/>
        <color rgb="FF1F3864"/>
        <rFont val="Arial"/>
        <family val="0"/>
        <charset val="1"/>
      </rPr>
      <t xml:space="preserve">Astra</t>
    </r>
    <r>
      <rPr>
        <b val="true"/>
        <sz val="11"/>
        <color rgb="FF1F3864"/>
        <rFont val="Noto Sans CJK SC"/>
        <family val="2"/>
      </rPr>
      <t xml:space="preserve">、輸出占比含思考、快取命中）</t>
    </r>
  </si>
  <si>
    <r>
      <rPr>
        <sz val="11"/>
        <rFont val="Arial"/>
        <family val="0"/>
        <charset val="1"/>
      </rPr>
      <t xml:space="preserve">Free Luna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</si>
  <si>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T6</t>
    </r>
    <r>
      <rPr>
        <sz val="11"/>
        <rFont val="Noto Sans CJK SC"/>
        <family val="2"/>
      </rPr>
      <t xml:space="preserve">／分層成本假設</t>
    </r>
  </si>
  <si>
    <r>
      <rPr>
        <sz val="11"/>
        <rFont val="Arial"/>
        <family val="0"/>
        <charset val="1"/>
      </rPr>
      <t xml:space="preserve">Free Sol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</si>
  <si>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Free Astra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</si>
  <si>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輸出占比</t>
    </r>
  </si>
  <si>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快取命中</t>
    </r>
  </si>
  <si>
    <r>
      <rPr>
        <sz val="11"/>
        <rFont val="Arial"/>
        <family val="0"/>
        <charset val="1"/>
      </rPr>
      <t xml:space="preserve">Go Luna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</si>
  <si>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Go Sol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</si>
  <si>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Go Astra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</si>
  <si>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輸出占比</t>
    </r>
  </si>
  <si>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快取命中</t>
    </r>
  </si>
  <si>
    <r>
      <rPr>
        <sz val="11"/>
        <rFont val="Arial"/>
        <family val="0"/>
        <charset val="1"/>
      </rPr>
      <t xml:space="preserve">Plus Luna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</si>
  <si>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Plus Sol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</si>
  <si>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Plus Astra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</si>
  <si>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輸出占比</t>
    </r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</si>
  <si>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快取命中</t>
    </r>
  </si>
  <si>
    <r>
      <rPr>
        <sz val="11"/>
        <rFont val="Arial"/>
        <family val="0"/>
        <charset val="1"/>
      </rPr>
      <t xml:space="preserve">Pro Luna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</si>
  <si>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Pro Sol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</si>
  <si>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Pro Astra </t>
    </r>
    <r>
      <rPr>
        <sz val="11"/>
        <rFont val="Noto Sans CJK SC"/>
        <family val="2"/>
      </rPr>
      <t xml:space="preserve">占比</t>
    </r>
  </si>
  <si>
    <r>
      <rPr>
        <sz val="11"/>
        <rFont val="Arial"/>
        <family val="0"/>
        <charset val="1"/>
      </rPr>
      <t xml:space="preserve">Pro </t>
    </r>
    <r>
      <rPr>
        <sz val="11"/>
        <rFont val="Noto Sans CJK SC"/>
        <family val="2"/>
      </rPr>
      <t xml:space="preserve">輸出占比</t>
    </r>
  </si>
  <si>
    <r>
      <rPr>
        <sz val="11"/>
        <rFont val="Arial"/>
        <family val="0"/>
        <charset val="1"/>
      </rPr>
      <t xml:space="preserve">Pro </t>
    </r>
    <r>
      <rPr>
        <sz val="11"/>
        <rFont val="Noto Sans CJK SC"/>
        <family val="2"/>
      </rPr>
      <t xml:space="preserve">快取命中</t>
    </r>
  </si>
  <si>
    <r>
      <rPr>
        <sz val="11"/>
        <rFont val="Noto Sans CJK SC"/>
        <family val="2"/>
      </rPr>
      <t xml:space="preserve">企業席位 </t>
    </r>
    <r>
      <rPr>
        <sz val="11"/>
        <rFont val="Arial"/>
        <family val="0"/>
        <charset val="1"/>
      </rPr>
      <t xml:space="preserve">Luna </t>
    </r>
    <r>
      <rPr>
        <sz val="11"/>
        <rFont val="Noto Sans CJK SC"/>
        <family val="2"/>
      </rPr>
      <t xml:space="preserve">占比</t>
    </r>
  </si>
  <si>
    <r>
      <rPr>
        <sz val="11"/>
        <rFont val="Noto Sans CJK SC"/>
        <family val="2"/>
      </rPr>
      <t xml:space="preserve">企業席位 </t>
    </r>
    <r>
      <rPr>
        <sz val="11"/>
        <rFont val="Arial"/>
        <family val="0"/>
        <charset val="1"/>
      </rPr>
      <t xml:space="preserve">Sol </t>
    </r>
    <r>
      <rPr>
        <sz val="11"/>
        <rFont val="Noto Sans CJK SC"/>
        <family val="2"/>
      </rPr>
      <t xml:space="preserve">占比</t>
    </r>
  </si>
  <si>
    <r>
      <rPr>
        <sz val="11"/>
        <rFont val="Noto Sans CJK SC"/>
        <family val="2"/>
      </rPr>
      <t xml:space="preserve">企業席位 </t>
    </r>
    <r>
      <rPr>
        <sz val="11"/>
        <rFont val="Arial"/>
        <family val="0"/>
        <charset val="1"/>
      </rPr>
      <t xml:space="preserve">Astra </t>
    </r>
    <r>
      <rPr>
        <sz val="11"/>
        <rFont val="Noto Sans CJK SC"/>
        <family val="2"/>
      </rPr>
      <t xml:space="preserve">占比</t>
    </r>
  </si>
  <si>
    <t xml:space="preserve">企業席位 輸出占比</t>
  </si>
  <si>
    <t xml:space="preserve">企業席位 快取命中</t>
  </si>
  <si>
    <r>
      <rPr>
        <b val="true"/>
        <sz val="11"/>
        <color rgb="FF1F3864"/>
        <rFont val="Noto Sans CJK SC"/>
        <family val="2"/>
      </rPr>
      <t xml:space="preserve">推論成本：</t>
    </r>
    <r>
      <rPr>
        <b val="true"/>
        <sz val="11"/>
        <color rgb="FF1F3864"/>
        <rFont val="Arial"/>
        <family val="0"/>
        <charset val="1"/>
      </rPr>
      <t xml:space="preserve">FY2025 </t>
    </r>
    <r>
      <rPr>
        <b val="true"/>
        <sz val="11"/>
        <color rgb="FF1F3864"/>
        <rFont val="Noto Sans CJK SC"/>
        <family val="2"/>
      </rPr>
      <t xml:space="preserve">校準錨點（</t>
    </r>
    <r>
      <rPr>
        <b val="true"/>
        <sz val="11"/>
        <color rgb="FF1F3864"/>
        <rFont val="Arial"/>
        <family val="0"/>
        <charset val="1"/>
      </rPr>
      <t xml:space="preserve">T1a</t>
    </r>
    <r>
      <rPr>
        <b val="true"/>
        <sz val="11"/>
        <color rgb="FF1F3864"/>
        <rFont val="Noto Sans CJK SC"/>
        <family val="2"/>
      </rPr>
      <t xml:space="preserve">、</t>
    </r>
    <r>
      <rPr>
        <b val="true"/>
        <sz val="11"/>
        <color rgb="FF1F3864"/>
        <rFont val="Arial"/>
        <family val="0"/>
        <charset val="1"/>
      </rPr>
      <t xml:space="preserve">T5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</si>
  <si>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FY2025 </t>
    </r>
    <r>
      <rPr>
        <sz val="11"/>
        <rFont val="Noto Sans CJK SC"/>
        <family val="2"/>
      </rPr>
      <t xml:space="preserve">推論成本</t>
    </r>
  </si>
  <si>
    <r>
      <rPr>
        <sz val="11"/>
        <rFont val="Arial"/>
        <family val="0"/>
        <charset val="1"/>
      </rPr>
      <t xml:space="preserve">The Information 2026-02</t>
    </r>
    <r>
      <rPr>
        <sz val="11"/>
        <rFont val="Noto Sans CJK SC"/>
        <family val="2"/>
      </rPr>
      <t xml:space="preserve">（投資人說明）；</t>
    </r>
    <r>
      <rPr>
        <sz val="11"/>
        <rFont val="Arial"/>
        <family val="0"/>
        <charset val="1"/>
      </rPr>
      <t xml:space="preserve">T1(a)</t>
    </r>
  </si>
  <si>
    <t xml:space="preserve">  其中：非付費用戶</t>
  </si>
  <si>
    <r>
      <rPr>
        <sz val="11"/>
        <rFont val="Noto Sans CJK SC"/>
        <family val="2"/>
      </rPr>
      <t xml:space="preserve">同上：非付費用戶約 </t>
    </r>
    <r>
      <rPr>
        <sz val="11"/>
        <rFont val="Arial"/>
        <family val="0"/>
        <charset val="1"/>
      </rPr>
      <t xml:space="preserve">$3.9B</t>
    </r>
  </si>
  <si>
    <t xml:space="preserve">  其中：付費用戶</t>
  </si>
  <si>
    <r>
      <rPr>
        <sz val="11"/>
        <rFont val="Noto Sans CJK SC"/>
        <family val="2"/>
      </rPr>
      <t xml:space="preserve">同上：付費用戶 </t>
    </r>
    <r>
      <rPr>
        <sz val="11"/>
        <rFont val="Arial"/>
        <family val="0"/>
        <charset val="1"/>
      </rPr>
      <t xml:space="preserve">$4.5B</t>
    </r>
  </si>
  <si>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毛利率先驗</t>
    </r>
  </si>
  <si>
    <r>
      <rPr>
        <sz val="11"/>
        <rFont val="Arial"/>
        <family val="0"/>
        <charset val="1"/>
      </rPr>
      <t xml:space="preserve">T5</t>
    </r>
    <r>
      <rPr>
        <sz val="11"/>
        <rFont val="Noto Sans CJK SC"/>
        <family val="2"/>
      </rPr>
      <t xml:space="preserve">；區間 </t>
    </r>
    <r>
      <rPr>
        <sz val="11"/>
        <rFont val="Arial"/>
        <family val="0"/>
        <charset val="1"/>
      </rPr>
      <t xml:space="preserve">30–65%</t>
    </r>
  </si>
  <si>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預測 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推論成本（檢查用）</t>
    </r>
  </si>
  <si>
    <r>
      <rPr>
        <sz val="11"/>
        <rFont val="Arial"/>
        <family val="0"/>
        <charset val="1"/>
      </rPr>
      <t xml:space="preserve">The Information 2026-02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OpenAI 2026 </t>
    </r>
    <r>
      <rPr>
        <sz val="11"/>
        <rFont val="Noto Sans CJK SC"/>
        <family val="2"/>
      </rPr>
      <t xml:space="preserve">預測</t>
    </r>
  </si>
  <si>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預測 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付費占比（檢查用）</t>
    </r>
  </si>
  <si>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預測 </t>
    </r>
    <r>
      <rPr>
        <sz val="11"/>
        <rFont val="Arial"/>
        <family val="0"/>
        <charset val="1"/>
      </rPr>
      <t xml:space="preserve">2030 </t>
    </r>
    <r>
      <rPr>
        <sz val="11"/>
        <rFont val="Noto Sans CJK SC"/>
        <family val="2"/>
      </rPr>
      <t xml:space="preserve">推論成本</t>
    </r>
  </si>
  <si>
    <r>
      <rPr>
        <sz val="11"/>
        <rFont val="Arial"/>
        <family val="0"/>
        <charset val="1"/>
      </rPr>
      <t xml:space="preserve">OpenAI 2030 </t>
    </r>
    <r>
      <rPr>
        <sz val="11"/>
        <rFont val="Noto Sans CJK SC"/>
        <family val="2"/>
      </rPr>
      <t xml:space="preserve">毛利率目標</t>
    </r>
  </si>
  <si>
    <t xml:space="preserve">訓練成本（研究與訓練算力；不入營業成本）</t>
  </si>
  <si>
    <r>
      <rPr>
        <sz val="11"/>
        <rFont val="Arial"/>
        <family val="0"/>
        <charset val="1"/>
      </rPr>
      <t xml:space="preserve">2024 </t>
    </r>
    <r>
      <rPr>
        <sz val="11"/>
        <rFont val="Noto Sans CJK SC"/>
        <family val="2"/>
      </rPr>
      <t xml:space="preserve">訓練算力（參考）</t>
    </r>
  </si>
  <si>
    <r>
      <rPr>
        <sz val="11"/>
        <rFont val="Arial"/>
        <family val="0"/>
        <charset val="1"/>
      </rPr>
      <t xml:space="preserve">Epoch</t>
    </r>
    <r>
      <rPr>
        <sz val="11"/>
        <rFont val="Noto Sans CJK SC"/>
        <family val="2"/>
      </rPr>
      <t xml:space="preserve">（引 </t>
    </r>
    <r>
      <rPr>
        <sz val="11"/>
        <rFont val="Arial"/>
        <family val="0"/>
        <charset val="1"/>
      </rPr>
      <t xml:space="preserve">The Information/NYT</t>
    </r>
    <r>
      <rPr>
        <sz val="11"/>
        <rFont val="Noto Sans CJK SC"/>
        <family val="2"/>
      </rPr>
      <t xml:space="preserve">）：</t>
    </r>
    <r>
      <rPr>
        <sz val="11"/>
        <rFont val="Arial"/>
        <family val="0"/>
        <charset val="1"/>
      </rPr>
      <t xml:space="preserve">2024 </t>
    </r>
    <r>
      <rPr>
        <sz val="11"/>
        <rFont val="Noto Sans CJK SC"/>
        <family val="2"/>
      </rPr>
      <t xml:space="preserve">訓練算力 </t>
    </r>
    <r>
      <rPr>
        <sz val="11"/>
        <rFont val="Arial"/>
        <family val="0"/>
        <charset val="1"/>
      </rPr>
      <t xml:space="preserve">$3B</t>
    </r>
    <r>
      <rPr>
        <sz val="11"/>
        <rFont val="Noto Sans CJK SC"/>
        <family val="2"/>
      </rPr>
      <t xml:space="preserve">、推論 </t>
    </r>
    <r>
      <rPr>
        <sz val="11"/>
        <rFont val="Arial"/>
        <family val="0"/>
        <charset val="1"/>
      </rPr>
      <t xml:space="preserve">$1.8B</t>
    </r>
  </si>
  <si>
    <r>
      <rPr>
        <sz val="11"/>
        <rFont val="Arial"/>
        <family val="0"/>
        <charset val="1"/>
      </rPr>
      <t xml:space="preserve">FY2025 </t>
    </r>
    <r>
      <rPr>
        <sz val="11"/>
        <rFont val="Noto Sans CJK SC"/>
        <family val="2"/>
      </rPr>
      <t xml:space="preserve">訓練算力</t>
    </r>
  </si>
  <si>
    <r>
      <rPr>
        <sz val="11"/>
        <rFont val="Arial"/>
        <family val="0"/>
        <charset val="1"/>
      </rPr>
      <t xml:space="preserve">2025 R&amp;D </t>
    </r>
    <r>
      <rPr>
        <sz val="11"/>
        <rFont val="Noto Sans CJK SC"/>
        <family val="2"/>
      </rPr>
      <t xml:space="preserve">付予 </t>
    </r>
    <r>
      <rPr>
        <sz val="11"/>
        <rFont val="Arial"/>
        <family val="0"/>
        <charset val="1"/>
      </rPr>
      <t xml:space="preserve">Microsoft $10.59B</t>
    </r>
    <r>
      <rPr>
        <sz val="11"/>
        <rFont val="Noto Sans CJK SC"/>
        <family val="2"/>
      </rPr>
      <t xml:space="preserve">（外流財報）＋其他雲端估計；區間 </t>
    </r>
    <r>
      <rPr>
        <sz val="11"/>
        <rFont val="Arial"/>
        <family val="0"/>
        <charset val="1"/>
      </rPr>
      <t xml:space="preserve">10.6–13.5</t>
    </r>
  </si>
  <si>
    <r>
      <rPr>
        <sz val="11"/>
        <rFont val="Arial"/>
        <family val="0"/>
        <charset val="1"/>
      </rPr>
      <t xml:space="preserve">FY2025 </t>
    </r>
    <r>
      <rPr>
        <sz val="11"/>
        <rFont val="Noto Sans CJK SC"/>
        <family val="2"/>
      </rPr>
      <t xml:space="preserve">研發費用總額（含人事）</t>
    </r>
  </si>
  <si>
    <r>
      <rPr>
        <sz val="11"/>
        <rFont val="Noto Sans CJK SC"/>
        <family val="2"/>
      </rPr>
      <t xml:space="preserve">外流財報 </t>
    </r>
    <r>
      <rPr>
        <sz val="11"/>
        <rFont val="Arial"/>
        <family val="0"/>
        <charset val="1"/>
      </rPr>
      <t xml:space="preserve">R&amp;D </t>
    </r>
    <r>
      <rPr>
        <sz val="11"/>
        <rFont val="Noto Sans CJK SC"/>
        <family val="2"/>
      </rPr>
      <t xml:space="preserve">總額（含人事）</t>
    </r>
  </si>
  <si>
    <r>
      <rPr>
        <sz val="11"/>
        <rFont val="Noto Sans CJK SC"/>
        <family val="2"/>
      </rPr>
      <t xml:space="preserve">公司計畫算力支出 </t>
    </r>
    <r>
      <rPr>
        <sz val="11"/>
        <rFont val="Arial"/>
        <family val="0"/>
        <charset val="1"/>
      </rPr>
      <t xml:space="preserve">2026–30</t>
    </r>
    <r>
      <rPr>
        <sz val="11"/>
        <rFont val="Noto Sans CJK SC"/>
        <family val="2"/>
      </rPr>
      <t xml:space="preserve">（檢查用）</t>
    </r>
  </si>
  <si>
    <r>
      <rPr>
        <sz val="11"/>
        <rFont val="Arial"/>
        <family val="0"/>
        <charset val="1"/>
      </rPr>
      <t xml:space="preserve">FT 2026-09-18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7 </t>
    </r>
    <r>
      <rPr>
        <sz val="11"/>
        <rFont val="Noto Sans CJK SC"/>
        <family val="2"/>
      </rPr>
      <t xml:space="preserve">月簡報）</t>
    </r>
    <r>
      <rPr>
        <sz val="11"/>
        <rFont val="Arial"/>
        <family val="0"/>
        <charset val="1"/>
      </rPr>
      <t xml:space="preserve">$856B</t>
    </r>
    <r>
      <rPr>
        <sz val="11"/>
        <rFont val="Noto Sans CJK SC"/>
        <family val="2"/>
      </rPr>
      <t xml:space="preserve">，與 </t>
    </r>
    <r>
      <rPr>
        <sz val="11"/>
        <rFont val="Arial"/>
        <family val="0"/>
        <charset val="1"/>
      </rPr>
      <t xml:space="preserve">R1 </t>
    </r>
    <r>
      <rPr>
        <sz val="11"/>
        <rFont val="Noto Sans CJK SC"/>
        <family val="2"/>
      </rPr>
      <t xml:space="preserve">反向錨點同一版本；</t>
    </r>
    <r>
      <rPr>
        <sz val="11"/>
        <rFont val="Arial"/>
        <family val="0"/>
        <charset val="1"/>
      </rPr>
      <t xml:space="preserve">Reuters 2026-02 </t>
    </r>
    <r>
      <rPr>
        <sz val="11"/>
        <rFont val="Noto Sans CJK SC"/>
        <family val="2"/>
      </rPr>
      <t xml:space="preserve">約 </t>
    </r>
    <r>
      <rPr>
        <sz val="11"/>
        <rFont val="Arial"/>
        <family val="0"/>
        <charset val="1"/>
      </rPr>
      <t xml:space="preserve">$600B </t>
    </r>
    <r>
      <rPr>
        <sz val="11"/>
        <rFont val="Noto Sans CJK SC"/>
        <family val="2"/>
      </rPr>
      <t xml:space="preserve">為下限</t>
    </r>
  </si>
  <si>
    <r>
      <rPr>
        <b val="true"/>
        <sz val="11"/>
        <color rgb="FF1F3864"/>
        <rFont val="Noto Sans CJK SC"/>
        <family val="2"/>
      </rPr>
      <t xml:space="preserve">算力 </t>
    </r>
    <r>
      <rPr>
        <b val="true"/>
        <sz val="11"/>
        <color rgb="FF1F3864"/>
        <rFont val="Arial"/>
        <family val="0"/>
        <charset val="1"/>
      </rPr>
      <t xml:space="preserve">MW </t>
    </r>
    <r>
      <rPr>
        <b val="true"/>
        <sz val="11"/>
        <color rgb="FF1F3864"/>
        <rFont val="Noto Sans CJK SC"/>
        <family val="2"/>
      </rPr>
      <t xml:space="preserve">核心：</t>
    </r>
    <r>
      <rPr>
        <b val="true"/>
        <sz val="11"/>
        <color rgb="FF1F3864"/>
        <rFont val="Arial"/>
        <family val="0"/>
        <charset val="1"/>
      </rPr>
      <t xml:space="preserve">Vera Rubin </t>
    </r>
    <r>
      <rPr>
        <b val="true"/>
        <sz val="11"/>
        <color rgb="FF1F3864"/>
        <rFont val="Noto Sans CJK SC"/>
        <family val="2"/>
      </rPr>
      <t xml:space="preserve">等值（</t>
    </r>
    <r>
      <rPr>
        <b val="true"/>
        <sz val="11"/>
        <color rgb="FF1F3864"/>
        <rFont val="Arial"/>
        <family val="0"/>
        <charset val="1"/>
      </rPr>
      <t xml:space="preserve">VR-eq</t>
    </r>
    <r>
      <rPr>
        <b val="true"/>
        <sz val="11"/>
        <color rgb="FF1F3864"/>
        <rFont val="Noto Sans CJK SC"/>
        <family val="2"/>
      </rPr>
      <t xml:space="preserve">）單位、艦隊換算、容量規則（</t>
    </r>
    <r>
      <rPr>
        <b val="true"/>
        <sz val="11"/>
        <color rgb="FF1F3864"/>
        <rFont val="Arial"/>
        <family val="0"/>
        <charset val="1"/>
      </rPr>
      <t xml:space="preserve">V1a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</si>
  <si>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VR NVL72 </t>
    </r>
    <r>
      <rPr>
        <sz val="11"/>
        <rFont val="Noto Sans CJK SC"/>
        <family val="2"/>
      </rPr>
      <t xml:space="preserve">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機架數</t>
    </r>
  </si>
  <si>
    <t xml:space="preserve">架</t>
  </si>
  <si>
    <t xml:space="preserve">Tokenomics v4 Config!F8</t>
  </si>
  <si>
    <r>
      <rPr>
        <sz val="11"/>
        <rFont val="Arial"/>
        <family val="0"/>
        <charset val="1"/>
      </rPr>
      <t xml:space="preserve">GB200 NVL72 </t>
    </r>
    <r>
      <rPr>
        <sz val="11"/>
        <rFont val="Noto Sans CJK SC"/>
        <family val="2"/>
      </rPr>
      <t xml:space="preserve">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機架數</t>
    </r>
  </si>
  <si>
    <t xml:space="preserve">Tokenomics v4 Config!G8</t>
  </si>
  <si>
    <r>
      <rPr>
        <sz val="11"/>
        <rFont val="Arial"/>
        <family val="0"/>
        <charset val="1"/>
      </rPr>
      <t xml:space="preserve">VR NVL72 </t>
    </r>
    <r>
      <rPr>
        <sz val="11"/>
        <rFont val="Noto Sans CJK SC"/>
        <family val="2"/>
      </rPr>
      <t xml:space="preserve">每架輸出 </t>
    </r>
    <r>
      <rPr>
        <sz val="11"/>
        <rFont val="Arial"/>
        <family val="0"/>
        <charset val="1"/>
      </rPr>
      <t xml:space="preserve">token/s</t>
    </r>
  </si>
  <si>
    <t xml:space="preserve">tok/s</t>
  </si>
  <si>
    <t xml:space="preserve">Tokenomics v4 TL_Param!C37</t>
  </si>
  <si>
    <r>
      <rPr>
        <sz val="11"/>
        <rFont val="Arial"/>
        <family val="0"/>
        <charset val="1"/>
      </rPr>
      <t xml:space="preserve">GB200 NVL72 </t>
    </r>
    <r>
      <rPr>
        <sz val="11"/>
        <rFont val="Noto Sans CJK SC"/>
        <family val="2"/>
      </rPr>
      <t xml:space="preserve">每架輸出 </t>
    </r>
    <r>
      <rPr>
        <sz val="11"/>
        <rFont val="Arial"/>
        <family val="0"/>
        <charset val="1"/>
      </rPr>
      <t xml:space="preserve">token/s</t>
    </r>
  </si>
  <si>
    <t xml:space="preserve">Tokenomics v4 TL_Param!D37</t>
  </si>
  <si>
    <r>
      <rPr>
        <sz val="11"/>
        <rFont val="Noto Sans CJK SC"/>
        <family val="2"/>
      </rPr>
      <t xml:space="preserve">自建每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</t>
    </r>
  </si>
  <si>
    <t xml:space="preserve">Tokenomics v4 DC_Cost_Model!D60</t>
  </si>
  <si>
    <r>
      <rPr>
        <sz val="11"/>
        <rFont val="Arial"/>
        <family val="0"/>
        <charset val="1"/>
      </rPr>
      <t xml:space="preserve">Hopper </t>
    </r>
    <r>
      <rPr>
        <sz val="11"/>
        <rFont val="Noto Sans CJK SC"/>
        <family val="2"/>
      </rPr>
      <t xml:space="preserve">每 </t>
    </r>
    <r>
      <rPr>
        <sz val="11"/>
        <rFont val="Arial"/>
        <family val="0"/>
        <charset val="1"/>
      </rPr>
      <t xml:space="preserve">MW </t>
    </r>
    <r>
      <rPr>
        <sz val="11"/>
        <rFont val="Noto Sans CJK SC"/>
        <family val="2"/>
      </rPr>
      <t xml:space="preserve">產出 </t>
    </r>
    <r>
      <rPr>
        <sz val="11"/>
        <rFont val="Arial"/>
        <family val="0"/>
        <charset val="1"/>
      </rPr>
      <t xml:space="preserve">÷ VR</t>
    </r>
  </si>
  <si>
    <r>
      <rPr>
        <sz val="11"/>
        <rFont val="Arial"/>
        <family val="0"/>
        <charset val="1"/>
      </rPr>
      <t xml:space="preserve">H100/H200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Tokenomics </t>
    </r>
    <r>
      <rPr>
        <sz val="11"/>
        <rFont val="Noto Sans CJK SC"/>
        <family val="2"/>
      </rPr>
      <t xml:space="preserve">無此預設；區間 </t>
    </r>
    <r>
      <rPr>
        <sz val="11"/>
        <rFont val="Arial"/>
        <family val="0"/>
        <charset val="1"/>
      </rPr>
      <t xml:space="preserve">0.10–0.25</t>
    </r>
  </si>
  <si>
    <r>
      <rPr>
        <sz val="11"/>
        <rFont val="Noto Sans CJK SC"/>
        <family val="2"/>
      </rPr>
      <t xml:space="preserve">自研／其他加速器 </t>
    </r>
    <r>
      <rPr>
        <sz val="11"/>
        <rFont val="Arial"/>
        <family val="0"/>
        <charset val="1"/>
      </rPr>
      <t xml:space="preserve">÷ VR</t>
    </r>
  </si>
  <si>
    <r>
      <rPr>
        <sz val="11"/>
        <rFont val="Arial"/>
        <family val="0"/>
        <charset val="1"/>
      </rPr>
      <t xml:space="preserve">Cerebras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Trainium</t>
    </r>
    <r>
      <rPr>
        <sz val="11"/>
        <rFont val="Noto Sans CJK SC"/>
        <family val="2"/>
      </rPr>
      <t xml:space="preserve">；區間 </t>
    </r>
    <r>
      <rPr>
        <sz val="11"/>
        <rFont val="Arial"/>
        <family val="0"/>
        <charset val="1"/>
      </rPr>
      <t xml:space="preserve">0.4–1.0</t>
    </r>
  </si>
  <si>
    <r>
      <rPr>
        <sz val="11"/>
        <rFont val="Noto Sans CJK SC"/>
        <family val="2"/>
      </rPr>
      <t xml:space="preserve">次世代（</t>
    </r>
    <r>
      <rPr>
        <sz val="11"/>
        <rFont val="Arial"/>
        <family val="0"/>
        <charset val="1"/>
      </rPr>
      <t xml:space="preserve">Rubin Ultra </t>
    </r>
    <r>
      <rPr>
        <sz val="11"/>
        <rFont val="Noto Sans CJK SC"/>
        <family val="2"/>
      </rPr>
      <t xml:space="preserve">以後）</t>
    </r>
    <r>
      <rPr>
        <sz val="11"/>
        <rFont val="Arial"/>
        <family val="0"/>
        <charset val="1"/>
      </rPr>
      <t xml:space="preserve">÷ VR</t>
    </r>
  </si>
  <si>
    <r>
      <rPr>
        <sz val="11"/>
        <rFont val="Arial"/>
        <family val="0"/>
        <charset val="1"/>
      </rPr>
      <t xml:space="preserve">Rubin Ultra </t>
    </r>
    <r>
      <rPr>
        <sz val="11"/>
        <rFont val="Noto Sans CJK SC"/>
        <family val="2"/>
      </rPr>
      <t xml:space="preserve">以後；區間 </t>
    </r>
    <r>
      <rPr>
        <sz val="11"/>
        <rFont val="Arial"/>
        <family val="0"/>
        <charset val="1"/>
      </rPr>
      <t xml:space="preserve">1.3–2.5</t>
    </r>
  </si>
  <si>
    <r>
      <rPr>
        <sz val="11"/>
        <rFont val="Noto Sans CJK SC"/>
        <family val="2"/>
      </rPr>
      <t xml:space="preserve">艦隊組合：</t>
    </r>
    <r>
      <rPr>
        <sz val="11"/>
        <rFont val="Arial"/>
        <family val="0"/>
        <charset val="1"/>
      </rPr>
      <t xml:space="preserve">Hopper </t>
    </r>
    <r>
      <rPr>
        <sz val="11"/>
        <rFont val="Noto Sans CJK SC"/>
        <family val="2"/>
      </rPr>
      <t xml:space="preserve">占實體 </t>
    </r>
    <r>
      <rPr>
        <sz val="11"/>
        <rFont val="Arial"/>
        <family val="0"/>
        <charset val="1"/>
      </rPr>
      <t xml:space="preserve">GW</t>
    </r>
  </si>
  <si>
    <r>
      <rPr>
        <sz val="11"/>
        <rFont val="Noto Sans CJK SC"/>
        <family val="2"/>
      </rPr>
      <t xml:space="preserve">自研／其他＝</t>
    </r>
    <r>
      <rPr>
        <sz val="11"/>
        <rFont val="Arial"/>
        <family val="0"/>
        <charset val="1"/>
      </rPr>
      <t xml:space="preserve">1−</t>
    </r>
    <r>
      <rPr>
        <sz val="11"/>
        <rFont val="Noto Sans CJK SC"/>
        <family val="2"/>
      </rPr>
      <t xml:space="preserve">其餘</t>
    </r>
  </si>
  <si>
    <r>
      <rPr>
        <sz val="11"/>
        <rFont val="Noto Sans CJK SC"/>
        <family val="2"/>
      </rPr>
      <t xml:space="preserve">艦隊組合：</t>
    </r>
    <r>
      <rPr>
        <sz val="11"/>
        <rFont val="Arial"/>
        <family val="0"/>
        <charset val="1"/>
      </rPr>
      <t xml:space="preserve">Blackwell </t>
    </r>
    <r>
      <rPr>
        <sz val="11"/>
        <rFont val="Noto Sans CJK SC"/>
        <family val="2"/>
      </rPr>
      <t xml:space="preserve">占實體 </t>
    </r>
    <r>
      <rPr>
        <sz val="11"/>
        <rFont val="Arial"/>
        <family val="0"/>
        <charset val="1"/>
      </rPr>
      <t xml:space="preserve">GW</t>
    </r>
  </si>
  <si>
    <r>
      <rPr>
        <sz val="11"/>
        <rFont val="Noto Sans CJK SC"/>
        <family val="2"/>
      </rPr>
      <t xml:space="preserve">艦隊組合：</t>
    </r>
    <r>
      <rPr>
        <sz val="11"/>
        <rFont val="Arial"/>
        <family val="0"/>
        <charset val="1"/>
      </rPr>
      <t xml:space="preserve">Vera Rubin </t>
    </r>
    <r>
      <rPr>
        <sz val="11"/>
        <rFont val="Noto Sans CJK SC"/>
        <family val="2"/>
      </rPr>
      <t xml:space="preserve">占實體 </t>
    </r>
    <r>
      <rPr>
        <sz val="11"/>
        <rFont val="Arial"/>
        <family val="0"/>
        <charset val="1"/>
      </rPr>
      <t xml:space="preserve">GW</t>
    </r>
  </si>
  <si>
    <r>
      <rPr>
        <sz val="11"/>
        <rFont val="Noto Sans CJK SC"/>
        <family val="2"/>
      </rPr>
      <t xml:space="preserve">艦隊組合：次世代 占實體 </t>
    </r>
    <r>
      <rPr>
        <sz val="11"/>
        <rFont val="Arial"/>
        <family val="0"/>
        <charset val="1"/>
      </rPr>
      <t xml:space="preserve">GW</t>
    </r>
  </si>
  <si>
    <r>
      <rPr>
        <sz val="11"/>
        <rFont val="Arial"/>
        <family val="0"/>
        <charset val="1"/>
      </rPr>
      <t xml:space="preserve">2024 </t>
    </r>
    <r>
      <rPr>
        <sz val="11"/>
        <rFont val="Noto Sans CJK SC"/>
        <family val="2"/>
      </rPr>
      <t xml:space="preserve">年底算力</t>
    </r>
  </si>
  <si>
    <r>
      <rPr>
        <sz val="11"/>
        <rFont val="Arial"/>
        <family val="0"/>
        <charset val="1"/>
      </rPr>
      <t xml:space="preserve">CFO Friar </t>
    </r>
    <r>
      <rPr>
        <sz val="11"/>
        <rFont val="Noto Sans CJK SC"/>
        <family val="2"/>
      </rPr>
      <t xml:space="preserve">部落格 </t>
    </r>
    <r>
      <rPr>
        <sz val="11"/>
        <rFont val="Arial"/>
        <family val="0"/>
        <charset val="1"/>
      </rPr>
      <t xml:space="preserve">2026-01-18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0.2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0.6</t>
    </r>
    <r>
      <rPr>
        <sz val="11"/>
        <rFont val="Noto Sans CJK SC"/>
        <family val="2"/>
      </rPr>
      <t xml:space="preserve">／約 </t>
    </r>
    <r>
      <rPr>
        <sz val="11"/>
        <rFont val="Arial"/>
        <family val="0"/>
        <charset val="1"/>
      </rPr>
      <t xml:space="preserve">1.9 GW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ARR $2B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$6B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$20B+</t>
    </r>
  </si>
  <si>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年底算力</t>
    </r>
  </si>
  <si>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年底 </t>
    </r>
    <r>
      <rPr>
        <sz val="11"/>
        <rFont val="Arial"/>
        <family val="0"/>
        <charset val="1"/>
      </rPr>
      <t xml:space="preserve">ARR</t>
    </r>
  </si>
  <si>
    <r>
      <rPr>
        <sz val="11"/>
        <rFont val="Noto Sans CJK SC"/>
        <family val="2"/>
      </rPr>
      <t xml:space="preserve">租用每實體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年價格（未揭露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之合約）</t>
    </r>
  </si>
  <si>
    <r>
      <rPr>
        <sz val="11"/>
        <rFont val="Arial"/>
        <family val="0"/>
        <charset val="1"/>
      </rPr>
      <t xml:space="preserve">$B/GW-</t>
    </r>
    <r>
      <rPr>
        <sz val="11"/>
        <rFont val="Noto Sans CJK SC"/>
        <family val="2"/>
      </rPr>
      <t xml:space="preserve">年</t>
    </r>
  </si>
  <si>
    <r>
      <rPr>
        <sz val="11"/>
        <rFont val="Arial"/>
        <family val="0"/>
        <charset val="1"/>
      </rPr>
      <t xml:space="preserve">Oracle $300B÷5 </t>
    </r>
    <r>
      <rPr>
        <sz val="11"/>
        <rFont val="Noto Sans CJK SC"/>
        <family val="2"/>
      </rPr>
      <t xml:space="preserve">年</t>
    </r>
    <r>
      <rPr>
        <sz val="11"/>
        <rFont val="Arial"/>
        <family val="0"/>
        <charset val="1"/>
      </rPr>
      <t xml:space="preserve">÷4.5GW</t>
    </r>
    <r>
      <rPr>
        <sz val="11"/>
        <rFont val="Noto Sans CJK SC"/>
        <family val="2"/>
      </rPr>
      <t xml:space="preserve">＝</t>
    </r>
    <r>
      <rPr>
        <sz val="11"/>
        <rFont val="Arial"/>
        <family val="0"/>
        <charset val="1"/>
      </rPr>
      <t xml:space="preserve">$13.3B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合約現金</t>
    </r>
    <r>
      <rPr>
        <sz val="11"/>
        <rFont val="Arial"/>
        <family val="0"/>
        <charset val="1"/>
      </rPr>
      <t xml:space="preserve">÷</t>
    </r>
    <r>
      <rPr>
        <sz val="11"/>
        <rFont val="Noto Sans CJK SC"/>
        <family val="2"/>
      </rPr>
      <t xml:space="preserve">平均 </t>
    </r>
    <r>
      <rPr>
        <sz val="11"/>
        <rFont val="Arial"/>
        <family val="0"/>
        <charset val="1"/>
      </rPr>
      <t xml:space="preserve">GW≈$11.8B</t>
    </r>
    <r>
      <rPr>
        <sz val="11"/>
        <rFont val="Noto Sans CJK SC"/>
        <family val="2"/>
      </rPr>
      <t xml:space="preserve">；區間 </t>
    </r>
    <r>
      <rPr>
        <sz val="11"/>
        <rFont val="Arial"/>
        <family val="0"/>
        <charset val="1"/>
      </rPr>
      <t xml:space="preserve">8–16</t>
    </r>
  </si>
  <si>
    <r>
      <rPr>
        <sz val="11"/>
        <rFont val="Noto Sans CJK SC"/>
        <family val="2"/>
      </rPr>
      <t xml:space="preserve">閒置與維運保留（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起）</t>
    </r>
  </si>
  <si>
    <t xml:space="preserve">訓練最低占比（容量上限用）</t>
  </si>
  <si>
    <r>
      <rPr>
        <sz val="11"/>
        <rFont val="Arial"/>
        <family val="0"/>
        <charset val="1"/>
      </rPr>
      <t xml:space="preserve">V1a </t>
    </r>
    <r>
      <rPr>
        <sz val="11"/>
        <rFont val="Noto Sans CJK SC"/>
        <family val="2"/>
      </rPr>
      <t xml:space="preserve">容量上限：推論可用＝</t>
    </r>
    <r>
      <rPr>
        <sz val="11"/>
        <rFont val="Arial"/>
        <family val="0"/>
        <charset val="1"/>
      </rPr>
      <t xml:space="preserve">VR-eq </t>
    </r>
    <r>
      <rPr>
        <sz val="11"/>
        <rFont val="Noto Sans CJK SC"/>
        <family val="2"/>
      </rPr>
      <t xml:space="preserve">供給</t>
    </r>
    <r>
      <rPr>
        <sz val="11"/>
        <rFont val="Arial"/>
        <family val="0"/>
        <charset val="1"/>
      </rPr>
      <t xml:space="preserve">×(1−</t>
    </r>
    <r>
      <rPr>
        <sz val="11"/>
        <rFont val="Noto Sans CJK SC"/>
        <family val="2"/>
      </rPr>
      <t xml:space="preserve">閒置</t>
    </r>
    <r>
      <rPr>
        <sz val="11"/>
        <rFont val="Arial"/>
        <family val="0"/>
        <charset val="1"/>
      </rPr>
      <t xml:space="preserve">)×(1−</t>
    </r>
    <r>
      <rPr>
        <sz val="11"/>
        <rFont val="Noto Sans CJK SC"/>
        <family val="2"/>
      </rPr>
      <t xml:space="preserve">訓練最低占比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</si>
  <si>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color rgb="FF1F3864"/>
        <rFont val="Noto Sans CJK SC"/>
        <family val="2"/>
      </rPr>
      <t xml:space="preserve">廣告（獨立一列，不進核心分析；</t>
    </r>
    <r>
      <rPr>
        <b val="true"/>
        <sz val="11"/>
        <color rgb="FF1F3864"/>
        <rFont val="Arial"/>
        <family val="0"/>
        <charset val="1"/>
      </rPr>
      <t xml:space="preserve">N1b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</si>
  <si>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廣告曝光比例（</t>
    </r>
    <r>
      <rPr>
        <sz val="11"/>
        <rFont val="Arial"/>
        <family val="0"/>
        <charset val="1"/>
      </rPr>
      <t xml:space="preserve">Free</t>
    </r>
    <r>
      <rPr>
        <sz val="11"/>
        <rFont val="Noto Sans CJK SC"/>
        <family val="2"/>
      </rPr>
      <t xml:space="preserve">＋</t>
    </r>
    <r>
      <rPr>
        <sz val="11"/>
        <rFont val="Arial"/>
        <family val="0"/>
        <charset val="1"/>
      </rPr>
      <t xml:space="preserve">Go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</si>
  <si>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Andy 2026-09-29</t>
    </r>
    <r>
      <rPr>
        <sz val="11"/>
        <rFont val="Noto Sans CJK SC"/>
        <family val="2"/>
      </rPr>
      <t xml:space="preserve">：商業模式未成熟，</t>
    </r>
    <r>
      <rPr>
        <sz val="11"/>
        <rFont val="Arial"/>
        <family val="0"/>
        <charset val="1"/>
      </rPr>
      <t xml:space="preserve">2027→2030 </t>
    </r>
    <r>
      <rPr>
        <sz val="11"/>
        <rFont val="Noto Sans CJK SC"/>
        <family val="2"/>
      </rPr>
      <t xml:space="preserve">不宜 </t>
    </r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倍；核心分析排除廣告</t>
    </r>
  </si>
  <si>
    <t xml:space="preserve">每曝光用戶年廣告營收</t>
  </si>
  <si>
    <r>
      <rPr>
        <sz val="11"/>
        <rFont val="Arial"/>
        <family val="0"/>
        <charset val="1"/>
      </rPr>
      <t xml:space="preserve">$/</t>
    </r>
    <r>
      <rPr>
        <sz val="11"/>
        <rFont val="Noto Sans CJK SC"/>
        <family val="2"/>
      </rPr>
      <t xml:space="preserve">人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年</t>
    </r>
  </si>
  <si>
    <r>
      <rPr>
        <sz val="11"/>
        <rFont val="Noto Sans CJK SC"/>
        <family val="2"/>
      </rPr>
      <t xml:space="preserve">上限參照 </t>
    </r>
    <r>
      <rPr>
        <sz val="11"/>
        <rFont val="Arial"/>
        <family val="0"/>
        <charset val="1"/>
      </rPr>
      <t xml:space="preserve">Meta FY2025 </t>
    </r>
    <r>
      <rPr>
        <sz val="11"/>
        <rFont val="Noto Sans CJK SC"/>
        <family val="2"/>
      </rPr>
      <t xml:space="preserve">全球 </t>
    </r>
    <r>
      <rPr>
        <sz val="11"/>
        <rFont val="Arial"/>
        <family val="0"/>
        <charset val="1"/>
      </rPr>
      <t xml:space="preserve">ARPP $57.03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10-K</t>
    </r>
    <r>
      <rPr>
        <sz val="11"/>
        <rFont val="Noto Sans CJK SC"/>
        <family val="2"/>
      </rPr>
      <t xml:space="preserve">）；</t>
    </r>
    <r>
      <rPr>
        <sz val="11"/>
        <rFont val="Arial"/>
        <family val="0"/>
        <charset val="1"/>
      </rPr>
      <t xml:space="preserve">base 2027→2030 </t>
    </r>
    <r>
      <rPr>
        <sz val="11"/>
        <rFont val="Noto Sans CJK SC"/>
        <family val="2"/>
      </rPr>
      <t xml:space="preserve">約 </t>
    </r>
    <r>
      <rPr>
        <sz val="11"/>
        <rFont val="Arial"/>
        <family val="0"/>
        <charset val="1"/>
      </rPr>
      <t xml:space="preserve">2.9 </t>
    </r>
    <r>
      <rPr>
        <sz val="11"/>
        <rFont val="Noto Sans CJK SC"/>
        <family val="2"/>
      </rPr>
      <t xml:space="preserve">倍</t>
    </r>
  </si>
  <si>
    <t xml:space="preserve">反向模式：管理層目標（只驅動「反向」頁）</t>
  </si>
  <si>
    <r>
      <rPr>
        <sz val="11"/>
        <rFont val="Noto Sans CJK SC"/>
        <family val="2"/>
      </rPr>
      <t xml:space="preserve">管理層營收目標（</t>
    </r>
    <r>
      <rPr>
        <sz val="11"/>
        <rFont val="Arial"/>
        <family val="0"/>
        <charset val="1"/>
      </rPr>
      <t xml:space="preserve">7 </t>
    </r>
    <r>
      <rPr>
        <sz val="11"/>
        <rFont val="Noto Sans CJK SC"/>
        <family val="2"/>
      </rPr>
      <t xml:space="preserve">月簡報）</t>
    </r>
  </si>
  <si>
    <t xml:space="preserve">Interested-party/Derived</t>
  </si>
  <si>
    <r>
      <rPr>
        <sz val="11"/>
        <rFont val="Arial"/>
        <family val="0"/>
        <charset val="1"/>
      </rPr>
      <t xml:space="preserve">2026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2030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Σ840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FT 2026-09-18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7 </t>
    </r>
    <r>
      <rPr>
        <sz val="11"/>
        <rFont val="Noto Sans CJK SC"/>
        <family val="2"/>
      </rPr>
      <t xml:space="preserve">月簡報）；</t>
    </r>
    <r>
      <rPr>
        <sz val="11"/>
        <rFont val="Arial"/>
        <family val="0"/>
        <charset val="1"/>
      </rPr>
      <t xml:space="preserve">2027–29 </t>
    </r>
    <r>
      <rPr>
        <sz val="11"/>
        <rFont val="Noto Sans CJK SC"/>
        <family val="2"/>
      </rPr>
      <t xml:space="preserve">為依 </t>
    </r>
    <r>
      <rPr>
        <sz val="11"/>
        <rFont val="Arial"/>
        <family val="0"/>
        <charset val="1"/>
      </rPr>
      <t xml:space="preserve">Σ840 </t>
    </r>
    <r>
      <rPr>
        <sz val="11"/>
        <rFont val="Noto Sans CJK SC"/>
        <family val="2"/>
      </rPr>
      <t xml:space="preserve">擬合之路徑（</t>
    </r>
    <r>
      <rPr>
        <sz val="11"/>
        <rFont val="Arial"/>
        <family val="0"/>
        <charset val="1"/>
      </rPr>
      <t xml:space="preserve">Tokenomics v4 FT_Sep2026 </t>
    </r>
    <r>
      <rPr>
        <sz val="11"/>
        <rFont val="Noto Sans CJK SC"/>
        <family val="2"/>
      </rPr>
      <t xml:space="preserve">列 </t>
    </r>
    <r>
      <rPr>
        <sz val="11"/>
        <rFont val="Arial"/>
        <family val="0"/>
        <charset val="1"/>
      </rPr>
      <t xml:space="preserve">24</t>
    </r>
    <r>
      <rPr>
        <sz val="11"/>
        <rFont val="Noto Sans CJK SC"/>
        <family val="2"/>
      </rPr>
      <t xml:space="preserve">）</t>
    </r>
    <r>
      <rPr>
        <sz val="11"/>
        <rFont val="Arial"/>
        <family val="0"/>
        <charset val="1"/>
      </rPr>
      <t xml:space="preserve">[Derived]</t>
    </r>
  </si>
  <si>
    <t xml:space="preserve">廣告內部路徑（對照組）</t>
  </si>
  <si>
    <t xml:space="preserve">Axios 2026-04-09</t>
  </si>
  <si>
    <r>
      <rPr>
        <sz val="11"/>
        <rFont val="Arial"/>
        <family val="0"/>
        <charset val="1"/>
      </rPr>
      <t xml:space="preserve">2030 </t>
    </r>
    <r>
      <rPr>
        <sz val="11"/>
        <rFont val="Noto Sans CJK SC"/>
        <family val="2"/>
      </rPr>
      <t xml:space="preserve">週活躍用戶計畫</t>
    </r>
  </si>
  <si>
    <r>
      <rPr>
        <sz val="11"/>
        <rFont val="Arial"/>
        <family val="0"/>
        <charset val="1"/>
      </rPr>
      <t xml:space="preserve">Axios 2026-04-09 </t>
    </r>
    <r>
      <rPr>
        <sz val="11"/>
        <rFont val="Noto Sans CJK SC"/>
        <family val="2"/>
      </rPr>
      <t xml:space="preserve">廣告預測之用戶假設</t>
    </r>
  </si>
  <si>
    <r>
      <rPr>
        <sz val="11"/>
        <rFont val="Noto Sans CJK SC"/>
        <family val="2"/>
      </rPr>
      <t xml:space="preserve">簡報累計自由現金流 </t>
    </r>
    <r>
      <rPr>
        <sz val="11"/>
        <rFont val="Arial"/>
        <family val="0"/>
        <charset val="1"/>
      </rPr>
      <t xml:space="preserve">2026–30</t>
    </r>
  </si>
  <si>
    <t xml:space="preserve">FT 2026-09-18</t>
  </si>
  <si>
    <r>
      <rPr>
        <b val="true"/>
        <sz val="11"/>
        <color rgb="FF1F3864"/>
        <rFont val="Noto Sans CJK SC"/>
        <family val="2"/>
      </rPr>
      <t xml:space="preserve">支出：交易對手合約（</t>
    </r>
    <r>
      <rPr>
        <b val="true"/>
        <sz val="11"/>
        <color rgb="FF1F3864"/>
        <rFont val="Arial"/>
        <family val="0"/>
        <charset val="1"/>
      </rPr>
      <t xml:space="preserve">S1c</t>
    </r>
    <r>
      <rPr>
        <b val="true"/>
        <sz val="11"/>
        <color rgb="FF1F3864"/>
        <rFont val="Noto Sans CJK SC"/>
        <family val="2"/>
      </rPr>
      <t xml:space="preserve">；欄 </t>
    </r>
    <r>
      <rPr>
        <b val="true"/>
        <sz val="11"/>
        <color rgb="FF1F3864"/>
        <rFont val="Arial"/>
        <family val="0"/>
        <charset val="1"/>
      </rPr>
      <t xml:space="preserve">C </t>
    </r>
    <r>
      <rPr>
        <b val="true"/>
        <sz val="11"/>
        <color rgb="FF1F3864"/>
        <rFont val="Noto Sans CJK SC"/>
        <family val="2"/>
      </rPr>
      <t xml:space="preserve">總額、</t>
    </r>
    <r>
      <rPr>
        <b val="true"/>
        <sz val="11"/>
        <color rgb="FF1F3864"/>
        <rFont val="Arial"/>
        <family val="0"/>
        <charset val="1"/>
      </rPr>
      <t xml:space="preserve">D </t>
    </r>
    <r>
      <rPr>
        <b val="true"/>
        <sz val="11"/>
        <color rgb="FF1F3864"/>
        <rFont val="Noto Sans CJK SC"/>
        <family val="2"/>
      </rPr>
      <t xml:space="preserve">起年、</t>
    </r>
    <r>
      <rPr>
        <b val="true"/>
        <sz val="11"/>
        <color rgb="FF1F3864"/>
        <rFont val="Arial"/>
        <family val="0"/>
        <charset val="1"/>
      </rPr>
      <t xml:space="preserve">E </t>
    </r>
    <r>
      <rPr>
        <b val="true"/>
        <sz val="11"/>
        <color rgb="FF1F3864"/>
        <rFont val="Noto Sans CJK SC"/>
        <family val="2"/>
      </rPr>
      <t xml:space="preserve">訖年、</t>
    </r>
    <r>
      <rPr>
        <b val="true"/>
        <sz val="11"/>
        <color rgb="FF1F3864"/>
        <rFont val="Arial"/>
        <family val="0"/>
        <charset val="1"/>
      </rPr>
      <t xml:space="preserve">F </t>
    </r>
    <r>
      <rPr>
        <b val="true"/>
        <sz val="11"/>
        <color rgb="FF1F3864"/>
        <rFont val="Noto Sans CJK SC"/>
        <family val="2"/>
      </rPr>
      <t xml:space="preserve">已揭露年額、</t>
    </r>
    <r>
      <rPr>
        <b val="true"/>
        <sz val="11"/>
        <color rgb="FF1F3864"/>
        <rFont val="Arial"/>
        <family val="0"/>
        <charset val="1"/>
      </rPr>
      <t xml:space="preserve">G </t>
    </r>
    <r>
      <rPr>
        <b val="true"/>
        <sz val="11"/>
        <color rgb="FF1F3864"/>
        <rFont val="Noto Sans CJK SC"/>
        <family val="2"/>
      </rPr>
      <t xml:space="preserve">揭露 </t>
    </r>
    <r>
      <rPr>
        <b val="true"/>
        <sz val="11"/>
        <color rgb="FF1F3864"/>
        <rFont val="Arial"/>
        <family val="0"/>
        <charset val="1"/>
      </rPr>
      <t xml:space="preserve">GW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</si>
  <si>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總額 </t>
    </r>
    <r>
      <rPr>
        <b val="true"/>
        <sz val="11"/>
        <rFont val="Arial"/>
        <family val="0"/>
        <charset val="1"/>
      </rPr>
      <t xml:space="preserve">$B</t>
    </r>
  </si>
  <si>
    <t xml:space="preserve">起年</t>
  </si>
  <si>
    <t xml:space="preserve">訖年</t>
  </si>
  <si>
    <t xml:space="preserve">揭露年額</t>
  </si>
  <si>
    <r>
      <rPr>
        <b val="true"/>
        <sz val="11"/>
        <rFont val="Noto Sans CJK SC"/>
        <family val="2"/>
      </rPr>
      <t xml:space="preserve">揭露 </t>
    </r>
    <r>
      <rPr>
        <b val="true"/>
        <sz val="11"/>
        <rFont val="Arial"/>
        <family val="0"/>
        <charset val="1"/>
      </rPr>
      <t xml:space="preserve">GW</t>
    </r>
  </si>
  <si>
    <t xml:space="preserve">Microsoft Azure</t>
  </si>
  <si>
    <t xml:space="preserve">Verified/Analogy</t>
  </si>
  <si>
    <r>
      <rPr>
        <sz val="11"/>
        <rFont val="Noto Sans CJK SC"/>
        <family val="2"/>
      </rPr>
      <t xml:space="preserve">總額：</t>
    </r>
    <r>
      <rPr>
        <sz val="11"/>
        <rFont val="Arial"/>
        <family val="0"/>
        <charset val="1"/>
      </rPr>
      <t xml:space="preserve">OpenAI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Microsoft 2025-10 </t>
    </r>
    <r>
      <rPr>
        <sz val="11"/>
        <rFont val="Noto Sans CJK SC"/>
        <family val="2"/>
      </rPr>
      <t xml:space="preserve">公告增購 </t>
    </r>
    <r>
      <rPr>
        <sz val="11"/>
        <rFont val="Arial"/>
        <family val="0"/>
        <charset val="1"/>
      </rPr>
      <t xml:space="preserve">$250B Azure [Verified]</t>
    </r>
    <r>
      <rPr>
        <sz val="11"/>
        <rFont val="Noto Sans CJK SC"/>
        <family val="2"/>
      </rPr>
      <t xml:space="preserve">；期間 </t>
    </r>
    <r>
      <rPr>
        <sz val="11"/>
        <rFont val="Arial"/>
        <family val="0"/>
        <charset val="1"/>
      </rPr>
      <t xml:space="preserve">2025–2030 </t>
    </r>
    <r>
      <rPr>
        <sz val="11"/>
        <rFont val="Noto Sans CJK SC"/>
        <family val="2"/>
      </rPr>
      <t xml:space="preserve">為估計 </t>
    </r>
    <r>
      <rPr>
        <sz val="11"/>
        <rFont val="Arial"/>
        <family val="0"/>
        <charset val="1"/>
      </rPr>
      <t xml:space="preserve">[Analogy]</t>
    </r>
  </si>
  <si>
    <t xml:space="preserve">Oracle</t>
  </si>
  <si>
    <r>
      <rPr>
        <sz val="11"/>
        <rFont val="Arial"/>
        <family val="0"/>
        <charset val="1"/>
      </rPr>
      <t xml:space="preserve">WSJ 2025-09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Oracle </t>
    </r>
    <r>
      <rPr>
        <sz val="11"/>
        <rFont val="Noto Sans CJK SC"/>
        <family val="2"/>
      </rPr>
      <t xml:space="preserve">公告 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年、</t>
    </r>
    <r>
      <rPr>
        <sz val="11"/>
        <rFont val="Arial"/>
        <family val="0"/>
        <charset val="1"/>
      </rPr>
      <t xml:space="preserve">2027 </t>
    </r>
    <r>
      <rPr>
        <sz val="11"/>
        <rFont val="Noto Sans CJK SC"/>
        <family val="2"/>
      </rPr>
      <t xml:space="preserve">起、約 </t>
    </r>
    <r>
      <rPr>
        <sz val="11"/>
        <rFont val="Arial"/>
        <family val="0"/>
        <charset val="1"/>
      </rPr>
      <t xml:space="preserve">4.5GW</t>
    </r>
  </si>
  <si>
    <r>
      <rPr>
        <sz val="11"/>
        <rFont val="Arial"/>
        <family val="0"/>
        <charset val="1"/>
      </rPr>
      <t xml:space="preserve">AWS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Nvidia GPU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</si>
  <si>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AWS/OpenAI 2025-11-03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7 </t>
    </r>
    <r>
      <rPr>
        <sz val="11"/>
        <rFont val="Noto Sans CJK SC"/>
        <family val="2"/>
      </rPr>
      <t xml:space="preserve">年</t>
    </r>
  </si>
  <si>
    <r>
      <rPr>
        <sz val="11"/>
        <rFont val="Arial"/>
        <family val="0"/>
        <charset val="1"/>
      </rPr>
      <t xml:space="preserve">AWS </t>
    </r>
    <r>
      <rPr>
        <sz val="11"/>
        <rFont val="Noto Sans CJK SC"/>
        <family val="2"/>
      </rPr>
      <t xml:space="preserve">擴約（</t>
    </r>
    <r>
      <rPr>
        <sz val="11"/>
        <rFont val="Arial"/>
        <family val="0"/>
        <charset val="1"/>
      </rPr>
      <t xml:space="preserve">Trainium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VR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</si>
  <si>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2026-02 </t>
    </r>
    <r>
      <rPr>
        <sz val="11"/>
        <rFont val="Noto Sans CJK SC"/>
        <family val="2"/>
      </rPr>
      <t xml:space="preserve">融資公告：</t>
    </r>
    <r>
      <rPr>
        <sz val="11"/>
        <rFont val="Arial"/>
        <family val="0"/>
        <charset val="1"/>
      </rPr>
      <t xml:space="preserve">AWS </t>
    </r>
    <r>
      <rPr>
        <sz val="11"/>
        <rFont val="Noto Sans CJK SC"/>
        <family val="2"/>
      </rPr>
      <t xml:space="preserve">追加 </t>
    </r>
    <r>
      <rPr>
        <sz val="11"/>
        <rFont val="Arial"/>
        <family val="0"/>
        <charset val="1"/>
      </rPr>
      <t xml:space="preserve">$100B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年、</t>
    </r>
    <r>
      <rPr>
        <sz val="11"/>
        <rFont val="Arial"/>
        <family val="0"/>
        <charset val="1"/>
      </rPr>
      <t xml:space="preserve">2GW Trainium</t>
    </r>
    <r>
      <rPr>
        <sz val="11"/>
        <rFont val="Noto Sans CJK SC"/>
        <family val="2"/>
      </rPr>
      <t xml:space="preserve">；揭露口徑衝突：</t>
    </r>
    <r>
      <rPr>
        <sz val="11"/>
        <rFont val="Arial"/>
        <family val="0"/>
        <charset val="1"/>
      </rPr>
      <t xml:space="preserve">2026-02 </t>
    </r>
    <r>
      <rPr>
        <sz val="11"/>
        <rFont val="Noto Sans CJK SC"/>
        <family val="2"/>
      </rPr>
      <t xml:space="preserve">公告 </t>
    </r>
    <r>
      <rPr>
        <sz val="11"/>
        <rFont val="Arial"/>
        <family val="0"/>
        <charset val="1"/>
      </rPr>
      <t xml:space="preserve">2GW Trainium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WSJ 2026-07 </t>
    </r>
    <r>
      <rPr>
        <sz val="11"/>
        <rFont val="Noto Sans CJK SC"/>
        <family val="2"/>
      </rPr>
      <t xml:space="preserve">另載 </t>
    </r>
    <r>
      <rPr>
        <sz val="11"/>
        <rFont val="Arial"/>
        <family val="0"/>
        <charset val="1"/>
      </rPr>
      <t xml:space="preserve">3GW </t>
    </r>
    <r>
      <rPr>
        <sz val="11"/>
        <rFont val="Noto Sans CJK SC"/>
        <family val="2"/>
      </rPr>
      <t xml:space="preserve">推論＋</t>
    </r>
    <r>
      <rPr>
        <sz val="11"/>
        <rFont val="Arial"/>
        <family val="0"/>
        <charset val="1"/>
      </rPr>
      <t xml:space="preserve">2GW </t>
    </r>
    <r>
      <rPr>
        <sz val="11"/>
        <rFont val="Noto Sans CJK SC"/>
        <family val="2"/>
      </rPr>
      <t xml:space="preserve">訓練（</t>
    </r>
    <r>
      <rPr>
        <sz val="11"/>
        <rFont val="Arial"/>
        <family val="0"/>
        <charset val="1"/>
      </rPr>
      <t xml:space="preserve">VR</t>
    </r>
    <r>
      <rPr>
        <sz val="11"/>
        <rFont val="Noto Sans CJK SC"/>
        <family val="2"/>
      </rPr>
      <t xml:space="preserve">）。取 </t>
    </r>
    <r>
      <rPr>
        <sz val="11"/>
        <rFont val="Arial"/>
        <family val="0"/>
        <charset val="1"/>
      </rPr>
      <t xml:space="preserve">2GW</t>
    </r>
    <r>
      <rPr>
        <sz val="11"/>
        <rFont val="Noto Sans CJK SC"/>
        <family val="2"/>
      </rPr>
      <t xml:space="preserve">，區間 </t>
    </r>
    <r>
      <rPr>
        <sz val="11"/>
        <rFont val="Arial"/>
        <family val="0"/>
        <charset val="1"/>
      </rPr>
      <t xml:space="preserve">2–5</t>
    </r>
  </si>
  <si>
    <t xml:space="preserve">CoreWeave</t>
  </si>
  <si>
    <r>
      <rPr>
        <sz val="11"/>
        <rFont val="Arial"/>
        <family val="0"/>
        <charset val="1"/>
      </rPr>
      <t xml:space="preserve">CoreWeave </t>
    </r>
    <r>
      <rPr>
        <sz val="11"/>
        <rFont val="Noto Sans CJK SC"/>
        <family val="2"/>
      </rPr>
      <t xml:space="preserve">揭露：</t>
    </r>
    <r>
      <rPr>
        <sz val="11"/>
        <rFont val="Arial"/>
        <family val="0"/>
        <charset val="1"/>
      </rPr>
      <t xml:space="preserve">$11.9B</t>
    </r>
    <r>
      <rPr>
        <sz val="11"/>
        <rFont val="Noto Sans CJK SC"/>
        <family val="2"/>
      </rPr>
      <t xml:space="preserve">＋</t>
    </r>
    <r>
      <rPr>
        <sz val="11"/>
        <rFont val="Arial"/>
        <family val="0"/>
        <charset val="1"/>
      </rPr>
      <t xml:space="preserve">$4B</t>
    </r>
    <r>
      <rPr>
        <sz val="11"/>
        <rFont val="Noto Sans CJK SC"/>
        <family val="2"/>
      </rPr>
      <t xml:space="preserve">＋</t>
    </r>
    <r>
      <rPr>
        <sz val="11"/>
        <rFont val="Arial"/>
        <family val="0"/>
        <charset val="1"/>
      </rPr>
      <t xml:space="preserve">$6.5B</t>
    </r>
    <r>
      <rPr>
        <sz val="11"/>
        <rFont val="Noto Sans CJK SC"/>
        <family val="2"/>
      </rPr>
      <t xml:space="preserve">；日後可改接 </t>
    </r>
    <r>
      <rPr>
        <sz val="11"/>
        <rFont val="Arial"/>
        <family val="0"/>
        <charset val="1"/>
      </rPr>
      <t xml:space="preserve">CRWV </t>
    </r>
    <r>
      <rPr>
        <sz val="11"/>
        <rFont val="Noto Sans CJK SC"/>
        <family val="2"/>
      </rPr>
      <t xml:space="preserve">模型之 </t>
    </r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時程</t>
    </r>
  </si>
  <si>
    <t xml:space="preserve">Cerebras</t>
  </si>
  <si>
    <r>
      <rPr>
        <sz val="11"/>
        <rFont val="Arial"/>
        <family val="0"/>
        <charset val="1"/>
      </rPr>
      <t xml:space="preserve">Cerebras 10-Q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8-K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750MW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2026–28 </t>
    </r>
    <r>
      <rPr>
        <sz val="11"/>
        <rFont val="Noto Sans CJK SC"/>
        <family val="2"/>
      </rPr>
      <t xml:space="preserve">分批部署、每批 </t>
    </r>
    <r>
      <rPr>
        <sz val="11"/>
        <rFont val="Arial"/>
        <family val="0"/>
        <charset val="1"/>
      </rPr>
      <t xml:space="preserve">3–4 </t>
    </r>
    <r>
      <rPr>
        <sz val="11"/>
        <rFont val="Noto Sans CJK SC"/>
        <family val="2"/>
      </rPr>
      <t xml:space="preserve">年、總值逾 </t>
    </r>
    <r>
      <rPr>
        <sz val="11"/>
        <rFont val="Arial"/>
        <family val="0"/>
        <charset val="1"/>
      </rPr>
      <t xml:space="preserve">$20B</t>
    </r>
    <r>
      <rPr>
        <sz val="11"/>
        <rFont val="Noto Sans CJK SC"/>
        <family val="2"/>
      </rPr>
      <t xml:space="preserve">；期間終點為推估</t>
    </r>
  </si>
  <si>
    <t xml:space="preserve">支出：自有資本支出、營運費用與錨點</t>
  </si>
  <si>
    <t xml:space="preserve">自有資本支出</t>
  </si>
  <si>
    <r>
      <rPr>
        <sz val="11"/>
        <rFont val="Noto Sans CJK SC"/>
        <family val="2"/>
      </rPr>
      <t xml:space="preserve">自有園區與晶片（例：</t>
    </r>
    <r>
      <rPr>
        <sz val="11"/>
        <rFont val="Arial"/>
        <family val="0"/>
        <charset val="1"/>
      </rPr>
      <t xml:space="preserve">Project Camellia $20B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TechCrunch 2026-07-22</t>
    </r>
    <r>
      <rPr>
        <sz val="11"/>
        <rFont val="Noto Sans CJK SC"/>
        <family val="2"/>
      </rPr>
      <t xml:space="preserve">）</t>
    </r>
  </si>
  <si>
    <t xml:space="preserve">合作方出資比例（自有資本支出）</t>
  </si>
  <si>
    <r>
      <rPr>
        <sz val="11"/>
        <rFont val="Arial"/>
        <family val="0"/>
        <charset val="1"/>
      </rPr>
      <t xml:space="preserve">S3</t>
    </r>
    <r>
      <rPr>
        <sz val="11"/>
        <rFont val="Noto Sans CJK SC"/>
        <family val="2"/>
      </rPr>
      <t xml:space="preserve">，沿用 </t>
    </r>
    <r>
      <rPr>
        <sz val="11"/>
        <rFont val="Arial"/>
        <family val="0"/>
        <charset val="1"/>
      </rPr>
      <t xml:space="preserve">v4 </t>
    </r>
    <r>
      <rPr>
        <sz val="11"/>
        <rFont val="Noto Sans CJK SC"/>
        <family val="2"/>
      </rPr>
      <t xml:space="preserve">槓桿，情境軸</t>
    </r>
  </si>
  <si>
    <r>
      <rPr>
        <sz val="11"/>
        <rFont val="Noto Sans CJK SC"/>
        <family val="2"/>
      </rPr>
      <t xml:space="preserve">營運費用（不含算力、股票薪酬）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總額</t>
    </r>
  </si>
  <si>
    <r>
      <rPr>
        <sz val="11"/>
        <rFont val="Arial"/>
        <family val="0"/>
        <charset val="1"/>
      </rPr>
      <t xml:space="preserve">S5a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為實際（研發不含付 </t>
    </r>
    <r>
      <rPr>
        <sz val="11"/>
        <rFont val="Arial"/>
        <family val="0"/>
        <charset val="1"/>
      </rPr>
      <t xml:space="preserve">Microsoft </t>
    </r>
    <r>
      <rPr>
        <sz val="11"/>
        <rFont val="Noto Sans CJK SC"/>
        <family val="2"/>
      </rPr>
      <t xml:space="preserve">約 </t>
    </r>
    <r>
      <rPr>
        <sz val="11"/>
        <rFont val="Arial"/>
        <family val="0"/>
        <charset val="1"/>
      </rPr>
      <t xml:space="preserve">$10.6B</t>
    </r>
    <r>
      <rPr>
        <sz val="11"/>
        <rFont val="Noto Sans CJK SC"/>
        <family val="2"/>
      </rPr>
      <t xml:space="preserve">、銷售、管理）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營收 </t>
    </r>
    <r>
      <rPr>
        <sz val="11"/>
        <rFont val="Arial"/>
        <family val="0"/>
        <charset val="1"/>
      </rPr>
      <t xml:space="preserve">[Interested-party]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2026+ </t>
    </r>
    <r>
      <rPr>
        <sz val="11"/>
        <rFont val="Noto Sans CJK SC"/>
        <family val="2"/>
      </rPr>
      <t xml:space="preserve">沿 </t>
    </r>
    <r>
      <rPr>
        <sz val="11"/>
        <rFont val="Arial"/>
        <family val="0"/>
        <charset val="1"/>
      </rPr>
      <t xml:space="preserve">Tokenomics v4 </t>
    </r>
    <r>
      <rPr>
        <sz val="11"/>
        <rFont val="Noto Sans CJK SC"/>
        <family val="2"/>
      </rPr>
      <t xml:space="preserve">研發</t>
    </r>
    <r>
      <rPr>
        <sz val="11"/>
        <rFont val="Arial"/>
        <family val="0"/>
        <charset val="1"/>
      </rPr>
      <t xml:space="preserve">×(1−</t>
    </r>
    <r>
      <rPr>
        <sz val="11"/>
        <rFont val="Noto Sans CJK SC"/>
        <family val="2"/>
      </rPr>
      <t xml:space="preserve">算力占比 </t>
    </r>
    <r>
      <rPr>
        <sz val="11"/>
        <rFont val="Arial"/>
        <family val="0"/>
        <charset val="1"/>
      </rPr>
      <t xml:space="preserve">60%)</t>
    </r>
    <r>
      <rPr>
        <sz val="11"/>
        <rFont val="Noto Sans CJK SC"/>
        <family val="2"/>
      </rPr>
      <t xml:space="preserve">＋銷售＋管理路徑；不含股票薪酬</t>
    </r>
  </si>
  <si>
    <r>
      <rPr>
        <sz val="11"/>
        <rFont val="Noto Sans CJK SC"/>
        <family val="2"/>
      </rPr>
      <t xml:space="preserve">算力累計 </t>
    </r>
    <r>
      <rPr>
        <sz val="11"/>
        <rFont val="Arial"/>
        <family val="0"/>
        <charset val="1"/>
      </rPr>
      <t xml:space="preserve">2026–30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WSJ</t>
    </r>
  </si>
  <si>
    <t xml:space="preserve">WSJ 2026-07-22</t>
  </si>
  <si>
    <r>
      <rPr>
        <sz val="11"/>
        <rFont val="Noto Sans CJK SC"/>
        <family val="2"/>
      </rPr>
      <t xml:space="preserve">算力累計 </t>
    </r>
    <r>
      <rPr>
        <sz val="11"/>
        <rFont val="Arial"/>
        <family val="0"/>
        <charset val="1"/>
      </rPr>
      <t xml:space="preserve">2026–30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FT </t>
    </r>
    <r>
      <rPr>
        <sz val="11"/>
        <rFont val="Noto Sans CJK SC"/>
        <family val="2"/>
      </rPr>
      <t xml:space="preserve">簡報</t>
    </r>
  </si>
  <si>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算力支出（證詞）</t>
    </r>
  </si>
  <si>
    <r>
      <rPr>
        <sz val="11"/>
        <rFont val="Arial"/>
        <family val="0"/>
        <charset val="1"/>
      </rPr>
      <t xml:space="preserve">Brockman </t>
    </r>
    <r>
      <rPr>
        <sz val="11"/>
        <rFont val="Noto Sans CJK SC"/>
        <family val="2"/>
      </rPr>
      <t xml:space="preserve">證詞（</t>
    </r>
    <r>
      <rPr>
        <sz val="11"/>
        <rFont val="Arial"/>
        <family val="0"/>
        <charset val="1"/>
      </rPr>
      <t xml:space="preserve">commitments tracker 2026-05 </t>
    </r>
    <r>
      <rPr>
        <sz val="11"/>
        <rFont val="Noto Sans CJK SC"/>
        <family val="2"/>
      </rPr>
      <t xml:space="preserve">轉述）</t>
    </r>
  </si>
  <si>
    <t xml:space="preserve">資金</t>
  </si>
  <si>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年底現金</t>
    </r>
  </si>
  <si>
    <r>
      <rPr>
        <sz val="11"/>
        <rFont val="Arial"/>
        <family val="0"/>
        <charset val="1"/>
      </rPr>
      <t xml:space="preserve">2025-12 </t>
    </r>
    <r>
      <rPr>
        <sz val="11"/>
        <rFont val="Noto Sans CJK SC"/>
        <family val="2"/>
      </rPr>
      <t xml:space="preserve">約 </t>
    </r>
    <r>
      <rPr>
        <sz val="11"/>
        <rFont val="Arial"/>
        <family val="0"/>
        <charset val="1"/>
      </rPr>
      <t xml:space="preserve">$40B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2026 Q1 </t>
    </r>
    <r>
      <rPr>
        <sz val="11"/>
        <rFont val="Noto Sans CJK SC"/>
        <family val="2"/>
      </rPr>
      <t xml:space="preserve">末 </t>
    </r>
    <r>
      <rPr>
        <sz val="11"/>
        <rFont val="Arial"/>
        <family val="0"/>
        <charset val="1"/>
      </rPr>
      <t xml:space="preserve">$73B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The Information </t>
    </r>
    <r>
      <rPr>
        <sz val="11"/>
        <rFont val="Noto Sans CJK SC"/>
        <family val="2"/>
      </rPr>
      <t xml:space="preserve">經 </t>
    </r>
    <r>
      <rPr>
        <sz val="11"/>
        <rFont val="Arial"/>
        <family val="0"/>
        <charset val="1"/>
      </rPr>
      <t xml:space="preserve">TNW </t>
    </r>
    <r>
      <rPr>
        <sz val="11"/>
        <rFont val="Noto Sans CJK SC"/>
        <family val="2"/>
      </rPr>
      <t xml:space="preserve">轉述）</t>
    </r>
  </si>
  <si>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股權流入（無條件部分）</t>
    </r>
  </si>
  <si>
    <r>
      <rPr>
        <sz val="11"/>
        <rFont val="Arial"/>
        <family val="0"/>
        <charset val="1"/>
      </rPr>
      <t xml:space="preserve">Amazon </t>
    </r>
    <r>
      <rPr>
        <sz val="11"/>
        <rFont val="Noto Sans CJK SC"/>
        <family val="2"/>
      </rPr>
      <t xml:space="preserve">首筆 </t>
    </r>
    <r>
      <rPr>
        <sz val="11"/>
        <rFont val="Arial"/>
        <family val="0"/>
        <charset val="1"/>
      </rPr>
      <t xml:space="preserve">$15B</t>
    </r>
    <r>
      <rPr>
        <sz val="11"/>
        <rFont val="Noto Sans CJK SC"/>
        <family val="2"/>
      </rPr>
      <t xml:space="preserve">＋</t>
    </r>
    <r>
      <rPr>
        <sz val="11"/>
        <rFont val="Arial"/>
        <family val="0"/>
        <charset val="1"/>
      </rPr>
      <t xml:space="preserve">SoftBank $30B</t>
    </r>
    <r>
      <rPr>
        <sz val="11"/>
        <rFont val="Noto Sans CJK SC"/>
        <family val="2"/>
      </rPr>
      <t xml:space="preserve">（三期）＋</t>
    </r>
    <r>
      <rPr>
        <sz val="11"/>
        <rFont val="Arial"/>
        <family val="0"/>
        <charset val="1"/>
      </rPr>
      <t xml:space="preserve">Nvidia $30B</t>
    </r>
    <r>
      <rPr>
        <sz val="11"/>
        <rFont val="Noto Sans CJK SC"/>
        <family val="2"/>
      </rPr>
      <t xml:space="preserve">＋其他約 </t>
    </r>
    <r>
      <rPr>
        <sz val="11"/>
        <rFont val="Arial"/>
        <family val="0"/>
        <charset val="1"/>
      </rPr>
      <t xml:space="preserve">$12B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Nvidia </t>
    </r>
    <r>
      <rPr>
        <sz val="11"/>
        <rFont val="Noto Sans CJK SC"/>
        <family val="2"/>
      </rPr>
      <t xml:space="preserve">以現金計 </t>
    </r>
    <r>
      <rPr>
        <sz val="11"/>
        <rFont val="Arial"/>
        <family val="0"/>
        <charset val="1"/>
      </rPr>
      <t xml:space="preserve">[Assumed</t>
    </r>
    <r>
      <rPr>
        <sz val="11"/>
        <rFont val="Noto Sans CJK SC"/>
        <family val="2"/>
      </rPr>
      <t xml:space="preserve">，另有報導稱多為算力</t>
    </r>
    <r>
      <rPr>
        <sz val="11"/>
        <rFont val="Arial"/>
        <family val="0"/>
        <charset val="1"/>
      </rPr>
      <t xml:space="preserve">]</t>
    </r>
  </si>
  <si>
    <r>
      <rPr>
        <sz val="11"/>
        <rFont val="Arial"/>
        <family val="0"/>
        <charset val="1"/>
      </rPr>
      <t xml:space="preserve">Amazon </t>
    </r>
    <r>
      <rPr>
        <sz val="11"/>
        <rFont val="Noto Sans CJK SC"/>
        <family val="2"/>
      </rPr>
      <t xml:space="preserve">條件式投資</t>
    </r>
  </si>
  <si>
    <r>
      <rPr>
        <sz val="11"/>
        <rFont val="Arial"/>
        <family val="0"/>
        <charset val="1"/>
      </rPr>
      <t xml:space="preserve">Amazon </t>
    </r>
    <r>
      <rPr>
        <sz val="11"/>
        <rFont val="Noto Sans CJK SC"/>
        <family val="2"/>
      </rPr>
      <t xml:space="preserve">其餘 </t>
    </r>
    <r>
      <rPr>
        <sz val="11"/>
        <rFont val="Arial"/>
        <family val="0"/>
        <charset val="1"/>
      </rPr>
      <t xml:space="preserve">$35B </t>
    </r>
    <r>
      <rPr>
        <sz val="11"/>
        <rFont val="Noto Sans CJK SC"/>
        <family val="2"/>
      </rPr>
      <t xml:space="preserve">以 </t>
    </r>
    <r>
      <rPr>
        <sz val="11"/>
        <rFont val="Arial"/>
        <family val="0"/>
        <charset val="1"/>
      </rPr>
      <t xml:space="preserve">IPO </t>
    </r>
    <r>
      <rPr>
        <sz val="11"/>
        <rFont val="Noto Sans CJK SC"/>
        <family val="2"/>
      </rPr>
      <t xml:space="preserve">或 </t>
    </r>
    <r>
      <rPr>
        <sz val="11"/>
        <rFont val="Arial"/>
        <family val="0"/>
        <charset val="1"/>
      </rPr>
      <t xml:space="preserve">AGI </t>
    </r>
    <r>
      <rPr>
        <sz val="11"/>
        <rFont val="Noto Sans CJK SC"/>
        <family val="2"/>
      </rPr>
      <t xml:space="preserve">里程碑為條件（多家報導）；</t>
    </r>
    <r>
      <rPr>
        <sz val="11"/>
        <rFont val="Arial"/>
        <family val="0"/>
        <charset val="1"/>
      </rPr>
      <t xml:space="preserve">base </t>
    </r>
    <r>
      <rPr>
        <sz val="11"/>
        <rFont val="Noto Sans CJK SC"/>
        <family val="2"/>
      </rPr>
      <t xml:space="preserve">不計入，列情境</t>
    </r>
  </si>
  <si>
    <t xml:space="preserve">最低現金</t>
  </si>
  <si>
    <r>
      <rPr>
        <sz val="11"/>
        <rFont val="Arial"/>
        <family val="0"/>
        <charset val="1"/>
      </rPr>
      <t xml:space="preserve">S7 </t>
    </r>
    <r>
      <rPr>
        <sz val="11"/>
        <rFont val="Noto Sans CJK SC"/>
        <family val="2"/>
      </rPr>
      <t xml:space="preserve">沿用 </t>
    </r>
    <r>
      <rPr>
        <sz val="11"/>
        <rFont val="Arial"/>
        <family val="0"/>
        <charset val="1"/>
      </rPr>
      <t xml:space="preserve">CRWV</t>
    </r>
  </si>
  <si>
    <r>
      <rPr>
        <sz val="11"/>
        <rFont val="Noto Sans CJK SC"/>
        <family val="2"/>
      </rPr>
      <t xml:space="preserve">或有負債：</t>
    </r>
    <r>
      <rPr>
        <sz val="11"/>
        <rFont val="Arial"/>
        <family val="0"/>
        <charset val="1"/>
      </rPr>
      <t xml:space="preserve">Nvidia </t>
    </r>
    <r>
      <rPr>
        <sz val="11"/>
        <rFont val="Noto Sans CJK SC"/>
        <family val="2"/>
      </rPr>
      <t xml:space="preserve">擔保</t>
    </r>
  </si>
  <si>
    <r>
      <rPr>
        <sz val="11"/>
        <rFont val="Arial"/>
        <family val="0"/>
        <charset val="1"/>
      </rPr>
      <t xml:space="preserve">S4b</t>
    </r>
    <r>
      <rPr>
        <sz val="11"/>
        <rFont val="Noto Sans CJK SC"/>
        <family val="2"/>
      </rPr>
      <t xml:space="preserve">：只列示，不作資金來源</t>
    </r>
  </si>
  <si>
    <r>
      <rPr>
        <sz val="11"/>
        <rFont val="Noto Sans CJK SC"/>
        <family val="2"/>
      </rPr>
      <t xml:space="preserve">或有：</t>
    </r>
    <r>
      <rPr>
        <sz val="11"/>
        <rFont val="Arial"/>
        <family val="0"/>
        <charset val="1"/>
      </rPr>
      <t xml:space="preserve">Nvidia </t>
    </r>
    <r>
      <rPr>
        <sz val="11"/>
        <rFont val="Noto Sans CJK SC"/>
        <family val="2"/>
      </rPr>
      <t xml:space="preserve">晶片融資（洽談中）</t>
    </r>
  </si>
  <si>
    <r>
      <rPr>
        <sz val="11"/>
        <rFont val="Arial"/>
        <family val="0"/>
        <charset val="1"/>
      </rPr>
      <t xml:space="preserve">S4b</t>
    </r>
    <r>
      <rPr>
        <sz val="11"/>
        <rFont val="Noto Sans CJK SC"/>
        <family val="2"/>
      </rPr>
      <t xml:space="preserve">：只列示</t>
    </r>
  </si>
  <si>
    <r>
      <rPr>
        <b val="true"/>
        <sz val="13"/>
        <rFont val="Noto Sans CJK SC"/>
        <family val="2"/>
      </rPr>
      <t xml:space="preserve">查核清單：輸入頁每一項的來源與查核狀態（</t>
    </r>
    <r>
      <rPr>
        <b val="true"/>
        <sz val="13"/>
        <rFont val="Arial"/>
        <family val="0"/>
        <charset val="1"/>
      </rPr>
      <t xml:space="preserve">workbook </t>
    </r>
    <r>
      <rPr>
        <b val="true"/>
        <sz val="13"/>
        <rFont val="Noto Sans CJK SC"/>
        <family val="2"/>
      </rPr>
      <t xml:space="preserve">來源值未經查核前不視為可用）</t>
    </r>
  </si>
  <si>
    <t xml:space="preserve">目前值（首欄）</t>
  </si>
  <si>
    <t xml:space="preserve">查核狀態</t>
  </si>
  <si>
    <t xml:space="preserve">來源</t>
  </si>
  <si>
    <t xml:space="preserve">建議查核方式</t>
  </si>
  <si>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Arial"/>
        <family val="0"/>
        <charset val="1"/>
      </rPr>
      <t xml:space="preserve">low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base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high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</si>
  <si>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D11 </t>
    </r>
    <r>
      <rPr>
        <sz val="11"/>
        <color theme="1"/>
        <rFont val="Noto Sans CJK SC"/>
        <family val="2"/>
      </rPr>
      <t xml:space="preserve">情境軸：</t>
    </r>
    <r>
      <rPr>
        <sz val="11"/>
        <color theme="1"/>
        <rFont val="Arial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彈性、牌價年變動、訂閱每任務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成長</t>
    </r>
  </si>
  <si>
    <t xml:space="preserve">判斷題：檢視區間與敏感度，不需外部查核</t>
  </si>
  <si>
    <r>
      <rPr>
        <sz val="11"/>
        <color theme="1"/>
        <rFont val="Noto Sans CJK SC"/>
        <family val="2"/>
      </rPr>
      <t xml:space="preserve">未揭露時程合約之付款型態（</t>
    </r>
    <r>
      <rPr>
        <sz val="11"/>
        <color theme="1"/>
        <rFont val="Arial"/>
        <family val="0"/>
        <charset val="1"/>
      </rPr>
      <t xml:space="preserve">even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ramp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</si>
  <si>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N4(b)</t>
    </r>
    <r>
      <rPr>
        <sz val="11"/>
        <color theme="1"/>
        <rFont val="Noto Sans CJK SC"/>
        <family val="2"/>
      </rPr>
      <t xml:space="preserve">：期間內線性爬升（</t>
    </r>
    <r>
      <rPr>
        <sz val="11"/>
        <color theme="1"/>
        <rFont val="Arial"/>
        <family val="0"/>
        <charset val="1"/>
      </rPr>
      <t xml:space="preserve">Andy 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</si>
  <si>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Arial"/>
        <family val="0"/>
        <charset val="1"/>
      </rPr>
      <t xml:space="preserve">Amazon </t>
    </r>
    <r>
      <rPr>
        <sz val="11"/>
        <color theme="1"/>
        <rFont val="Noto Sans CJK SC"/>
        <family val="2"/>
      </rPr>
      <t xml:space="preserve">條件式 </t>
    </r>
    <r>
      <rPr>
        <sz val="11"/>
        <color theme="1"/>
        <rFont val="Arial"/>
        <family val="0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</si>
  <si>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Arial"/>
        <family val="0"/>
        <charset val="1"/>
      </rPr>
      <t xml:space="preserve">IPO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Arial"/>
        <family val="0"/>
        <charset val="1"/>
      </rPr>
      <t xml:space="preserve">AGI </t>
    </r>
    <r>
      <rPr>
        <sz val="11"/>
        <color theme="1"/>
        <rFont val="Noto Sans CJK SC"/>
        <family val="2"/>
      </rPr>
      <t xml:space="preserve">里程碑為條件；</t>
    </r>
    <r>
      <rPr>
        <sz val="11"/>
        <color theme="1"/>
        <rFont val="Arial"/>
        <family val="0"/>
        <charset val="1"/>
      </rPr>
      <t xml:space="preserve">base </t>
    </r>
    <r>
      <rPr>
        <sz val="11"/>
        <color theme="1"/>
        <rFont val="Noto Sans CJK SC"/>
        <family val="2"/>
      </rPr>
      <t xml:space="preserve">不計入</t>
    </r>
  </si>
  <si>
    <r>
      <rPr>
        <sz val="11"/>
        <color theme="1"/>
        <rFont val="Arial"/>
        <family val="0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</si>
  <si>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待查核</t>
    </r>
    <r>
      <rPr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Noto Sans CJK SC"/>
        <family val="2"/>
      </rPr>
      <t xml:space="preserve">報導</t>
    </r>
  </si>
  <si>
    <r>
      <rPr>
        <sz val="11"/>
        <color theme="1"/>
        <rFont val="Arial"/>
        <family val="0"/>
        <charset val="1"/>
      </rPr>
      <t xml:space="preserve">Fortune/FT 2026-06 </t>
    </r>
    <r>
      <rPr>
        <sz val="11"/>
        <color theme="1"/>
        <rFont val="Noto Sans CJK SC"/>
        <family val="2"/>
      </rPr>
      <t xml:space="preserve">報導之 </t>
    </r>
    <r>
      <rPr>
        <sz val="11"/>
        <color theme="1"/>
        <rFont val="Arial"/>
        <family val="0"/>
        <charset val="1"/>
      </rPr>
      <t xml:space="preserve">FY2025 </t>
    </r>
    <r>
      <rPr>
        <sz val="11"/>
        <color theme="1"/>
        <rFont val="Noto Sans CJK SC"/>
        <family val="2"/>
      </rPr>
      <t xml:space="preserve">認列營收（經查核數字外流）</t>
    </r>
  </si>
  <si>
    <t xml:space="preserve">取得原始報導或文件；確認口徑（年底或全年平均、總額或淨額、年化或認列）</t>
  </si>
  <si>
    <r>
      <rPr>
        <sz val="11"/>
        <color theme="1"/>
        <rFont val="Arial"/>
        <family val="0"/>
        <charset val="1"/>
      </rPr>
      <t xml:space="preserve">2026 Q1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</si>
  <si>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Arial"/>
        <family val="0"/>
        <charset val="1"/>
      </rPr>
      <t xml:space="preserve">The Information 2026-06-16</t>
    </r>
    <r>
      <rPr>
        <sz val="11"/>
        <color theme="1"/>
        <rFont val="Noto Sans CJK SC"/>
        <family val="2"/>
      </rPr>
      <t xml:space="preserve">（股東文件）</t>
    </r>
  </si>
  <si>
    <r>
      <rPr>
        <sz val="11"/>
        <color theme="1"/>
        <rFont val="Arial"/>
        <family val="0"/>
        <charset val="1"/>
      </rPr>
      <t xml:space="preserve">2026 Q2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</si>
  <si>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Arial"/>
        <family val="0"/>
        <charset val="1"/>
      </rPr>
      <t xml:space="preserve">WSJ 2026-08-18</t>
    </r>
    <r>
      <rPr>
        <sz val="11"/>
        <color theme="1"/>
        <rFont val="Noto Sans CJK SC"/>
        <family val="2"/>
      </rPr>
      <t xml:space="preserve">（告知投資人）</t>
    </r>
  </si>
  <si>
    <r>
      <rPr>
        <sz val="11"/>
        <color theme="1"/>
        <rFont val="Arial"/>
        <family val="0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營業成本（含推論）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</si>
  <si>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Arial"/>
        <family val="0"/>
        <charset val="1"/>
      </rPr>
      <t xml:space="preserve">cost of revenue </t>
    </r>
    <r>
      <rPr>
        <sz val="11"/>
        <color theme="1"/>
        <rFont val="Noto Sans CJK SC"/>
        <family val="2"/>
      </rPr>
      <t xml:space="preserve">含推論</t>
    </r>
  </si>
  <si>
    <r>
      <rPr>
        <sz val="11"/>
        <color theme="1"/>
        <rFont val="Arial"/>
        <family val="0"/>
        <charset val="1"/>
      </rPr>
      <t xml:space="preserve">FY2025 API </t>
    </r>
    <r>
      <rPr>
        <sz val="11"/>
        <color theme="1"/>
        <rFont val="Noto Sans CJK SC"/>
        <family val="2"/>
      </rPr>
      <t xml:space="preserve">處理 </t>
    </r>
    <r>
      <rPr>
        <sz val="11"/>
        <color theme="1"/>
        <rFont val="Arial"/>
        <family val="0"/>
        <charset val="1"/>
      </rPr>
      <t xml:space="preserve">token</t>
    </r>
    <r>
      <rPr>
        <sz val="11"/>
        <color theme="1"/>
        <rFont val="Noto Sans CJK SC"/>
        <family val="2"/>
      </rPr>
      <t xml:space="preserve">（揭露推估）</t>
    </r>
  </si>
  <si>
    <r>
      <rPr>
        <sz val="11"/>
        <color theme="1"/>
        <rFont val="Noto Sans CJK SC"/>
        <family val="2"/>
      </rPr>
      <t xml:space="preserve">待查核</t>
    </r>
    <r>
      <rPr>
        <sz val="11"/>
        <color theme="1"/>
        <rFont val="Arial"/>
        <family val="0"/>
        <charset val="1"/>
      </rPr>
      <t xml:space="preserve">-workbook</t>
    </r>
  </si>
  <si>
    <r>
      <rPr>
        <sz val="11"/>
        <color theme="1"/>
        <rFont val="Arial"/>
        <family val="0"/>
        <charset val="1"/>
      </rPr>
      <t xml:space="preserve">FY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Arial"/>
        <family val="0"/>
        <charset val="1"/>
      </rPr>
      <t xml:space="preserve">5B/min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workbook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Arial"/>
        <family val="0"/>
        <charset val="1"/>
      </rPr>
      <t xml:space="preserve">242 </t>
    </r>
    <r>
      <rPr>
        <sz val="11"/>
        <color theme="1"/>
        <rFont val="Noto Sans CJK SC"/>
        <family val="2"/>
      </rPr>
      <t xml:space="preserve">估計）</t>
    </r>
    <r>
      <rPr>
        <sz val="11"/>
        <color theme="1"/>
        <rFont val="Arial"/>
        <family val="0"/>
        <charset val="1"/>
      </rPr>
      <t xml:space="preserve">× 525,600 </t>
    </r>
    <r>
      <rPr>
        <sz val="11"/>
        <color theme="1"/>
        <rFont val="Noto Sans CJK SC"/>
        <family val="2"/>
      </rPr>
      <t xml:space="preserve">分</t>
    </r>
  </si>
  <si>
    <r>
      <rPr>
        <sz val="11"/>
        <color theme="1"/>
        <rFont val="Noto Sans CJK SC"/>
        <family val="2"/>
      </rPr>
      <t xml:space="preserve">回溯 </t>
    </r>
    <r>
      <rPr>
        <sz val="11"/>
        <color theme="1"/>
        <rFont val="Arial"/>
        <family val="0"/>
        <charset val="1"/>
      </rPr>
      <t xml:space="preserve">Tokenomics workbook </t>
    </r>
    <r>
      <rPr>
        <sz val="11"/>
        <color theme="1"/>
        <rFont val="Noto Sans CJK SC"/>
        <family val="2"/>
      </rPr>
      <t xml:space="preserve">原儲存格，找出原始出處並逐一核對；無出處者改標 </t>
    </r>
    <r>
      <rPr>
        <sz val="11"/>
        <color theme="1"/>
        <rFont val="Arial"/>
        <family val="0"/>
        <charset val="1"/>
      </rPr>
      <t xml:space="preserve">Assumed</t>
    </r>
  </si>
  <si>
    <r>
      <rPr>
        <sz val="11"/>
        <color theme="1"/>
        <rFont val="Arial"/>
        <family val="0"/>
        <charset val="1"/>
      </rPr>
      <t xml:space="preserve">FY2026 </t>
    </r>
    <r>
      <rPr>
        <sz val="11"/>
        <color theme="1"/>
        <rFont val="Noto Sans CJK SC"/>
        <family val="2"/>
      </rPr>
      <t xml:space="preserve">獨立推估下限</t>
    </r>
  </si>
  <si>
    <r>
      <rPr>
        <sz val="11"/>
        <color theme="1"/>
        <rFont val="Arial"/>
        <family val="0"/>
        <charset val="1"/>
      </rPr>
      <t xml:space="preserve">Q1 5.7 + Q2 6.7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WSJ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Arial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下半年以 </t>
    </r>
    <r>
      <rPr>
        <sz val="11"/>
        <color theme="1"/>
        <rFont val="Arial"/>
        <family val="0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Arial"/>
        <family val="0"/>
        <charset val="1"/>
      </rPr>
      <t xml:space="preserve">ARR $40B </t>
    </r>
    <r>
      <rPr>
        <sz val="11"/>
        <color theme="1"/>
        <rFont val="Noto Sans CJK SC"/>
        <family val="2"/>
      </rPr>
      <t xml:space="preserve">外推；上限放寬至簡報 </t>
    </r>
    <r>
      <rPr>
        <sz val="11"/>
        <color theme="1"/>
        <rFont val="Arial"/>
        <family val="0"/>
        <charset val="1"/>
      </rPr>
      <t xml:space="preserve">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Arial"/>
        <family val="0"/>
        <charset val="1"/>
      </rPr>
      <t xml:space="preserve">ARR </t>
    </r>
    <r>
      <rPr>
        <sz val="11"/>
        <color theme="1"/>
        <rFont val="Noto Sans CJK SC"/>
        <family val="2"/>
      </rPr>
      <t xml:space="preserve">月增 </t>
    </r>
    <r>
      <rPr>
        <sz val="11"/>
        <color theme="1"/>
        <rFont val="Arial"/>
        <family val="0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</si>
  <si>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FY2026 </t>
    </r>
    <r>
      <rPr>
        <sz val="11"/>
        <color theme="1"/>
        <rFont val="Noto Sans CJK SC"/>
        <family val="2"/>
      </rPr>
      <t xml:space="preserve">獨立推估上限</t>
    </r>
  </si>
  <si>
    <r>
      <rPr>
        <sz val="11"/>
        <color theme="1"/>
        <rFont val="Noto Sans CJK SC"/>
        <family val="2"/>
      </rPr>
      <t xml:space="preserve">上限放寬至 </t>
    </r>
    <r>
      <rPr>
        <sz val="11"/>
        <color theme="1"/>
        <rFont val="Arial"/>
        <family val="0"/>
        <charset val="1"/>
      </rPr>
      <t xml:space="preserve">7 </t>
    </r>
    <r>
      <rPr>
        <sz val="11"/>
        <color theme="1"/>
        <rFont val="Noto Sans CJK SC"/>
        <family val="2"/>
      </rPr>
      <t xml:space="preserve">月簡報 </t>
    </r>
    <r>
      <rPr>
        <sz val="11"/>
        <color theme="1"/>
        <rFont val="Arial"/>
        <family val="0"/>
        <charset val="1"/>
      </rPr>
      <t xml:space="preserve">$36B</t>
    </r>
  </si>
  <si>
    <r>
      <rPr>
        <sz val="11"/>
        <color theme="1"/>
        <rFont val="Arial"/>
        <family val="0"/>
        <charset val="1"/>
      </rPr>
      <t xml:space="preserve">CNBC 2026-04-27 </t>
    </r>
    <r>
      <rPr>
        <sz val="11"/>
        <color theme="1"/>
        <rFont val="Noto Sans CJK SC"/>
        <family val="2"/>
      </rPr>
      <t xml:space="preserve">引述知情人士；</t>
    </r>
    <r>
      <rPr>
        <sz val="11"/>
        <color theme="1"/>
        <rFont val="Arial"/>
        <family val="0"/>
        <charset val="1"/>
      </rPr>
      <t xml:space="preserve">VentureBeat </t>
    </r>
    <r>
      <rPr>
        <sz val="11"/>
        <color theme="1"/>
        <rFont val="Noto Sans CJK SC"/>
        <family val="2"/>
      </rPr>
      <t xml:space="preserve">同</t>
    </r>
  </si>
  <si>
    <r>
      <rPr>
        <sz val="11"/>
        <color theme="1"/>
        <rFont val="Arial"/>
        <family val="0"/>
        <charset val="1"/>
      </rPr>
      <t xml:space="preserve">The Information 2026-05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Arial"/>
        <family val="0"/>
        <charset val="1"/>
      </rPr>
      <t xml:space="preserve">AI Magazine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GuruFocus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</si>
  <si>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Arial"/>
        <family val="0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Microsoft 2026-04-27 </t>
    </r>
    <r>
      <rPr>
        <sz val="11"/>
        <color theme="1"/>
        <rFont val="Noto Sans CJK SC"/>
        <family val="2"/>
      </rPr>
      <t xml:space="preserve">公告：付款持續至 </t>
    </r>
    <r>
      <rPr>
        <sz val="11"/>
        <color theme="1"/>
        <rFont val="Arial"/>
        <family val="0"/>
        <charset val="1"/>
      </rPr>
      <t xml:space="preserve">2030</t>
    </r>
    <r>
      <rPr>
        <sz val="11"/>
        <color theme="1"/>
        <rFont val="Noto Sans CJK SC"/>
        <family val="2"/>
      </rPr>
      <t xml:space="preserve">，受總額上限</t>
    </r>
  </si>
  <si>
    <t xml:space="preserve">—</t>
  </si>
  <si>
    <r>
      <rPr>
        <sz val="11"/>
        <color theme="1"/>
        <rFont val="Noto Sans CJK SC"/>
        <family val="2"/>
      </rPr>
      <t xml:space="preserve">頂層 輸入牌價 </t>
    </r>
    <r>
      <rPr>
        <sz val="11"/>
        <color theme="1"/>
        <rFont val="Arial"/>
        <family val="0"/>
        <charset val="1"/>
      </rPr>
      <t xml:space="preserve">2025–26</t>
    </r>
  </si>
  <si>
    <r>
      <rPr>
        <sz val="11"/>
        <color theme="1"/>
        <rFont val="Arial"/>
        <family val="0"/>
        <charset val="1"/>
      </rPr>
      <t xml:space="preserve">2025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Arial"/>
        <family val="0"/>
        <charset val="1"/>
      </rPr>
      <t xml:space="preserve">7–9 </t>
    </r>
    <r>
      <rPr>
        <sz val="11"/>
        <color theme="1"/>
        <rFont val="Noto Sans CJK SC"/>
        <family val="2"/>
      </rPr>
      <t xml:space="preserve">月價格事件按月加權</t>
    </r>
  </si>
  <si>
    <r>
      <rPr>
        <sz val="11"/>
        <color theme="1"/>
        <rFont val="Noto Sans CJK SC"/>
        <family val="2"/>
      </rPr>
      <t xml:space="preserve">頂層 輸出牌價 </t>
    </r>
    <r>
      <rPr>
        <sz val="11"/>
        <color theme="1"/>
        <rFont val="Arial"/>
        <family val="0"/>
        <charset val="1"/>
      </rPr>
      <t xml:space="preserve">2025–26</t>
    </r>
  </si>
  <si>
    <r>
      <rPr>
        <sz val="11"/>
        <color theme="1"/>
        <rFont val="Arial"/>
        <family val="0"/>
        <charset val="1"/>
      </rPr>
      <t xml:space="preserve">openai.com 2026-07-30 GPT-5.6 </t>
    </r>
    <r>
      <rPr>
        <sz val="11"/>
        <color theme="1"/>
        <rFont val="Noto Sans CJK SC"/>
        <family val="2"/>
      </rPr>
      <t xml:space="preserve">降價公告；</t>
    </r>
    <r>
      <rPr>
        <sz val="11"/>
        <color theme="1"/>
        <rFont val="Arial"/>
        <family val="0"/>
        <charset val="1"/>
      </rPr>
      <t xml:space="preserve">GPT-6 Sol/Luna 2026-09-22 </t>
    </r>
    <r>
      <rPr>
        <sz val="11"/>
        <color theme="1"/>
        <rFont val="Noto Sans CJK SC"/>
        <family val="2"/>
      </rPr>
      <t xml:space="preserve">發布（</t>
    </r>
    <r>
      <rPr>
        <sz val="11"/>
        <color theme="1"/>
        <rFont val="Arial"/>
        <family val="0"/>
        <charset val="1"/>
      </rPr>
      <t xml:space="preserve">Techzine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MarkTechPost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Arial"/>
        <family val="0"/>
        <charset val="1"/>
      </rPr>
      <t xml:space="preserve">GPT-6 Astra 2026-09-03</t>
    </r>
  </si>
  <si>
    <r>
      <rPr>
        <sz val="11"/>
        <color theme="1"/>
        <rFont val="Noto Sans CJK SC"/>
        <family val="2"/>
      </rPr>
      <t xml:space="preserve">中層 輸入牌價 </t>
    </r>
    <r>
      <rPr>
        <sz val="11"/>
        <color theme="1"/>
        <rFont val="Arial"/>
        <family val="0"/>
        <charset val="1"/>
      </rPr>
      <t xml:space="preserve">2025–26</t>
    </r>
  </si>
  <si>
    <r>
      <rPr>
        <sz val="11"/>
        <color theme="1"/>
        <rFont val="Noto Sans CJK SC"/>
        <family val="2"/>
      </rPr>
      <t xml:space="preserve">中層 輸出牌價 </t>
    </r>
    <r>
      <rPr>
        <sz val="11"/>
        <color theme="1"/>
        <rFont val="Arial"/>
        <family val="0"/>
        <charset val="1"/>
      </rPr>
      <t xml:space="preserve">2025–26</t>
    </r>
  </si>
  <si>
    <r>
      <rPr>
        <sz val="11"/>
        <color theme="1"/>
        <rFont val="Noto Sans CJK SC"/>
        <family val="2"/>
      </rPr>
      <t xml:space="preserve">低層 輸入牌價 </t>
    </r>
    <r>
      <rPr>
        <sz val="11"/>
        <color theme="1"/>
        <rFont val="Arial"/>
        <family val="0"/>
        <charset val="1"/>
      </rPr>
      <t xml:space="preserve">2025–26</t>
    </r>
  </si>
  <si>
    <r>
      <rPr>
        <sz val="11"/>
        <color theme="1"/>
        <rFont val="Noto Sans CJK SC"/>
        <family val="2"/>
      </rPr>
      <t xml:space="preserve">低層 輸出牌價 </t>
    </r>
    <r>
      <rPr>
        <sz val="11"/>
        <color theme="1"/>
        <rFont val="Arial"/>
        <family val="0"/>
        <charset val="1"/>
      </rPr>
      <t xml:space="preserve">2025–26</t>
    </r>
  </si>
  <si>
    <r>
      <rPr>
        <sz val="11"/>
        <color theme="1"/>
        <rFont val="Noto Sans CJK SC"/>
        <family val="2"/>
      </rPr>
      <t xml:space="preserve">頂層牌價年變動（</t>
    </r>
    <r>
      <rPr>
        <sz val="11"/>
        <color theme="1"/>
        <rFont val="Arial"/>
        <family val="0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</si>
  <si>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Arial"/>
        <family val="0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</si>
  <si>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中層牌價年變動（</t>
    </r>
    <r>
      <rPr>
        <sz val="11"/>
        <color theme="1"/>
        <rFont val="Arial"/>
        <family val="0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</si>
  <si>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低層牌價年變動（</t>
    </r>
    <r>
      <rPr>
        <sz val="11"/>
        <color theme="1"/>
        <rFont val="Arial"/>
        <family val="0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</si>
  <si>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彈性：每任務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對單價</t>
    </r>
  </si>
  <si>
    <r>
      <rPr>
        <sz val="11"/>
        <color theme="1"/>
        <rFont val="Arial"/>
        <family val="0"/>
        <charset val="1"/>
      </rPr>
      <t xml:space="preserve">Plus→Go </t>
    </r>
    <r>
      <rPr>
        <sz val="11"/>
        <color theme="1"/>
        <rFont val="Noto Sans CJK SC"/>
        <family val="2"/>
      </rPr>
      <t xml:space="preserve">遷移：公司 </t>
    </r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計畫幅度之比例</t>
    </r>
  </si>
  <si>
    <r>
      <rPr>
        <sz val="11"/>
        <color theme="1"/>
        <rFont val="Arial"/>
        <family val="0"/>
        <charset val="1"/>
      </rPr>
      <t xml:space="preserve">T4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Arial"/>
        <family val="0"/>
        <charset val="1"/>
      </rPr>
      <t xml:space="preserve">low 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base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high 80%</t>
    </r>
  </si>
  <si>
    <r>
      <rPr>
        <sz val="11"/>
        <color theme="1"/>
        <rFont val="Noto Sans CJK SC"/>
        <family val="2"/>
      </rPr>
      <t xml:space="preserve">訂閱每任務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Arial"/>
        <family val="0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</si>
  <si>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組合：頂層占比</t>
    </r>
  </si>
  <si>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組合：中層占比</t>
    </r>
  </si>
  <si>
    <r>
      <rPr>
        <sz val="11"/>
        <color theme="1"/>
        <rFont val="Noto Sans CJK SC"/>
        <family val="2"/>
      </rPr>
      <t xml:space="preserve">低層＝</t>
    </r>
    <r>
      <rPr>
        <sz val="11"/>
        <color theme="1"/>
        <rFont val="Arial"/>
        <family val="0"/>
        <charset val="1"/>
      </rPr>
      <t xml:space="preserve">1−</t>
    </r>
    <r>
      <rPr>
        <sz val="11"/>
        <color theme="1"/>
        <rFont val="Noto Sans CJK SC"/>
        <family val="2"/>
      </rPr>
      <t xml:space="preserve">頂層−中層</t>
    </r>
  </si>
  <si>
    <r>
      <rPr>
        <sz val="11"/>
        <color theme="1"/>
        <rFont val="Noto Sans CJK SC"/>
        <family val="2"/>
      </rPr>
      <t xml:space="preserve">輸出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Arial"/>
        <family val="0"/>
        <charset val="1"/>
      </rPr>
      <t xml:space="preserve">φ</t>
    </r>
  </si>
  <si>
    <r>
      <rPr>
        <sz val="11"/>
        <color theme="1"/>
        <rFont val="Arial"/>
        <family val="0"/>
        <charset val="1"/>
      </rPr>
      <t xml:space="preserve">workbook API I:O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Arial"/>
        <family val="0"/>
        <charset val="1"/>
      </rPr>
      <t xml:space="preserve">4:1</t>
    </r>
    <r>
      <rPr>
        <sz val="11"/>
        <color theme="1"/>
        <rFont val="Noto Sans CJK SC"/>
        <family val="2"/>
      </rPr>
      <t xml:space="preserve">；代理式工作負載使輸出占比上升</t>
    </r>
  </si>
  <si>
    <r>
      <rPr>
        <sz val="11"/>
        <color theme="1"/>
        <rFont val="Noto Sans CJK SC"/>
        <family val="2"/>
      </rPr>
      <t xml:space="preserve">快取命中率 </t>
    </r>
    <r>
      <rPr>
        <sz val="11"/>
        <color theme="1"/>
        <rFont val="Arial"/>
        <family val="0"/>
        <charset val="1"/>
      </rPr>
      <t xml:space="preserve">h</t>
    </r>
  </si>
  <si>
    <r>
      <rPr>
        <sz val="11"/>
        <color theme="1"/>
        <rFont val="Noto Sans CJK SC"/>
        <family val="2"/>
      </rPr>
      <t xml:space="preserve">快取輸入價比 </t>
    </r>
    <r>
      <rPr>
        <sz val="11"/>
        <color theme="1"/>
        <rFont val="Arial"/>
        <family val="0"/>
        <charset val="1"/>
      </rPr>
      <t xml:space="preserve">r</t>
    </r>
  </si>
  <si>
    <r>
      <rPr>
        <sz val="11"/>
        <color theme="1"/>
        <rFont val="Noto Sans CJK SC"/>
        <family val="2"/>
      </rPr>
      <t xml:space="preserve">定價頁：</t>
    </r>
    <r>
      <rPr>
        <sz val="11"/>
        <color theme="1"/>
        <rFont val="Arial"/>
        <family val="0"/>
        <charset val="1"/>
      </rPr>
      <t xml:space="preserve">cached input = </t>
    </r>
    <r>
      <rPr>
        <sz val="11"/>
        <color theme="1"/>
        <rFont val="Noto Sans CJK SC"/>
        <family val="2"/>
      </rPr>
      <t xml:space="preserve">輸入價 </t>
    </r>
    <r>
      <rPr>
        <sz val="11"/>
        <color theme="1"/>
        <rFont val="Arial"/>
        <family val="0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</si>
  <si>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加權折扣 </t>
    </r>
    <r>
      <rPr>
        <sz val="11"/>
        <color theme="1"/>
        <rFont val="Arial"/>
        <family val="0"/>
        <charset val="1"/>
      </rPr>
      <t xml:space="preserve">d</t>
    </r>
  </si>
  <si>
    <r>
      <rPr>
        <sz val="11"/>
        <color theme="1"/>
        <rFont val="Arial"/>
        <family val="0"/>
        <charset val="1"/>
      </rPr>
      <t xml:space="preserve">Batch/Flex </t>
    </r>
    <r>
      <rPr>
        <sz val="11"/>
        <color theme="1"/>
        <rFont val="Noto Sans CJK SC"/>
        <family val="2"/>
      </rPr>
      <t xml:space="preserve">半價 </t>
    </r>
    <r>
      <rPr>
        <sz val="11"/>
        <color theme="1"/>
        <rFont val="Arial"/>
        <family val="0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；企業折扣 </t>
    </r>
    <r>
      <rPr>
        <sz val="11"/>
        <color theme="1"/>
        <rFont val="Arial"/>
        <family val="0"/>
        <charset val="1"/>
      </rPr>
      <t xml:space="preserve">[Analogy]</t>
    </r>
    <r>
      <rPr>
        <sz val="11"/>
        <color theme="1"/>
        <rFont val="Noto Sans CJK SC"/>
        <family val="2"/>
      </rPr>
      <t xml:space="preserve">；兩者合併為加權折扣</t>
    </r>
  </si>
  <si>
    <r>
      <rPr>
        <sz val="11"/>
        <color theme="1"/>
        <rFont val="Noto Sans CJK SC"/>
        <family val="2"/>
      </rPr>
      <t xml:space="preserve">每任務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Arial"/>
        <family val="0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</si>
  <si>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層級正規化：只影響 </t>
    </r>
    <r>
      <rPr>
        <sz val="11"/>
        <color theme="1"/>
        <rFont val="Arial"/>
        <family val="0"/>
        <charset val="1"/>
      </rPr>
      <t xml:space="preserve">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Arial"/>
        <family val="0"/>
        <charset val="1"/>
      </rPr>
      <t xml:space="preserve">k </t>
    </r>
    <r>
      <rPr>
        <sz val="11"/>
        <color theme="1"/>
        <rFont val="Noto Sans CJK SC"/>
        <family val="2"/>
      </rPr>
      <t xml:space="preserve">的水準拆分，不影響營收</t>
    </r>
  </si>
  <si>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為校準年</t>
    </r>
  </si>
  <si>
    <r>
      <rPr>
        <sz val="11"/>
        <color theme="1"/>
        <rFont val="Noto Sans CJK SC"/>
        <family val="2"/>
      </rPr>
      <t xml:space="preserve">每任務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年成長（未計價格反應）</t>
    </r>
  </si>
  <si>
    <r>
      <rPr>
        <sz val="11"/>
        <color theme="1"/>
        <rFont val="Arial"/>
        <family val="0"/>
        <charset val="1"/>
      </rPr>
      <t xml:space="preserve">2025–26 </t>
    </r>
    <r>
      <rPr>
        <sz val="11"/>
        <color theme="1"/>
        <rFont val="Noto Sans CJK SC"/>
        <family val="2"/>
      </rPr>
      <t xml:space="preserve">為校準年</t>
    </r>
  </si>
  <si>
    <r>
      <rPr>
        <sz val="11"/>
        <color theme="1"/>
        <rFont val="Arial"/>
        <family val="0"/>
        <charset val="1"/>
      </rPr>
      <t xml:space="preserve">Free </t>
    </r>
    <r>
      <rPr>
        <sz val="11"/>
        <color theme="1"/>
        <rFont val="Noto Sans CJK SC"/>
        <family val="2"/>
      </rPr>
      <t xml:space="preserve">人數</t>
    </r>
  </si>
  <si>
    <r>
      <rPr>
        <sz val="11"/>
        <color theme="1"/>
        <rFont val="Arial"/>
        <family val="0"/>
        <charset val="1"/>
      </rPr>
      <t xml:space="preserve">WAU 900M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2026-02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Arial"/>
        <family val="0"/>
        <charset val="1"/>
      </rPr>
      <t xml:space="preserve">OpenAI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Arial"/>
        <family val="0"/>
        <charset val="1"/>
      </rPr>
      <t xml:space="preserve">2027+ Assumed</t>
    </r>
  </si>
  <si>
    <r>
      <rPr>
        <sz val="11"/>
        <color theme="1"/>
        <rFont val="Arial"/>
        <family val="0"/>
        <charset val="1"/>
      </rPr>
      <t xml:space="preserve">Go </t>
    </r>
    <r>
      <rPr>
        <sz val="11"/>
        <color theme="1"/>
        <rFont val="Noto Sans CJK SC"/>
        <family val="2"/>
      </rPr>
      <t xml:space="preserve">人數（無遷移基準）</t>
    </r>
  </si>
  <si>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Arial"/>
        <family val="0"/>
        <charset val="1"/>
      </rPr>
      <t xml:space="preserve">3M</t>
    </r>
    <r>
      <rPr>
        <sz val="11"/>
        <color theme="1"/>
        <rFont val="Noto Sans CJK SC"/>
        <family val="2"/>
      </rPr>
      <t xml:space="preserve">（年底，</t>
    </r>
    <r>
      <rPr>
        <sz val="11"/>
        <color theme="1"/>
        <rFont val="Arial"/>
        <family val="0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Arial"/>
        <family val="0"/>
        <charset val="1"/>
      </rPr>
      <t xml:space="preserve">2026+ </t>
    </r>
    <r>
      <rPr>
        <sz val="11"/>
        <color theme="1"/>
        <rFont val="Noto Sans CJK SC"/>
        <family val="2"/>
      </rPr>
      <t xml:space="preserve">為無遷移基準 </t>
    </r>
    <r>
      <rPr>
        <sz val="11"/>
        <color theme="1"/>
        <rFont val="Arial"/>
        <family val="0"/>
        <charset val="1"/>
      </rPr>
      <t xml:space="preserve">[Assumed]</t>
    </r>
  </si>
  <si>
    <r>
      <rPr>
        <sz val="11"/>
        <color theme="1"/>
        <rFont val="Arial"/>
        <family val="0"/>
        <charset val="1"/>
      </rPr>
      <t xml:space="preserve">Plus </t>
    </r>
    <r>
      <rPr>
        <sz val="11"/>
        <color theme="1"/>
        <rFont val="Noto Sans CJK SC"/>
        <family val="2"/>
      </rPr>
      <t xml:space="preserve">人數（無遷移基準）</t>
    </r>
  </si>
  <si>
    <r>
      <rPr>
        <sz val="11"/>
        <color theme="1"/>
        <rFont val="Arial"/>
        <family val="0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Arial"/>
        <family val="0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Arial"/>
        <family val="0"/>
        <charset val="1"/>
      </rPr>
      <t xml:space="preserve">Plus+Pro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Arial"/>
        <family val="0"/>
        <charset val="1"/>
      </rPr>
      <t xml:space="preserve">35M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Reuters/The Information 2025-11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Arial"/>
        <family val="0"/>
        <charset val="1"/>
      </rPr>
      <t xml:space="preserve">OpenAI </t>
    </r>
    <r>
      <rPr>
        <sz val="11"/>
        <color theme="1"/>
        <rFont val="Noto Sans CJK SC"/>
        <family val="2"/>
      </rPr>
      <t xml:space="preserve">內部文件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Arial"/>
        <family val="0"/>
        <charset val="1"/>
      </rPr>
      <t xml:space="preserve">44M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The Information 2026-04-28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Arial"/>
        <family val="0"/>
        <charset val="1"/>
      </rPr>
      <t xml:space="preserve">FY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Arial"/>
        <family val="0"/>
        <charset val="1"/>
      </rPr>
      <t xml:space="preserve">28–33M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2026+ </t>
    </r>
    <r>
      <rPr>
        <sz val="11"/>
        <color theme="1"/>
        <rFont val="Noto Sans CJK SC"/>
        <family val="2"/>
      </rPr>
      <t xml:space="preserve">為「無遷移」基準 </t>
    </r>
    <r>
      <rPr>
        <sz val="11"/>
        <color theme="1"/>
        <rFont val="Arial"/>
        <family val="0"/>
        <charset val="1"/>
      </rPr>
      <t xml:space="preserve">[Assumed]</t>
    </r>
  </si>
  <si>
    <r>
      <rPr>
        <sz val="11"/>
        <color theme="1"/>
        <rFont val="Arial"/>
        <family val="0"/>
        <charset val="1"/>
      </rPr>
      <t xml:space="preserve">Pro </t>
    </r>
    <r>
      <rPr>
        <sz val="11"/>
        <color theme="1"/>
        <rFont val="Noto Sans CJK SC"/>
        <family val="2"/>
      </rPr>
      <t xml:space="preserve">人數</t>
    </r>
  </si>
  <si>
    <r>
      <rPr>
        <sz val="11"/>
        <color theme="1"/>
        <rFont val="Noto Sans CJK SC"/>
        <family val="2"/>
      </rPr>
      <t xml:space="preserve">內部預測：</t>
    </r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倍增但 </t>
    </r>
    <r>
      <rPr>
        <sz val="11"/>
        <color theme="1"/>
        <rFont val="Arial"/>
        <family val="0"/>
        <charset val="1"/>
      </rPr>
      <t xml:space="preserve">&lt;1% </t>
    </r>
    <r>
      <rPr>
        <sz val="11"/>
        <color theme="1"/>
        <rFont val="Noto Sans CJK SC"/>
        <family val="2"/>
      </rPr>
      <t xml:space="preserve">付費總數（</t>
    </r>
    <r>
      <rPr>
        <sz val="11"/>
        <color theme="1"/>
        <rFont val="Arial"/>
        <family val="0"/>
        <charset val="1"/>
      </rPr>
      <t xml:space="preserve">The Information 2026-04-28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Arial"/>
        <family val="0"/>
        <charset val="1"/>
      </rPr>
      <t xml:space="preserve">2027+ Assumed</t>
    </r>
  </si>
  <si>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Arial"/>
        <family val="0"/>
        <charset val="1"/>
      </rPr>
      <t xml:space="preserve">9M </t>
    </r>
    <r>
      <rPr>
        <sz val="11"/>
        <color theme="1"/>
        <rFont val="Noto Sans CJK SC"/>
        <family val="2"/>
      </rPr>
      <t xml:space="preserve">付費企業用戶（</t>
    </r>
    <r>
      <rPr>
        <sz val="11"/>
        <color theme="1"/>
        <rFont val="Arial"/>
        <family val="0"/>
        <charset val="1"/>
      </rPr>
      <t xml:space="preserve">OpenAI 2026-02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Arial"/>
        <family val="0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Arial"/>
        <family val="0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</si>
  <si>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Arial"/>
        <family val="0"/>
        <charset val="1"/>
      </rPr>
      <t xml:space="preserve">2026 Go </t>
    </r>
    <r>
      <rPr>
        <sz val="11"/>
        <color theme="1"/>
        <rFont val="Noto Sans CJK SC"/>
        <family val="2"/>
      </rPr>
      <t xml:space="preserve">人數</t>
    </r>
  </si>
  <si>
    <r>
      <rPr>
        <sz val="11"/>
        <color theme="1"/>
        <rFont val="Arial"/>
        <family val="0"/>
        <charset val="1"/>
      </rPr>
      <t xml:space="preserve">The Information 2026-04-28</t>
    </r>
    <r>
      <rPr>
        <sz val="11"/>
        <color theme="1"/>
        <rFont val="Noto Sans CJK SC"/>
        <family val="2"/>
      </rPr>
      <t xml:space="preserve">（年初內部預測）</t>
    </r>
  </si>
  <si>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Arial"/>
        <family val="0"/>
        <charset val="1"/>
      </rPr>
      <t xml:space="preserve">2026 Plus </t>
    </r>
    <r>
      <rPr>
        <sz val="11"/>
        <color theme="1"/>
        <rFont val="Noto Sans CJK SC"/>
        <family val="2"/>
      </rPr>
      <t xml:space="preserve">人數</t>
    </r>
  </si>
  <si>
    <r>
      <rPr>
        <sz val="11"/>
        <color theme="1"/>
        <rFont val="Arial"/>
        <family val="0"/>
        <charset val="1"/>
      </rPr>
      <t xml:space="preserve">Go </t>
    </r>
    <r>
      <rPr>
        <sz val="11"/>
        <color theme="1"/>
        <rFont val="Noto Sans CJK SC"/>
        <family val="2"/>
      </rPr>
      <t xml:space="preserve">實收 </t>
    </r>
    <r>
      <rPr>
        <sz val="11"/>
        <color theme="1"/>
        <rFont val="Arial"/>
        <family val="0"/>
        <charset val="1"/>
      </rPr>
      <t xml:space="preserve">ARPU</t>
    </r>
  </si>
  <si>
    <r>
      <rPr>
        <sz val="11"/>
        <color theme="1"/>
        <rFont val="Arial"/>
        <family val="0"/>
        <charset val="1"/>
      </rPr>
      <t xml:space="preserve">$/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</si>
  <si>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Arial"/>
        <family val="0"/>
        <charset val="1"/>
      </rPr>
      <t xml:space="preserve">Plus </t>
    </r>
    <r>
      <rPr>
        <sz val="11"/>
        <color theme="1"/>
        <rFont val="Noto Sans CJK SC"/>
        <family val="2"/>
      </rPr>
      <t xml:space="preserve">實收 </t>
    </r>
    <r>
      <rPr>
        <sz val="11"/>
        <color theme="1"/>
        <rFont val="Arial"/>
        <family val="0"/>
        <charset val="1"/>
      </rPr>
      <t xml:space="preserve">ARPU</t>
    </r>
  </si>
  <si>
    <r>
      <rPr>
        <sz val="11"/>
        <color theme="1"/>
        <rFont val="Arial"/>
        <family val="0"/>
        <charset val="1"/>
      </rPr>
      <t xml:space="preserve">$20 </t>
    </r>
    <r>
      <rPr>
        <sz val="11"/>
        <color theme="1"/>
        <rFont val="Noto Sans CJK SC"/>
        <family val="2"/>
      </rPr>
      <t xml:space="preserve">美國、僅月繳（</t>
    </r>
    <r>
      <rPr>
        <sz val="11"/>
        <color theme="1"/>
        <rFont val="Arial"/>
        <family val="0"/>
        <charset val="1"/>
      </rPr>
      <t xml:space="preserve">2026-09 </t>
    </r>
    <r>
      <rPr>
        <sz val="11"/>
        <color theme="1"/>
        <rFont val="Noto Sans CJK SC"/>
        <family val="2"/>
      </rPr>
      <t xml:space="preserve">定價頁）；區間反映含稅地區與促銷</t>
    </r>
  </si>
  <si>
    <r>
      <rPr>
        <sz val="11"/>
        <color theme="1"/>
        <rFont val="Arial"/>
        <family val="0"/>
        <charset val="1"/>
      </rPr>
      <t xml:space="preserve">Pro </t>
    </r>
    <r>
      <rPr>
        <sz val="11"/>
        <color theme="1"/>
        <rFont val="Noto Sans CJK SC"/>
        <family val="2"/>
      </rPr>
      <t xml:space="preserve">實收 </t>
    </r>
    <r>
      <rPr>
        <sz val="11"/>
        <color theme="1"/>
        <rFont val="Arial"/>
        <family val="0"/>
        <charset val="1"/>
      </rPr>
      <t xml:space="preserve">ARPU</t>
    </r>
  </si>
  <si>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起兩檔 </t>
    </r>
    <r>
      <rPr>
        <sz val="11"/>
        <color theme="1"/>
        <rFont val="Arial"/>
        <family val="0"/>
        <charset val="1"/>
      </rPr>
      <t xml:space="preserve">$100/$200 </t>
    </r>
    <r>
      <rPr>
        <sz val="11"/>
        <color theme="1"/>
        <rFont val="Noto Sans CJK SC"/>
        <family val="2"/>
      </rPr>
      <t xml:space="preserve">加權</t>
    </r>
  </si>
  <si>
    <r>
      <rPr>
        <sz val="11"/>
        <color theme="1"/>
        <rFont val="Noto Sans CJK SC"/>
        <family val="2"/>
      </rPr>
      <t xml:space="preserve">企業席位 實收 </t>
    </r>
    <r>
      <rPr>
        <sz val="11"/>
        <color theme="1"/>
        <rFont val="Arial"/>
        <family val="0"/>
        <charset val="1"/>
      </rPr>
      <t xml:space="preserve">ARPU</t>
    </r>
  </si>
  <si>
    <r>
      <rPr>
        <sz val="11"/>
        <color theme="1"/>
        <rFont val="Arial"/>
        <family val="0"/>
        <charset val="1"/>
      </rPr>
      <t xml:space="preserve">Business $20-25 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Enterprise </t>
    </r>
    <r>
      <rPr>
        <sz val="11"/>
        <color theme="1"/>
        <rFont val="Noto Sans CJK SC"/>
        <family val="2"/>
      </rPr>
      <t xml:space="preserve">議價 </t>
    </r>
    <r>
      <rPr>
        <sz val="11"/>
        <color theme="1"/>
        <rFont val="Arial"/>
        <family val="0"/>
        <charset val="1"/>
      </rPr>
      <t xml:space="preserve">$60+ [Analogy]</t>
    </r>
  </si>
  <si>
    <r>
      <rPr>
        <sz val="11"/>
        <color theme="1"/>
        <rFont val="Arial"/>
        <family val="0"/>
        <charset val="1"/>
      </rPr>
      <t xml:space="preserve">Free </t>
    </r>
    <r>
      <rPr>
        <sz val="11"/>
        <color theme="1"/>
        <rFont val="Noto Sans CJK SC"/>
        <family val="2"/>
      </rPr>
      <t xml:space="preserve">每日任務數 </t>
    </r>
    <r>
      <rPr>
        <sz val="11"/>
        <color theme="1"/>
        <rFont val="Arial"/>
        <family val="0"/>
        <charset val="1"/>
      </rPr>
      <t xml:space="preserve">2025–26</t>
    </r>
  </si>
  <si>
    <r>
      <rPr>
        <sz val="11"/>
        <color theme="1"/>
        <rFont val="Noto Sans CJK SC"/>
        <family val="2"/>
      </rPr>
      <t xml:space="preserve">次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</si>
  <si>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Arial"/>
        <family val="0"/>
        <charset val="1"/>
      </rPr>
      <t xml:space="preserve">Tokenomics workbook 8B-ii </t>
    </r>
    <r>
      <rPr>
        <sz val="11"/>
        <color theme="1"/>
        <rFont val="Noto Sans CJK SC"/>
        <family val="2"/>
      </rPr>
      <t xml:space="preserve">註記（未經查核）；總量對照：</t>
    </r>
    <r>
      <rPr>
        <sz val="11"/>
        <color theme="1"/>
        <rFont val="Arial"/>
        <family val="0"/>
        <charset val="1"/>
      </rPr>
      <t xml:space="preserve">2025-07 </t>
    </r>
    <r>
      <rPr>
        <sz val="11"/>
        <color theme="1"/>
        <rFont val="Noto Sans CJK SC"/>
        <family val="2"/>
      </rPr>
      <t xml:space="preserve">每日 </t>
    </r>
    <r>
      <rPr>
        <sz val="11"/>
        <color theme="1"/>
        <rFont val="Arial"/>
        <family val="0"/>
        <charset val="1"/>
      </rPr>
      <t xml:space="preserve">2.5B </t>
    </r>
    <r>
      <rPr>
        <sz val="11"/>
        <color theme="1"/>
        <rFont val="Noto Sans CJK SC"/>
        <family val="2"/>
      </rPr>
      <t xml:space="preserve">則訊息（</t>
    </r>
    <r>
      <rPr>
        <sz val="11"/>
        <color theme="1"/>
        <rFont val="Arial"/>
        <family val="0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</si>
  <si>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Go </t>
    </r>
    <r>
      <rPr>
        <sz val="11"/>
        <color theme="1"/>
        <rFont val="Noto Sans CJK SC"/>
        <family val="2"/>
      </rPr>
      <t xml:space="preserve">每日任務數 </t>
    </r>
    <r>
      <rPr>
        <sz val="11"/>
        <color theme="1"/>
        <rFont val="Arial"/>
        <family val="0"/>
        <charset val="1"/>
      </rPr>
      <t xml:space="preserve">2025–26</t>
    </r>
  </si>
  <si>
    <r>
      <rPr>
        <sz val="11"/>
        <color theme="1"/>
        <rFont val="Arial"/>
        <family val="0"/>
        <charset val="1"/>
      </rPr>
      <t xml:space="preserve">Plus </t>
    </r>
    <r>
      <rPr>
        <sz val="11"/>
        <color theme="1"/>
        <rFont val="Noto Sans CJK SC"/>
        <family val="2"/>
      </rPr>
      <t xml:space="preserve">每日任務數 </t>
    </r>
    <r>
      <rPr>
        <sz val="11"/>
        <color theme="1"/>
        <rFont val="Arial"/>
        <family val="0"/>
        <charset val="1"/>
      </rPr>
      <t xml:space="preserve">2025–26</t>
    </r>
  </si>
  <si>
    <r>
      <rPr>
        <sz val="11"/>
        <color theme="1"/>
        <rFont val="Arial"/>
        <family val="0"/>
        <charset val="1"/>
      </rPr>
      <t xml:space="preserve">Pro </t>
    </r>
    <r>
      <rPr>
        <sz val="11"/>
        <color theme="1"/>
        <rFont val="Noto Sans CJK SC"/>
        <family val="2"/>
      </rPr>
      <t xml:space="preserve">每日任務數 </t>
    </r>
    <r>
      <rPr>
        <sz val="11"/>
        <color theme="1"/>
        <rFont val="Arial"/>
        <family val="0"/>
        <charset val="1"/>
      </rPr>
      <t xml:space="preserve">2025–26</t>
    </r>
  </si>
  <si>
    <r>
      <rPr>
        <sz val="11"/>
        <color theme="1"/>
        <rFont val="Noto Sans CJK SC"/>
        <family val="2"/>
      </rPr>
      <t xml:space="preserve">企業席位 每日任務數 </t>
    </r>
    <r>
      <rPr>
        <sz val="11"/>
        <color theme="1"/>
        <rFont val="Arial"/>
        <family val="0"/>
        <charset val="1"/>
      </rPr>
      <t xml:space="preserve">2025–26</t>
    </r>
  </si>
  <si>
    <r>
      <rPr>
        <sz val="11"/>
        <color theme="1"/>
        <rFont val="Arial"/>
        <family val="0"/>
        <charset val="1"/>
      </rPr>
      <t xml:space="preserve">Free </t>
    </r>
    <r>
      <rPr>
        <sz val="11"/>
        <color theme="1"/>
        <rFont val="Noto Sans CJK SC"/>
        <family val="2"/>
      </rPr>
      <t xml:space="preserve">每任務 </t>
    </r>
    <r>
      <rPr>
        <sz val="11"/>
        <color theme="1"/>
        <rFont val="Arial"/>
        <family val="0"/>
        <charset val="1"/>
      </rPr>
      <t xml:space="preserve">token 2025–26</t>
    </r>
  </si>
  <si>
    <r>
      <rPr>
        <sz val="11"/>
        <color theme="1"/>
        <rFont val="Arial"/>
        <family val="0"/>
        <charset val="1"/>
      </rPr>
      <t xml:space="preserve">Tokenomics workbook</t>
    </r>
    <r>
      <rPr>
        <sz val="11"/>
        <color theme="1"/>
        <rFont val="Noto Sans CJK SC"/>
        <family val="2"/>
      </rPr>
      <t xml:space="preserve">（未經查核）；於「推論成本」頁以 </t>
    </r>
    <r>
      <rPr>
        <sz val="11"/>
        <color theme="1"/>
        <rFont val="Arial"/>
        <family val="0"/>
        <charset val="1"/>
      </rPr>
      <t xml:space="preserve">FY2025 </t>
    </r>
    <r>
      <rPr>
        <sz val="11"/>
        <color theme="1"/>
        <rFont val="Noto Sans CJK SC"/>
        <family val="2"/>
      </rPr>
      <t xml:space="preserve">成本分拆反推校正倍數 </t>
    </r>
    <r>
      <rPr>
        <sz val="11"/>
        <color theme="1"/>
        <rFont val="Arial"/>
        <family val="0"/>
        <charset val="1"/>
      </rPr>
      <t xml:space="preserve">k</t>
    </r>
  </si>
  <si>
    <r>
      <rPr>
        <sz val="11"/>
        <color theme="1"/>
        <rFont val="Arial"/>
        <family val="0"/>
        <charset val="1"/>
      </rPr>
      <t xml:space="preserve">Go </t>
    </r>
    <r>
      <rPr>
        <sz val="11"/>
        <color theme="1"/>
        <rFont val="Noto Sans CJK SC"/>
        <family val="2"/>
      </rPr>
      <t xml:space="preserve">每任務 </t>
    </r>
    <r>
      <rPr>
        <sz val="11"/>
        <color theme="1"/>
        <rFont val="Arial"/>
        <family val="0"/>
        <charset val="1"/>
      </rPr>
      <t xml:space="preserve">token 2025–26</t>
    </r>
  </si>
  <si>
    <r>
      <rPr>
        <sz val="11"/>
        <color theme="1"/>
        <rFont val="Arial"/>
        <family val="0"/>
        <charset val="1"/>
      </rPr>
      <t xml:space="preserve">Plus </t>
    </r>
    <r>
      <rPr>
        <sz val="11"/>
        <color theme="1"/>
        <rFont val="Noto Sans CJK SC"/>
        <family val="2"/>
      </rPr>
      <t xml:space="preserve">每任務 </t>
    </r>
    <r>
      <rPr>
        <sz val="11"/>
        <color theme="1"/>
        <rFont val="Arial"/>
        <family val="0"/>
        <charset val="1"/>
      </rPr>
      <t xml:space="preserve">token 2025–26</t>
    </r>
  </si>
  <si>
    <r>
      <rPr>
        <sz val="11"/>
        <color theme="1"/>
        <rFont val="Arial"/>
        <family val="0"/>
        <charset val="1"/>
      </rPr>
      <t xml:space="preserve">Pro </t>
    </r>
    <r>
      <rPr>
        <sz val="11"/>
        <color theme="1"/>
        <rFont val="Noto Sans CJK SC"/>
        <family val="2"/>
      </rPr>
      <t xml:space="preserve">每任務 </t>
    </r>
    <r>
      <rPr>
        <sz val="11"/>
        <color theme="1"/>
        <rFont val="Arial"/>
        <family val="0"/>
        <charset val="1"/>
      </rPr>
      <t xml:space="preserve">token 2025–26</t>
    </r>
  </si>
  <si>
    <r>
      <rPr>
        <sz val="11"/>
        <color theme="1"/>
        <rFont val="Noto Sans CJK SC"/>
        <family val="2"/>
      </rPr>
      <t xml:space="preserve">企業席位 每任務 </t>
    </r>
    <r>
      <rPr>
        <sz val="11"/>
        <color theme="1"/>
        <rFont val="Arial"/>
        <family val="0"/>
        <charset val="1"/>
      </rPr>
      <t xml:space="preserve">token 2025–26</t>
    </r>
  </si>
  <si>
    <r>
      <rPr>
        <sz val="11"/>
        <color theme="1"/>
        <rFont val="Noto Sans CJK SC"/>
        <family val="2"/>
      </rPr>
      <t xml:space="preserve">每日任務數年成長（</t>
    </r>
    <r>
      <rPr>
        <sz val="11"/>
        <color theme="1"/>
        <rFont val="Arial"/>
        <family val="0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</si>
  <si>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Arial"/>
        <family val="0"/>
        <charset val="1"/>
      </rPr>
      <t xml:space="preserve">HBM </t>
    </r>
    <r>
      <rPr>
        <sz val="11"/>
        <color theme="1"/>
        <rFont val="Noto Sans CJK SC"/>
        <family val="2"/>
      </rPr>
      <t xml:space="preserve">頻寬</t>
    </r>
  </si>
  <si>
    <r>
      <rPr>
        <sz val="11"/>
        <color theme="1"/>
        <rFont val="Arial"/>
        <family val="0"/>
        <charset val="1"/>
      </rPr>
      <t xml:space="preserve">Tokenomics v4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Config F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Arial"/>
        <family val="0"/>
        <charset val="1"/>
      </rPr>
      <t xml:space="preserve">VR NVL72 </t>
    </r>
    <r>
      <rPr>
        <sz val="11"/>
        <color theme="1"/>
        <rFont val="Noto Sans CJK SC"/>
        <family val="2"/>
      </rPr>
      <t xml:space="preserve">預設；要改一起改）　</t>
    </r>
    <r>
      <rPr>
        <sz val="11"/>
        <color theme="1"/>
        <rFont val="Arial"/>
        <family val="0"/>
        <charset val="1"/>
      </rPr>
      <t xml:space="preserve">Config!F18</t>
    </r>
  </si>
  <si>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Arial"/>
        <family val="0"/>
        <charset val="1"/>
      </rPr>
      <t xml:space="preserve">FP4 </t>
    </r>
    <r>
      <rPr>
        <sz val="11"/>
        <color theme="1"/>
        <rFont val="Noto Sans CJK SC"/>
        <family val="2"/>
      </rPr>
      <t xml:space="preserve">推論算力</t>
    </r>
  </si>
  <si>
    <r>
      <rPr>
        <sz val="11"/>
        <color theme="1"/>
        <rFont val="Arial"/>
        <family val="0"/>
        <charset val="1"/>
      </rPr>
      <t xml:space="preserve">Tokenomics v4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Config F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Arial"/>
        <family val="0"/>
        <charset val="1"/>
      </rPr>
      <t xml:space="preserve">VR NVL72 </t>
    </r>
    <r>
      <rPr>
        <sz val="11"/>
        <color theme="1"/>
        <rFont val="Noto Sans CJK SC"/>
        <family val="2"/>
      </rPr>
      <t xml:space="preserve">預設；要改一起改）　</t>
    </r>
    <r>
      <rPr>
        <sz val="11"/>
        <color theme="1"/>
        <rFont val="Arial"/>
        <family val="0"/>
        <charset val="1"/>
      </rPr>
      <t xml:space="preserve">Config!F19</t>
    </r>
  </si>
  <si>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Arial"/>
        <family val="0"/>
        <charset val="1"/>
      </rPr>
      <t xml:space="preserve">HBM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</si>
  <si>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Arial"/>
        <family val="0"/>
        <charset val="1"/>
      </rPr>
      <t xml:space="preserve">Tokenomics v4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Config F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Arial"/>
        <family val="0"/>
        <charset val="1"/>
      </rPr>
      <t xml:space="preserve">VR NVL72 </t>
    </r>
    <r>
      <rPr>
        <sz val="11"/>
        <color theme="1"/>
        <rFont val="Noto Sans CJK SC"/>
        <family val="2"/>
      </rPr>
      <t xml:space="preserve">預設；要改一起改）　</t>
    </r>
    <r>
      <rPr>
        <sz val="11"/>
        <color theme="1"/>
        <rFont val="Arial"/>
        <family val="0"/>
        <charset val="1"/>
      </rPr>
      <t xml:space="preserve">Config!F17</t>
    </r>
  </si>
  <si>
    <r>
      <rPr>
        <sz val="11"/>
        <color theme="1"/>
        <rFont val="Arial"/>
        <family val="0"/>
        <charset val="1"/>
      </rPr>
      <t xml:space="preserve">MFU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prefill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</si>
  <si>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Tokenomics v4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Config F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Arial"/>
        <family val="0"/>
        <charset val="1"/>
      </rPr>
      <t xml:space="preserve">VR NVL72 </t>
    </r>
    <r>
      <rPr>
        <sz val="11"/>
        <color theme="1"/>
        <rFont val="Noto Sans CJK SC"/>
        <family val="2"/>
      </rPr>
      <t xml:space="preserve">預設；要改一起改）　</t>
    </r>
    <r>
      <rPr>
        <sz val="11"/>
        <color theme="1"/>
        <rFont val="Arial"/>
        <family val="0"/>
        <charset val="1"/>
      </rPr>
      <t xml:space="preserve">Config!B46</t>
    </r>
  </si>
  <si>
    <r>
      <rPr>
        <sz val="11"/>
        <color theme="1"/>
        <rFont val="Arial"/>
        <family val="0"/>
        <charset val="1"/>
      </rPr>
      <t xml:space="preserve">$M/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</si>
  <si>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Arial"/>
        <family val="0"/>
        <charset val="1"/>
      </rPr>
      <t xml:space="preserve">Tokenomics v4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Config F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Arial"/>
        <family val="0"/>
        <charset val="1"/>
      </rPr>
      <t xml:space="preserve">VR NVL72 </t>
    </r>
    <r>
      <rPr>
        <sz val="11"/>
        <color theme="1"/>
        <rFont val="Noto Sans CJK SC"/>
        <family val="2"/>
      </rPr>
      <t xml:space="preserve">預設；要改一起改）　</t>
    </r>
    <r>
      <rPr>
        <sz val="11"/>
        <color theme="1"/>
        <rFont val="Arial"/>
        <family val="0"/>
        <charset val="1"/>
      </rPr>
      <t xml:space="preserve">DC_Cost_Model!D88 ÷ D9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DC_Cost_Model</t>
    </r>
    <r>
      <rPr>
        <sz val="11"/>
        <color theme="1"/>
        <rFont val="Noto Sans CJK SC"/>
        <family val="2"/>
      </rPr>
      <t xml:space="preserve">：年營運費用 </t>
    </r>
    <r>
      <rPr>
        <sz val="11"/>
        <color theme="1"/>
        <rFont val="Arial"/>
        <family val="0"/>
        <charset val="1"/>
      </rPr>
      <t xml:space="preserve">$9,298M ÷ 5,263 </t>
    </r>
    <r>
      <rPr>
        <sz val="11"/>
        <color theme="1"/>
        <rFont val="Noto Sans CJK SC"/>
        <family val="2"/>
      </rPr>
      <t xml:space="preserve">架（含折舊）</t>
    </r>
  </si>
  <si>
    <r>
      <rPr>
        <sz val="11"/>
        <color theme="1"/>
        <rFont val="Noto Sans CJK SC"/>
        <family val="2"/>
      </rPr>
      <t xml:space="preserve">推測解碼每步接受 </t>
    </r>
    <r>
      <rPr>
        <sz val="11"/>
        <color theme="1"/>
        <rFont val="Arial"/>
        <family val="0"/>
        <charset val="1"/>
      </rPr>
      <t xml:space="preserve">token</t>
    </r>
  </si>
  <si>
    <r>
      <rPr>
        <sz val="11"/>
        <color theme="1"/>
        <rFont val="Arial"/>
        <family val="0"/>
        <charset val="1"/>
      </rPr>
      <t xml:space="preserve">Tokenomics v4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Config F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Arial"/>
        <family val="0"/>
        <charset val="1"/>
      </rPr>
      <t xml:space="preserve">VR NVL72 </t>
    </r>
    <r>
      <rPr>
        <sz val="11"/>
        <color theme="1"/>
        <rFont val="Noto Sans CJK SC"/>
        <family val="2"/>
      </rPr>
      <t xml:space="preserve">預設；要改一起改）　</t>
    </r>
    <r>
      <rPr>
        <sz val="11"/>
        <color theme="1"/>
        <rFont val="Arial"/>
        <family val="0"/>
        <charset val="1"/>
      </rPr>
      <t xml:space="preserve">Config!B59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</si>
  <si>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Arial"/>
        <family val="0"/>
        <charset val="1"/>
      </rPr>
      <t xml:space="preserve">40–80%</t>
    </r>
  </si>
  <si>
    <r>
      <rPr>
        <sz val="11"/>
        <color theme="1"/>
        <rFont val="Arial"/>
        <family val="0"/>
        <charset val="1"/>
      </rPr>
      <t xml:space="preserve">decode </t>
    </r>
    <r>
      <rPr>
        <sz val="11"/>
        <color theme="1"/>
        <rFont val="Noto Sans CJK SC"/>
        <family val="2"/>
      </rPr>
      <t xml:space="preserve">批次上限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</si>
  <si>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Arial"/>
        <family val="0"/>
        <charset val="1"/>
      </rPr>
      <t xml:space="preserve">64–1,024</t>
    </r>
    <r>
      <rPr>
        <sz val="11"/>
        <color theme="1"/>
        <rFont val="Noto Sans CJK SC"/>
        <family val="2"/>
      </rPr>
      <t xml:space="preserve">；決定權重讀取的攤提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</si>
  <si>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Arial"/>
        <family val="0"/>
        <charset val="1"/>
      </rPr>
      <t xml:space="preserve">4–32K</t>
    </r>
    <r>
      <rPr>
        <sz val="11"/>
        <color theme="1"/>
        <rFont val="Noto Sans CJK SC"/>
        <family val="2"/>
      </rPr>
      <t xml:space="preserve">；決定 </t>
    </r>
    <r>
      <rPr>
        <sz val="11"/>
        <color theme="1"/>
        <rFont val="Arial"/>
        <family val="0"/>
        <charset val="1"/>
      </rPr>
      <t xml:space="preserve">KV </t>
    </r>
    <r>
      <rPr>
        <sz val="11"/>
        <color theme="1"/>
        <rFont val="Noto Sans CJK SC"/>
        <family val="2"/>
      </rPr>
      <t xml:space="preserve">快取讀取量</t>
    </r>
  </si>
  <si>
    <r>
      <rPr>
        <sz val="11"/>
        <color theme="1"/>
        <rFont val="Arial"/>
        <family val="0"/>
        <charset val="1"/>
      </rPr>
      <t xml:space="preserve">prefill </t>
    </r>
    <r>
      <rPr>
        <sz val="11"/>
        <color theme="1"/>
        <rFont val="Noto Sans CJK SC"/>
        <family val="2"/>
      </rPr>
      <t xml:space="preserve">注意力額外計算倍數</t>
    </r>
  </si>
  <si>
    <r>
      <rPr>
        <sz val="11"/>
        <color theme="1"/>
        <rFont val="Noto Sans CJK SC"/>
        <family val="2"/>
      </rPr>
      <t xml:space="preserve">快取輸入成本 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新鮮輸入成本</t>
    </r>
  </si>
  <si>
    <r>
      <rPr>
        <sz val="11"/>
        <color theme="1"/>
        <rFont val="Noto Sans CJK SC"/>
        <family val="2"/>
      </rPr>
      <t xml:space="preserve">牌價快取讀取比 </t>
    </r>
    <r>
      <rPr>
        <sz val="11"/>
        <color theme="1"/>
        <rFont val="Arial"/>
        <family val="0"/>
        <charset val="1"/>
      </rPr>
      <t xml:space="preserve">0.05–0.1 </t>
    </r>
    <r>
      <rPr>
        <sz val="11"/>
        <color theme="1"/>
        <rFont val="Noto Sans CJK SC"/>
        <family val="2"/>
      </rPr>
      <t xml:space="preserve">代理</t>
    </r>
  </si>
  <si>
    <r>
      <rPr>
        <sz val="11"/>
        <color theme="1"/>
        <rFont val="Arial"/>
        <family val="0"/>
        <charset val="1"/>
      </rPr>
      <t xml:space="preserve">Luna</t>
    </r>
    <r>
      <rPr>
        <sz val="11"/>
        <color theme="1"/>
        <rFont val="Noto Sans CJK SC"/>
        <family val="2"/>
      </rPr>
      <t xml:space="preserve">（低層） 總參數</t>
    </r>
  </si>
  <si>
    <r>
      <rPr>
        <sz val="11"/>
        <color theme="1"/>
        <rFont val="Arial"/>
        <family val="0"/>
        <charset val="1"/>
      </rPr>
      <t xml:space="preserve">Tokenomics </t>
    </r>
    <r>
      <rPr>
        <sz val="11"/>
        <color theme="1"/>
        <rFont val="Noto Sans CJK SC"/>
        <family val="2"/>
      </rPr>
      <t xml:space="preserve">預設架構類比：</t>
    </r>
    <r>
      <rPr>
        <sz val="11"/>
        <color theme="1"/>
        <rFont val="Arial"/>
        <family val="0"/>
        <charset val="1"/>
      </rPr>
      <t xml:space="preserve">DeepSeek V4-Flash</t>
    </r>
  </si>
  <si>
    <r>
      <rPr>
        <sz val="11"/>
        <color theme="1"/>
        <rFont val="Arial"/>
        <family val="0"/>
        <charset val="1"/>
      </rPr>
      <t xml:space="preserve">Luna</t>
    </r>
    <r>
      <rPr>
        <sz val="11"/>
        <color theme="1"/>
        <rFont val="Noto Sans CJK SC"/>
        <family val="2"/>
      </rPr>
      <t xml:space="preserve">（低層） 啟用參數</t>
    </r>
  </si>
  <si>
    <r>
      <rPr>
        <sz val="11"/>
        <color theme="1"/>
        <rFont val="Arial"/>
        <family val="0"/>
        <charset val="1"/>
      </rPr>
      <t xml:space="preserve">Luna</t>
    </r>
    <r>
      <rPr>
        <sz val="11"/>
        <color theme="1"/>
        <rFont val="Noto Sans CJK SC"/>
        <family val="2"/>
      </rPr>
      <t xml:space="preserve">（低層） 每 </t>
    </r>
    <r>
      <rPr>
        <sz val="11"/>
        <color theme="1"/>
        <rFont val="Arial"/>
        <family val="0"/>
        <charset val="1"/>
      </rPr>
      <t xml:space="preserve">token KV </t>
    </r>
    <r>
      <rPr>
        <sz val="11"/>
        <color theme="1"/>
        <rFont val="Noto Sans CJK SC"/>
        <family val="2"/>
      </rPr>
      <t xml:space="preserve">快取</t>
    </r>
  </si>
  <si>
    <r>
      <rPr>
        <sz val="11"/>
        <color theme="1"/>
        <rFont val="Arial"/>
        <family val="0"/>
        <charset val="1"/>
      </rPr>
      <t xml:space="preserve">Luna</t>
    </r>
    <r>
      <rPr>
        <sz val="11"/>
        <color theme="1"/>
        <rFont val="Noto Sans CJK SC"/>
        <family val="2"/>
      </rPr>
      <t xml:space="preserve">（低層） 每參數位元組</t>
    </r>
  </si>
  <si>
    <r>
      <rPr>
        <sz val="11"/>
        <color theme="1"/>
        <rFont val="Arial"/>
        <family val="0"/>
        <charset val="1"/>
      </rPr>
      <t xml:space="preserve">Sol</t>
    </r>
    <r>
      <rPr>
        <sz val="11"/>
        <color theme="1"/>
        <rFont val="Noto Sans CJK SC"/>
        <family val="2"/>
      </rPr>
      <t xml:space="preserve">（中層） 總參數</t>
    </r>
  </si>
  <si>
    <r>
      <rPr>
        <sz val="11"/>
        <color theme="1"/>
        <rFont val="Arial"/>
        <family val="0"/>
        <charset val="1"/>
      </rPr>
      <t xml:space="preserve">Tokenomics </t>
    </r>
    <r>
      <rPr>
        <sz val="11"/>
        <color theme="1"/>
        <rFont val="Noto Sans CJK SC"/>
        <family val="2"/>
      </rPr>
      <t xml:space="preserve">預設架構類比：</t>
    </r>
    <r>
      <rPr>
        <sz val="11"/>
        <color theme="1"/>
        <rFont val="Arial"/>
        <family val="0"/>
        <charset val="1"/>
      </rPr>
      <t xml:space="preserve">DeepSeek V4-Pro</t>
    </r>
  </si>
  <si>
    <r>
      <rPr>
        <sz val="11"/>
        <color theme="1"/>
        <rFont val="Arial"/>
        <family val="0"/>
        <charset val="1"/>
      </rPr>
      <t xml:space="preserve">Sol</t>
    </r>
    <r>
      <rPr>
        <sz val="11"/>
        <color theme="1"/>
        <rFont val="Noto Sans CJK SC"/>
        <family val="2"/>
      </rPr>
      <t xml:space="preserve">（中層） 啟用參數</t>
    </r>
  </si>
  <si>
    <r>
      <rPr>
        <sz val="11"/>
        <color theme="1"/>
        <rFont val="Arial"/>
        <family val="0"/>
        <charset val="1"/>
      </rPr>
      <t xml:space="preserve">Sol</t>
    </r>
    <r>
      <rPr>
        <sz val="11"/>
        <color theme="1"/>
        <rFont val="Noto Sans CJK SC"/>
        <family val="2"/>
      </rPr>
      <t xml:space="preserve">（中層） 每 </t>
    </r>
    <r>
      <rPr>
        <sz val="11"/>
        <color theme="1"/>
        <rFont val="Arial"/>
        <family val="0"/>
        <charset val="1"/>
      </rPr>
      <t xml:space="preserve">token KV </t>
    </r>
    <r>
      <rPr>
        <sz val="11"/>
        <color theme="1"/>
        <rFont val="Noto Sans CJK SC"/>
        <family val="2"/>
      </rPr>
      <t xml:space="preserve">快取</t>
    </r>
  </si>
  <si>
    <r>
      <rPr>
        <sz val="11"/>
        <color theme="1"/>
        <rFont val="Arial"/>
        <family val="0"/>
        <charset val="1"/>
      </rPr>
      <t xml:space="preserve">Sol</t>
    </r>
    <r>
      <rPr>
        <sz val="11"/>
        <color theme="1"/>
        <rFont val="Noto Sans CJK SC"/>
        <family val="2"/>
      </rPr>
      <t xml:space="preserve">（中層） 每參數位元組</t>
    </r>
  </si>
  <si>
    <r>
      <rPr>
        <sz val="11"/>
        <color theme="1"/>
        <rFont val="Arial"/>
        <family val="0"/>
        <charset val="1"/>
      </rPr>
      <t xml:space="preserve">Astra</t>
    </r>
    <r>
      <rPr>
        <sz val="11"/>
        <color theme="1"/>
        <rFont val="Noto Sans CJK SC"/>
        <family val="2"/>
      </rPr>
      <t xml:space="preserve">（頂層） 總參數</t>
    </r>
  </si>
  <si>
    <r>
      <rPr>
        <sz val="11"/>
        <color theme="1"/>
        <rFont val="Arial"/>
        <family val="0"/>
        <charset val="1"/>
      </rPr>
      <t xml:space="preserve">Tokenomics </t>
    </r>
    <r>
      <rPr>
        <sz val="11"/>
        <color theme="1"/>
        <rFont val="Noto Sans CJK SC"/>
        <family val="2"/>
      </rPr>
      <t xml:space="preserve">預設架構類比：</t>
    </r>
    <r>
      <rPr>
        <sz val="11"/>
        <color theme="1"/>
        <rFont val="Arial"/>
        <family val="0"/>
        <charset val="1"/>
      </rPr>
      <t xml:space="preserve">Closed-frontier proxy</t>
    </r>
  </si>
  <si>
    <r>
      <rPr>
        <sz val="11"/>
        <color theme="1"/>
        <rFont val="Arial"/>
        <family val="0"/>
        <charset val="1"/>
      </rPr>
      <t xml:space="preserve">Astra</t>
    </r>
    <r>
      <rPr>
        <sz val="11"/>
        <color theme="1"/>
        <rFont val="Noto Sans CJK SC"/>
        <family val="2"/>
      </rPr>
      <t xml:space="preserve">（頂層） 啟用參數</t>
    </r>
  </si>
  <si>
    <r>
      <rPr>
        <sz val="11"/>
        <color theme="1"/>
        <rFont val="Arial"/>
        <family val="0"/>
        <charset val="1"/>
      </rPr>
      <t xml:space="preserve">Astra</t>
    </r>
    <r>
      <rPr>
        <sz val="11"/>
        <color theme="1"/>
        <rFont val="Noto Sans CJK SC"/>
        <family val="2"/>
      </rPr>
      <t xml:space="preserve">（頂層） 每 </t>
    </r>
    <r>
      <rPr>
        <sz val="11"/>
        <color theme="1"/>
        <rFont val="Arial"/>
        <family val="0"/>
        <charset val="1"/>
      </rPr>
      <t xml:space="preserve">token KV </t>
    </r>
    <r>
      <rPr>
        <sz val="11"/>
        <color theme="1"/>
        <rFont val="Noto Sans CJK SC"/>
        <family val="2"/>
      </rPr>
      <t xml:space="preserve">快取</t>
    </r>
  </si>
  <si>
    <r>
      <rPr>
        <sz val="11"/>
        <color theme="1"/>
        <rFont val="Arial"/>
        <family val="0"/>
        <charset val="1"/>
      </rPr>
      <t xml:space="preserve">Astra</t>
    </r>
    <r>
      <rPr>
        <sz val="11"/>
        <color theme="1"/>
        <rFont val="Noto Sans CJK SC"/>
        <family val="2"/>
      </rPr>
      <t xml:space="preserve">（頂層） 每參數位元組</t>
    </r>
  </si>
  <si>
    <r>
      <rPr>
        <sz val="11"/>
        <color theme="1"/>
        <rFont val="Arial"/>
        <family val="0"/>
        <charset val="1"/>
      </rPr>
      <t xml:space="preserve">Free Luna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</si>
  <si>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T6</t>
    </r>
    <r>
      <rPr>
        <sz val="11"/>
        <color theme="1"/>
        <rFont val="Noto Sans CJK SC"/>
        <family val="2"/>
      </rPr>
      <t xml:space="preserve">／分層成本假設</t>
    </r>
  </si>
  <si>
    <r>
      <rPr>
        <sz val="11"/>
        <color theme="1"/>
        <rFont val="Arial"/>
        <family val="0"/>
        <charset val="1"/>
      </rPr>
      <t xml:space="preserve">Free Sol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</si>
  <si>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Free Astra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</si>
  <si>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Free </t>
    </r>
    <r>
      <rPr>
        <sz val="11"/>
        <color theme="1"/>
        <rFont val="Noto Sans CJK SC"/>
        <family val="2"/>
      </rPr>
      <t xml:space="preserve">輸出占比</t>
    </r>
  </si>
  <si>
    <r>
      <rPr>
        <sz val="11"/>
        <color theme="1"/>
        <rFont val="Arial"/>
        <family val="0"/>
        <charset val="1"/>
      </rPr>
      <t xml:space="preserve">Free </t>
    </r>
    <r>
      <rPr>
        <sz val="11"/>
        <color theme="1"/>
        <rFont val="Noto Sans CJK SC"/>
        <family val="2"/>
      </rPr>
      <t xml:space="preserve">快取命中</t>
    </r>
  </si>
  <si>
    <r>
      <rPr>
        <sz val="11"/>
        <color theme="1"/>
        <rFont val="Arial"/>
        <family val="0"/>
        <charset val="1"/>
      </rPr>
      <t xml:space="preserve">Go Luna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</si>
  <si>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Go Sol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</si>
  <si>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Go Astra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</si>
  <si>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Go </t>
    </r>
    <r>
      <rPr>
        <sz val="11"/>
        <color theme="1"/>
        <rFont val="Noto Sans CJK SC"/>
        <family val="2"/>
      </rPr>
      <t xml:space="preserve">輸出占比</t>
    </r>
  </si>
  <si>
    <r>
      <rPr>
        <sz val="11"/>
        <color theme="1"/>
        <rFont val="Arial"/>
        <family val="0"/>
        <charset val="1"/>
      </rPr>
      <t xml:space="preserve">Go </t>
    </r>
    <r>
      <rPr>
        <sz val="11"/>
        <color theme="1"/>
        <rFont val="Noto Sans CJK SC"/>
        <family val="2"/>
      </rPr>
      <t xml:space="preserve">快取命中</t>
    </r>
  </si>
  <si>
    <r>
      <rPr>
        <sz val="11"/>
        <color theme="1"/>
        <rFont val="Arial"/>
        <family val="0"/>
        <charset val="1"/>
      </rPr>
      <t xml:space="preserve">Plus Luna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</si>
  <si>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Plus Sol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</si>
  <si>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Plus Astra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</si>
  <si>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Plus </t>
    </r>
    <r>
      <rPr>
        <sz val="11"/>
        <color theme="1"/>
        <rFont val="Noto Sans CJK SC"/>
        <family val="2"/>
      </rPr>
      <t xml:space="preserve">輸出占比</t>
    </r>
  </si>
  <si>
    <r>
      <rPr>
        <sz val="11"/>
        <color theme="1"/>
        <rFont val="Arial"/>
        <family val="0"/>
        <charset val="1"/>
      </rPr>
      <t xml:space="preserve">Plus </t>
    </r>
    <r>
      <rPr>
        <sz val="11"/>
        <color theme="1"/>
        <rFont val="Noto Sans CJK SC"/>
        <family val="2"/>
      </rPr>
      <t xml:space="preserve">快取命中</t>
    </r>
  </si>
  <si>
    <r>
      <rPr>
        <sz val="11"/>
        <color theme="1"/>
        <rFont val="Arial"/>
        <family val="0"/>
        <charset val="1"/>
      </rPr>
      <t xml:space="preserve">Pro Luna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</si>
  <si>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Pro Sol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</si>
  <si>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Pro Astra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</si>
  <si>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Pro </t>
    </r>
    <r>
      <rPr>
        <sz val="11"/>
        <color theme="1"/>
        <rFont val="Noto Sans CJK SC"/>
        <family val="2"/>
      </rPr>
      <t xml:space="preserve">輸出占比</t>
    </r>
  </si>
  <si>
    <r>
      <rPr>
        <sz val="11"/>
        <color theme="1"/>
        <rFont val="Arial"/>
        <family val="0"/>
        <charset val="1"/>
      </rPr>
      <t xml:space="preserve">Pro </t>
    </r>
    <r>
      <rPr>
        <sz val="11"/>
        <color theme="1"/>
        <rFont val="Noto Sans CJK SC"/>
        <family val="2"/>
      </rPr>
      <t xml:space="preserve">快取命中</t>
    </r>
  </si>
  <si>
    <r>
      <rPr>
        <sz val="11"/>
        <color theme="1"/>
        <rFont val="Noto Sans CJK SC"/>
        <family val="2"/>
      </rPr>
      <t xml:space="preserve">企業席位 </t>
    </r>
    <r>
      <rPr>
        <sz val="11"/>
        <color theme="1"/>
        <rFont val="Arial"/>
        <family val="0"/>
        <charset val="1"/>
      </rPr>
      <t xml:space="preserve">Luna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</si>
  <si>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企業席位 </t>
    </r>
    <r>
      <rPr>
        <sz val="11"/>
        <color theme="1"/>
        <rFont val="Arial"/>
        <family val="0"/>
        <charset val="1"/>
      </rPr>
      <t xml:space="preserve">Sol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</si>
  <si>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企業席位 </t>
    </r>
    <r>
      <rPr>
        <sz val="11"/>
        <color theme="1"/>
        <rFont val="Arial"/>
        <family val="0"/>
        <charset val="1"/>
      </rPr>
      <t xml:space="preserve">Astra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</si>
  <si>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Arial"/>
        <family val="0"/>
        <charset val="1"/>
      </rPr>
      <t xml:space="preserve">FY2025 </t>
    </r>
    <r>
      <rPr>
        <sz val="11"/>
        <color theme="1"/>
        <rFont val="Noto Sans CJK SC"/>
        <family val="2"/>
      </rPr>
      <t xml:space="preserve">推論成本</t>
    </r>
  </si>
  <si>
    <r>
      <rPr>
        <sz val="11"/>
        <color theme="1"/>
        <rFont val="Arial"/>
        <family val="0"/>
        <charset val="1"/>
      </rPr>
      <t xml:space="preserve">The Information 2026-02</t>
    </r>
    <r>
      <rPr>
        <sz val="11"/>
        <color theme="1"/>
        <rFont val="Noto Sans CJK SC"/>
        <family val="2"/>
      </rPr>
      <t xml:space="preserve">（投資人說明）；</t>
    </r>
    <r>
      <rPr>
        <sz val="11"/>
        <color theme="1"/>
        <rFont val="Arial"/>
        <family val="0"/>
        <charset val="1"/>
      </rPr>
      <t xml:space="preserve">T1(a)</t>
    </r>
  </si>
  <si>
    <r>
      <rPr>
        <sz val="11"/>
        <color theme="1"/>
        <rFont val="Noto Sans CJK SC"/>
        <family val="2"/>
      </rPr>
      <t xml:space="preserve">同上：非付費用戶約 </t>
    </r>
    <r>
      <rPr>
        <sz val="11"/>
        <color theme="1"/>
        <rFont val="Arial"/>
        <family val="0"/>
        <charset val="1"/>
      </rPr>
      <t xml:space="preserve">$3.9B</t>
    </r>
  </si>
  <si>
    <r>
      <rPr>
        <sz val="11"/>
        <color theme="1"/>
        <rFont val="Noto Sans CJK SC"/>
        <family val="2"/>
      </rPr>
      <t xml:space="preserve">同上：付費用戶 </t>
    </r>
    <r>
      <rPr>
        <sz val="11"/>
        <color theme="1"/>
        <rFont val="Arial"/>
        <family val="0"/>
        <charset val="1"/>
      </rPr>
      <t xml:space="preserve">$4.5B</t>
    </r>
  </si>
  <si>
    <r>
      <rPr>
        <sz val="11"/>
        <color theme="1"/>
        <rFont val="Arial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毛利率先驗</t>
    </r>
  </si>
  <si>
    <r>
      <rPr>
        <sz val="11"/>
        <color theme="1"/>
        <rFont val="Arial"/>
        <family val="0"/>
        <charset val="1"/>
      </rPr>
      <t xml:space="preserve">T5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Arial"/>
        <family val="0"/>
        <charset val="1"/>
      </rPr>
      <t xml:space="preserve">30–65%</t>
    </r>
  </si>
  <si>
    <r>
      <rPr>
        <sz val="11"/>
        <color theme="1"/>
        <rFont val="Arial"/>
        <family val="0"/>
        <charset val="1"/>
      </rPr>
      <t xml:space="preserve">OpenAI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推論成本（檢查用）</t>
    </r>
  </si>
  <si>
    <r>
      <rPr>
        <sz val="11"/>
        <color theme="1"/>
        <rFont val="Arial"/>
        <family val="0"/>
        <charset val="1"/>
      </rPr>
      <t xml:space="preserve">The Information 2026-02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Arial"/>
        <family val="0"/>
        <charset val="1"/>
      </rPr>
      <t xml:space="preserve">OpenAI 2026 </t>
    </r>
    <r>
      <rPr>
        <sz val="11"/>
        <color theme="1"/>
        <rFont val="Noto Sans CJK SC"/>
        <family val="2"/>
      </rPr>
      <t xml:space="preserve">預測</t>
    </r>
  </si>
  <si>
    <r>
      <rPr>
        <sz val="11"/>
        <color theme="1"/>
        <rFont val="Arial"/>
        <family val="0"/>
        <charset val="1"/>
      </rPr>
      <t xml:space="preserve">OpenAI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付費占比（檢查用）</t>
    </r>
  </si>
  <si>
    <r>
      <rPr>
        <sz val="11"/>
        <color theme="1"/>
        <rFont val="Arial"/>
        <family val="0"/>
        <charset val="1"/>
      </rPr>
      <t xml:space="preserve">OpenAI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Arial"/>
        <family val="0"/>
        <charset val="1"/>
      </rPr>
      <t xml:space="preserve">2030 </t>
    </r>
    <r>
      <rPr>
        <sz val="11"/>
        <color theme="1"/>
        <rFont val="Noto Sans CJK SC"/>
        <family val="2"/>
      </rPr>
      <t xml:space="preserve">推論成本</t>
    </r>
  </si>
  <si>
    <r>
      <rPr>
        <sz val="11"/>
        <color theme="1"/>
        <rFont val="Arial"/>
        <family val="0"/>
        <charset val="1"/>
      </rPr>
      <t xml:space="preserve">OpenAI 2030 </t>
    </r>
    <r>
      <rPr>
        <sz val="11"/>
        <color theme="1"/>
        <rFont val="Noto Sans CJK SC"/>
        <family val="2"/>
      </rPr>
      <t xml:space="preserve">毛利率目標</t>
    </r>
  </si>
  <si>
    <r>
      <rPr>
        <sz val="11"/>
        <color theme="1"/>
        <rFont val="Arial"/>
        <family val="0"/>
        <charset val="1"/>
      </rPr>
      <t xml:space="preserve">2024 </t>
    </r>
    <r>
      <rPr>
        <sz val="11"/>
        <color theme="1"/>
        <rFont val="Noto Sans CJK SC"/>
        <family val="2"/>
      </rPr>
      <t xml:space="preserve">訓練算力（參考）</t>
    </r>
  </si>
  <si>
    <r>
      <rPr>
        <sz val="11"/>
        <color theme="1"/>
        <rFont val="Arial"/>
        <family val="0"/>
        <charset val="1"/>
      </rPr>
      <t xml:space="preserve">Epoch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Arial"/>
        <family val="0"/>
        <charset val="1"/>
      </rPr>
      <t xml:space="preserve">The Information/NYT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Arial"/>
        <family val="0"/>
        <charset val="1"/>
      </rPr>
      <t xml:space="preserve">2024 </t>
    </r>
    <r>
      <rPr>
        <sz val="11"/>
        <color theme="1"/>
        <rFont val="Noto Sans CJK SC"/>
        <family val="2"/>
      </rPr>
      <t xml:space="preserve">訓練算力 </t>
    </r>
    <r>
      <rPr>
        <sz val="11"/>
        <color theme="1"/>
        <rFont val="Arial"/>
        <family val="0"/>
        <charset val="1"/>
      </rPr>
      <t xml:space="preserve">$3B</t>
    </r>
    <r>
      <rPr>
        <sz val="11"/>
        <color theme="1"/>
        <rFont val="Noto Sans CJK SC"/>
        <family val="2"/>
      </rPr>
      <t xml:space="preserve">、推論 </t>
    </r>
    <r>
      <rPr>
        <sz val="11"/>
        <color theme="1"/>
        <rFont val="Arial"/>
        <family val="0"/>
        <charset val="1"/>
      </rPr>
      <t xml:space="preserve">$1.8B</t>
    </r>
  </si>
  <si>
    <r>
      <rPr>
        <sz val="11"/>
        <color theme="1"/>
        <rFont val="Arial"/>
        <family val="0"/>
        <charset val="1"/>
      </rPr>
      <t xml:space="preserve">FY2025 </t>
    </r>
    <r>
      <rPr>
        <sz val="11"/>
        <color theme="1"/>
        <rFont val="Noto Sans CJK SC"/>
        <family val="2"/>
      </rPr>
      <t xml:space="preserve">訓練算力</t>
    </r>
  </si>
  <si>
    <r>
      <rPr>
        <sz val="11"/>
        <color theme="1"/>
        <rFont val="Arial"/>
        <family val="0"/>
        <charset val="1"/>
      </rPr>
      <t xml:space="preserve">2025 R&amp;D </t>
    </r>
    <r>
      <rPr>
        <sz val="11"/>
        <color theme="1"/>
        <rFont val="Noto Sans CJK SC"/>
        <family val="2"/>
      </rPr>
      <t xml:space="preserve">付予 </t>
    </r>
    <r>
      <rPr>
        <sz val="11"/>
        <color theme="1"/>
        <rFont val="Arial"/>
        <family val="0"/>
        <charset val="1"/>
      </rPr>
      <t xml:space="preserve">Microsoft $10.59B</t>
    </r>
    <r>
      <rPr>
        <sz val="11"/>
        <color theme="1"/>
        <rFont val="Noto Sans CJK SC"/>
        <family val="2"/>
      </rPr>
      <t xml:space="preserve">（外流財報）＋其他雲端估計；區間 </t>
    </r>
    <r>
      <rPr>
        <sz val="11"/>
        <color theme="1"/>
        <rFont val="Arial"/>
        <family val="0"/>
        <charset val="1"/>
      </rPr>
      <t xml:space="preserve">10.6–13.5</t>
    </r>
  </si>
  <si>
    <r>
      <rPr>
        <sz val="11"/>
        <color theme="1"/>
        <rFont val="Arial"/>
        <family val="0"/>
        <charset val="1"/>
      </rPr>
      <t xml:space="preserve">FY2025 </t>
    </r>
    <r>
      <rPr>
        <sz val="11"/>
        <color theme="1"/>
        <rFont val="Noto Sans CJK SC"/>
        <family val="2"/>
      </rPr>
      <t xml:space="preserve">研發費用總額（含人事）</t>
    </r>
  </si>
  <si>
    <r>
      <rPr>
        <sz val="11"/>
        <color theme="1"/>
        <rFont val="Noto Sans CJK SC"/>
        <family val="2"/>
      </rPr>
      <t xml:space="preserve">外流財報 </t>
    </r>
    <r>
      <rPr>
        <sz val="11"/>
        <color theme="1"/>
        <rFont val="Arial"/>
        <family val="0"/>
        <charset val="1"/>
      </rPr>
      <t xml:space="preserve">R&amp;D </t>
    </r>
    <r>
      <rPr>
        <sz val="11"/>
        <color theme="1"/>
        <rFont val="Noto Sans CJK SC"/>
        <family val="2"/>
      </rPr>
      <t xml:space="preserve">總額（含人事）</t>
    </r>
  </si>
  <si>
    <r>
      <rPr>
        <sz val="11"/>
        <color theme="1"/>
        <rFont val="Noto Sans CJK SC"/>
        <family val="2"/>
      </rPr>
      <t xml:space="preserve">公司計畫算力支出 </t>
    </r>
    <r>
      <rPr>
        <sz val="11"/>
        <color theme="1"/>
        <rFont val="Arial"/>
        <family val="0"/>
        <charset val="1"/>
      </rPr>
      <t xml:space="preserve">2026–30</t>
    </r>
    <r>
      <rPr>
        <sz val="11"/>
        <color theme="1"/>
        <rFont val="Noto Sans CJK SC"/>
        <family val="2"/>
      </rPr>
      <t xml:space="preserve">（檢查用）</t>
    </r>
  </si>
  <si>
    <r>
      <rPr>
        <sz val="11"/>
        <color theme="1"/>
        <rFont val="Arial"/>
        <family val="0"/>
        <charset val="1"/>
      </rPr>
      <t xml:space="preserve">FT 2026-09-18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7 </t>
    </r>
    <r>
      <rPr>
        <sz val="11"/>
        <color theme="1"/>
        <rFont val="Noto Sans CJK SC"/>
        <family val="2"/>
      </rPr>
      <t xml:space="preserve">月簡報）</t>
    </r>
    <r>
      <rPr>
        <sz val="11"/>
        <color theme="1"/>
        <rFont val="Arial"/>
        <family val="0"/>
        <charset val="1"/>
      </rPr>
      <t xml:space="preserve">$856B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Arial"/>
        <family val="0"/>
        <charset val="1"/>
      </rPr>
      <t xml:space="preserve">R1 </t>
    </r>
    <r>
      <rPr>
        <sz val="11"/>
        <color theme="1"/>
        <rFont val="Noto Sans CJK SC"/>
        <family val="2"/>
      </rPr>
      <t xml:space="preserve">反向錨點同一版本；</t>
    </r>
    <r>
      <rPr>
        <sz val="11"/>
        <color theme="1"/>
        <rFont val="Arial"/>
        <family val="0"/>
        <charset val="1"/>
      </rPr>
      <t xml:space="preserve">Reuters 2026-02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Arial"/>
        <family val="0"/>
        <charset val="1"/>
      </rPr>
      <t xml:space="preserve">$600B </t>
    </r>
    <r>
      <rPr>
        <sz val="11"/>
        <color theme="1"/>
        <rFont val="Noto Sans CJK SC"/>
        <family val="2"/>
      </rPr>
      <t xml:space="preserve">為下限</t>
    </r>
  </si>
  <si>
    <r>
      <rPr>
        <sz val="11"/>
        <color theme="1"/>
        <rFont val="Arial"/>
        <family val="0"/>
        <charset val="1"/>
      </rPr>
      <t xml:space="preserve">VR 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機架數</t>
    </r>
  </si>
  <si>
    <r>
      <rPr>
        <sz val="11"/>
        <color theme="1"/>
        <rFont val="Arial"/>
        <family val="0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機架數</t>
    </r>
  </si>
  <si>
    <r>
      <rPr>
        <sz val="11"/>
        <color theme="1"/>
        <rFont val="Arial"/>
        <family val="0"/>
        <charset val="1"/>
      </rPr>
      <t xml:space="preserve">VR NVL72 </t>
    </r>
    <r>
      <rPr>
        <sz val="11"/>
        <color theme="1"/>
        <rFont val="Noto Sans CJK SC"/>
        <family val="2"/>
      </rPr>
      <t xml:space="preserve">每架輸出 </t>
    </r>
    <r>
      <rPr>
        <sz val="11"/>
        <color theme="1"/>
        <rFont val="Arial"/>
        <family val="0"/>
        <charset val="1"/>
      </rPr>
      <t xml:space="preserve">token/s</t>
    </r>
  </si>
  <si>
    <r>
      <rPr>
        <sz val="11"/>
        <color theme="1"/>
        <rFont val="Arial"/>
        <family val="0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每架輸出 </t>
    </r>
    <r>
      <rPr>
        <sz val="11"/>
        <color theme="1"/>
        <rFont val="Arial"/>
        <family val="0"/>
        <charset val="1"/>
      </rPr>
      <t xml:space="preserve">token/s</t>
    </r>
  </si>
  <si>
    <r>
      <rPr>
        <sz val="11"/>
        <color theme="1"/>
        <rFont val="Noto Sans CJK SC"/>
        <family val="2"/>
      </rPr>
      <t xml:space="preserve">自建每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</si>
  <si>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Arial"/>
        <family val="0"/>
        <charset val="1"/>
      </rPr>
      <t xml:space="preserve">Hopper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Arial"/>
        <family val="0"/>
        <charset val="1"/>
      </rPr>
      <t xml:space="preserve">MW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Arial"/>
        <family val="0"/>
        <charset val="1"/>
      </rPr>
      <t xml:space="preserve">÷ VR</t>
    </r>
  </si>
  <si>
    <r>
      <rPr>
        <sz val="11"/>
        <color theme="1"/>
        <rFont val="Arial"/>
        <family val="0"/>
        <charset val="1"/>
      </rPr>
      <t xml:space="preserve">H100/H200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Tokenomics </t>
    </r>
    <r>
      <rPr>
        <sz val="11"/>
        <color theme="1"/>
        <rFont val="Noto Sans CJK SC"/>
        <family val="2"/>
      </rPr>
      <t xml:space="preserve">無此預設；區間 </t>
    </r>
    <r>
      <rPr>
        <sz val="11"/>
        <color theme="1"/>
        <rFont val="Arial"/>
        <family val="0"/>
        <charset val="1"/>
      </rPr>
      <t xml:space="preserve">0.10–0.25</t>
    </r>
  </si>
  <si>
    <r>
      <rPr>
        <sz val="11"/>
        <color theme="1"/>
        <rFont val="Noto Sans CJK SC"/>
        <family val="2"/>
      </rPr>
      <t xml:space="preserve">自研／其他加速器 </t>
    </r>
    <r>
      <rPr>
        <sz val="11"/>
        <color theme="1"/>
        <rFont val="Arial"/>
        <family val="0"/>
        <charset val="1"/>
      </rPr>
      <t xml:space="preserve">÷ VR</t>
    </r>
  </si>
  <si>
    <r>
      <rPr>
        <sz val="11"/>
        <color theme="1"/>
        <rFont val="Arial"/>
        <family val="0"/>
        <charset val="1"/>
      </rPr>
      <t xml:space="preserve">Cerebras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Trainium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Arial"/>
        <family val="0"/>
        <charset val="1"/>
      </rPr>
      <t xml:space="preserve">0.4–1.0</t>
    </r>
  </si>
  <si>
    <r>
      <rPr>
        <sz val="11"/>
        <color theme="1"/>
        <rFont val="Noto Sans CJK SC"/>
        <family val="2"/>
      </rPr>
      <t xml:space="preserve">次世代（</t>
    </r>
    <r>
      <rPr>
        <sz val="11"/>
        <color theme="1"/>
        <rFont val="Arial"/>
        <family val="0"/>
        <charset val="1"/>
      </rPr>
      <t xml:space="preserve">Rubin Ultra </t>
    </r>
    <r>
      <rPr>
        <sz val="11"/>
        <color theme="1"/>
        <rFont val="Noto Sans CJK SC"/>
        <family val="2"/>
      </rPr>
      <t xml:space="preserve">以後）</t>
    </r>
    <r>
      <rPr>
        <sz val="11"/>
        <color theme="1"/>
        <rFont val="Arial"/>
        <family val="0"/>
        <charset val="1"/>
      </rPr>
      <t xml:space="preserve">÷ VR</t>
    </r>
  </si>
  <si>
    <r>
      <rPr>
        <sz val="11"/>
        <color theme="1"/>
        <rFont val="Arial"/>
        <family val="0"/>
        <charset val="1"/>
      </rPr>
      <t xml:space="preserve">Rubin Ultra </t>
    </r>
    <r>
      <rPr>
        <sz val="11"/>
        <color theme="1"/>
        <rFont val="Noto Sans CJK SC"/>
        <family val="2"/>
      </rPr>
      <t xml:space="preserve">以後；區間 </t>
    </r>
    <r>
      <rPr>
        <sz val="11"/>
        <color theme="1"/>
        <rFont val="Arial"/>
        <family val="0"/>
        <charset val="1"/>
      </rPr>
      <t xml:space="preserve">1.3–2.5</t>
    </r>
  </si>
  <si>
    <r>
      <rPr>
        <sz val="11"/>
        <color theme="1"/>
        <rFont val="Noto Sans CJK SC"/>
        <family val="2"/>
      </rPr>
      <t xml:space="preserve">艦隊組合：</t>
    </r>
    <r>
      <rPr>
        <sz val="11"/>
        <color theme="1"/>
        <rFont val="Arial"/>
        <family val="0"/>
        <charset val="1"/>
      </rPr>
      <t xml:space="preserve">Hopper </t>
    </r>
    <r>
      <rPr>
        <sz val="11"/>
        <color theme="1"/>
        <rFont val="Noto Sans CJK SC"/>
        <family val="2"/>
      </rPr>
      <t xml:space="preserve">占實體 </t>
    </r>
    <r>
      <rPr>
        <sz val="11"/>
        <color theme="1"/>
        <rFont val="Arial"/>
        <family val="0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</si>
  <si>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自研／其他＝</t>
    </r>
    <r>
      <rPr>
        <sz val="11"/>
        <color theme="1"/>
        <rFont val="Arial"/>
        <family val="0"/>
        <charset val="1"/>
      </rPr>
      <t xml:space="preserve">1−</t>
    </r>
    <r>
      <rPr>
        <sz val="11"/>
        <color theme="1"/>
        <rFont val="Noto Sans CJK SC"/>
        <family val="2"/>
      </rPr>
      <t xml:space="preserve">其餘</t>
    </r>
  </si>
  <si>
    <r>
      <rPr>
        <sz val="11"/>
        <color theme="1"/>
        <rFont val="Noto Sans CJK SC"/>
        <family val="2"/>
      </rPr>
      <t xml:space="preserve">艦隊組合：</t>
    </r>
    <r>
      <rPr>
        <sz val="11"/>
        <color theme="1"/>
        <rFont val="Arial"/>
        <family val="0"/>
        <charset val="1"/>
      </rPr>
      <t xml:space="preserve">Blackwell </t>
    </r>
    <r>
      <rPr>
        <sz val="11"/>
        <color theme="1"/>
        <rFont val="Noto Sans CJK SC"/>
        <family val="2"/>
      </rPr>
      <t xml:space="preserve">占實體 </t>
    </r>
    <r>
      <rPr>
        <sz val="11"/>
        <color theme="1"/>
        <rFont val="Arial"/>
        <family val="0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</si>
  <si>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艦隊組合：</t>
    </r>
    <r>
      <rPr>
        <sz val="11"/>
        <color theme="1"/>
        <rFont val="Arial"/>
        <family val="0"/>
        <charset val="1"/>
      </rPr>
      <t xml:space="preserve">Vera Rubin </t>
    </r>
    <r>
      <rPr>
        <sz val="11"/>
        <color theme="1"/>
        <rFont val="Noto Sans CJK SC"/>
        <family val="2"/>
      </rPr>
      <t xml:space="preserve">占實體 </t>
    </r>
    <r>
      <rPr>
        <sz val="11"/>
        <color theme="1"/>
        <rFont val="Arial"/>
        <family val="0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</si>
  <si>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艦隊組合：次世代 占實體 </t>
    </r>
    <r>
      <rPr>
        <sz val="11"/>
        <color theme="1"/>
        <rFont val="Arial"/>
        <family val="0"/>
        <charset val="1"/>
      </rPr>
      <t xml:space="preserve">GW</t>
    </r>
  </si>
  <si>
    <r>
      <rPr>
        <sz val="11"/>
        <color theme="1"/>
        <rFont val="Arial"/>
        <family val="0"/>
        <charset val="1"/>
      </rPr>
      <t xml:space="preserve">2024 </t>
    </r>
    <r>
      <rPr>
        <sz val="11"/>
        <color theme="1"/>
        <rFont val="Noto Sans CJK SC"/>
        <family val="2"/>
      </rPr>
      <t xml:space="preserve">年底算力</t>
    </r>
  </si>
  <si>
    <r>
      <rPr>
        <sz val="11"/>
        <color theme="1"/>
        <rFont val="Arial"/>
        <family val="0"/>
        <charset val="1"/>
      </rPr>
      <t xml:space="preserve">CFO Friar </t>
    </r>
    <r>
      <rPr>
        <sz val="11"/>
        <color theme="1"/>
        <rFont val="Noto Sans CJK SC"/>
        <family val="2"/>
      </rPr>
      <t xml:space="preserve">部落格 </t>
    </r>
    <r>
      <rPr>
        <sz val="11"/>
        <color theme="1"/>
        <rFont val="Arial"/>
        <family val="0"/>
        <charset val="1"/>
      </rPr>
      <t xml:space="preserve">2026-01-18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Arial"/>
        <family val="0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0.6</t>
    </r>
    <r>
      <rPr>
        <sz val="11"/>
        <color theme="1"/>
        <rFont val="Noto Sans CJK SC"/>
        <family val="2"/>
      </rPr>
      <t xml:space="preserve">／約 </t>
    </r>
    <r>
      <rPr>
        <sz val="11"/>
        <color theme="1"/>
        <rFont val="Arial"/>
        <family val="0"/>
        <charset val="1"/>
      </rPr>
      <t xml:space="preserve">1.9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ARR $2B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$6B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$20B+</t>
    </r>
  </si>
  <si>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年底算力</t>
    </r>
  </si>
  <si>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Arial"/>
        <family val="0"/>
        <charset val="1"/>
      </rPr>
      <t xml:space="preserve">ARR</t>
    </r>
  </si>
  <si>
    <r>
      <rPr>
        <sz val="11"/>
        <color theme="1"/>
        <rFont val="Noto Sans CJK SC"/>
        <family val="2"/>
      </rPr>
      <t xml:space="preserve">租用每實體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年價格（未揭露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之合約）</t>
    </r>
  </si>
  <si>
    <r>
      <rPr>
        <sz val="11"/>
        <color theme="1"/>
        <rFont val="Arial"/>
        <family val="0"/>
        <charset val="1"/>
      </rPr>
      <t xml:space="preserve">$B/GW-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</si>
  <si>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Arial"/>
        <family val="0"/>
        <charset val="1"/>
      </rPr>
      <t xml:space="preserve">Oracle $300B÷5 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Arial"/>
        <family val="0"/>
        <charset val="1"/>
      </rPr>
      <t xml:space="preserve">÷4.5GW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$13.3B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合約現金</t>
    </r>
    <r>
      <rPr>
        <sz val="11"/>
        <color theme="1"/>
        <rFont val="Arial"/>
        <family val="0"/>
        <charset val="1"/>
      </rPr>
      <t xml:space="preserve">÷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Arial"/>
        <family val="0"/>
        <charset val="1"/>
      </rPr>
      <t xml:space="preserve">GW≈$11.8B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Arial"/>
        <family val="0"/>
        <charset val="1"/>
      </rPr>
      <t xml:space="preserve">8–16</t>
    </r>
  </si>
  <si>
    <r>
      <rPr>
        <sz val="11"/>
        <color theme="1"/>
        <rFont val="Noto Sans CJK SC"/>
        <family val="2"/>
      </rPr>
      <t xml:space="preserve">閒置與維運保留（</t>
    </r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</si>
  <si>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Arial"/>
        <family val="0"/>
        <charset val="1"/>
      </rPr>
      <t xml:space="preserve">V1a </t>
    </r>
    <r>
      <rPr>
        <sz val="11"/>
        <color theme="1"/>
        <rFont val="Noto Sans CJK SC"/>
        <family val="2"/>
      </rPr>
      <t xml:space="preserve">容量上限：推論可用＝</t>
    </r>
    <r>
      <rPr>
        <sz val="11"/>
        <color theme="1"/>
        <rFont val="Arial"/>
        <family val="0"/>
        <charset val="1"/>
      </rPr>
      <t xml:space="preserve">VR-eq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Arial"/>
        <family val="0"/>
        <charset val="1"/>
      </rPr>
      <t xml:space="preserve">×(1−</t>
    </r>
    <r>
      <rPr>
        <sz val="11"/>
        <color theme="1"/>
        <rFont val="Noto Sans CJK SC"/>
        <family val="2"/>
      </rPr>
      <t xml:space="preserve">閒置</t>
    </r>
    <r>
      <rPr>
        <sz val="11"/>
        <color theme="1"/>
        <rFont val="Arial"/>
        <family val="0"/>
        <charset val="1"/>
      </rPr>
      <t xml:space="preserve">)×(1−</t>
    </r>
    <r>
      <rPr>
        <sz val="11"/>
        <color theme="1"/>
        <rFont val="Noto Sans CJK SC"/>
        <family val="2"/>
      </rPr>
      <t xml:space="preserve">訓練最低占比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</si>
  <si>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廣告曝光比例（</t>
    </r>
    <r>
      <rPr>
        <sz val="11"/>
        <color theme="1"/>
        <rFont val="Arial"/>
        <family val="0"/>
        <charset val="1"/>
      </rPr>
      <t xml:space="preserve">Free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Arial"/>
        <family val="0"/>
        <charset val="1"/>
      </rPr>
      <t xml:space="preserve">Go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</si>
  <si>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Andy 2026-09-29</t>
    </r>
    <r>
      <rPr>
        <sz val="11"/>
        <color theme="1"/>
        <rFont val="Noto Sans CJK SC"/>
        <family val="2"/>
      </rPr>
      <t xml:space="preserve">：商業模式未成熟，</t>
    </r>
    <r>
      <rPr>
        <sz val="11"/>
        <color theme="1"/>
        <rFont val="Arial"/>
        <family val="0"/>
        <charset val="1"/>
      </rPr>
      <t xml:space="preserve">2027→2030 </t>
    </r>
    <r>
      <rPr>
        <sz val="11"/>
        <color theme="1"/>
        <rFont val="Noto Sans CJK SC"/>
        <family val="2"/>
      </rPr>
      <t xml:space="preserve">不宜 </t>
    </r>
    <r>
      <rPr>
        <sz val="11"/>
        <color theme="1"/>
        <rFont val="Arial"/>
        <family val="0"/>
        <charset val="1"/>
      </rPr>
      <t xml:space="preserve">8 </t>
    </r>
    <r>
      <rPr>
        <sz val="11"/>
        <color theme="1"/>
        <rFont val="Noto Sans CJK SC"/>
        <family val="2"/>
      </rPr>
      <t xml:space="preserve">倍；核心分析排除廣告</t>
    </r>
  </si>
  <si>
    <r>
      <rPr>
        <sz val="11"/>
        <color theme="1"/>
        <rFont val="Arial"/>
        <family val="0"/>
        <charset val="1"/>
      </rPr>
      <t xml:space="preserve">$/</t>
    </r>
    <r>
      <rPr>
        <sz val="11"/>
        <color theme="1"/>
        <rFont val="Noto Sans CJK SC"/>
        <family val="2"/>
      </rPr>
      <t xml:space="preserve">人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</si>
  <si>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上限參照 </t>
    </r>
    <r>
      <rPr>
        <sz val="11"/>
        <color theme="1"/>
        <rFont val="Arial"/>
        <family val="0"/>
        <charset val="1"/>
      </rPr>
      <t xml:space="preserve">Meta FY2025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Arial"/>
        <family val="0"/>
        <charset val="1"/>
      </rPr>
      <t xml:space="preserve">ARPP $57.03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Arial"/>
        <family val="0"/>
        <charset val="1"/>
      </rPr>
      <t xml:space="preserve">base 2027→2030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Arial"/>
        <family val="0"/>
        <charset val="1"/>
      </rPr>
      <t xml:space="preserve">2.9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</si>
  <si>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管理層營收目標（</t>
    </r>
    <r>
      <rPr>
        <sz val="11"/>
        <color theme="1"/>
        <rFont val="Arial"/>
        <family val="0"/>
        <charset val="1"/>
      </rPr>
      <t xml:space="preserve">7 </t>
    </r>
    <r>
      <rPr>
        <sz val="11"/>
        <color theme="1"/>
        <rFont val="Noto Sans CJK SC"/>
        <family val="2"/>
      </rPr>
      <t xml:space="preserve">月簡報）</t>
    </r>
  </si>
  <si>
    <r>
      <rPr>
        <sz val="11"/>
        <color theme="1"/>
        <rFont val="Arial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Σ840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Arial"/>
        <family val="0"/>
        <charset val="1"/>
      </rPr>
      <t xml:space="preserve">FT 2026-09-18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7 </t>
    </r>
    <r>
      <rPr>
        <sz val="11"/>
        <color theme="1"/>
        <rFont val="Noto Sans CJK SC"/>
        <family val="2"/>
      </rPr>
      <t xml:space="preserve">月簡報）；</t>
    </r>
    <r>
      <rPr>
        <sz val="11"/>
        <color theme="1"/>
        <rFont val="Arial"/>
        <family val="0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為依 </t>
    </r>
    <r>
      <rPr>
        <sz val="11"/>
        <color theme="1"/>
        <rFont val="Arial"/>
        <family val="0"/>
        <charset val="1"/>
      </rPr>
      <t xml:space="preserve">Σ840 </t>
    </r>
    <r>
      <rPr>
        <sz val="11"/>
        <color theme="1"/>
        <rFont val="Noto Sans CJK SC"/>
        <family val="2"/>
      </rPr>
      <t xml:space="preserve">擬合之路徑（</t>
    </r>
    <r>
      <rPr>
        <sz val="11"/>
        <color theme="1"/>
        <rFont val="Arial"/>
        <family val="0"/>
        <charset val="1"/>
      </rPr>
      <t xml:space="preserve">Tokenomics v4 FT_Sep2026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Arial"/>
        <family val="0"/>
        <charset val="1"/>
      </rPr>
      <t xml:space="preserve">24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Arial"/>
        <family val="0"/>
        <charset val="1"/>
      </rPr>
      <t xml:space="preserve">[Derived]</t>
    </r>
  </si>
  <si>
    <r>
      <rPr>
        <sz val="11"/>
        <color theme="1"/>
        <rFont val="Arial"/>
        <family val="0"/>
        <charset val="1"/>
      </rPr>
      <t xml:space="preserve">2030 </t>
    </r>
    <r>
      <rPr>
        <sz val="11"/>
        <color theme="1"/>
        <rFont val="Noto Sans CJK SC"/>
        <family val="2"/>
      </rPr>
      <t xml:space="preserve">週活躍用戶計畫</t>
    </r>
  </si>
  <si>
    <r>
      <rPr>
        <sz val="11"/>
        <color theme="1"/>
        <rFont val="Arial"/>
        <family val="0"/>
        <charset val="1"/>
      </rPr>
      <t xml:space="preserve">Axios 2026-04-09 </t>
    </r>
    <r>
      <rPr>
        <sz val="11"/>
        <color theme="1"/>
        <rFont val="Noto Sans CJK SC"/>
        <family val="2"/>
      </rPr>
      <t xml:space="preserve">廣告預測之用戶假設</t>
    </r>
  </si>
  <si>
    <r>
      <rPr>
        <sz val="11"/>
        <color theme="1"/>
        <rFont val="Noto Sans CJK SC"/>
        <family val="2"/>
      </rPr>
      <t xml:space="preserve">簡報累計自由現金流 </t>
    </r>
    <r>
      <rPr>
        <sz val="11"/>
        <color theme="1"/>
        <rFont val="Arial"/>
        <family val="0"/>
        <charset val="1"/>
      </rPr>
      <t xml:space="preserve">2026–30</t>
    </r>
  </si>
  <si>
    <r>
      <rPr>
        <sz val="11"/>
        <color theme="1"/>
        <rFont val="Arial"/>
        <family val="0"/>
        <charset val="1"/>
      </rPr>
      <t xml:space="preserve">Microsoft Azure </t>
    </r>
    <r>
      <rPr>
        <sz val="11"/>
        <color theme="1"/>
        <rFont val="Noto Sans CJK SC"/>
        <family val="2"/>
      </rPr>
      <t xml:space="preserve">合約</t>
    </r>
  </si>
  <si>
    <r>
      <rPr>
        <sz val="11"/>
        <color theme="1"/>
        <rFont val="Noto Sans CJK SC"/>
        <family val="2"/>
      </rPr>
      <t xml:space="preserve">總額：</t>
    </r>
    <r>
      <rPr>
        <sz val="11"/>
        <color theme="1"/>
        <rFont val="Arial"/>
        <family val="0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Microsoft 2025-10 </t>
    </r>
    <r>
      <rPr>
        <sz val="11"/>
        <color theme="1"/>
        <rFont val="Noto Sans CJK SC"/>
        <family val="2"/>
      </rPr>
      <t xml:space="preserve">公告增購 </t>
    </r>
    <r>
      <rPr>
        <sz val="11"/>
        <color theme="1"/>
        <rFont val="Arial"/>
        <family val="0"/>
        <charset val="1"/>
      </rPr>
      <t xml:space="preserve">$250B Azure [Verified]</t>
    </r>
    <r>
      <rPr>
        <sz val="11"/>
        <color theme="1"/>
        <rFont val="Noto Sans CJK SC"/>
        <family val="2"/>
      </rPr>
      <t xml:space="preserve">；期間 </t>
    </r>
    <r>
      <rPr>
        <sz val="11"/>
        <color theme="1"/>
        <rFont val="Arial"/>
        <family val="0"/>
        <charset val="1"/>
      </rPr>
      <t xml:space="preserve">2025–2030 </t>
    </r>
    <r>
      <rPr>
        <sz val="11"/>
        <color theme="1"/>
        <rFont val="Noto Sans CJK SC"/>
        <family val="2"/>
      </rPr>
      <t xml:space="preserve">為估計 </t>
    </r>
    <r>
      <rPr>
        <sz val="11"/>
        <color theme="1"/>
        <rFont val="Arial"/>
        <family val="0"/>
        <charset val="1"/>
      </rPr>
      <t xml:space="preserve">[Analogy]</t>
    </r>
  </si>
  <si>
    <r>
      <rPr>
        <sz val="11"/>
        <color theme="1"/>
        <rFont val="Arial"/>
        <family val="0"/>
        <charset val="1"/>
      </rPr>
      <t xml:space="preserve">Oracle </t>
    </r>
    <r>
      <rPr>
        <sz val="11"/>
        <color theme="1"/>
        <rFont val="Noto Sans CJK SC"/>
        <family val="2"/>
      </rPr>
      <t xml:space="preserve">合約</t>
    </r>
  </si>
  <si>
    <r>
      <rPr>
        <sz val="11"/>
        <color theme="1"/>
        <rFont val="Arial"/>
        <family val="0"/>
        <charset val="1"/>
      </rPr>
      <t xml:space="preserve">WSJ 2025-09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Oracle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Arial"/>
        <family val="0"/>
        <charset val="1"/>
      </rPr>
      <t xml:space="preserve">5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Arial"/>
        <family val="0"/>
        <charset val="1"/>
      </rPr>
      <t xml:space="preserve">2027 </t>
    </r>
    <r>
      <rPr>
        <sz val="11"/>
        <color theme="1"/>
        <rFont val="Noto Sans CJK SC"/>
        <family val="2"/>
      </rPr>
      <t xml:space="preserve">起、約 </t>
    </r>
    <r>
      <rPr>
        <sz val="11"/>
        <color theme="1"/>
        <rFont val="Arial"/>
        <family val="0"/>
        <charset val="1"/>
      </rPr>
      <t xml:space="preserve">4.5GW</t>
    </r>
  </si>
  <si>
    <r>
      <rPr>
        <sz val="11"/>
        <color theme="1"/>
        <rFont val="Arial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Nvidia GPU</t>
    </r>
    <r>
      <rPr>
        <sz val="11"/>
        <color theme="1"/>
        <rFont val="Noto Sans CJK SC"/>
        <family val="2"/>
      </rPr>
      <t xml:space="preserve">） 合約</t>
    </r>
  </si>
  <si>
    <r>
      <rPr>
        <sz val="11"/>
        <color theme="1"/>
        <rFont val="Arial"/>
        <family val="0"/>
        <charset val="1"/>
      </rPr>
      <t xml:space="preserve">AWS/OpenAI 2025-11-03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Arial"/>
        <family val="0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</si>
  <si>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Arial"/>
        <family val="0"/>
        <charset val="1"/>
      </rPr>
      <t xml:space="preserve">AWS </t>
    </r>
    <r>
      <rPr>
        <sz val="11"/>
        <color theme="1"/>
        <rFont val="Noto Sans CJK SC"/>
        <family val="2"/>
      </rPr>
      <t xml:space="preserve">擴約（</t>
    </r>
    <r>
      <rPr>
        <sz val="11"/>
        <color theme="1"/>
        <rFont val="Arial"/>
        <family val="0"/>
        <charset val="1"/>
      </rPr>
      <t xml:space="preserve">Trainium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VR</t>
    </r>
    <r>
      <rPr>
        <sz val="11"/>
        <color theme="1"/>
        <rFont val="Noto Sans CJK SC"/>
        <family val="2"/>
      </rPr>
      <t xml:space="preserve">） 合約</t>
    </r>
  </si>
  <si>
    <r>
      <rPr>
        <sz val="11"/>
        <color theme="1"/>
        <rFont val="Arial"/>
        <family val="0"/>
        <charset val="1"/>
      </rPr>
      <t xml:space="preserve">2026-02 </t>
    </r>
    <r>
      <rPr>
        <sz val="11"/>
        <color theme="1"/>
        <rFont val="Noto Sans CJK SC"/>
        <family val="2"/>
      </rPr>
      <t xml:space="preserve">融資公告：</t>
    </r>
    <r>
      <rPr>
        <sz val="11"/>
        <color theme="1"/>
        <rFont val="Arial"/>
        <family val="0"/>
        <charset val="1"/>
      </rPr>
      <t xml:space="preserve">AWS </t>
    </r>
    <r>
      <rPr>
        <sz val="11"/>
        <color theme="1"/>
        <rFont val="Noto Sans CJK SC"/>
        <family val="2"/>
      </rPr>
      <t xml:space="preserve">追加 </t>
    </r>
    <r>
      <rPr>
        <sz val="11"/>
        <color theme="1"/>
        <rFont val="Arial"/>
        <family val="0"/>
        <charset val="1"/>
      </rPr>
      <t xml:space="preserve">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8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Arial"/>
        <family val="0"/>
        <charset val="1"/>
      </rPr>
      <t xml:space="preserve">2GW Trainium</t>
    </r>
  </si>
  <si>
    <r>
      <rPr>
        <sz val="11"/>
        <color theme="1"/>
        <rFont val="Arial"/>
        <family val="0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</t>
    </r>
  </si>
  <si>
    <r>
      <rPr>
        <sz val="11"/>
        <color theme="1"/>
        <rFont val="Arial"/>
        <family val="0"/>
        <charset val="1"/>
      </rPr>
      <t xml:space="preserve">CoreWeave </t>
    </r>
    <r>
      <rPr>
        <sz val="11"/>
        <color theme="1"/>
        <rFont val="Noto Sans CJK SC"/>
        <family val="2"/>
      </rPr>
      <t xml:space="preserve">揭露：</t>
    </r>
    <r>
      <rPr>
        <sz val="11"/>
        <color theme="1"/>
        <rFont val="Arial"/>
        <family val="0"/>
        <charset val="1"/>
      </rPr>
      <t xml:space="preserve">$11.9B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Arial"/>
        <family val="0"/>
        <charset val="1"/>
      </rPr>
      <t xml:space="preserve">$4B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Arial"/>
        <family val="0"/>
        <charset val="1"/>
      </rPr>
      <t xml:space="preserve">$6.5B</t>
    </r>
    <r>
      <rPr>
        <sz val="11"/>
        <color theme="1"/>
        <rFont val="Noto Sans CJK SC"/>
        <family val="2"/>
      </rPr>
      <t xml:space="preserve">；日後可改接 </t>
    </r>
    <r>
      <rPr>
        <sz val="11"/>
        <color theme="1"/>
        <rFont val="Arial"/>
        <family val="0"/>
        <charset val="1"/>
      </rPr>
      <t xml:space="preserve">CRWV </t>
    </r>
    <r>
      <rPr>
        <sz val="11"/>
        <color theme="1"/>
        <rFont val="Noto Sans CJK SC"/>
        <family val="2"/>
      </rPr>
      <t xml:space="preserve">模型之 </t>
    </r>
    <r>
      <rPr>
        <sz val="11"/>
        <color theme="1"/>
        <rFont val="Arial"/>
        <family val="0"/>
        <charset val="1"/>
      </rPr>
      <t xml:space="preserve">OpenAI </t>
    </r>
    <r>
      <rPr>
        <sz val="11"/>
        <color theme="1"/>
        <rFont val="Noto Sans CJK SC"/>
        <family val="2"/>
      </rPr>
      <t xml:space="preserve">時程</t>
    </r>
  </si>
  <si>
    <r>
      <rPr>
        <sz val="11"/>
        <color theme="1"/>
        <rFont val="Arial"/>
        <family val="0"/>
        <charset val="1"/>
      </rPr>
      <t xml:space="preserve">Cerebras </t>
    </r>
    <r>
      <rPr>
        <sz val="11"/>
        <color theme="1"/>
        <rFont val="Noto Sans CJK SC"/>
        <family val="2"/>
      </rPr>
      <t xml:space="preserve">合約</t>
    </r>
  </si>
  <si>
    <r>
      <rPr>
        <sz val="11"/>
        <color theme="1"/>
        <rFont val="Arial"/>
        <family val="0"/>
        <charset val="1"/>
      </rPr>
      <t xml:space="preserve">Cerebras 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8-K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Arial"/>
        <family val="0"/>
        <charset val="1"/>
      </rPr>
      <t xml:space="preserve">750MW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2026–28 </t>
    </r>
    <r>
      <rPr>
        <sz val="11"/>
        <color theme="1"/>
        <rFont val="Noto Sans CJK SC"/>
        <family val="2"/>
      </rPr>
      <t xml:space="preserve">分批部署、每批 </t>
    </r>
    <r>
      <rPr>
        <sz val="11"/>
        <color theme="1"/>
        <rFont val="Arial"/>
        <family val="0"/>
        <charset val="1"/>
      </rPr>
      <t xml:space="preserve">3–4 </t>
    </r>
    <r>
      <rPr>
        <sz val="11"/>
        <color theme="1"/>
        <rFont val="Noto Sans CJK SC"/>
        <family val="2"/>
      </rPr>
      <t xml:space="preserve">年、總值逾 </t>
    </r>
    <r>
      <rPr>
        <sz val="11"/>
        <color theme="1"/>
        <rFont val="Arial"/>
        <family val="0"/>
        <charset val="1"/>
      </rPr>
      <t xml:space="preserve">$20B</t>
    </r>
    <r>
      <rPr>
        <sz val="11"/>
        <color theme="1"/>
        <rFont val="Noto Sans CJK SC"/>
        <family val="2"/>
      </rPr>
      <t xml:space="preserve">；期間終點為推估</t>
    </r>
  </si>
  <si>
    <r>
      <rPr>
        <sz val="11"/>
        <color theme="1"/>
        <rFont val="Noto Sans CJK SC"/>
        <family val="2"/>
      </rPr>
      <t xml:space="preserve">自有園區與晶片（例：</t>
    </r>
    <r>
      <rPr>
        <sz val="11"/>
        <color theme="1"/>
        <rFont val="Arial"/>
        <family val="0"/>
        <charset val="1"/>
      </rPr>
      <t xml:space="preserve">Project Camellia $20B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Arial"/>
        <family val="0"/>
        <charset val="1"/>
      </rPr>
      <t xml:space="preserve">TechCrunch 2026-07-22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</si>
  <si>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S3</t>
    </r>
    <r>
      <rPr>
        <sz val="11"/>
        <color theme="1"/>
        <rFont val="Noto Sans CJK SC"/>
        <family val="2"/>
      </rPr>
      <t xml:space="preserve">，沿用 </t>
    </r>
    <r>
      <rPr>
        <sz val="11"/>
        <color theme="1"/>
        <rFont val="Arial"/>
        <family val="0"/>
        <charset val="1"/>
      </rPr>
      <t xml:space="preserve">v4 </t>
    </r>
    <r>
      <rPr>
        <sz val="11"/>
        <color theme="1"/>
        <rFont val="Noto Sans CJK SC"/>
        <family val="2"/>
      </rPr>
      <t xml:space="preserve">槓桿，情境軸</t>
    </r>
  </si>
  <si>
    <r>
      <rPr>
        <sz val="11"/>
        <color theme="1"/>
        <rFont val="Noto Sans CJK SC"/>
        <family val="2"/>
      </rPr>
      <t xml:space="preserve">營運費用（不含算力、股票薪酬）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總額</t>
    </r>
  </si>
  <si>
    <r>
      <rPr>
        <sz val="11"/>
        <color theme="1"/>
        <rFont val="Arial"/>
        <family val="0"/>
        <charset val="1"/>
      </rPr>
      <t xml:space="preserve">S5a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為實際（研發不含付 </t>
    </r>
    <r>
      <rPr>
        <sz val="11"/>
        <color theme="1"/>
        <rFont val="Arial"/>
        <family val="0"/>
        <charset val="1"/>
      </rPr>
      <t xml:space="preserve">Microsoft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Arial"/>
        <family val="0"/>
        <charset val="1"/>
      </rPr>
      <t xml:space="preserve">$10.6B</t>
    </r>
    <r>
      <rPr>
        <sz val="11"/>
        <color theme="1"/>
        <rFont val="Noto Sans CJK SC"/>
        <family val="2"/>
      </rPr>
      <t xml:space="preserve">、銷售、管理）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Arial"/>
        <family val="0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2026+ </t>
    </r>
    <r>
      <rPr>
        <sz val="11"/>
        <color theme="1"/>
        <rFont val="Noto Sans CJK SC"/>
        <family val="2"/>
      </rPr>
      <t xml:space="preserve">沿 </t>
    </r>
    <r>
      <rPr>
        <sz val="11"/>
        <color theme="1"/>
        <rFont val="Arial"/>
        <family val="0"/>
        <charset val="1"/>
      </rPr>
      <t xml:space="preserve">Tokenomics v4 </t>
    </r>
    <r>
      <rPr>
        <sz val="11"/>
        <color theme="1"/>
        <rFont val="Noto Sans CJK SC"/>
        <family val="2"/>
      </rPr>
      <t xml:space="preserve">研發</t>
    </r>
    <r>
      <rPr>
        <sz val="11"/>
        <color theme="1"/>
        <rFont val="Arial"/>
        <family val="0"/>
        <charset val="1"/>
      </rPr>
      <t xml:space="preserve">×(1−</t>
    </r>
    <r>
      <rPr>
        <sz val="11"/>
        <color theme="1"/>
        <rFont val="Noto Sans CJK SC"/>
        <family val="2"/>
      </rPr>
      <t xml:space="preserve">算力占比 </t>
    </r>
    <r>
      <rPr>
        <sz val="11"/>
        <color theme="1"/>
        <rFont val="Arial"/>
        <family val="0"/>
        <charset val="1"/>
      </rPr>
      <t xml:space="preserve">60%)</t>
    </r>
    <r>
      <rPr>
        <sz val="11"/>
        <color theme="1"/>
        <rFont val="Noto Sans CJK SC"/>
        <family val="2"/>
      </rPr>
      <t xml:space="preserve">＋銷售＋管理路徑；不含股票薪酬</t>
    </r>
  </si>
  <si>
    <r>
      <rPr>
        <sz val="11"/>
        <color theme="1"/>
        <rFont val="Noto Sans CJK SC"/>
        <family val="2"/>
      </rPr>
      <t xml:space="preserve">算力累計 </t>
    </r>
    <r>
      <rPr>
        <sz val="11"/>
        <color theme="1"/>
        <rFont val="Arial"/>
        <family val="0"/>
        <charset val="1"/>
      </rPr>
      <t xml:space="preserve">2026–30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Arial"/>
        <family val="0"/>
        <charset val="1"/>
      </rPr>
      <t xml:space="preserve">WSJ</t>
    </r>
  </si>
  <si>
    <r>
      <rPr>
        <sz val="11"/>
        <color theme="1"/>
        <rFont val="Noto Sans CJK SC"/>
        <family val="2"/>
      </rPr>
      <t xml:space="preserve">算力累計 </t>
    </r>
    <r>
      <rPr>
        <sz val="11"/>
        <color theme="1"/>
        <rFont val="Arial"/>
        <family val="0"/>
        <charset val="1"/>
      </rPr>
      <t xml:space="preserve">2026–30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Arial"/>
        <family val="0"/>
        <charset val="1"/>
      </rPr>
      <t xml:space="preserve">FT </t>
    </r>
    <r>
      <rPr>
        <sz val="11"/>
        <color theme="1"/>
        <rFont val="Noto Sans CJK SC"/>
        <family val="2"/>
      </rPr>
      <t xml:space="preserve">簡報</t>
    </r>
  </si>
  <si>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算力支出（證詞）</t>
    </r>
  </si>
  <si>
    <r>
      <rPr>
        <sz val="11"/>
        <color theme="1"/>
        <rFont val="Arial"/>
        <family val="0"/>
        <charset val="1"/>
      </rPr>
      <t xml:space="preserve">Brockman </t>
    </r>
    <r>
      <rPr>
        <sz val="11"/>
        <color theme="1"/>
        <rFont val="Noto Sans CJK SC"/>
        <family val="2"/>
      </rPr>
      <t xml:space="preserve">證詞（</t>
    </r>
    <r>
      <rPr>
        <sz val="11"/>
        <color theme="1"/>
        <rFont val="Arial"/>
        <family val="0"/>
        <charset val="1"/>
      </rPr>
      <t xml:space="preserve">commitments tracker 2026-05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</si>
  <si>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年底現金</t>
    </r>
  </si>
  <si>
    <r>
      <rPr>
        <sz val="11"/>
        <color theme="1"/>
        <rFont val="Arial"/>
        <family val="0"/>
        <charset val="1"/>
      </rPr>
      <t xml:space="preserve">2025-12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Arial"/>
        <family val="0"/>
        <charset val="1"/>
      </rPr>
      <t xml:space="preserve">$40B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2026 Q1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Arial"/>
        <family val="0"/>
        <charset val="1"/>
      </rPr>
      <t xml:space="preserve">$73B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Arial"/>
        <family val="0"/>
        <charset val="1"/>
      </rPr>
      <t xml:space="preserve">TNW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</si>
  <si>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股權流入（無條件部分）</t>
    </r>
  </si>
  <si>
    <r>
      <rPr>
        <sz val="11"/>
        <color theme="1"/>
        <rFont val="Arial"/>
        <family val="0"/>
        <charset val="1"/>
      </rPr>
      <t xml:space="preserve">Amazon </t>
    </r>
    <r>
      <rPr>
        <sz val="11"/>
        <color theme="1"/>
        <rFont val="Noto Sans CJK SC"/>
        <family val="2"/>
      </rPr>
      <t xml:space="preserve">首筆 </t>
    </r>
    <r>
      <rPr>
        <sz val="11"/>
        <color theme="1"/>
        <rFont val="Arial"/>
        <family val="0"/>
        <charset val="1"/>
      </rPr>
      <t xml:space="preserve">$15B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Arial"/>
        <family val="0"/>
        <charset val="1"/>
      </rPr>
      <t xml:space="preserve">SoftBank $30B</t>
    </r>
    <r>
      <rPr>
        <sz val="11"/>
        <color theme="1"/>
        <rFont val="Noto Sans CJK SC"/>
        <family val="2"/>
      </rPr>
      <t xml:space="preserve">（三期）＋</t>
    </r>
    <r>
      <rPr>
        <sz val="11"/>
        <color theme="1"/>
        <rFont val="Arial"/>
        <family val="0"/>
        <charset val="1"/>
      </rPr>
      <t xml:space="preserve">Nvidia $30B</t>
    </r>
    <r>
      <rPr>
        <sz val="11"/>
        <color theme="1"/>
        <rFont val="Noto Sans CJK SC"/>
        <family val="2"/>
      </rPr>
      <t xml:space="preserve">＋其他約 </t>
    </r>
    <r>
      <rPr>
        <sz val="11"/>
        <color theme="1"/>
        <rFont val="Arial"/>
        <family val="0"/>
        <charset val="1"/>
      </rPr>
      <t xml:space="preserve">$12B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Nvidia </t>
    </r>
    <r>
      <rPr>
        <sz val="11"/>
        <color theme="1"/>
        <rFont val="Noto Sans CJK SC"/>
        <family val="2"/>
      </rPr>
      <t xml:space="preserve">以現金計 </t>
    </r>
    <r>
      <rPr>
        <sz val="11"/>
        <color theme="1"/>
        <rFont val="Arial"/>
        <family val="0"/>
        <charset val="1"/>
      </rPr>
      <t xml:space="preserve">[Assumed</t>
    </r>
    <r>
      <rPr>
        <sz val="11"/>
        <color theme="1"/>
        <rFont val="Noto Sans CJK SC"/>
        <family val="2"/>
      </rPr>
      <t xml:space="preserve">，另有報導稱多為算力</t>
    </r>
    <r>
      <rPr>
        <sz val="11"/>
        <color theme="1"/>
        <rFont val="Arial"/>
        <family val="0"/>
        <charset val="1"/>
      </rPr>
      <t xml:space="preserve">]</t>
    </r>
  </si>
  <si>
    <r>
      <rPr>
        <sz val="11"/>
        <color theme="1"/>
        <rFont val="Arial"/>
        <family val="0"/>
        <charset val="1"/>
      </rPr>
      <t xml:space="preserve">Amazon </t>
    </r>
    <r>
      <rPr>
        <sz val="11"/>
        <color theme="1"/>
        <rFont val="Noto Sans CJK SC"/>
        <family val="2"/>
      </rPr>
      <t xml:space="preserve">條件式投資</t>
    </r>
  </si>
  <si>
    <r>
      <rPr>
        <sz val="11"/>
        <color theme="1"/>
        <rFont val="Arial"/>
        <family val="0"/>
        <charset val="1"/>
      </rPr>
      <t xml:space="preserve">Amazon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Arial"/>
        <family val="0"/>
        <charset val="1"/>
      </rPr>
      <t xml:space="preserve">$35B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Arial"/>
        <family val="0"/>
        <charset val="1"/>
      </rPr>
      <t xml:space="preserve">IPO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Arial"/>
        <family val="0"/>
        <charset val="1"/>
      </rPr>
      <t xml:space="preserve">AGI </t>
    </r>
    <r>
      <rPr>
        <sz val="11"/>
        <color theme="1"/>
        <rFont val="Noto Sans CJK SC"/>
        <family val="2"/>
      </rPr>
      <t xml:space="preserve">里程碑為條件（多家報導）；</t>
    </r>
    <r>
      <rPr>
        <sz val="11"/>
        <color theme="1"/>
        <rFont val="Arial"/>
        <family val="0"/>
        <charset val="1"/>
      </rPr>
      <t xml:space="preserve">base </t>
    </r>
    <r>
      <rPr>
        <sz val="11"/>
        <color theme="1"/>
        <rFont val="Noto Sans CJK SC"/>
        <family val="2"/>
      </rPr>
      <t xml:space="preserve">不計入，列情境</t>
    </r>
  </si>
  <si>
    <r>
      <rPr>
        <sz val="11"/>
        <color theme="1"/>
        <rFont val="Arial"/>
        <family val="0"/>
        <charset val="1"/>
      </rPr>
      <t xml:space="preserve">S7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Arial"/>
        <family val="0"/>
        <charset val="1"/>
      </rPr>
      <t xml:space="preserve">CRWV</t>
    </r>
  </si>
  <si>
    <r>
      <rPr>
        <sz val="11"/>
        <color theme="1"/>
        <rFont val="Noto Sans CJK SC"/>
        <family val="2"/>
      </rPr>
      <t xml:space="preserve">或有負債：</t>
    </r>
    <r>
      <rPr>
        <sz val="11"/>
        <color theme="1"/>
        <rFont val="Arial"/>
        <family val="0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</t>
    </r>
  </si>
  <si>
    <r>
      <rPr>
        <sz val="11"/>
        <color theme="1"/>
        <rFont val="Arial"/>
        <family val="0"/>
        <charset val="1"/>
      </rPr>
      <t xml:space="preserve">S4b</t>
    </r>
    <r>
      <rPr>
        <sz val="11"/>
        <color theme="1"/>
        <rFont val="Noto Sans CJK SC"/>
        <family val="2"/>
      </rPr>
      <t xml:space="preserve">：只列示，不作資金來源</t>
    </r>
  </si>
  <si>
    <r>
      <rPr>
        <sz val="11"/>
        <color theme="1"/>
        <rFont val="Noto Sans CJK SC"/>
        <family val="2"/>
      </rPr>
      <t xml:space="preserve">或有：</t>
    </r>
    <r>
      <rPr>
        <sz val="11"/>
        <color theme="1"/>
        <rFont val="Arial"/>
        <family val="0"/>
        <charset val="1"/>
      </rPr>
      <t xml:space="preserve">Nvidia </t>
    </r>
    <r>
      <rPr>
        <sz val="11"/>
        <color theme="1"/>
        <rFont val="Noto Sans CJK SC"/>
        <family val="2"/>
      </rPr>
      <t xml:space="preserve">晶片融資（洽談中）</t>
    </r>
  </si>
  <si>
    <r>
      <rPr>
        <sz val="11"/>
        <color theme="1"/>
        <rFont val="Arial"/>
        <family val="0"/>
        <charset val="1"/>
      </rPr>
      <t xml:space="preserve">S4b</t>
    </r>
    <r>
      <rPr>
        <sz val="11"/>
        <color theme="1"/>
        <rFont val="Noto Sans CJK SC"/>
        <family val="2"/>
      </rPr>
      <t xml:space="preserve">：只列示</t>
    </r>
  </si>
  <si>
    <r>
      <rPr>
        <b val="true"/>
        <sz val="13"/>
        <rFont val="Noto Sans CJK SC"/>
        <family val="2"/>
      </rPr>
      <t xml:space="preserve">算力 </t>
    </r>
    <r>
      <rPr>
        <b val="true"/>
        <sz val="13"/>
        <rFont val="Arial"/>
        <family val="0"/>
        <charset val="1"/>
      </rPr>
      <t xml:space="preserve">MW </t>
    </r>
    <r>
      <rPr>
        <b val="true"/>
        <sz val="13"/>
        <rFont val="Noto Sans CJK SC"/>
        <family val="2"/>
      </rPr>
      <t xml:space="preserve">核心（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VR-eq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Vera Rubin NVL72 </t>
    </r>
    <r>
      <rPr>
        <b val="true"/>
        <sz val="13"/>
        <rFont val="Noto Sans CJK SC"/>
        <family val="2"/>
      </rPr>
      <t xml:space="preserve">等值）：供給（合約＋自建）→ 需求（</t>
    </r>
    <r>
      <rPr>
        <b val="true"/>
        <sz val="13"/>
        <rFont val="Arial"/>
        <family val="0"/>
        <charset val="1"/>
      </rPr>
      <t xml:space="preserve">token→</t>
    </r>
    <r>
      <rPr>
        <b val="true"/>
        <sz val="13"/>
        <rFont val="Noto Sans CJK SC"/>
        <family val="2"/>
      </rPr>
      <t xml:space="preserve">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）→ 容量上限 → 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營收與成本</t>
    </r>
  </si>
  <si>
    <t xml:space="preserve">說明／資金來源</t>
  </si>
  <si>
    <r>
      <rPr>
        <b val="true"/>
        <sz val="11"/>
        <color rgb="FF1F3864"/>
        <rFont val="Noto Sans CJK SC"/>
        <family val="2"/>
      </rPr>
      <t xml:space="preserve">一、供給：實體 </t>
    </r>
    <r>
      <rPr>
        <b val="true"/>
        <sz val="11"/>
        <color rgb="FF1F3864"/>
        <rFont val="Arial"/>
        <family val="0"/>
        <charset val="1"/>
      </rPr>
      <t xml:space="preserve">GW</t>
    </r>
    <r>
      <rPr>
        <b val="true"/>
        <sz val="11"/>
        <color rgb="FF1F3864"/>
        <rFont val="Noto Sans CJK SC"/>
        <family val="2"/>
      </rPr>
      <t xml:space="preserve">（年平均）＝合約付款 </t>
    </r>
    <r>
      <rPr>
        <b val="true"/>
        <sz val="11"/>
        <color rgb="FF1F3864"/>
        <rFont val="Arial"/>
        <family val="0"/>
        <charset val="1"/>
      </rPr>
      <t xml:space="preserve">÷ </t>
    </r>
    <r>
      <rPr>
        <b val="true"/>
        <sz val="11"/>
        <color rgb="FF1F3864"/>
        <rFont val="Noto Sans CJK SC"/>
        <family val="2"/>
      </rPr>
      <t xml:space="preserve">每 </t>
    </r>
    <r>
      <rPr>
        <b val="true"/>
        <sz val="11"/>
        <color rgb="FF1F3864"/>
        <rFont val="Arial"/>
        <family val="0"/>
        <charset val="1"/>
      </rPr>
      <t xml:space="preserve">GW </t>
    </r>
    <r>
      <rPr>
        <b val="true"/>
        <sz val="11"/>
        <color rgb="FF1F3864"/>
        <rFont val="Noto Sans CJK SC"/>
        <family val="2"/>
      </rPr>
      <t xml:space="preserve">價格（已揭露 </t>
    </r>
    <r>
      <rPr>
        <b val="true"/>
        <sz val="11"/>
        <color rgb="FF1F3864"/>
        <rFont val="Arial"/>
        <family val="0"/>
        <charset val="1"/>
      </rPr>
      <t xml:space="preserve">GW </t>
    </r>
    <r>
      <rPr>
        <b val="true"/>
        <sz val="11"/>
        <color rgb="FF1F3864"/>
        <rFont val="Noto Sans CJK SC"/>
        <family val="2"/>
      </rPr>
      <t xml:space="preserve">者依揭露值隨付款爬升）＋自建</t>
    </r>
  </si>
  <si>
    <r>
      <rPr>
        <sz val="11"/>
        <rFont val="Noto Sans CJK SC"/>
        <family val="2"/>
      </rPr>
      <t xml:space="preserve">自建（累計自有資本支出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資本支出，落後一年）</t>
    </r>
  </si>
  <si>
    <r>
      <rPr>
        <sz val="11"/>
        <rFont val="Noto Sans CJK SC"/>
        <family val="2"/>
      </rPr>
      <t xml:space="preserve">實體 </t>
    </r>
    <r>
      <rPr>
        <sz val="11"/>
        <rFont val="Arial"/>
        <family val="0"/>
        <charset val="1"/>
      </rPr>
      <t xml:space="preserve">GW</t>
    </r>
    <r>
      <rPr>
        <sz val="11"/>
        <rFont val="Noto Sans CJK SC"/>
        <family val="2"/>
      </rPr>
      <t xml:space="preserve">（模型推得）</t>
    </r>
  </si>
  <si>
    <r>
      <rPr>
        <b val="true"/>
        <sz val="11"/>
        <rFont val="Noto Sans CJK SC"/>
        <family val="2"/>
      </rPr>
      <t xml:space="preserve">實體 </t>
    </r>
    <r>
      <rPr>
        <b val="true"/>
        <sz val="11"/>
        <rFont val="Arial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＝實際年平均；其後＝模型）</t>
    </r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</si>
  <si>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CFO </t>
    </r>
    <r>
      <rPr>
        <sz val="11"/>
        <rFont val="Noto Sans CJK SC"/>
        <family val="2"/>
      </rPr>
      <t xml:space="preserve">年底 </t>
    </r>
    <r>
      <rPr>
        <sz val="11"/>
        <rFont val="Arial"/>
        <family val="0"/>
        <charset val="1"/>
      </rPr>
      <t xml:space="preserve">0.6→1.9 GW </t>
    </r>
    <r>
      <rPr>
        <sz val="11"/>
        <rFont val="Noto Sans CJK SC"/>
        <family val="2"/>
      </rPr>
      <t xml:space="preserve">之平均</t>
    </r>
  </si>
  <si>
    <r>
      <rPr>
        <b val="true"/>
        <sz val="11"/>
        <color rgb="FF1F3864"/>
        <rFont val="Noto Sans CJK SC"/>
        <family val="2"/>
      </rPr>
      <t xml:space="preserve">二、艦隊換算：實體 </t>
    </r>
    <r>
      <rPr>
        <b val="true"/>
        <sz val="11"/>
        <color rgb="FF1F3864"/>
        <rFont val="Arial"/>
        <family val="0"/>
        <charset val="1"/>
      </rPr>
      <t xml:space="preserve">GW → VR-eq GW</t>
    </r>
    <r>
      <rPr>
        <b val="true"/>
        <sz val="11"/>
        <color rgb="FF1F3864"/>
        <rFont val="Noto Sans CJK SC"/>
        <family val="2"/>
      </rPr>
      <t xml:space="preserve">（每 </t>
    </r>
    <r>
      <rPr>
        <b val="true"/>
        <sz val="11"/>
        <color rgb="FF1F3864"/>
        <rFont val="Arial"/>
        <family val="0"/>
        <charset val="1"/>
      </rPr>
      <t xml:space="preserve">MW </t>
    </r>
    <r>
      <rPr>
        <b val="true"/>
        <sz val="11"/>
        <color rgb="FF1F3864"/>
        <rFont val="Noto Sans CJK SC"/>
        <family val="2"/>
      </rPr>
      <t xml:space="preserve">輸出 </t>
    </r>
    <r>
      <rPr>
        <b val="true"/>
        <sz val="11"/>
        <color rgb="FF1F3864"/>
        <rFont val="Arial"/>
        <family val="0"/>
        <charset val="1"/>
      </rPr>
      <t xml:space="preserve">token </t>
    </r>
    <r>
      <rPr>
        <b val="true"/>
        <sz val="11"/>
        <color rgb="FF1F3864"/>
        <rFont val="Noto Sans CJK SC"/>
        <family val="2"/>
      </rPr>
      <t xml:space="preserve">相對 </t>
    </r>
    <r>
      <rPr>
        <b val="true"/>
        <sz val="11"/>
        <color rgb="FF1F3864"/>
        <rFont val="Arial"/>
        <family val="0"/>
        <charset val="1"/>
      </rPr>
      <t xml:space="preserve">Vera Rubin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</si>
  <si>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Blackwell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GB200</t>
    </r>
    <r>
      <rPr>
        <sz val="11"/>
        <rFont val="Noto Sans CJK SC"/>
        <family val="2"/>
      </rPr>
      <t xml:space="preserve">）</t>
    </r>
    <r>
      <rPr>
        <sz val="11"/>
        <rFont val="Arial"/>
        <family val="0"/>
        <charset val="1"/>
      </rPr>
      <t xml:space="preserve">÷ VR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Tokenomics </t>
    </r>
    <r>
      <rPr>
        <sz val="11"/>
        <rFont val="Noto Sans CJK SC"/>
        <family val="2"/>
      </rPr>
      <t xml:space="preserve">推得）</t>
    </r>
  </si>
  <si>
    <r>
      <rPr>
        <sz val="11"/>
        <rFont val="Noto Sans CJK SC"/>
        <family val="2"/>
      </rPr>
      <t xml:space="preserve">組合：</t>
    </r>
    <r>
      <rPr>
        <sz val="11"/>
        <rFont val="Arial"/>
        <family val="0"/>
        <charset val="1"/>
      </rPr>
      <t xml:space="preserve">Hopper</t>
    </r>
  </si>
  <si>
    <r>
      <rPr>
        <sz val="11"/>
        <rFont val="Noto Sans CJK SC"/>
        <family val="2"/>
      </rPr>
      <t xml:space="preserve">組合：</t>
    </r>
    <r>
      <rPr>
        <sz val="11"/>
        <rFont val="Arial"/>
        <family val="0"/>
        <charset val="1"/>
      </rPr>
      <t xml:space="preserve">Blackwell</t>
    </r>
  </si>
  <si>
    <r>
      <rPr>
        <sz val="11"/>
        <rFont val="Noto Sans CJK SC"/>
        <family val="2"/>
      </rPr>
      <t xml:space="preserve">組合：</t>
    </r>
    <r>
      <rPr>
        <sz val="11"/>
        <rFont val="Arial"/>
        <family val="0"/>
        <charset val="1"/>
      </rPr>
      <t xml:space="preserve">Vera Rubin</t>
    </r>
  </si>
  <si>
    <t xml:space="preserve">組合：次世代</t>
  </si>
  <si>
    <t xml:space="preserve">組合：自研／其他</t>
  </si>
  <si>
    <r>
      <rPr>
        <b val="true"/>
        <sz val="11"/>
        <rFont val="Noto Sans CJK SC"/>
        <family val="2"/>
      </rPr>
      <t xml:space="preserve">艦隊 </t>
    </r>
    <r>
      <rPr>
        <b val="true"/>
        <sz val="11"/>
        <rFont val="Arial"/>
        <family val="0"/>
        <charset val="1"/>
      </rPr>
      <t xml:space="preserve">VR-eq </t>
    </r>
    <r>
      <rPr>
        <b val="true"/>
        <sz val="11"/>
        <rFont val="Noto Sans CJK SC"/>
        <family val="2"/>
      </rPr>
      <t xml:space="preserve">係數</t>
    </r>
  </si>
  <si>
    <r>
      <rPr>
        <b val="true"/>
        <sz val="11"/>
        <rFont val="Arial"/>
        <family val="0"/>
        <charset val="1"/>
      </rPr>
      <t xml:space="preserve">VR-eq GW </t>
    </r>
    <r>
      <rPr>
        <b val="true"/>
        <sz val="11"/>
        <rFont val="Noto Sans CJK SC"/>
        <family val="2"/>
      </rPr>
      <t xml:space="preserve">供給</t>
    </r>
  </si>
  <si>
    <r>
      <rPr>
        <b val="true"/>
        <sz val="11"/>
        <color rgb="FF1F3864"/>
        <rFont val="Noto Sans CJK SC"/>
        <family val="2"/>
      </rPr>
      <t xml:space="preserve">三、需求：</t>
    </r>
    <r>
      <rPr>
        <b val="true"/>
        <sz val="11"/>
        <color rgb="FF1F3864"/>
        <rFont val="Arial"/>
        <family val="0"/>
        <charset val="1"/>
      </rPr>
      <t xml:space="preserve">token → </t>
    </r>
    <r>
      <rPr>
        <b val="true"/>
        <sz val="11"/>
        <color rgb="FF1F3864"/>
        <rFont val="Noto Sans CJK SC"/>
        <family val="2"/>
      </rPr>
      <t xml:space="preserve">推論 </t>
    </r>
    <r>
      <rPr>
        <b val="true"/>
        <sz val="11"/>
        <color rgb="FF1F3864"/>
        <rFont val="Arial"/>
        <family val="0"/>
        <charset val="1"/>
      </rPr>
      <t xml:space="preserve">VR-eq GW</t>
    </r>
    <r>
      <rPr>
        <b val="true"/>
        <sz val="11"/>
        <color rgb="FF1F3864"/>
        <rFont val="Noto Sans CJK SC"/>
        <family val="2"/>
      </rPr>
      <t xml:space="preserve">（</t>
    </r>
    <r>
      <rPr>
        <b val="true"/>
        <sz val="11"/>
        <color rgb="FF1F3864"/>
        <rFont val="Arial"/>
        <family val="0"/>
        <charset val="1"/>
      </rPr>
      <t xml:space="preserve">2025 </t>
    </r>
    <r>
      <rPr>
        <b val="true"/>
        <sz val="11"/>
        <color rgb="FF1F3864"/>
        <rFont val="Noto Sans CJK SC"/>
        <family val="2"/>
      </rPr>
      <t xml:space="preserve">以實際推論占算力成本比例校準）</t>
    </r>
  </si>
  <si>
    <r>
      <rPr>
        <sz val="11"/>
        <rFont val="Noto Sans CJK SC"/>
        <family val="2"/>
      </rPr>
      <t xml:space="preserve">訂閱＋</t>
    </r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文字理想量（</t>
    </r>
    <r>
      <rPr>
        <sz val="11"/>
        <rFont val="Arial"/>
        <family val="0"/>
        <charset val="1"/>
      </rPr>
      <t xml:space="preserve">×k</t>
    </r>
    <r>
      <rPr>
        <sz val="11"/>
        <rFont val="Noto Sans CJK SC"/>
        <family val="2"/>
      </rPr>
      <t xml:space="preserve">）</t>
    </r>
  </si>
  <si>
    <t xml:space="preserve">$B-ideal</t>
  </si>
  <si>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理想量</t>
    </r>
  </si>
  <si>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殘差理想量（隨 </t>
    </r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人數）</t>
    </r>
  </si>
  <si>
    <t xml:space="preserve">推論理想量合計</t>
  </si>
  <si>
    <r>
      <rPr>
        <sz val="11"/>
        <rFont val="Noto Sans CJK SC"/>
        <family val="2"/>
      </rPr>
      <t xml:space="preserve">以 </t>
    </r>
    <r>
      <rPr>
        <sz val="11"/>
        <rFont val="Arial"/>
        <family val="0"/>
        <charset val="1"/>
      </rPr>
      <t xml:space="preserve">VR </t>
    </r>
    <r>
      <rPr>
        <sz val="11"/>
        <rFont val="Noto Sans CJK SC"/>
        <family val="2"/>
      </rPr>
      <t xml:space="preserve">理想成本表示之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工作量；等比於所需機架秒</t>
    </r>
  </si>
  <si>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推論占算力成本（推論 </t>
    </r>
    <r>
      <rPr>
        <sz val="11"/>
        <color theme="1"/>
        <rFont val="Arial"/>
        <family val="0"/>
        <charset val="1"/>
      </rPr>
      <t xml:space="preserve">÷</t>
    </r>
    <r>
      <rPr>
        <sz val="11"/>
        <color theme="1"/>
        <rFont val="Noto Sans CJK SC"/>
        <family val="2"/>
      </rPr>
      <t xml:space="preserve">（推論＋訓練））</t>
    </r>
  </si>
  <si>
    <r>
      <rPr>
        <sz val="11"/>
        <color theme="1"/>
        <rFont val="Arial"/>
        <family val="0"/>
        <charset val="1"/>
      </rPr>
      <t xml:space="preserve">ρ</t>
    </r>
    <r>
      <rPr>
        <sz val="11"/>
        <color theme="1"/>
        <rFont val="Noto Sans CJK SC"/>
        <family val="2"/>
      </rPr>
      <t xml:space="preserve">：每單位理想量所需 </t>
    </r>
    <r>
      <rPr>
        <sz val="11"/>
        <color theme="1"/>
        <rFont val="Arial"/>
        <family val="0"/>
        <charset val="1"/>
      </rPr>
      <t xml:space="preserve">VR-eq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校準）</t>
    </r>
  </si>
  <si>
    <t xml:space="preserve">GW/$B</t>
  </si>
  <si>
    <r>
      <rPr>
        <sz val="11"/>
        <color theme="1"/>
        <rFont val="Noto Sans CJK SC"/>
        <family val="2"/>
      </rPr>
      <t xml:space="preserve">實際產出 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理想產出之倒數含於 </t>
    </r>
    <r>
      <rPr>
        <sz val="11"/>
        <color theme="1"/>
        <rFont val="Arial"/>
        <family val="0"/>
        <charset val="1"/>
      </rPr>
      <t xml:space="preserve">ρ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起不再隨艦隊變動（艦隊進步已在供給端換算）</t>
    </r>
  </si>
  <si>
    <r>
      <rPr>
        <sz val="11"/>
        <rFont val="Noto Sans CJK SC"/>
        <family val="2"/>
      </rPr>
      <t xml:space="preserve">推論需求 </t>
    </r>
    <r>
      <rPr>
        <sz val="11"/>
        <rFont val="Arial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VR-eq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</si>
  <si>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推論可用 </t>
    </r>
    <r>
      <rPr>
        <sz val="11"/>
        <rFont val="Arial"/>
        <family val="0"/>
        <charset val="1"/>
      </rPr>
      <t xml:space="preserve">GW</t>
    </r>
    <r>
      <rPr>
        <sz val="11"/>
        <rFont val="Noto Sans CJK SC"/>
        <family val="2"/>
      </rPr>
      <t xml:space="preserve">＝供給</t>
    </r>
    <r>
      <rPr>
        <sz val="11"/>
        <rFont val="Arial"/>
        <family val="0"/>
        <charset val="1"/>
      </rPr>
      <t xml:space="preserve">×(1−</t>
    </r>
    <r>
      <rPr>
        <sz val="11"/>
        <rFont val="Noto Sans CJK SC"/>
        <family val="2"/>
      </rPr>
      <t xml:space="preserve">閒置</t>
    </r>
    <r>
      <rPr>
        <sz val="11"/>
        <rFont val="Arial"/>
        <family val="0"/>
        <charset val="1"/>
      </rPr>
      <t xml:space="preserve">)×(1−</t>
    </r>
    <r>
      <rPr>
        <sz val="11"/>
        <rFont val="Noto Sans CJK SC"/>
        <family val="2"/>
      </rPr>
      <t xml:space="preserve">訓練最低占比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</si>
  <si>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容量上限係數（</t>
    </r>
    <r>
      <rPr>
        <b val="true"/>
        <sz val="11"/>
        <rFont val="Arial"/>
        <family val="0"/>
        <charset val="1"/>
      </rPr>
      <t xml:space="preserve">V1a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＝未受限）</t>
    </r>
  </si>
  <si>
    <r>
      <rPr>
        <b val="true"/>
        <sz val="11"/>
        <rFont val="Noto Sans CJK SC"/>
        <family val="2"/>
      </rPr>
      <t xml:space="preserve">推論 </t>
    </r>
    <r>
      <rPr>
        <b val="true"/>
        <sz val="11"/>
        <rFont val="Arial"/>
        <family val="0"/>
        <charset val="1"/>
      </rPr>
      <t xml:space="preserve">GW</t>
    </r>
  </si>
  <si>
    <r>
      <rPr>
        <b val="true"/>
        <sz val="11"/>
        <rFont val="Noto Sans CJK SC"/>
        <family val="2"/>
      </rPr>
      <t xml:space="preserve">訓練 </t>
    </r>
    <r>
      <rPr>
        <b val="true"/>
        <sz val="11"/>
        <rFont val="Arial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（推論優先，其餘歸訓練）</t>
    </r>
  </si>
  <si>
    <r>
      <rPr>
        <sz val="11"/>
        <rFont val="Noto Sans CJK SC"/>
        <family val="2"/>
      </rPr>
      <t xml:space="preserve">閒置 </t>
    </r>
    <r>
      <rPr>
        <sz val="11"/>
        <rFont val="Arial"/>
        <family val="0"/>
        <charset val="1"/>
      </rPr>
      <t xml:space="preserve">GW</t>
    </r>
  </si>
  <si>
    <t xml:space="preserve">檢查：推論＋訓練＋閒置 − 供給</t>
  </si>
  <si>
    <r>
      <rPr>
        <sz val="11"/>
        <rFont val="Noto Sans CJK SC"/>
        <family val="2"/>
      </rPr>
      <t xml:space="preserve">推論占 </t>
    </r>
    <r>
      <rPr>
        <sz val="11"/>
        <rFont val="Arial"/>
        <family val="0"/>
        <charset val="1"/>
      </rPr>
      <t xml:space="preserve">VR-eq </t>
    </r>
    <r>
      <rPr>
        <sz val="11"/>
        <rFont val="Noto Sans CJK SC"/>
        <family val="2"/>
      </rPr>
      <t xml:space="preserve">供給</t>
    </r>
  </si>
  <si>
    <r>
      <rPr>
        <b val="true"/>
        <sz val="11"/>
        <color rgb="FF1F3864"/>
        <rFont val="Noto Sans CJK SC"/>
        <family val="2"/>
      </rPr>
      <t xml:space="preserve">四、成本（損益口徑）：算力成本 </t>
    </r>
    <r>
      <rPr>
        <b val="true"/>
        <sz val="11"/>
        <color rgb="FF1F3864"/>
        <rFont val="Arial"/>
        <family val="0"/>
        <charset val="1"/>
      </rPr>
      <t xml:space="preserve">÷ VR-eq GW → </t>
    </r>
    <r>
      <rPr>
        <b val="true"/>
        <sz val="11"/>
        <color rgb="FF1F3864"/>
        <rFont val="Noto Sans CJK SC"/>
        <family val="2"/>
      </rPr>
      <t xml:space="preserve">推論／訓練／閒置</t>
    </r>
  </si>
  <si>
    <t xml:space="preserve">租用合約付款</t>
  </si>
  <si>
    <r>
      <rPr>
        <sz val="11"/>
        <rFont val="Noto Sans CJK SC"/>
        <family val="2"/>
      </rPr>
      <t xml:space="preserve">自建營運費用（含折舊；</t>
    </r>
    <r>
      <rPr>
        <sz val="11"/>
        <rFont val="Arial"/>
        <family val="0"/>
        <charset val="1"/>
      </rPr>
      <t xml:space="preserve">Tokenomics </t>
    </r>
    <r>
      <rPr>
        <sz val="11"/>
        <rFont val="Noto Sans CJK SC"/>
        <family val="2"/>
      </rPr>
      <t xml:space="preserve">每架年成本 </t>
    </r>
    <r>
      <rPr>
        <sz val="11"/>
        <rFont val="Arial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架數）</t>
    </r>
  </si>
  <si>
    <r>
      <rPr>
        <b val="true"/>
        <sz val="11"/>
        <rFont val="Noto Sans CJK SC"/>
        <family val="2"/>
      </rPr>
      <t xml:space="preserve">算力損益成本（</t>
    </r>
    <r>
      <rPr>
        <b val="true"/>
        <sz val="11"/>
        <rFont val="Arial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＝實際推論＋訓練）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</si>
  <si>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Arial"/>
        <family val="0"/>
        <charset val="1"/>
      </rPr>
      <t xml:space="preserve">VR-eq GW </t>
    </r>
    <r>
      <rPr>
        <b val="true"/>
        <sz val="11"/>
        <rFont val="Noto Sans CJK SC"/>
        <family val="2"/>
      </rPr>
      <t xml:space="preserve">年成本</t>
    </r>
  </si>
  <si>
    <r>
      <rPr>
        <sz val="11"/>
        <rFont val="Noto Sans CJK SC"/>
        <family val="2"/>
      </rPr>
      <t xml:space="preserve">每實體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年成本</t>
    </r>
  </si>
  <si>
    <t xml:space="preserve">閒置成本</t>
  </si>
  <si>
    <t xml:space="preserve">檢查：拆分加總 − 算力損益成本</t>
  </si>
  <si>
    <r>
      <rPr>
        <b val="true"/>
        <sz val="11"/>
        <color rgb="FF1F3864"/>
        <rFont val="Noto Sans CJK SC"/>
        <family val="2"/>
      </rPr>
      <t xml:space="preserve">五、每 </t>
    </r>
    <r>
      <rPr>
        <b val="true"/>
        <sz val="11"/>
        <color rgb="FF1F3864"/>
        <rFont val="Arial"/>
        <family val="0"/>
        <charset val="1"/>
      </rPr>
      <t xml:space="preserve">GW </t>
    </r>
    <r>
      <rPr>
        <b val="true"/>
        <sz val="11"/>
        <color rgb="FF1F3864"/>
        <rFont val="Noto Sans CJK SC"/>
        <family val="2"/>
      </rPr>
      <t xml:space="preserve">營收與支出（比照 </t>
    </r>
    <r>
      <rPr>
        <b val="true"/>
        <sz val="11"/>
        <color rgb="FF1F3864"/>
        <rFont val="Arial"/>
        <family val="0"/>
        <charset val="1"/>
      </rPr>
      <t xml:space="preserve">CRWV</t>
    </r>
    <r>
      <rPr>
        <b val="true"/>
        <sz val="11"/>
        <color rgb="FF1F3864"/>
        <rFont val="Noto Sans CJK SC"/>
        <family val="2"/>
      </rPr>
      <t xml:space="preserve">；營收已套容量上限）</t>
    </r>
  </si>
  <si>
    <t xml:space="preserve">總額營收</t>
  </si>
  <si>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Arial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實體 </t>
    </r>
    <r>
      <rPr>
        <b val="true"/>
        <sz val="11"/>
        <rFont val="Arial"/>
        <family val="0"/>
        <charset val="1"/>
      </rPr>
      <t xml:space="preserve">GW</t>
    </r>
  </si>
  <si>
    <r>
      <rPr>
        <sz val="11"/>
        <rFont val="Arial"/>
        <family val="0"/>
        <charset val="1"/>
      </rPr>
      <t xml:space="preserve">CFO 2023–25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ARR ÷ </t>
    </r>
    <r>
      <rPr>
        <sz val="11"/>
        <rFont val="Noto Sans CJK SC"/>
        <family val="2"/>
      </rPr>
      <t xml:space="preserve">年底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約 </t>
    </r>
    <r>
      <rPr>
        <sz val="11"/>
        <rFont val="Arial"/>
        <family val="0"/>
        <charset val="1"/>
      </rPr>
      <t xml:space="preserve">$10–10.5B</t>
    </r>
  </si>
  <si>
    <r>
      <rPr>
        <sz val="11"/>
        <rFont val="Noto Sans CJK SC"/>
        <family val="2"/>
      </rPr>
      <t xml:space="preserve">營收 </t>
    </r>
    <r>
      <rPr>
        <sz val="11"/>
        <rFont val="Arial"/>
        <family val="0"/>
        <charset val="1"/>
      </rPr>
      <t xml:space="preserve">÷ VR-eq GW</t>
    </r>
  </si>
  <si>
    <r>
      <rPr>
        <sz val="11"/>
        <rFont val="Noto Sans CJK SC"/>
        <family val="2"/>
      </rPr>
      <t xml:space="preserve">營收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推論 </t>
    </r>
    <r>
      <rPr>
        <sz val="11"/>
        <rFont val="Arial"/>
        <family val="0"/>
        <charset val="1"/>
      </rPr>
      <t xml:space="preserve">GW</t>
    </r>
  </si>
  <si>
    <r>
      <rPr>
        <sz val="11"/>
        <rFont val="Noto Sans CJK SC"/>
        <family val="2"/>
      </rPr>
      <t xml:space="preserve">推論毛利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推論 </t>
    </r>
    <r>
      <rPr>
        <sz val="11"/>
        <rFont val="Arial"/>
        <family val="0"/>
        <charset val="1"/>
      </rPr>
      <t xml:space="preserve">GW</t>
    </r>
  </si>
  <si>
    <r>
      <rPr>
        <sz val="11"/>
        <rFont val="Noto Sans CJK SC"/>
        <family val="2"/>
      </rPr>
      <t xml:space="preserve">算力損益成本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營收</t>
    </r>
  </si>
  <si>
    <r>
      <rPr>
        <sz val="11"/>
        <rFont val="Noto Sans CJK SC"/>
        <family val="2"/>
      </rPr>
      <t xml:space="preserve">若維持 </t>
    </r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營收／實體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之營收</t>
    </r>
  </si>
  <si>
    <r>
      <rPr>
        <sz val="11"/>
        <rFont val="Noto Sans CJK SC"/>
        <family val="2"/>
      </rPr>
      <t xml:space="preserve">模型營收 − 上列（負＝每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營收下滑）</t>
    </r>
  </si>
  <si>
    <r>
      <rPr>
        <sz val="11"/>
        <rFont val="Noto Sans CJK SC"/>
        <family val="2"/>
      </rPr>
      <t xml:space="preserve">管理層營收目標所需實體 </t>
    </r>
    <r>
      <rPr>
        <sz val="11"/>
        <rFont val="Arial"/>
        <family val="0"/>
        <charset val="1"/>
      </rPr>
      <t xml:space="preserve">GW</t>
    </r>
    <r>
      <rPr>
        <sz val="11"/>
        <rFont val="Noto Sans CJK SC"/>
        <family val="2"/>
      </rPr>
      <t xml:space="preserve">（維持 </t>
    </r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營收／</t>
    </r>
    <r>
      <rPr>
        <sz val="11"/>
        <rFont val="Arial"/>
        <family val="0"/>
        <charset val="1"/>
      </rPr>
      <t xml:space="preserve">GW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</si>
  <si>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Arial"/>
        <family val="0"/>
        <charset val="1"/>
      </rPr>
      <t xml:space="preserve">ARR ÷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Arial"/>
        <family val="0"/>
        <charset val="1"/>
      </rPr>
      <t xml:space="preserve">GW</t>
    </r>
  </si>
  <si>
    <r>
      <rPr>
        <b val="true"/>
        <sz val="11"/>
        <color rgb="FF1F3864"/>
        <rFont val="Noto Sans CJK SC"/>
        <family val="2"/>
      </rPr>
      <t xml:space="preserve">六、依供應方：</t>
    </r>
    <r>
      <rPr>
        <b val="true"/>
        <sz val="11"/>
        <color rgb="FF1F3864"/>
        <rFont val="Arial"/>
        <family val="0"/>
        <charset val="1"/>
      </rPr>
      <t xml:space="preserve">GW</t>
    </r>
    <r>
      <rPr>
        <b val="true"/>
        <sz val="11"/>
        <color rgb="FF1F3864"/>
        <rFont val="Noto Sans CJK SC"/>
        <family val="2"/>
      </rPr>
      <t xml:space="preserve">、現金、每 </t>
    </r>
    <r>
      <rPr>
        <b val="true"/>
        <sz val="11"/>
        <color rgb="FF1F3864"/>
        <rFont val="Arial"/>
        <family val="0"/>
        <charset val="1"/>
      </rPr>
      <t xml:space="preserve">GW </t>
    </r>
    <r>
      <rPr>
        <b val="true"/>
        <sz val="11"/>
        <color rgb="FF1F3864"/>
        <rFont val="Noto Sans CJK SC"/>
        <family val="2"/>
      </rPr>
      <t xml:space="preserve">年價格與資金關係（</t>
    </r>
    <r>
      <rPr>
        <b val="true"/>
        <sz val="11"/>
        <color rgb="FF1F3864"/>
        <rFont val="Arial"/>
        <family val="0"/>
        <charset val="1"/>
      </rPr>
      <t xml:space="preserve">V2a</t>
    </r>
    <r>
      <rPr>
        <b val="true"/>
        <sz val="11"/>
        <color rgb="FF1F3864"/>
        <rFont val="Noto Sans CJK SC"/>
        <family val="2"/>
      </rPr>
      <t xml:space="preserve">：供應商資金只列或有）</t>
    </r>
  </si>
  <si>
    <r>
      <rPr>
        <sz val="11"/>
        <rFont val="Arial"/>
        <family val="0"/>
        <charset val="1"/>
      </rPr>
      <t xml:space="preserve">Microsoft Azure</t>
    </r>
    <r>
      <rPr>
        <sz val="11"/>
        <rFont val="Noto Sans CJK SC"/>
        <family val="2"/>
      </rPr>
      <t xml:space="preserve">：每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年價格</t>
    </r>
  </si>
  <si>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以營收／股權支付；</t>
    </r>
    <r>
      <rPr>
        <sz val="11"/>
        <rFont val="Arial"/>
        <family val="0"/>
        <charset val="1"/>
      </rPr>
      <t xml:space="preserve">Microsoft </t>
    </r>
    <r>
      <rPr>
        <sz val="11"/>
        <rFont val="Noto Sans CJK SC"/>
        <family val="2"/>
      </rPr>
      <t xml:space="preserve">為股東，營收分潤上限 </t>
    </r>
    <r>
      <rPr>
        <sz val="11"/>
        <rFont val="Arial"/>
        <family val="0"/>
        <charset val="1"/>
      </rPr>
      <t xml:space="preserve">$38B</t>
    </r>
  </si>
  <si>
    <r>
      <rPr>
        <sz val="11"/>
        <rFont val="Arial"/>
        <family val="0"/>
        <charset val="1"/>
      </rPr>
      <t xml:space="preserve">Oracle</t>
    </r>
    <r>
      <rPr>
        <sz val="11"/>
        <rFont val="Noto Sans CJK SC"/>
        <family val="2"/>
      </rPr>
      <t xml:space="preserve">：每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年價格</t>
    </r>
  </si>
  <si>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支付；</t>
    </r>
    <r>
      <rPr>
        <sz val="11"/>
        <rFont val="Arial"/>
        <family val="0"/>
        <charset val="1"/>
      </rPr>
      <t xml:space="preserve">Oracle </t>
    </r>
    <r>
      <rPr>
        <sz val="11"/>
        <rFont val="Noto Sans CJK SC"/>
        <family val="2"/>
      </rPr>
      <t xml:space="preserve">以自有債務建置（可接 </t>
    </r>
    <r>
      <rPr>
        <sz val="11"/>
        <rFont val="Arial"/>
        <family val="0"/>
        <charset val="1"/>
      </rPr>
      <t xml:space="preserve">ORCL </t>
    </r>
    <r>
      <rPr>
        <sz val="11"/>
        <rFont val="Noto Sans CJK SC"/>
        <family val="2"/>
      </rPr>
      <t xml:space="preserve">模型）</t>
    </r>
  </si>
  <si>
    <r>
      <rPr>
        <sz val="11"/>
        <rFont val="Arial"/>
        <family val="0"/>
        <charset val="1"/>
      </rPr>
      <t xml:space="preserve">AWS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Nvidia GPU</t>
    </r>
    <r>
      <rPr>
        <sz val="11"/>
        <rFont val="Noto Sans CJK SC"/>
        <family val="2"/>
      </rPr>
      <t xml:space="preserve">）：每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年價格</t>
    </r>
  </si>
  <si>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支付；</t>
    </r>
    <r>
      <rPr>
        <sz val="11"/>
        <rFont val="Arial"/>
        <family val="0"/>
        <charset val="1"/>
      </rPr>
      <t xml:space="preserve">Amazon </t>
    </r>
    <r>
      <rPr>
        <sz val="11"/>
        <rFont val="Noto Sans CJK SC"/>
        <family val="2"/>
      </rPr>
      <t xml:space="preserve">條件式股權 </t>
    </r>
    <r>
      <rPr>
        <sz val="11"/>
        <rFont val="Arial"/>
        <family val="0"/>
        <charset val="1"/>
      </rPr>
      <t xml:space="preserve">$35B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base </t>
    </r>
    <r>
      <rPr>
        <sz val="11"/>
        <rFont val="Noto Sans CJK SC"/>
        <family val="2"/>
      </rPr>
      <t xml:space="preserve">不計入）</t>
    </r>
  </si>
  <si>
    <r>
      <rPr>
        <sz val="11"/>
        <rFont val="Arial"/>
        <family val="0"/>
        <charset val="1"/>
      </rPr>
      <t xml:space="preserve">AWS </t>
    </r>
    <r>
      <rPr>
        <sz val="11"/>
        <rFont val="Noto Sans CJK SC"/>
        <family val="2"/>
      </rPr>
      <t xml:space="preserve">擴約（</t>
    </r>
    <r>
      <rPr>
        <sz val="11"/>
        <rFont val="Arial"/>
        <family val="0"/>
        <charset val="1"/>
      </rPr>
      <t xml:space="preserve">Trainium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VR</t>
    </r>
    <r>
      <rPr>
        <sz val="11"/>
        <rFont val="Noto Sans CJK SC"/>
        <family val="2"/>
      </rPr>
      <t xml:space="preserve">）：每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年價格</t>
    </r>
  </si>
  <si>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支付；同上</t>
    </r>
  </si>
  <si>
    <r>
      <rPr>
        <sz val="11"/>
        <rFont val="Arial"/>
        <family val="0"/>
        <charset val="1"/>
      </rPr>
      <t xml:space="preserve">CoreWeave</t>
    </r>
    <r>
      <rPr>
        <sz val="11"/>
        <rFont val="Noto Sans CJK SC"/>
        <family val="2"/>
      </rPr>
      <t xml:space="preserve">：每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年價格</t>
    </r>
  </si>
  <si>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支付；</t>
    </r>
    <r>
      <rPr>
        <sz val="11"/>
        <rFont val="Arial"/>
        <family val="0"/>
        <charset val="1"/>
      </rPr>
      <t xml:space="preserve">CoreWeave </t>
    </r>
    <r>
      <rPr>
        <sz val="11"/>
        <rFont val="Noto Sans CJK SC"/>
        <family val="2"/>
      </rPr>
      <t xml:space="preserve">以 </t>
    </r>
    <r>
      <rPr>
        <sz val="11"/>
        <rFont val="Arial"/>
        <family val="0"/>
        <charset val="1"/>
      </rPr>
      <t xml:space="preserve">DDTL </t>
    </r>
    <r>
      <rPr>
        <sz val="11"/>
        <rFont val="Noto Sans CJK SC"/>
        <family val="2"/>
      </rPr>
      <t xml:space="preserve">等債務融資（可接 </t>
    </r>
    <r>
      <rPr>
        <sz val="11"/>
        <rFont val="Arial"/>
        <family val="0"/>
        <charset val="1"/>
      </rPr>
      <t xml:space="preserve">CRWV </t>
    </r>
    <r>
      <rPr>
        <sz val="11"/>
        <rFont val="Noto Sans CJK SC"/>
        <family val="2"/>
      </rPr>
      <t xml:space="preserve">模型）</t>
    </r>
  </si>
  <si>
    <r>
      <rPr>
        <sz val="11"/>
        <rFont val="Arial"/>
        <family val="0"/>
        <charset val="1"/>
      </rPr>
      <t xml:space="preserve">Cerebras</t>
    </r>
    <r>
      <rPr>
        <sz val="11"/>
        <rFont val="Noto Sans CJK SC"/>
        <family val="2"/>
      </rPr>
      <t xml:space="preserve">：每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年價格</t>
    </r>
  </si>
  <si>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支付（</t>
    </r>
    <r>
      <rPr>
        <sz val="11"/>
        <rFont val="Arial"/>
        <family val="0"/>
        <charset val="1"/>
      </rPr>
      <t xml:space="preserve">take-or-pay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</si>
  <si>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自建：每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年營運費用（含折舊）</t>
    </r>
  </si>
  <si>
    <r>
      <rPr>
        <sz val="11"/>
        <rFont val="Noto Sans CJK SC"/>
        <family val="2"/>
      </rPr>
      <t xml:space="preserve">資本支出由 </t>
    </r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股權與外部資金支應；</t>
    </r>
    <r>
      <rPr>
        <sz val="11"/>
        <rFont val="Arial"/>
        <family val="0"/>
        <charset val="1"/>
      </rPr>
      <t xml:space="preserve">Nvidia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AMD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Broadcom </t>
    </r>
    <r>
      <rPr>
        <sz val="11"/>
        <rFont val="Noto Sans CJK SC"/>
        <family val="2"/>
      </rPr>
      <t xml:space="preserve">供應商融資與 </t>
    </r>
    <r>
      <rPr>
        <sz val="11"/>
        <rFont val="Arial"/>
        <family val="0"/>
        <charset val="1"/>
      </rPr>
      <t xml:space="preserve">Nvidia </t>
    </r>
    <r>
      <rPr>
        <sz val="11"/>
        <rFont val="Noto Sans CJK SC"/>
        <family val="2"/>
      </rPr>
      <t xml:space="preserve">按 </t>
    </r>
    <r>
      <rPr>
        <sz val="11"/>
        <rFont val="Arial"/>
        <family val="0"/>
        <charset val="1"/>
      </rPr>
      <t xml:space="preserve">GW </t>
    </r>
    <r>
      <rPr>
        <sz val="11"/>
        <rFont val="Noto Sans CJK SC"/>
        <family val="2"/>
      </rPr>
      <t xml:space="preserve">注資僅列或有（</t>
    </r>
    <r>
      <rPr>
        <sz val="11"/>
        <rFont val="Arial"/>
        <family val="0"/>
        <charset val="1"/>
      </rPr>
      <t xml:space="preserve">V2a</t>
    </r>
    <r>
      <rPr>
        <sz val="11"/>
        <rFont val="Noto Sans CJK SC"/>
        <family val="2"/>
      </rPr>
      <t xml:space="preserve">）</t>
    </r>
  </si>
  <si>
    <r>
      <rPr>
        <b val="true"/>
        <sz val="13"/>
        <rFont val="Noto Sans CJK SC"/>
        <family val="2"/>
      </rPr>
      <t xml:space="preserve">訂閱營收＝人數 </t>
    </r>
    <r>
      <rPr>
        <b val="true"/>
        <sz val="13"/>
        <rFont val="Arial"/>
        <family val="0"/>
        <charset val="1"/>
      </rPr>
      <t xml:space="preserve">× ARPU × 12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只影響成本（</t>
    </r>
    <r>
      <rPr>
        <b val="true"/>
        <sz val="13"/>
        <rFont val="Arial"/>
        <family val="0"/>
        <charset val="1"/>
      </rPr>
      <t xml:space="preserve">$B</t>
    </r>
    <r>
      <rPr>
        <b val="true"/>
        <sz val="13"/>
        <rFont val="Noto Sans CJK SC"/>
        <family val="2"/>
      </rPr>
      <t xml:space="preserve">）；廣告為獨立一列</t>
    </r>
  </si>
  <si>
    <r>
      <rPr>
        <b val="true"/>
        <sz val="11"/>
        <color rgb="FF1F3864"/>
        <rFont val="Noto Sans CJK SC"/>
        <family val="2"/>
      </rPr>
      <t xml:space="preserve">人數（</t>
    </r>
    <r>
      <rPr>
        <b val="true"/>
        <sz val="11"/>
        <color rgb="FF1F3864"/>
        <rFont val="Arial"/>
        <family val="0"/>
        <charset val="1"/>
      </rPr>
      <t xml:space="preserve">M</t>
    </r>
    <r>
      <rPr>
        <b val="true"/>
        <sz val="11"/>
        <color rgb="FF1F3864"/>
        <rFont val="Noto Sans CJK SC"/>
        <family val="2"/>
      </rPr>
      <t xml:space="preserve">，</t>
    </r>
    <r>
      <rPr>
        <b val="true"/>
        <sz val="11"/>
        <color rgb="FF1F3864"/>
        <rFont val="Arial"/>
        <family val="0"/>
        <charset val="1"/>
      </rPr>
      <t xml:space="preserve">FY </t>
    </r>
    <r>
      <rPr>
        <b val="true"/>
        <sz val="11"/>
        <color rgb="FF1F3864"/>
        <rFont val="Noto Sans CJK SC"/>
        <family val="2"/>
      </rPr>
      <t xml:space="preserve">平均；</t>
    </r>
    <r>
      <rPr>
        <b val="true"/>
        <sz val="11"/>
        <color rgb="FF1F3864"/>
        <rFont val="Arial"/>
        <family val="0"/>
        <charset val="1"/>
      </rPr>
      <t xml:space="preserve">T4</t>
    </r>
    <r>
      <rPr>
        <b val="true"/>
        <sz val="11"/>
        <color rgb="FF1F3864"/>
        <rFont val="Noto Sans CJK SC"/>
        <family val="2"/>
      </rPr>
      <t xml:space="preserve">：</t>
    </r>
    <r>
      <rPr>
        <b val="true"/>
        <sz val="11"/>
        <color rgb="FF1F3864"/>
        <rFont val="Arial"/>
        <family val="0"/>
        <charset val="1"/>
      </rPr>
      <t xml:space="preserve">2026 </t>
    </r>
    <r>
      <rPr>
        <b val="true"/>
        <sz val="11"/>
        <color rgb="FF1F3864"/>
        <rFont val="Noto Sans CJK SC"/>
        <family val="2"/>
      </rPr>
      <t xml:space="preserve">起 </t>
    </r>
    <r>
      <rPr>
        <b val="true"/>
        <sz val="11"/>
        <color rgb="FF1F3864"/>
        <rFont val="Arial"/>
        <family val="0"/>
        <charset val="1"/>
      </rPr>
      <t xml:space="preserve">Plus→Go </t>
    </r>
    <r>
      <rPr>
        <b val="true"/>
        <sz val="11"/>
        <color rgb="FF1F3864"/>
        <rFont val="Noto Sans CJK SC"/>
        <family val="2"/>
      </rPr>
      <t xml:space="preserve">遷移與 </t>
    </r>
    <r>
      <rPr>
        <b val="true"/>
        <sz val="11"/>
        <color rgb="FF1F3864"/>
        <rFont val="Arial"/>
        <family val="0"/>
        <charset val="1"/>
      </rPr>
      <t xml:space="preserve">Go </t>
    </r>
    <r>
      <rPr>
        <b val="true"/>
        <sz val="11"/>
        <color rgb="FF1F3864"/>
        <rFont val="Noto Sans CJK SC"/>
        <family val="2"/>
      </rPr>
      <t xml:space="preserve">額外新增）</t>
    </r>
  </si>
  <si>
    <r>
      <rPr>
        <sz val="11"/>
        <rFont val="Noto Sans CJK SC"/>
        <family val="2"/>
      </rPr>
      <t xml:space="preserve">遷移率 </t>
    </r>
    <r>
      <rPr>
        <sz val="11"/>
        <rFont val="Arial"/>
        <family val="0"/>
        <charset val="1"/>
      </rPr>
      <t xml:space="preserve">μ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Plus→Go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</si>
  <si>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計畫幅度 </t>
    </r>
    <r>
      <rPr>
        <sz val="11"/>
        <rFont val="Arial"/>
        <family val="0"/>
        <charset val="1"/>
      </rPr>
      <t xml:space="preserve">× (1 − </t>
    </r>
    <r>
      <rPr>
        <sz val="11"/>
        <rFont val="Noto Sans CJK SC"/>
        <family val="2"/>
      </rPr>
      <t xml:space="preserve">計畫 </t>
    </r>
    <r>
      <rPr>
        <sz val="11"/>
        <rFont val="Arial"/>
        <family val="0"/>
        <charset val="1"/>
      </rPr>
      <t xml:space="preserve">Plus ÷ </t>
    </r>
    <r>
      <rPr>
        <sz val="11"/>
        <rFont val="Noto Sans CJK SC"/>
        <family val="2"/>
      </rPr>
      <t xml:space="preserve">無遷移 </t>
    </r>
    <r>
      <rPr>
        <sz val="11"/>
        <rFont val="Arial"/>
        <family val="0"/>
        <charset val="1"/>
      </rPr>
      <t xml:space="preserve">Plus 2026)</t>
    </r>
  </si>
  <si>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額外新增倍數 </t>
    </r>
    <r>
      <rPr>
        <sz val="11"/>
        <rFont val="Arial"/>
        <family val="0"/>
        <charset val="1"/>
      </rPr>
      <t xml:space="preserve">λ</t>
    </r>
  </si>
  <si>
    <r>
      <rPr>
        <sz val="11"/>
        <rFont val="Noto Sans CJK SC"/>
        <family val="2"/>
      </rPr>
      <t xml:space="preserve">計畫幅度＝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時，</t>
    </r>
    <r>
      <rPr>
        <sz val="11"/>
        <rFont val="Arial"/>
        <family val="0"/>
        <charset val="1"/>
      </rPr>
      <t xml:space="preserve">2026 Go </t>
    </r>
    <r>
      <rPr>
        <sz val="11"/>
        <rFont val="Noto Sans CJK SC"/>
        <family val="2"/>
      </rPr>
      <t xml:space="preserve">恰等於公司計畫 </t>
    </r>
    <r>
      <rPr>
        <sz val="11"/>
        <rFont val="Arial"/>
        <family val="0"/>
        <charset val="1"/>
      </rPr>
      <t xml:space="preserve">112M</t>
    </r>
  </si>
  <si>
    <r>
      <rPr>
        <b val="true"/>
        <sz val="11"/>
        <rFont val="Arial"/>
        <family val="0"/>
        <charset val="1"/>
      </rPr>
      <t xml:space="preserve">Go </t>
    </r>
    <r>
      <rPr>
        <b val="true"/>
        <sz val="11"/>
        <rFont val="Noto Sans CJK SC"/>
        <family val="2"/>
      </rPr>
      <t xml:space="preserve">人數</t>
    </r>
  </si>
  <si>
    <r>
      <rPr>
        <b val="true"/>
        <sz val="11"/>
        <rFont val="Arial"/>
        <family val="0"/>
        <charset val="1"/>
      </rPr>
      <t xml:space="preserve">Plus </t>
    </r>
    <r>
      <rPr>
        <b val="true"/>
        <sz val="11"/>
        <rFont val="Noto Sans CJK SC"/>
        <family val="2"/>
      </rPr>
      <t xml:space="preserve">人數</t>
    </r>
  </si>
  <si>
    <r>
      <rPr>
        <sz val="11"/>
        <rFont val="Noto Sans CJK SC"/>
        <family val="2"/>
      </rPr>
      <t xml:space="preserve">消費端付費人數（</t>
    </r>
    <r>
      <rPr>
        <sz val="11"/>
        <rFont val="Arial"/>
        <family val="0"/>
        <charset val="1"/>
      </rPr>
      <t xml:space="preserve">Go</t>
    </r>
    <r>
      <rPr>
        <sz val="11"/>
        <rFont val="Noto Sans CJK SC"/>
        <family val="2"/>
      </rPr>
      <t xml:space="preserve">＋</t>
    </r>
    <r>
      <rPr>
        <sz val="11"/>
        <rFont val="Arial"/>
        <family val="0"/>
        <charset val="1"/>
      </rPr>
      <t xml:space="preserve">Plus</t>
    </r>
    <r>
      <rPr>
        <sz val="11"/>
        <rFont val="Noto Sans CJK SC"/>
        <family val="2"/>
      </rPr>
      <t xml:space="preserve">＋</t>
    </r>
    <r>
      <rPr>
        <sz val="11"/>
        <rFont val="Arial"/>
        <family val="0"/>
        <charset val="1"/>
      </rPr>
      <t xml:space="preserve">Pro</t>
    </r>
    <r>
      <rPr>
        <sz val="11"/>
        <rFont val="Noto Sans CJK SC"/>
        <family val="2"/>
      </rPr>
      <t xml:space="preserve">）</t>
    </r>
  </si>
  <si>
    <r>
      <rPr>
        <b val="true"/>
        <sz val="11"/>
        <color rgb="FF1F3864"/>
        <rFont val="Noto Sans CJK SC"/>
        <family val="2"/>
      </rPr>
      <t xml:space="preserve">營收（</t>
    </r>
    <r>
      <rPr>
        <b val="true"/>
        <sz val="11"/>
        <color rgb="FF1F3864"/>
        <rFont val="Arial"/>
        <family val="0"/>
        <charset val="1"/>
      </rPr>
      <t xml:space="preserve">$B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</si>
  <si>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營收</t>
    </r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</si>
  <si>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營收</t>
    </r>
  </si>
  <si>
    <r>
      <rPr>
        <sz val="11"/>
        <rFont val="Arial"/>
        <family val="0"/>
        <charset val="1"/>
      </rPr>
      <t xml:space="preserve">Pro </t>
    </r>
    <r>
      <rPr>
        <sz val="11"/>
        <rFont val="Noto Sans CJK SC"/>
        <family val="2"/>
      </rPr>
      <t xml:space="preserve">營收</t>
    </r>
  </si>
  <si>
    <t xml:space="preserve">企業席位 營收</t>
  </si>
  <si>
    <r>
      <rPr>
        <sz val="11"/>
        <rFont val="Noto Sans CJK SC"/>
        <family val="2"/>
      </rPr>
      <t xml:space="preserve">消費端小計（</t>
    </r>
    <r>
      <rPr>
        <sz val="11"/>
        <rFont val="Arial"/>
        <family val="0"/>
        <charset val="1"/>
      </rPr>
      <t xml:space="preserve">Go</t>
    </r>
    <r>
      <rPr>
        <sz val="11"/>
        <rFont val="Noto Sans CJK SC"/>
        <family val="2"/>
      </rPr>
      <t xml:space="preserve">＋</t>
    </r>
    <r>
      <rPr>
        <sz val="11"/>
        <rFont val="Arial"/>
        <family val="0"/>
        <charset val="1"/>
      </rPr>
      <t xml:space="preserve">Plus</t>
    </r>
    <r>
      <rPr>
        <sz val="11"/>
        <rFont val="Noto Sans CJK SC"/>
        <family val="2"/>
      </rPr>
      <t xml:space="preserve">＋</t>
    </r>
    <r>
      <rPr>
        <sz val="11"/>
        <rFont val="Arial"/>
        <family val="0"/>
        <charset val="1"/>
      </rPr>
      <t xml:space="preserve">Pro</t>
    </r>
    <r>
      <rPr>
        <sz val="11"/>
        <rFont val="Noto Sans CJK SC"/>
        <family val="2"/>
      </rPr>
      <t xml:space="preserve">）</t>
    </r>
  </si>
  <si>
    <t xml:space="preserve">訂閱合計</t>
  </si>
  <si>
    <r>
      <rPr>
        <b val="true"/>
        <sz val="11"/>
        <color rgb="FF1F3864"/>
        <rFont val="Noto Sans CJK SC"/>
        <family val="2"/>
      </rPr>
      <t xml:space="preserve">使用量與 </t>
    </r>
    <r>
      <rPr>
        <b val="true"/>
        <sz val="11"/>
        <color rgb="FF1F3864"/>
        <rFont val="Arial"/>
        <family val="0"/>
        <charset val="1"/>
      </rPr>
      <t xml:space="preserve">token</t>
    </r>
    <r>
      <rPr>
        <b val="true"/>
        <sz val="11"/>
        <color rgb="FF1F3864"/>
        <rFont val="Noto Sans CJK SC"/>
        <family val="2"/>
      </rPr>
      <t xml:space="preserve">（</t>
    </r>
    <r>
      <rPr>
        <b val="true"/>
        <sz val="11"/>
        <color rgb="FF1F3864"/>
        <rFont val="Arial"/>
        <family val="0"/>
        <charset val="1"/>
      </rPr>
      <t xml:space="preserve">T</t>
    </r>
    <r>
      <rPr>
        <b val="true"/>
        <sz val="11"/>
        <color rgb="FF1F3864"/>
        <rFont val="Noto Sans CJK SC"/>
        <family val="2"/>
      </rPr>
      <t xml:space="preserve">＝</t>
    </r>
    <r>
      <rPr>
        <b val="true"/>
        <sz val="11"/>
        <color rgb="FF1F3864"/>
        <rFont val="Arial"/>
        <family val="0"/>
        <charset val="1"/>
      </rPr>
      <t xml:space="preserve">10^12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</si>
  <si>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每日任務數</t>
    </r>
  </si>
  <si>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每日任務數</t>
    </r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</si>
  <si>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每日任務數</t>
    </r>
  </si>
  <si>
    <r>
      <rPr>
        <sz val="11"/>
        <rFont val="Arial"/>
        <family val="0"/>
        <charset val="1"/>
      </rPr>
      <t xml:space="preserve">Pro </t>
    </r>
    <r>
      <rPr>
        <sz val="11"/>
        <rFont val="Noto Sans CJK SC"/>
        <family val="2"/>
      </rPr>
      <t xml:space="preserve">每日任務數</t>
    </r>
  </si>
  <si>
    <t xml:space="preserve">企業席位 每日任務數</t>
  </si>
  <si>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</t>
    </r>
  </si>
  <si>
    <t xml:space="preserve">K</t>
  </si>
  <si>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</t>
    </r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</si>
  <si>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</t>
    </r>
  </si>
  <si>
    <r>
      <rPr>
        <sz val="11"/>
        <rFont val="Arial"/>
        <family val="0"/>
        <charset val="1"/>
      </rPr>
      <t xml:space="preserve">Pro </t>
    </r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</t>
    </r>
  </si>
  <si>
    <r>
      <rPr>
        <sz val="11"/>
        <rFont val="Noto Sans CJK SC"/>
        <family val="2"/>
      </rPr>
      <t xml:space="preserve">企業席位 每任務 </t>
    </r>
    <r>
      <rPr>
        <sz val="11"/>
        <rFont val="Arial"/>
        <family val="0"/>
        <charset val="1"/>
      </rPr>
      <t xml:space="preserve">token</t>
    </r>
  </si>
  <si>
    <t xml:space="preserve">Free token</t>
  </si>
  <si>
    <t xml:space="preserve">Go token</t>
  </si>
  <si>
    <t xml:space="preserve">Plus token</t>
  </si>
  <si>
    <t xml:space="preserve">Pro token</t>
  </si>
  <si>
    <r>
      <rPr>
        <sz val="11"/>
        <rFont val="Noto Sans CJK SC"/>
        <family val="2"/>
      </rPr>
      <t xml:space="preserve">企業席位 </t>
    </r>
    <r>
      <rPr>
        <sz val="11"/>
        <rFont val="Arial"/>
        <family val="0"/>
        <charset val="1"/>
      </rPr>
      <t xml:space="preserve">token</t>
    </r>
  </si>
  <si>
    <r>
      <rPr>
        <b val="true"/>
        <sz val="11"/>
        <rFont val="Noto Sans CJK SC"/>
        <family val="2"/>
      </rPr>
      <t xml:space="preserve">訂閱＋</t>
    </r>
    <r>
      <rPr>
        <b val="true"/>
        <sz val="11"/>
        <rFont val="Arial"/>
        <family val="0"/>
        <charset val="1"/>
      </rPr>
      <t xml:space="preserve">Free token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Arial"/>
        <family val="0"/>
        <charset val="1"/>
      </rPr>
      <t xml:space="preserve">workbook </t>
    </r>
    <r>
      <rPr>
        <b val="true"/>
        <sz val="11"/>
        <rFont val="Noto Sans CJK SC"/>
        <family val="2"/>
      </rPr>
      <t xml:space="preserve">口徑，未校正）</t>
    </r>
  </si>
  <si>
    <t xml:space="preserve">隱含收益率（成本見「推論成本」頁）</t>
  </si>
  <si>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隱含收益率（營收</t>
    </r>
    <r>
      <rPr>
        <sz val="11"/>
        <rFont val="Arial"/>
        <family val="0"/>
        <charset val="1"/>
      </rPr>
      <t xml:space="preserve">÷token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</si>
  <si>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Go API </t>
    </r>
    <r>
      <rPr>
        <sz val="11"/>
        <rFont val="Noto Sans CJK SC"/>
        <family val="2"/>
      </rPr>
      <t xml:space="preserve">等值單價（</t>
    </r>
    <r>
      <rPr>
        <sz val="11"/>
        <rFont val="Arial"/>
        <family val="0"/>
        <charset val="1"/>
      </rPr>
      <t xml:space="preserve">low </t>
    </r>
    <r>
      <rPr>
        <sz val="11"/>
        <rFont val="Noto Sans CJK SC"/>
        <family val="2"/>
      </rPr>
      <t xml:space="preserve">層）</t>
    </r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</si>
  <si>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隱含收益率（營收</t>
    </r>
    <r>
      <rPr>
        <sz val="11"/>
        <rFont val="Arial"/>
        <family val="0"/>
        <charset val="1"/>
      </rPr>
      <t xml:space="preserve">÷token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</si>
  <si>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Plus API </t>
    </r>
    <r>
      <rPr>
        <sz val="11"/>
        <rFont val="Noto Sans CJK SC"/>
        <family val="2"/>
      </rPr>
      <t xml:space="preserve">等值單價（</t>
    </r>
    <r>
      <rPr>
        <sz val="11"/>
        <rFont val="Arial"/>
        <family val="0"/>
        <charset val="1"/>
      </rPr>
      <t xml:space="preserve">mid </t>
    </r>
    <r>
      <rPr>
        <sz val="11"/>
        <rFont val="Noto Sans CJK SC"/>
        <family val="2"/>
      </rPr>
      <t xml:space="preserve">層）</t>
    </r>
  </si>
  <si>
    <r>
      <rPr>
        <sz val="11"/>
        <rFont val="Arial"/>
        <family val="0"/>
        <charset val="1"/>
      </rPr>
      <t xml:space="preserve">Pro </t>
    </r>
    <r>
      <rPr>
        <sz val="11"/>
        <rFont val="Noto Sans CJK SC"/>
        <family val="2"/>
      </rPr>
      <t xml:space="preserve">隱含收益率（營收</t>
    </r>
    <r>
      <rPr>
        <sz val="11"/>
        <rFont val="Arial"/>
        <family val="0"/>
        <charset val="1"/>
      </rPr>
      <t xml:space="preserve">÷token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</si>
  <si>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Pro API </t>
    </r>
    <r>
      <rPr>
        <sz val="11"/>
        <rFont val="Noto Sans CJK SC"/>
        <family val="2"/>
      </rPr>
      <t xml:space="preserve">等值單價（</t>
    </r>
    <r>
      <rPr>
        <sz val="11"/>
        <rFont val="Arial"/>
        <family val="0"/>
        <charset val="1"/>
      </rPr>
      <t xml:space="preserve">top </t>
    </r>
    <r>
      <rPr>
        <sz val="11"/>
        <rFont val="Noto Sans CJK SC"/>
        <family val="2"/>
      </rPr>
      <t xml:space="preserve">層）</t>
    </r>
  </si>
  <si>
    <r>
      <rPr>
        <sz val="11"/>
        <rFont val="Noto Sans CJK SC"/>
        <family val="2"/>
      </rPr>
      <t xml:space="preserve">企業席位 隱含收益率（營收</t>
    </r>
    <r>
      <rPr>
        <sz val="11"/>
        <rFont val="Arial"/>
        <family val="0"/>
        <charset val="1"/>
      </rPr>
      <t xml:space="preserve">÷token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</si>
  <si>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企業席位 </t>
    </r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等值單價（</t>
    </r>
    <r>
      <rPr>
        <sz val="11"/>
        <rFont val="Arial"/>
        <family val="0"/>
        <charset val="1"/>
      </rPr>
      <t xml:space="preserve">mid </t>
    </r>
    <r>
      <rPr>
        <sz val="11"/>
        <rFont val="Noto Sans CJK SC"/>
        <family val="2"/>
      </rPr>
      <t xml:space="preserve">層）</t>
    </r>
  </si>
  <si>
    <t xml:space="preserve">廣告（不進核心分析）</t>
  </si>
  <si>
    <t xml:space="preserve">廣告曝光用戶</t>
  </si>
  <si>
    <t xml:space="preserve">廣告營收</t>
  </si>
  <si>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營收 </t>
    </r>
    <r>
      <rPr>
        <b val="true"/>
        <sz val="13"/>
        <rFont val="Arial"/>
        <family val="0"/>
        <charset val="1"/>
      </rPr>
      <t xml:space="preserve">= </t>
    </r>
    <r>
      <rPr>
        <b val="true"/>
        <sz val="13"/>
        <rFont val="Noto Sans CJK SC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有效單價（</t>
    </r>
    <r>
      <rPr>
        <b val="true"/>
        <sz val="13"/>
        <rFont val="Arial"/>
        <family val="0"/>
        <charset val="1"/>
      </rPr>
      <t xml:space="preserve">$B</t>
    </r>
    <r>
      <rPr>
        <b val="true"/>
        <sz val="13"/>
        <rFont val="Noto Sans CJK SC"/>
        <family val="2"/>
      </rPr>
      <t xml:space="preserve">）</t>
    </r>
  </si>
  <si>
    <r>
      <rPr>
        <b val="true"/>
        <sz val="11"/>
        <color rgb="FF1F3864"/>
        <rFont val="Noto Sans CJK SC"/>
        <family val="2"/>
      </rPr>
      <t xml:space="preserve">牌價（</t>
    </r>
    <r>
      <rPr>
        <b val="true"/>
        <sz val="11"/>
        <color rgb="FF1F3864"/>
        <rFont val="Arial"/>
        <family val="0"/>
        <charset val="1"/>
      </rPr>
      <t xml:space="preserve">$/M</t>
    </r>
    <r>
      <rPr>
        <b val="true"/>
        <sz val="11"/>
        <color rgb="FF1F3864"/>
        <rFont val="Noto Sans CJK SC"/>
        <family val="2"/>
      </rPr>
      <t xml:space="preserve">）</t>
    </r>
  </si>
  <si>
    <t xml:space="preserve">頂層輸入牌價</t>
  </si>
  <si>
    <t xml:space="preserve">頂層輸出牌價</t>
  </si>
  <si>
    <t xml:space="preserve">中層輸入牌價</t>
  </si>
  <si>
    <t xml:space="preserve">中層輸出牌價</t>
  </si>
  <si>
    <t xml:space="preserve">低層輸入牌價</t>
  </si>
  <si>
    <t xml:space="preserve">低層輸出牌價</t>
  </si>
  <si>
    <r>
      <rPr>
        <b val="true"/>
        <sz val="11"/>
        <color rgb="FF1F3864"/>
        <rFont val="Noto Sans CJK SC"/>
        <family val="2"/>
      </rPr>
      <t xml:space="preserve">有效單價（</t>
    </r>
    <r>
      <rPr>
        <b val="true"/>
        <sz val="11"/>
        <color rgb="FF1F3864"/>
        <rFont val="Arial"/>
        <family val="0"/>
        <charset val="1"/>
      </rPr>
      <t xml:space="preserve">$/M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</si>
  <si>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頂層每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單價（含快取、輸出占比）</t>
    </r>
  </si>
  <si>
    <r>
      <rPr>
        <sz val="11"/>
        <rFont val="Noto Sans CJK SC"/>
        <family val="2"/>
      </rPr>
      <t xml:space="preserve">中層每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單價（含快取、輸出占比）</t>
    </r>
  </si>
  <si>
    <r>
      <rPr>
        <sz val="11"/>
        <rFont val="Noto Sans CJK SC"/>
        <family val="2"/>
      </rPr>
      <t xml:space="preserve">低層每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單價（含快取、輸出占比）</t>
    </r>
  </si>
  <si>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組合：頂層</t>
    </r>
  </si>
  <si>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組合：中層</t>
    </r>
  </si>
  <si>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組合：低層</t>
    </r>
  </si>
  <si>
    <t xml:space="preserve">組合有效單價（扣折扣）</t>
  </si>
  <si>
    <t xml:space="preserve">反事實單價（沿用上年組合，歸因用）</t>
  </si>
  <si>
    <t xml:space="preserve">量與營收</t>
  </si>
  <si>
    <r>
      <rPr>
        <sz val="11"/>
        <rFont val="Noto Sans CJK SC"/>
        <family val="2"/>
      </rPr>
      <t xml:space="preserve">價格反應項 </t>
    </r>
    <r>
      <rPr>
        <sz val="11"/>
        <rFont val="Arial"/>
        <family val="0"/>
        <charset val="1"/>
      </rPr>
      <t xml:space="preserve">(p/p</t>
    </r>
    <r>
      <rPr>
        <sz val="11"/>
        <rFont val="Noto Sans CJK SC"/>
        <family val="2"/>
      </rPr>
      <t xml:space="preserve">前</t>
    </r>
    <r>
      <rPr>
        <sz val="11"/>
        <rFont val="Arial"/>
        <family val="0"/>
        <charset val="1"/>
      </rPr>
      <t xml:space="preserve">)^ε </t>
    </r>
    <r>
      <rPr>
        <sz val="11"/>
        <rFont val="Noto Sans CJK SC"/>
        <family val="2"/>
      </rPr>
      <t xml:space="preserve">之底數</t>
    </r>
  </si>
  <si>
    <r>
      <rPr>
        <sz val="11"/>
        <rFont val="Arial"/>
        <family val="0"/>
        <charset val="1"/>
      </rPr>
      <t xml:space="preserve">2025–26 </t>
    </r>
    <r>
      <rPr>
        <sz val="11"/>
        <rFont val="Noto Sans CJK SC"/>
        <family val="2"/>
      </rPr>
      <t xml:space="preserve">為校準年，底數＝</t>
    </r>
    <r>
      <rPr>
        <sz val="11"/>
        <rFont val="Arial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</si>
  <si>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</t>
    </r>
  </si>
  <si>
    <r>
      <rPr>
        <sz val="11"/>
        <rFont val="Noto Sans CJK SC"/>
        <family val="2"/>
      </rPr>
      <t xml:space="preserve">水準拆分為正規化，只影響 </t>
    </r>
    <r>
      <rPr>
        <sz val="11"/>
        <rFont val="Arial"/>
        <family val="0"/>
        <charset val="1"/>
      </rPr>
      <t xml:space="preserve">N </t>
    </r>
    <r>
      <rPr>
        <sz val="11"/>
        <rFont val="Noto Sans CJK SC"/>
        <family val="2"/>
      </rPr>
      <t xml:space="preserve">與 </t>
    </r>
    <r>
      <rPr>
        <sz val="11"/>
        <rFont val="Arial"/>
        <family val="0"/>
        <charset val="1"/>
      </rPr>
      <t xml:space="preserve">k </t>
    </r>
    <r>
      <rPr>
        <sz val="11"/>
        <rFont val="Noto Sans CJK SC"/>
        <family val="2"/>
      </rPr>
      <t xml:space="preserve">的比例，不影響營收</t>
    </r>
  </si>
  <si>
    <t xml:space="preserve">任務數</t>
  </si>
  <si>
    <t xml:space="preserve">十億</t>
  </si>
  <si>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計費 </t>
    </r>
    <r>
      <rPr>
        <sz val="11"/>
        <rFont val="Arial"/>
        <family val="0"/>
        <charset val="1"/>
      </rPr>
      <t xml:space="preserve">token</t>
    </r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</si>
  <si>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：由營收倒推（唯一倒推）；之後＝任務數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</t>
    </r>
  </si>
  <si>
    <r>
      <rPr>
        <b val="true"/>
        <sz val="11"/>
        <rFont val="Arial"/>
        <family val="0"/>
        <charset val="1"/>
      </rPr>
      <t xml:space="preserve">API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</si>
  <si>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color rgb="FF1F3864"/>
        <rFont val="Arial"/>
        <family val="0"/>
        <charset val="1"/>
      </rPr>
      <t xml:space="preserve">API </t>
    </r>
    <r>
      <rPr>
        <b val="true"/>
        <sz val="11"/>
        <color rgb="FF1F3864"/>
        <rFont val="Noto Sans CJK SC"/>
        <family val="2"/>
      </rPr>
      <t xml:space="preserve">依模型層級拆分（營收；成本見「推論成本」頁）</t>
    </r>
  </si>
  <si>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營收：頂層（</t>
    </r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</si>
  <si>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API token</t>
    </r>
    <r>
      <rPr>
        <sz val="11"/>
        <rFont val="Noto Sans CJK SC"/>
        <family val="2"/>
      </rPr>
      <t xml:space="preserve">：頂層（</t>
    </r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</si>
  <si>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營收：中層（</t>
    </r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</si>
  <si>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API token</t>
    </r>
    <r>
      <rPr>
        <sz val="11"/>
        <rFont val="Noto Sans CJK SC"/>
        <family val="2"/>
      </rPr>
      <t xml:space="preserve">：中層（</t>
    </r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</si>
  <si>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營收：低層（</t>
    </r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</si>
  <si>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API token</t>
    </r>
    <r>
      <rPr>
        <sz val="11"/>
        <rFont val="Noto Sans CJK SC"/>
        <family val="2"/>
      </rPr>
      <t xml:space="preserve">：低層（</t>
    </r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）</t>
    </r>
  </si>
  <si>
    <r>
      <rPr>
        <b val="true"/>
        <sz val="11"/>
        <color rgb="FF1F3864"/>
        <rFont val="Noto Sans CJK SC"/>
        <family val="2"/>
      </rPr>
      <t xml:space="preserve">年度對數歸因（加總＝</t>
    </r>
    <r>
      <rPr>
        <b val="true"/>
        <sz val="11"/>
        <color rgb="FF1F3864"/>
        <rFont val="Arial"/>
        <family val="0"/>
        <charset val="1"/>
      </rPr>
      <t xml:space="preserve">ln(</t>
    </r>
    <r>
      <rPr>
        <b val="true"/>
        <sz val="11"/>
        <color rgb="FF1F3864"/>
        <rFont val="Noto Sans CJK SC"/>
        <family val="2"/>
      </rPr>
      <t xml:space="preserve">營收成長</t>
    </r>
    <r>
      <rPr>
        <b val="true"/>
        <sz val="11"/>
        <color rgb="FF1F3864"/>
        <rFont val="Arial"/>
        <family val="0"/>
        <charset val="1"/>
      </rPr>
      <t xml:space="preserve">)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</si>
  <si>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需求量 </t>
    </r>
    <r>
      <rPr>
        <sz val="11"/>
        <rFont val="Arial"/>
        <family val="0"/>
        <charset val="1"/>
      </rPr>
      <t xml:space="preserve">ln(1+gN)+ln(1+gK)</t>
    </r>
  </si>
  <si>
    <t xml:space="preserve">ln</t>
  </si>
  <si>
    <r>
      <rPr>
        <sz val="11"/>
        <rFont val="Noto Sans CJK SC"/>
        <family val="2"/>
      </rPr>
      <t xml:space="preserve">牌價 </t>
    </r>
    <r>
      <rPr>
        <sz val="11"/>
        <rFont val="Arial"/>
        <family val="0"/>
        <charset val="1"/>
      </rPr>
      <t xml:space="preserve">ln(p*/p</t>
    </r>
    <r>
      <rPr>
        <sz val="11"/>
        <rFont val="Noto Sans CJK SC"/>
        <family val="2"/>
      </rPr>
      <t xml:space="preserve">前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</si>
  <si>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組合 </t>
    </r>
    <r>
      <rPr>
        <sz val="11"/>
        <rFont val="Arial"/>
        <family val="0"/>
        <charset val="1"/>
      </rPr>
      <t xml:space="preserve">ln(p/p*)</t>
    </r>
  </si>
  <si>
    <r>
      <rPr>
        <sz val="11"/>
        <rFont val="Noto Sans CJK SC"/>
        <family val="2"/>
      </rPr>
      <t xml:space="preserve">價格反應 </t>
    </r>
    <r>
      <rPr>
        <sz val="11"/>
        <rFont val="Arial"/>
        <family val="0"/>
        <charset val="1"/>
      </rPr>
      <t xml:space="preserve">(εN+εK)·ln(p/p</t>
    </r>
    <r>
      <rPr>
        <sz val="11"/>
        <rFont val="Noto Sans CJK SC"/>
        <family val="2"/>
      </rPr>
      <t xml:space="preserve">前</t>
    </r>
    <r>
      <rPr>
        <sz val="11"/>
        <rFont val="Arial"/>
        <family val="0"/>
        <charset val="1"/>
      </rPr>
      <t xml:space="preserve">)</t>
    </r>
  </si>
  <si>
    <t xml:space="preserve">合計</t>
  </si>
  <si>
    <r>
      <rPr>
        <sz val="11"/>
        <rFont val="Noto Sans CJK SC"/>
        <family val="2"/>
      </rPr>
      <t xml:space="preserve">誤差（合計−</t>
    </r>
    <r>
      <rPr>
        <sz val="11"/>
        <rFont val="Arial"/>
        <family val="0"/>
        <charset val="1"/>
      </rPr>
      <t xml:space="preserve">ln </t>
    </r>
    <r>
      <rPr>
        <sz val="11"/>
        <rFont val="Noto Sans CJK SC"/>
        <family val="2"/>
      </rPr>
      <t xml:space="preserve">營收成長）</t>
    </r>
  </si>
  <si>
    <r>
      <rPr>
        <b val="true"/>
        <sz val="11"/>
        <color rgb="FF1F3864"/>
        <rFont val="Noto Sans CJK SC"/>
        <family val="2"/>
      </rPr>
      <t xml:space="preserve">參考：</t>
    </r>
    <r>
      <rPr>
        <b val="true"/>
        <sz val="11"/>
        <color rgb="FF1F3864"/>
        <rFont val="Arial"/>
        <family val="0"/>
        <charset val="1"/>
      </rPr>
      <t xml:space="preserve">2025 </t>
    </r>
    <r>
      <rPr>
        <b val="true"/>
        <sz val="11"/>
        <color rgb="FF1F3864"/>
        <rFont val="Noto Sans CJK SC"/>
        <family val="2"/>
      </rPr>
      <t xml:space="preserve">計費比例</t>
    </r>
  </si>
  <si>
    <r>
      <rPr>
        <sz val="11"/>
        <color theme="1"/>
        <rFont val="Arial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計費 </t>
    </r>
    <r>
      <rPr>
        <sz val="11"/>
        <color theme="1"/>
        <rFont val="Arial"/>
        <family val="0"/>
        <charset val="1"/>
      </rPr>
      <t xml:space="preserve">token ÷ </t>
    </r>
    <r>
      <rPr>
        <sz val="11"/>
        <color theme="1"/>
        <rFont val="Noto Sans CJK SC"/>
        <family val="2"/>
      </rPr>
      <t xml:space="preserve">揭露處理 </t>
    </r>
    <r>
      <rPr>
        <sz val="11"/>
        <color theme="1"/>
        <rFont val="Arial"/>
        <family val="0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</si>
  <si>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3"/>
        <rFont val="Noto Sans CJK SC"/>
        <family val="2"/>
      </rPr>
      <t xml:space="preserve">營收彙總（</t>
    </r>
    <r>
      <rPr>
        <b val="true"/>
        <sz val="13"/>
        <rFont val="Arial"/>
        <family val="0"/>
        <charset val="1"/>
      </rPr>
      <t xml:space="preserve">$B</t>
    </r>
    <r>
      <rPr>
        <b val="true"/>
        <sz val="13"/>
        <rFont val="Noto Sans CJK SC"/>
        <family val="2"/>
      </rPr>
      <t xml:space="preserve">）：核心＝訂閱＋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；廣告另列；</t>
    </r>
    <r>
      <rPr>
        <b val="true"/>
        <sz val="13"/>
        <rFont val="Arial"/>
        <family val="0"/>
        <charset val="1"/>
      </rPr>
      <t xml:space="preserve">Microsoft </t>
    </r>
    <r>
      <rPr>
        <b val="true"/>
        <sz val="13"/>
        <rFont val="Noto Sans CJK SC"/>
        <family val="2"/>
      </rPr>
      <t xml:space="preserve">分潤；淨額</t>
    </r>
  </si>
  <si>
    <r>
      <rPr>
        <b val="true"/>
        <sz val="11"/>
        <rFont val="Noto Sans CJK SC"/>
        <family val="2"/>
      </rPr>
      <t xml:space="preserve">容量上限係數（算力</t>
    </r>
    <r>
      <rPr>
        <b val="true"/>
        <sz val="11"/>
        <rFont val="Arial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＝未受限）</t>
    </r>
  </si>
  <si>
    <r>
      <rPr>
        <b val="true"/>
        <sz val="11"/>
        <color rgb="FF1F3864"/>
        <rFont val="Noto Sans CJK SC"/>
        <family val="2"/>
      </rPr>
      <t xml:space="preserve">消費端與企業端（訂閱依方案分；</t>
    </r>
    <r>
      <rPr>
        <b val="true"/>
        <sz val="11"/>
        <color rgb="FF1F3864"/>
        <rFont val="Arial"/>
        <family val="0"/>
        <charset val="1"/>
      </rPr>
      <t xml:space="preserve">API </t>
    </r>
    <r>
      <rPr>
        <b val="true"/>
        <sz val="11"/>
        <color rgb="FF1F3864"/>
        <rFont val="Noto Sans CJK SC"/>
        <family val="2"/>
      </rPr>
      <t xml:space="preserve">全數歸企業端，另依模型層級列示）</t>
    </r>
  </si>
  <si>
    <t xml:space="preserve">  Go</t>
  </si>
  <si>
    <t xml:space="preserve">  Plus</t>
  </si>
  <si>
    <t xml:space="preserve">  Pro</t>
  </si>
  <si>
    <r>
      <rPr>
        <sz val="11"/>
        <rFont val="Noto Sans CJK SC"/>
        <family val="2"/>
      </rPr>
      <t xml:space="preserve">  廣告（</t>
    </r>
    <r>
      <rPr>
        <sz val="11"/>
        <rFont val="Arial"/>
        <family val="0"/>
        <charset val="1"/>
      </rPr>
      <t xml:space="preserve">Free</t>
    </r>
    <r>
      <rPr>
        <sz val="11"/>
        <rFont val="Noto Sans CJK SC"/>
        <family val="2"/>
      </rPr>
      <t xml:space="preserve">＋</t>
    </r>
    <r>
      <rPr>
        <sz val="11"/>
        <rFont val="Arial"/>
        <family val="0"/>
        <charset val="1"/>
      </rPr>
      <t xml:space="preserve">Go </t>
    </r>
    <r>
      <rPr>
        <sz val="11"/>
        <rFont val="Noto Sans CJK SC"/>
        <family val="2"/>
      </rPr>
      <t xml:space="preserve">曝光）</t>
    </r>
  </si>
  <si>
    <t xml:space="preserve">消費端合計</t>
  </si>
  <si>
    <r>
      <rPr>
        <sz val="11"/>
        <rFont val="Noto Sans CJK SC"/>
        <family val="2"/>
      </rPr>
      <t xml:space="preserve">  企業席位（</t>
    </r>
    <r>
      <rPr>
        <sz val="11"/>
        <rFont val="Arial"/>
        <family val="0"/>
        <charset val="1"/>
      </rPr>
      <t xml:space="preserve">Business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Enterprise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Edu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</si>
  <si>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  API </t>
    </r>
    <r>
      <rPr>
        <sz val="11"/>
        <rFont val="Noto Sans CJK SC"/>
        <family val="2"/>
      </rPr>
      <t xml:space="preserve">頂層（</t>
    </r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</si>
  <si>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  API </t>
    </r>
    <r>
      <rPr>
        <sz val="11"/>
        <rFont val="Noto Sans CJK SC"/>
        <family val="2"/>
      </rPr>
      <t xml:space="preserve">中層（</t>
    </r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</si>
  <si>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  API </t>
    </r>
    <r>
      <rPr>
        <sz val="11"/>
        <rFont val="Noto Sans CJK SC"/>
        <family val="2"/>
      </rPr>
      <t xml:space="preserve">低層（</t>
    </r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）</t>
    </r>
  </si>
  <si>
    <t xml:space="preserve">企業端合計</t>
  </si>
  <si>
    <t xml:space="preserve">企業端占總額</t>
  </si>
  <si>
    <r>
      <rPr>
        <sz val="11"/>
        <rFont val="Arial"/>
        <family val="0"/>
        <charset val="1"/>
      </rPr>
      <t xml:space="preserve">CFO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年初消費端／企業端 </t>
    </r>
    <r>
      <rPr>
        <sz val="11"/>
        <rFont val="Arial"/>
        <family val="0"/>
        <charset val="1"/>
      </rPr>
      <t xml:space="preserve">60/40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月企業端已超過消費端</t>
    </r>
  </si>
  <si>
    <t xml:space="preserve">依營收線</t>
  </si>
  <si>
    <r>
      <rPr>
        <b val="true"/>
        <sz val="11"/>
        <rFont val="Noto Sans CJK SC"/>
        <family val="2"/>
      </rPr>
      <t xml:space="preserve">核心營收（訂閱＋</t>
    </r>
    <r>
      <rPr>
        <b val="true"/>
        <sz val="11"/>
        <rFont val="Arial"/>
        <family val="0"/>
        <charset val="1"/>
      </rPr>
      <t xml:space="preserve">API</t>
    </r>
    <r>
      <rPr>
        <b val="true"/>
        <sz val="11"/>
        <rFont val="Noto Sans CJK SC"/>
        <family val="2"/>
      </rPr>
      <t xml:space="preserve">）</t>
    </r>
  </si>
  <si>
    <t xml:space="preserve">廣告</t>
  </si>
  <si>
    <t xml:space="preserve">  分潤累計（自起算年）</t>
  </si>
  <si>
    <t xml:space="preserve">淨額（總額−分潤）</t>
  </si>
  <si>
    <t xml:space="preserve">比率與檢查用</t>
  </si>
  <si>
    <t xml:space="preserve">總額年增率</t>
  </si>
  <si>
    <r>
      <rPr>
        <sz val="11"/>
        <rFont val="Noto Sans CJK SC"/>
        <family val="2"/>
      </rPr>
      <t xml:space="preserve">消費端＋企業端 − 總額（應為 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</si>
  <si>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t xml:space="preserve">廣告占總額</t>
  </si>
  <si>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下半年（模型全年−上半年實際）</t>
    </r>
  </si>
  <si>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上半年</t>
    </r>
  </si>
  <si>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下半年月均營收</t>
    </r>
  </si>
  <si>
    <r>
      <rPr>
        <sz val="11"/>
        <color theme="1"/>
        <rFont val="Arial"/>
        <family val="0"/>
        <charset val="1"/>
      </rPr>
      <t xml:space="preserve">$B/</t>
    </r>
    <r>
      <rPr>
        <sz val="11"/>
        <color theme="1"/>
        <rFont val="Noto Sans CJK SC"/>
        <family val="2"/>
      </rPr>
      <t xml:space="preserve">月</t>
    </r>
  </si>
  <si>
    <r>
      <rPr>
        <b val="true"/>
        <sz val="11"/>
        <color rgb="FF1F3864"/>
        <rFont val="Noto Sans CJK SC"/>
        <family val="2"/>
      </rPr>
      <t xml:space="preserve">敏感度：</t>
    </r>
    <r>
      <rPr>
        <b val="true"/>
        <sz val="11"/>
        <color rgb="FF1F3864"/>
        <rFont val="Arial"/>
        <family val="0"/>
        <charset val="1"/>
      </rPr>
      <t xml:space="preserve">FY2030 </t>
    </r>
    <r>
      <rPr>
        <b val="true"/>
        <sz val="11"/>
        <color rgb="FF1F3864"/>
        <rFont val="Noto Sans CJK SC"/>
        <family val="2"/>
      </rPr>
      <t xml:space="preserve">核心營收（</t>
    </r>
    <r>
      <rPr>
        <b val="true"/>
        <sz val="11"/>
        <color rgb="FF1F3864"/>
        <rFont val="Arial"/>
        <family val="0"/>
        <charset val="1"/>
      </rPr>
      <t xml:space="preserve">$B</t>
    </r>
    <r>
      <rPr>
        <b val="true"/>
        <sz val="11"/>
        <color rgb="FF1F3864"/>
        <rFont val="Noto Sans CJK SC"/>
        <family val="2"/>
      </rPr>
      <t xml:space="preserve">）｜列＝</t>
    </r>
    <r>
      <rPr>
        <b val="true"/>
        <sz val="11"/>
        <color rgb="FF1F3864"/>
        <rFont val="Arial"/>
        <family val="0"/>
        <charset val="1"/>
      </rPr>
      <t xml:space="preserve">ε </t>
    </r>
    <r>
      <rPr>
        <b val="true"/>
        <sz val="11"/>
        <color rgb="FF1F3864"/>
        <rFont val="Noto Sans CJK SC"/>
        <family val="2"/>
      </rPr>
      <t xml:space="preserve">總和、欄＝牌價年變動組（頂</t>
    </r>
    <r>
      <rPr>
        <b val="true"/>
        <sz val="11"/>
        <color rgb="FF1F3864"/>
        <rFont val="Arial"/>
        <family val="0"/>
        <charset val="1"/>
      </rPr>
      <t xml:space="preserve">/</t>
    </r>
    <r>
      <rPr>
        <b val="true"/>
        <sz val="11"/>
        <color rgb="FF1F3864"/>
        <rFont val="Noto Sans CJK SC"/>
        <family val="2"/>
      </rPr>
      <t xml:space="preserve">中</t>
    </r>
    <r>
      <rPr>
        <b val="true"/>
        <sz val="11"/>
        <color rgb="FF1F3864"/>
        <rFont val="Arial"/>
        <family val="0"/>
        <charset val="1"/>
      </rPr>
      <t xml:space="preserve">/</t>
    </r>
    <r>
      <rPr>
        <b val="true"/>
        <sz val="11"/>
        <color rgb="FF1F3864"/>
        <rFont val="Noto Sans CJK SC"/>
        <family val="2"/>
      </rPr>
      <t xml:space="preserve">低）</t>
    </r>
  </si>
  <si>
    <r>
      <rPr>
        <b val="true"/>
        <sz val="11"/>
        <rFont val="Arial"/>
        <family val="0"/>
        <charset val="1"/>
      </rPr>
      <t xml:space="preserve">ε </t>
    </r>
    <r>
      <rPr>
        <b val="true"/>
        <sz val="11"/>
        <rFont val="Noto Sans CJK SC"/>
        <family val="2"/>
      </rPr>
      <t xml:space="preserve">總和 ＼ 牌價年變動</t>
    </r>
  </si>
  <si>
    <r>
      <rPr>
        <b val="true"/>
        <sz val="11"/>
        <rFont val="Noto Sans CJK SC"/>
        <family val="2"/>
      </rPr>
      <t xml:space="preserve">溫和 −</t>
    </r>
    <r>
      <rPr>
        <b val="true"/>
        <sz val="11"/>
        <rFont val="Arial"/>
        <family val="0"/>
        <charset val="1"/>
      </rPr>
      <t xml:space="preserve">15/−20/−20%</t>
    </r>
  </si>
  <si>
    <r>
      <rPr>
        <b val="true"/>
        <sz val="11"/>
        <rFont val="Noto Sans CJK SC"/>
        <family val="2"/>
      </rPr>
      <t xml:space="preserve">基準 −</t>
    </r>
    <r>
      <rPr>
        <b val="true"/>
        <sz val="11"/>
        <rFont val="Arial"/>
        <family val="0"/>
        <charset val="1"/>
      </rPr>
      <t xml:space="preserve">30/−40/−40%</t>
    </r>
  </si>
  <si>
    <r>
      <rPr>
        <b val="true"/>
        <sz val="11"/>
        <rFont val="Noto Sans CJK SC"/>
        <family val="2"/>
      </rPr>
      <t xml:space="preserve">劇烈 −</t>
    </r>
    <r>
      <rPr>
        <b val="true"/>
        <sz val="11"/>
        <rFont val="Arial"/>
        <family val="0"/>
        <charset val="1"/>
      </rPr>
      <t xml:space="preserve">45/−60/−60%</t>
    </r>
  </si>
  <si>
    <r>
      <rPr>
        <i val="true"/>
        <sz val="11"/>
        <rFont val="Noto Sans CJK SC"/>
        <family val="2"/>
      </rPr>
      <t xml:space="preserve">註：</t>
    </r>
    <r>
      <rPr>
        <i val="true"/>
        <sz val="11"/>
        <rFont val="Arial"/>
        <family val="0"/>
        <charset val="1"/>
      </rPr>
      <t xml:space="preserve">2027 </t>
    </r>
    <r>
      <rPr>
        <i val="true"/>
        <sz val="11"/>
        <rFont val="Noto Sans CJK SC"/>
        <family val="2"/>
      </rPr>
      <t xml:space="preserve">起彈性生效；表內各格為同一公式之封閉解，與主模型 </t>
    </r>
    <r>
      <rPr>
        <i val="true"/>
        <sz val="11"/>
        <rFont val="Arial"/>
        <family val="0"/>
        <charset val="1"/>
      </rPr>
      <t xml:space="preserve">base </t>
    </r>
    <r>
      <rPr>
        <i val="true"/>
        <sz val="11"/>
        <rFont val="Noto Sans CJK SC"/>
        <family val="2"/>
      </rPr>
      <t xml:space="preserve">格一致。</t>
    </r>
  </si>
  <si>
    <t xml:space="preserve">損益口徑（毛利＝總額 − 推論；貢獻＝毛利 − 訓練 − 閒置）</t>
  </si>
  <si>
    <t xml:space="preserve">毛利</t>
  </si>
  <si>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報導毛利率 </t>
    </r>
    <r>
      <rPr>
        <sz val="11"/>
        <rFont val="Arial"/>
        <family val="0"/>
        <charset val="1"/>
      </rPr>
      <t xml:space="preserve">33%</t>
    </r>
    <r>
      <rPr>
        <sz val="11"/>
        <rFont val="Noto Sans CJK SC"/>
        <family val="2"/>
      </rPr>
      <t xml:space="preserve">；公司 </t>
    </r>
    <r>
      <rPr>
        <sz val="11"/>
        <rFont val="Arial"/>
        <family val="0"/>
        <charset val="1"/>
      </rPr>
      <t xml:space="preserve">2030 </t>
    </r>
    <r>
      <rPr>
        <sz val="11"/>
        <rFont val="Noto Sans CJK SC"/>
        <family val="2"/>
      </rPr>
      <t xml:space="preserve">目標約 </t>
    </r>
    <r>
      <rPr>
        <sz val="11"/>
        <rFont val="Arial"/>
        <family val="0"/>
        <charset val="1"/>
      </rPr>
      <t xml:space="preserve">67%</t>
    </r>
  </si>
  <si>
    <t xml:space="preserve">扣除訓練與閒置後貢獻</t>
  </si>
  <si>
    <t xml:space="preserve">扣除訓練與閒置後貢獻率</t>
  </si>
  <si>
    <r>
      <rPr>
        <b val="true"/>
        <sz val="13"/>
        <rFont val="Noto Sans CJK SC"/>
        <family val="2"/>
      </rPr>
      <t xml:space="preserve">推論成本（</t>
    </r>
    <r>
      <rPr>
        <b val="true"/>
        <sz val="13"/>
        <rFont val="Arial"/>
        <family val="0"/>
        <charset val="1"/>
      </rPr>
      <t xml:space="preserve">$B</t>
    </r>
    <r>
      <rPr>
        <b val="true"/>
        <sz val="13"/>
        <rFont val="Noto Sans CJK SC"/>
        <family val="2"/>
      </rPr>
      <t xml:space="preserve">）：</t>
    </r>
    <r>
      <rPr>
        <b val="true"/>
        <sz val="13"/>
        <rFont val="Arial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物理 </t>
    </r>
    <r>
      <rPr>
        <b val="true"/>
        <sz val="13"/>
        <rFont val="Arial"/>
        <family val="0"/>
        <charset val="1"/>
      </rPr>
      <t xml:space="preserve">roofline → </t>
    </r>
    <r>
      <rPr>
        <b val="true"/>
        <sz val="13"/>
        <rFont val="Noto Sans CJK SC"/>
        <family val="2"/>
      </rPr>
      <t xml:space="preserve">各模型類別每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 → 各方案使用型態加權 → </t>
    </r>
    <r>
      <rPr>
        <b val="true"/>
        <sz val="13"/>
        <rFont val="Arial"/>
        <family val="0"/>
        <charset val="1"/>
      </rPr>
      <t xml:space="preserve">FY2025 </t>
    </r>
    <r>
      <rPr>
        <b val="true"/>
        <sz val="13"/>
        <rFont val="Noto Sans CJK SC"/>
        <family val="2"/>
      </rPr>
      <t xml:space="preserve">校準</t>
    </r>
  </si>
  <si>
    <r>
      <rPr>
        <b val="true"/>
        <sz val="11"/>
        <color rgb="FF1F3864"/>
        <rFont val="Noto Sans CJK SC"/>
        <family val="2"/>
      </rPr>
      <t xml:space="preserve">一、物理單位成本（理想值；</t>
    </r>
    <r>
      <rPr>
        <b val="true"/>
        <sz val="11"/>
        <color rgb="FF1F3864"/>
        <rFont val="Arial"/>
        <family val="0"/>
        <charset val="1"/>
      </rPr>
      <t xml:space="preserve">Vera Rubin NVL72</t>
    </r>
    <r>
      <rPr>
        <b val="true"/>
        <sz val="11"/>
        <color rgb="FF1F3864"/>
        <rFont val="Noto Sans CJK SC"/>
        <family val="2"/>
      </rPr>
      <t xml:space="preserve">；欄 </t>
    </r>
    <r>
      <rPr>
        <b val="true"/>
        <sz val="11"/>
        <color rgb="FF1F3864"/>
        <rFont val="Arial"/>
        <family val="0"/>
        <charset val="1"/>
      </rPr>
      <t xml:space="preserve">C</t>
    </r>
    <r>
      <rPr>
        <b val="true"/>
        <sz val="11"/>
        <color rgb="FF1F3864"/>
        <rFont val="Noto Sans CJK SC"/>
        <family val="2"/>
      </rPr>
      <t xml:space="preserve">）</t>
    </r>
  </si>
  <si>
    <t xml:space="preserve">每機架秒成本（含利用率）</t>
  </si>
  <si>
    <t xml:space="preserve">$/rack-s</t>
  </si>
  <si>
    <r>
      <rPr>
        <sz val="11"/>
        <rFont val="Arial"/>
        <family val="0"/>
        <charset val="1"/>
      </rPr>
      <t xml:space="preserve">DC_Cost_Model </t>
    </r>
    <r>
      <rPr>
        <sz val="11"/>
        <rFont val="Noto Sans CJK SC"/>
        <family val="2"/>
      </rPr>
      <t xml:space="preserve">年營運費用（含折舊）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架數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秒數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利用率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</si>
  <si>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：權重位元組</t>
    </r>
  </si>
  <si>
    <t xml:space="preserve">GB</t>
  </si>
  <si>
    <r>
      <rPr>
        <sz val="11"/>
        <rFont val="Arial"/>
        <family val="0"/>
        <charset val="1"/>
      </rPr>
      <t xml:space="preserve">MoE </t>
    </r>
    <r>
      <rPr>
        <sz val="11"/>
        <rFont val="Noto Sans CJK SC"/>
        <family val="2"/>
      </rPr>
      <t xml:space="preserve">大批次下幾乎所有專家都會被讀取，故以總參數計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</si>
  <si>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：每序列 </t>
    </r>
    <r>
      <rPr>
        <sz val="11"/>
        <rFont val="Arial"/>
        <family val="0"/>
        <charset val="1"/>
      </rPr>
      <t xml:space="preserve">KV </t>
    </r>
    <r>
      <rPr>
        <sz val="11"/>
        <rFont val="Noto Sans CJK SC"/>
        <family val="2"/>
      </rPr>
      <t xml:space="preserve">快取</t>
    </r>
  </si>
  <si>
    <t xml:space="preserve">MB</t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</si>
  <si>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decode </t>
    </r>
    <r>
      <rPr>
        <sz val="11"/>
        <rFont val="Noto Sans CJK SC"/>
        <family val="2"/>
      </rPr>
      <t xml:space="preserve">批次</t>
    </r>
  </si>
  <si>
    <r>
      <rPr>
        <sz val="11"/>
        <rFont val="Noto Sans CJK SC"/>
        <family val="2"/>
      </rPr>
      <t xml:space="preserve">受批次上限或 </t>
    </r>
    <r>
      <rPr>
        <sz val="11"/>
        <rFont val="Arial"/>
        <family val="0"/>
        <charset val="1"/>
      </rPr>
      <t xml:space="preserve">HBM </t>
    </r>
    <r>
      <rPr>
        <sz val="11"/>
        <rFont val="Noto Sans CJK SC"/>
        <family val="2"/>
      </rPr>
      <t xml:space="preserve">容量（</t>
    </r>
    <r>
      <rPr>
        <sz val="11"/>
        <rFont val="Arial"/>
        <family val="0"/>
        <charset val="1"/>
      </rPr>
      <t xml:space="preserve">90%</t>
    </r>
    <r>
      <rPr>
        <sz val="11"/>
        <rFont val="Noto Sans CJK SC"/>
        <family val="2"/>
      </rPr>
      <t xml:space="preserve">）限制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</si>
  <si>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：每步記憶體時間</t>
    </r>
  </si>
  <si>
    <t xml:space="preserve">ms</t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</si>
  <si>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：每步計算時間</t>
    </r>
  </si>
  <si>
    <r>
      <rPr>
        <b val="true"/>
        <sz val="11"/>
        <rFont val="Arial"/>
        <family val="0"/>
        <charset val="1"/>
      </rPr>
      <t xml:space="preserve">Luna</t>
    </r>
    <r>
      <rPr>
        <b val="true"/>
        <sz val="11"/>
        <rFont val="Noto Sans CJK SC"/>
        <family val="2"/>
      </rPr>
      <t xml:space="preserve">：輸出 </t>
    </r>
    <r>
      <rPr>
        <b val="true"/>
        <sz val="11"/>
        <rFont val="Arial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</t>
    </r>
  </si>
  <si>
    <r>
      <rPr>
        <b val="true"/>
        <sz val="11"/>
        <rFont val="Arial"/>
        <family val="0"/>
        <charset val="1"/>
      </rPr>
      <t xml:space="preserve">Luna</t>
    </r>
    <r>
      <rPr>
        <b val="true"/>
        <sz val="11"/>
        <rFont val="Noto Sans CJK SC"/>
        <family val="2"/>
      </rPr>
      <t xml:space="preserve">：新鮮輸入 </t>
    </r>
    <r>
      <rPr>
        <b val="true"/>
        <sz val="11"/>
        <rFont val="Arial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</si>
  <si>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：快取輸入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成本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</si>
  <si>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：權重位元組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</si>
  <si>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：每序列 </t>
    </r>
    <r>
      <rPr>
        <sz val="11"/>
        <rFont val="Arial"/>
        <family val="0"/>
        <charset val="1"/>
      </rPr>
      <t xml:space="preserve">KV </t>
    </r>
    <r>
      <rPr>
        <sz val="11"/>
        <rFont val="Noto Sans CJK SC"/>
        <family val="2"/>
      </rPr>
      <t xml:space="preserve">快取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</si>
  <si>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decode </t>
    </r>
    <r>
      <rPr>
        <sz val="11"/>
        <rFont val="Noto Sans CJK SC"/>
        <family val="2"/>
      </rPr>
      <t xml:space="preserve">批次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</si>
  <si>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：每步記憶體時間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</si>
  <si>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：每步計算時間</t>
    </r>
  </si>
  <si>
    <r>
      <rPr>
        <b val="true"/>
        <sz val="11"/>
        <rFont val="Arial"/>
        <family val="0"/>
        <charset val="1"/>
      </rPr>
      <t xml:space="preserve">Sol</t>
    </r>
    <r>
      <rPr>
        <b val="true"/>
        <sz val="11"/>
        <rFont val="Noto Sans CJK SC"/>
        <family val="2"/>
      </rPr>
      <t xml:space="preserve">：輸出 </t>
    </r>
    <r>
      <rPr>
        <b val="true"/>
        <sz val="11"/>
        <rFont val="Arial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</t>
    </r>
  </si>
  <si>
    <r>
      <rPr>
        <b val="true"/>
        <sz val="11"/>
        <rFont val="Arial"/>
        <family val="0"/>
        <charset val="1"/>
      </rPr>
      <t xml:space="preserve">Sol</t>
    </r>
    <r>
      <rPr>
        <b val="true"/>
        <sz val="11"/>
        <rFont val="Noto Sans CJK SC"/>
        <family val="2"/>
      </rPr>
      <t xml:space="preserve">：新鮮輸入 </t>
    </r>
    <r>
      <rPr>
        <b val="true"/>
        <sz val="11"/>
        <rFont val="Arial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</si>
  <si>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：快取輸入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成本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</si>
  <si>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：權重位元組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</si>
  <si>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：每序列 </t>
    </r>
    <r>
      <rPr>
        <sz val="11"/>
        <rFont val="Arial"/>
        <family val="0"/>
        <charset val="1"/>
      </rPr>
      <t xml:space="preserve">KV </t>
    </r>
    <r>
      <rPr>
        <sz val="11"/>
        <rFont val="Noto Sans CJK SC"/>
        <family val="2"/>
      </rPr>
      <t xml:space="preserve">快取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</si>
  <si>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decode </t>
    </r>
    <r>
      <rPr>
        <sz val="11"/>
        <rFont val="Noto Sans CJK SC"/>
        <family val="2"/>
      </rPr>
      <t xml:space="preserve">批次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</si>
  <si>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：每步記憶體時間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</si>
  <si>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：每步計算時間</t>
    </r>
  </si>
  <si>
    <r>
      <rPr>
        <b val="true"/>
        <sz val="11"/>
        <rFont val="Arial"/>
        <family val="0"/>
        <charset val="1"/>
      </rPr>
      <t xml:space="preserve">Astra</t>
    </r>
    <r>
      <rPr>
        <b val="true"/>
        <sz val="11"/>
        <rFont val="Noto Sans CJK SC"/>
        <family val="2"/>
      </rPr>
      <t xml:space="preserve">：輸出 </t>
    </r>
    <r>
      <rPr>
        <b val="true"/>
        <sz val="11"/>
        <rFont val="Arial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</t>
    </r>
  </si>
  <si>
    <r>
      <rPr>
        <b val="true"/>
        <sz val="11"/>
        <rFont val="Arial"/>
        <family val="0"/>
        <charset val="1"/>
      </rPr>
      <t xml:space="preserve">Astra</t>
    </r>
    <r>
      <rPr>
        <b val="true"/>
        <sz val="11"/>
        <rFont val="Noto Sans CJK SC"/>
        <family val="2"/>
      </rPr>
      <t xml:space="preserve">：新鮮輸入 </t>
    </r>
    <r>
      <rPr>
        <b val="true"/>
        <sz val="11"/>
        <rFont val="Arial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</si>
  <si>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：快取輸入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成本</t>
    </r>
  </si>
  <si>
    <r>
      <rPr>
        <b val="true"/>
        <sz val="11"/>
        <color rgb="FF1F3864"/>
        <rFont val="Noto Sans CJK SC"/>
        <family val="2"/>
      </rPr>
      <t xml:space="preserve">成本指數（</t>
    </r>
    <r>
      <rPr>
        <b val="true"/>
        <sz val="11"/>
        <color rgb="FF1F3864"/>
        <rFont val="Arial"/>
        <family val="0"/>
        <charset val="1"/>
      </rPr>
      <t xml:space="preserve">Luna</t>
    </r>
    <r>
      <rPr>
        <b val="true"/>
        <sz val="11"/>
        <color rgb="FF1F3864"/>
        <rFont val="Noto Sans CJK SC"/>
        <family val="2"/>
      </rPr>
      <t xml:space="preserve">＝</t>
    </r>
    <r>
      <rPr>
        <b val="true"/>
        <sz val="11"/>
        <color rgb="FF1F3864"/>
        <rFont val="Arial"/>
        <family val="0"/>
        <charset val="1"/>
      </rPr>
      <t xml:space="preserve">1</t>
    </r>
    <r>
      <rPr>
        <b val="true"/>
        <sz val="11"/>
        <color rgb="FF1F3864"/>
        <rFont val="Noto Sans CJK SC"/>
        <family val="2"/>
      </rPr>
      <t xml:space="preserve">）與牌價指數對照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</si>
  <si>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：輸出成本指數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</si>
  <si>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：輸入成本指數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</si>
  <si>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：輸出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輸入成本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</si>
  <si>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：輸出成本指數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</si>
  <si>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：輸入成本指數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</si>
  <si>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：輸出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輸入成本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</si>
  <si>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：輸出成本指數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</si>
  <si>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：輸入成本指數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</si>
  <si>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：輸出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輸入成本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</si>
  <si>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輸出牌價指數（對照）</t>
    </r>
  </si>
  <si>
    <r>
      <rPr>
        <sz val="11"/>
        <rFont val="Noto Sans CJK SC"/>
        <family val="2"/>
      </rPr>
      <t xml:space="preserve">牌價比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成本比 </t>
    </r>
    <r>
      <rPr>
        <sz val="11"/>
        <rFont val="Arial"/>
        <family val="0"/>
        <charset val="1"/>
      </rPr>
      <t xml:space="preserve">&gt; 1 </t>
    </r>
    <r>
      <rPr>
        <sz val="11"/>
        <rFont val="Noto Sans CJK SC"/>
        <family val="2"/>
      </rPr>
      <t xml:space="preserve">表示該層定價加成較高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</si>
  <si>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輸出牌價指數（對照）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</si>
  <si>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輸出牌價指數（對照）</t>
    </r>
  </si>
  <si>
    <r>
      <rPr>
        <b val="true"/>
        <sz val="11"/>
        <color rgb="FF1F3864"/>
        <rFont val="Noto Sans CJK SC"/>
        <family val="2"/>
      </rPr>
      <t xml:space="preserve">二、各區隔每兆 </t>
    </r>
    <r>
      <rPr>
        <b val="true"/>
        <sz val="11"/>
        <color rgb="FF1F3864"/>
        <rFont val="Arial"/>
        <family val="0"/>
        <charset val="1"/>
      </rPr>
      <t xml:space="preserve">token </t>
    </r>
    <r>
      <rPr>
        <b val="true"/>
        <sz val="11"/>
        <color rgb="FF1F3864"/>
        <rFont val="Noto Sans CJK SC"/>
        <family val="2"/>
      </rPr>
      <t xml:space="preserve">理想成本（</t>
    </r>
    <r>
      <rPr>
        <b val="true"/>
        <sz val="11"/>
        <color rgb="FF1F3864"/>
        <rFont val="Arial"/>
        <family val="0"/>
        <charset val="1"/>
      </rPr>
      <t xml:space="preserve">$B/T</t>
    </r>
    <r>
      <rPr>
        <b val="true"/>
        <sz val="11"/>
        <color rgb="FF1F3864"/>
        <rFont val="Noto Sans CJK SC"/>
        <family val="2"/>
      </rPr>
      <t xml:space="preserve">；依模型組合、輸出占比、快取命中加權）</t>
    </r>
  </si>
  <si>
    <t xml:space="preserve">Free</t>
  </si>
  <si>
    <t xml:space="preserve">$B/T</t>
  </si>
  <si>
    <t xml:space="preserve">Go</t>
  </si>
  <si>
    <t xml:space="preserve">Plus</t>
  </si>
  <si>
    <t xml:space="preserve">Pro</t>
  </si>
  <si>
    <t xml:space="preserve">企業席位</t>
  </si>
  <si>
    <r>
      <rPr>
        <sz val="11"/>
        <rFont val="Arial"/>
        <family val="0"/>
        <charset val="1"/>
      </rPr>
      <t xml:space="preserve">API top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</si>
  <si>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API mid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</si>
  <si>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API low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</si>
  <si>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加權（依當年層級組合）</t>
    </r>
  </si>
  <si>
    <r>
      <rPr>
        <b val="true"/>
        <sz val="11"/>
        <color rgb="FF1F3864"/>
        <rFont val="Noto Sans CJK SC"/>
        <family val="2"/>
      </rPr>
      <t xml:space="preserve">三、</t>
    </r>
    <r>
      <rPr>
        <b val="true"/>
        <sz val="11"/>
        <color rgb="FF1F3864"/>
        <rFont val="Arial"/>
        <family val="0"/>
        <charset val="1"/>
      </rPr>
      <t xml:space="preserve">FY2025 </t>
    </r>
    <r>
      <rPr>
        <b val="true"/>
        <sz val="11"/>
        <color rgb="FF1F3864"/>
        <rFont val="Noto Sans CJK SC"/>
        <family val="2"/>
      </rPr>
      <t xml:space="preserve">校準（</t>
    </r>
    <r>
      <rPr>
        <b val="true"/>
        <sz val="11"/>
        <color rgb="FF1F3864"/>
        <rFont val="Arial"/>
        <family val="0"/>
        <charset val="1"/>
      </rPr>
      <t xml:space="preserve">T1a </t>
    </r>
    <r>
      <rPr>
        <b val="true"/>
        <sz val="11"/>
        <color rgb="FF1F3864"/>
        <rFont val="Noto Sans CJK SC"/>
        <family val="2"/>
      </rPr>
      <t xml:space="preserve">推論 </t>
    </r>
    <r>
      <rPr>
        <b val="true"/>
        <sz val="11"/>
        <color rgb="FF1F3864"/>
        <rFont val="Arial"/>
        <family val="0"/>
        <charset val="1"/>
      </rPr>
      <t xml:space="preserve">$8.4B</t>
    </r>
    <r>
      <rPr>
        <b val="true"/>
        <sz val="11"/>
        <color rgb="FF1F3864"/>
        <rFont val="Noto Sans CJK SC"/>
        <family val="2"/>
      </rPr>
      <t xml:space="preserve">＝非付費 </t>
    </r>
    <r>
      <rPr>
        <b val="true"/>
        <sz val="11"/>
        <color rgb="FF1F3864"/>
        <rFont val="Arial"/>
        <family val="0"/>
        <charset val="1"/>
      </rPr>
      <t xml:space="preserve">$3.9B</t>
    </r>
    <r>
      <rPr>
        <b val="true"/>
        <sz val="11"/>
        <color rgb="FF1F3864"/>
        <rFont val="Noto Sans CJK SC"/>
        <family val="2"/>
      </rPr>
      <t xml:space="preserve">＋付費 </t>
    </r>
    <r>
      <rPr>
        <b val="true"/>
        <sz val="11"/>
        <color rgb="FF1F3864"/>
        <rFont val="Arial"/>
        <family val="0"/>
        <charset val="1"/>
      </rPr>
      <t xml:space="preserve">$4.5B</t>
    </r>
    <r>
      <rPr>
        <b val="true"/>
        <sz val="11"/>
        <color rgb="FF1F3864"/>
        <rFont val="Noto Sans CJK SC"/>
        <family val="2"/>
      </rPr>
      <t xml:space="preserve">；</t>
    </r>
    <r>
      <rPr>
        <b val="true"/>
        <sz val="11"/>
        <color rgb="FF1F3864"/>
        <rFont val="Arial"/>
        <family val="0"/>
        <charset val="1"/>
      </rPr>
      <t xml:space="preserve">T5 API </t>
    </r>
    <r>
      <rPr>
        <b val="true"/>
        <sz val="11"/>
        <color rgb="FF1F3864"/>
        <rFont val="Noto Sans CJK SC"/>
        <family val="2"/>
      </rPr>
      <t xml:space="preserve">毛利率先驗）</t>
    </r>
  </si>
  <si>
    <r>
      <rPr>
        <b val="true"/>
        <sz val="11"/>
        <rFont val="Noto Sans CJK SC"/>
        <family val="2"/>
      </rPr>
      <t xml:space="preserve">校準係數 </t>
    </r>
    <r>
      <rPr>
        <b val="true"/>
        <sz val="11"/>
        <rFont val="Arial"/>
        <family val="0"/>
        <charset val="1"/>
      </rPr>
      <t xml:space="preserve">κ</t>
    </r>
    <r>
      <rPr>
        <b val="true"/>
        <sz val="11"/>
        <rFont val="Noto Sans CJK SC"/>
        <family val="2"/>
      </rPr>
      <t xml:space="preserve">（實際 </t>
    </r>
    <r>
      <rPr>
        <b val="true"/>
        <sz val="11"/>
        <rFont val="Arial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理想）</t>
    </r>
  </si>
  <si>
    <r>
      <rPr>
        <sz val="11"/>
        <rFont val="Noto Sans CJK SC"/>
        <family val="2"/>
      </rPr>
      <t xml:space="preserve">吸收 </t>
    </r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艦隊（</t>
    </r>
    <r>
      <rPr>
        <sz val="11"/>
        <rFont val="Arial"/>
        <family val="0"/>
        <charset val="1"/>
      </rPr>
      <t xml:space="preserve">H100/GB200</t>
    </r>
    <r>
      <rPr>
        <sz val="11"/>
        <rFont val="Noto Sans CJK SC"/>
        <family val="2"/>
      </rPr>
      <t xml:space="preserve">）與 </t>
    </r>
    <r>
      <rPr>
        <sz val="11"/>
        <rFont val="Arial"/>
        <family val="0"/>
        <charset val="1"/>
      </rPr>
      <t xml:space="preserve">VR </t>
    </r>
    <r>
      <rPr>
        <sz val="11"/>
        <rFont val="Noto Sans CJK SC"/>
        <family val="2"/>
      </rPr>
      <t xml:space="preserve">理想值之差、冗餘、重試、安全分類器等</t>
    </r>
  </si>
  <si>
    <t xml:space="preserve">付費訂閱理想成本（未校正）</t>
  </si>
  <si>
    <r>
      <rPr>
        <b val="true"/>
        <sz val="11"/>
        <rFont val="Arial"/>
        <family val="0"/>
        <charset val="1"/>
      </rPr>
      <t xml:space="preserve">workbook token </t>
    </r>
    <r>
      <rPr>
        <b val="true"/>
        <sz val="11"/>
        <rFont val="Noto Sans CJK SC"/>
        <family val="2"/>
      </rPr>
      <t xml:space="preserve">校正倍數 </t>
    </r>
    <r>
      <rPr>
        <b val="true"/>
        <sz val="11"/>
        <rFont val="Arial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（訂閱＋</t>
    </r>
    <r>
      <rPr>
        <b val="true"/>
        <sz val="11"/>
        <rFont val="Arial"/>
        <family val="0"/>
        <charset val="1"/>
      </rPr>
      <t xml:space="preserve">Free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</si>
  <si>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k≠1 </t>
    </r>
    <r>
      <rPr>
        <sz val="11"/>
        <rFont val="Noto Sans CJK SC"/>
        <family val="2"/>
      </rPr>
      <t xml:space="preserve">表示 </t>
    </r>
    <r>
      <rPr>
        <sz val="11"/>
        <rFont val="Arial"/>
        <family val="0"/>
        <charset val="1"/>
      </rPr>
      <t xml:space="preserve">workbook </t>
    </r>
    <r>
      <rPr>
        <sz val="11"/>
        <rFont val="Noto Sans CJK SC"/>
        <family val="2"/>
      </rPr>
      <t xml:space="preserve">的每日任務數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每任務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與成本分拆不一致；待查核</t>
    </r>
  </si>
  <si>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文字推論成本 </t>
    </r>
    <r>
      <rPr>
        <sz val="11"/>
        <rFont val="Arial"/>
        <family val="0"/>
        <charset val="1"/>
      </rPr>
      <t xml:space="preserve">2025</t>
    </r>
  </si>
  <si>
    <r>
      <rPr>
        <b val="true"/>
        <sz val="11"/>
        <rFont val="Arial"/>
        <family val="0"/>
        <charset val="1"/>
      </rPr>
      <t xml:space="preserve">Free </t>
    </r>
    <r>
      <rPr>
        <b val="true"/>
        <sz val="11"/>
        <rFont val="Noto Sans CJK SC"/>
        <family val="2"/>
      </rPr>
      <t xml:space="preserve">殘差 </t>
    </r>
    <r>
      <rPr>
        <b val="true"/>
        <sz val="11"/>
        <rFont val="Arial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（非文字生成＋</t>
    </r>
    <r>
      <rPr>
        <b val="true"/>
        <sz val="11"/>
        <rFont val="Arial"/>
        <family val="0"/>
        <charset val="1"/>
      </rPr>
      <t xml:space="preserve">Free </t>
    </r>
    <r>
      <rPr>
        <b val="true"/>
        <sz val="11"/>
        <rFont val="Noto Sans CJK SC"/>
        <family val="2"/>
      </rPr>
      <t xml:space="preserve">特有 </t>
    </r>
    <r>
      <rPr>
        <b val="true"/>
        <sz val="11"/>
        <rFont val="Arial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低估；無法分離）</t>
    </r>
  </si>
  <si>
    <t xml:space="preserve">負值表示文字推論已超過報導之免費層成本</t>
  </si>
  <si>
    <t xml:space="preserve">列在營業成本以外之推論（推論 − 營業成本）</t>
  </si>
  <si>
    <r>
      <rPr>
        <sz val="11"/>
        <rFont val="Arial"/>
        <family val="0"/>
        <charset val="1"/>
      </rPr>
      <t xml:space="preserve">T1a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$8.4B </t>
    </r>
    <r>
      <rPr>
        <sz val="11"/>
        <rFont val="Noto Sans CJK SC"/>
        <family val="2"/>
      </rPr>
      <t xml:space="preserve">與外流財報 </t>
    </r>
    <r>
      <rPr>
        <sz val="11"/>
        <rFont val="Arial"/>
        <family val="0"/>
        <charset val="1"/>
      </rPr>
      <t xml:space="preserve">$7.5B </t>
    </r>
    <r>
      <rPr>
        <sz val="11"/>
        <rFont val="Noto Sans CJK SC"/>
        <family val="2"/>
      </rPr>
      <t xml:space="preserve">之差</t>
    </r>
  </si>
  <si>
    <r>
      <rPr>
        <sz val="11"/>
        <rFont val="Arial"/>
        <family val="0"/>
        <charset val="1"/>
      </rPr>
      <t xml:space="preserve">Luna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實際輸出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成本（</t>
    </r>
    <r>
      <rPr>
        <sz val="11"/>
        <rFont val="Arial"/>
        <family val="0"/>
        <charset val="1"/>
      </rPr>
      <t xml:space="preserve">κ </t>
    </r>
    <r>
      <rPr>
        <sz val="11"/>
        <rFont val="Noto Sans CJK SC"/>
        <family val="2"/>
      </rPr>
      <t xml:space="preserve">後）</t>
    </r>
  </si>
  <si>
    <r>
      <rPr>
        <sz val="11"/>
        <rFont val="Arial"/>
        <family val="0"/>
        <charset val="1"/>
      </rPr>
      <t xml:space="preserve">Sol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實際輸出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成本（</t>
    </r>
    <r>
      <rPr>
        <sz val="11"/>
        <rFont val="Arial"/>
        <family val="0"/>
        <charset val="1"/>
      </rPr>
      <t xml:space="preserve">κ </t>
    </r>
    <r>
      <rPr>
        <sz val="11"/>
        <rFont val="Noto Sans CJK SC"/>
        <family val="2"/>
      </rPr>
      <t xml:space="preserve">後）</t>
    </r>
  </si>
  <si>
    <r>
      <rPr>
        <sz val="11"/>
        <rFont val="Arial"/>
        <family val="0"/>
        <charset val="1"/>
      </rPr>
      <t xml:space="preserve">Astra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實際輸出 </t>
    </r>
    <r>
      <rPr>
        <sz val="11"/>
        <rFont val="Arial"/>
        <family val="0"/>
        <charset val="1"/>
      </rPr>
      <t xml:space="preserve">token </t>
    </r>
    <r>
      <rPr>
        <sz val="11"/>
        <rFont val="Noto Sans CJK SC"/>
        <family val="2"/>
      </rPr>
      <t xml:space="preserve">成本（</t>
    </r>
    <r>
      <rPr>
        <sz val="11"/>
        <rFont val="Arial"/>
        <family val="0"/>
        <charset val="1"/>
      </rPr>
      <t xml:space="preserve">κ </t>
    </r>
    <r>
      <rPr>
        <sz val="11"/>
        <rFont val="Noto Sans CJK SC"/>
        <family val="2"/>
      </rPr>
      <t xml:space="preserve">後）</t>
    </r>
  </si>
  <si>
    <r>
      <rPr>
        <b val="true"/>
        <sz val="11"/>
        <color rgb="FF1F3864"/>
        <rFont val="Noto Sans CJK SC"/>
        <family val="2"/>
      </rPr>
      <t xml:space="preserve">四、推論成本（</t>
    </r>
    <r>
      <rPr>
        <b val="true"/>
        <sz val="11"/>
        <color rgb="FF1F3864"/>
        <rFont val="Arial"/>
        <family val="0"/>
        <charset val="1"/>
      </rPr>
      <t xml:space="preserve">$B</t>
    </r>
    <r>
      <rPr>
        <b val="true"/>
        <sz val="11"/>
        <color rgb="FF1F3864"/>
        <rFont val="Noto Sans CJK SC"/>
        <family val="2"/>
      </rPr>
      <t xml:space="preserve">）＝理想量 </t>
    </r>
    <r>
      <rPr>
        <b val="true"/>
        <sz val="11"/>
        <color rgb="FF1F3864"/>
        <rFont val="Arial"/>
        <family val="0"/>
        <charset val="1"/>
      </rPr>
      <t xml:space="preserve">× </t>
    </r>
    <r>
      <rPr>
        <b val="true"/>
        <sz val="11"/>
        <color rgb="FF1F3864"/>
        <rFont val="Noto Sans CJK SC"/>
        <family val="2"/>
      </rPr>
      <t xml:space="preserve">每單位理想量成本（＝每 </t>
    </r>
    <r>
      <rPr>
        <b val="true"/>
        <sz val="11"/>
        <color rgb="FF1F3864"/>
        <rFont val="Arial"/>
        <family val="0"/>
        <charset val="1"/>
      </rPr>
      <t xml:space="preserve">VR-eq GW </t>
    </r>
    <r>
      <rPr>
        <b val="true"/>
        <sz val="11"/>
        <color rgb="FF1F3864"/>
        <rFont val="Noto Sans CJK SC"/>
        <family val="2"/>
      </rPr>
      <t xml:space="preserve">成本 </t>
    </r>
    <r>
      <rPr>
        <b val="true"/>
        <sz val="11"/>
        <color rgb="FF1F3864"/>
        <rFont val="Arial"/>
        <family val="0"/>
        <charset val="1"/>
      </rPr>
      <t xml:space="preserve">× ρ</t>
    </r>
    <r>
      <rPr>
        <b val="true"/>
        <sz val="11"/>
        <color rgb="FF1F3864"/>
        <rFont val="Noto Sans CJK SC"/>
        <family val="2"/>
      </rPr>
      <t xml:space="preserve">）；分層列為需求口徑</t>
    </r>
  </si>
  <si>
    <t xml:space="preserve">每單位理想量實際成本</t>
  </si>
  <si>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等於校準係數 </t>
    </r>
    <r>
      <rPr>
        <sz val="11"/>
        <rFont val="Arial"/>
        <family val="0"/>
        <charset val="1"/>
      </rPr>
      <t xml:space="preserve">κ</t>
    </r>
  </si>
  <si>
    <r>
      <rPr>
        <sz val="11"/>
        <rFont val="Arial"/>
        <family val="0"/>
        <charset val="1"/>
      </rPr>
      <t xml:space="preserve">Free</t>
    </r>
    <r>
      <rPr>
        <sz val="11"/>
        <rFont val="Noto Sans CJK SC"/>
        <family val="2"/>
      </rPr>
      <t xml:space="preserve">（文字）</t>
    </r>
  </si>
  <si>
    <r>
      <rPr>
        <sz val="11"/>
        <rFont val="Arial"/>
        <family val="0"/>
        <charset val="1"/>
      </rPr>
      <t xml:space="preserve">Go</t>
    </r>
    <r>
      <rPr>
        <sz val="11"/>
        <rFont val="Noto Sans CJK SC"/>
        <family val="2"/>
      </rPr>
      <t xml:space="preserve">（文字）</t>
    </r>
  </si>
  <si>
    <r>
      <rPr>
        <sz val="11"/>
        <rFont val="Arial"/>
        <family val="0"/>
        <charset val="1"/>
      </rPr>
      <t xml:space="preserve">Plus</t>
    </r>
    <r>
      <rPr>
        <sz val="11"/>
        <rFont val="Noto Sans CJK SC"/>
        <family val="2"/>
      </rPr>
      <t xml:space="preserve">（文字）</t>
    </r>
  </si>
  <si>
    <r>
      <rPr>
        <sz val="11"/>
        <rFont val="Arial"/>
        <family val="0"/>
        <charset val="1"/>
      </rPr>
      <t xml:space="preserve">Pro</t>
    </r>
    <r>
      <rPr>
        <sz val="11"/>
        <rFont val="Noto Sans CJK SC"/>
        <family val="2"/>
      </rPr>
      <t xml:space="preserve">（文字）</t>
    </r>
  </si>
  <si>
    <t xml:space="preserve">企業席位（文字）</t>
  </si>
  <si>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殘差（非文字等）</t>
    </r>
  </si>
  <si>
    <t xml:space="preserve">API top</t>
  </si>
  <si>
    <t xml:space="preserve">API mid</t>
  </si>
  <si>
    <t xml:space="preserve">API low</t>
  </si>
  <si>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合計</t>
    </r>
  </si>
  <si>
    <r>
      <rPr>
        <sz val="11"/>
        <rFont val="Noto Sans CJK SC"/>
        <family val="2"/>
      </rPr>
      <t xml:space="preserve">非付費用戶合計（</t>
    </r>
    <r>
      <rPr>
        <sz val="11"/>
        <rFont val="Arial"/>
        <family val="0"/>
        <charset val="1"/>
      </rPr>
      <t xml:space="preserve">Free </t>
    </r>
    <r>
      <rPr>
        <sz val="11"/>
        <rFont val="Noto Sans CJK SC"/>
        <family val="2"/>
      </rPr>
      <t xml:space="preserve">文字＋殘差）</t>
    </r>
  </si>
  <si>
    <t xml:space="preserve">付費用戶合計</t>
  </si>
  <si>
    <t xml:space="preserve">推論成本合計（需求口徑）</t>
  </si>
  <si>
    <r>
      <rPr>
        <b val="true"/>
        <sz val="11"/>
        <rFont val="Noto Sans CJK SC"/>
        <family val="2"/>
      </rPr>
      <t xml:space="preserve">推論成本合計（容量上限後＝算力</t>
    </r>
    <r>
      <rPr>
        <b val="true"/>
        <sz val="11"/>
        <rFont val="Arial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頁）</t>
    </r>
  </si>
  <si>
    <t xml:space="preserve">付費占比</t>
  </si>
  <si>
    <r>
      <rPr>
        <sz val="11"/>
        <rFont val="Arial"/>
        <family val="0"/>
        <charset val="1"/>
      </rPr>
      <t xml:space="preserve">OpenAI </t>
    </r>
    <r>
      <rPr>
        <sz val="11"/>
        <rFont val="Noto Sans CJK SC"/>
        <family val="2"/>
      </rPr>
      <t xml:space="preserve">預測 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為 </t>
    </r>
    <r>
      <rPr>
        <sz val="11"/>
        <rFont val="Arial"/>
        <family val="0"/>
        <charset val="1"/>
      </rPr>
      <t xml:space="preserve">66%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2030 </t>
    </r>
    <r>
      <rPr>
        <sz val="11"/>
        <rFont val="Noto Sans CJK SC"/>
        <family val="2"/>
      </rPr>
      <t xml:space="preserve">為 </t>
    </r>
    <r>
      <rPr>
        <sz val="11"/>
        <rFont val="Arial"/>
        <family val="0"/>
        <charset val="1"/>
      </rPr>
      <t xml:space="preserve">94%</t>
    </r>
  </si>
  <si>
    <t xml:space="preserve">五、各層級毛利率（營收 − 推論成本；需求口徑，容量上限對營收與成本同比例，不影響毛利率）</t>
  </si>
  <si>
    <r>
      <rPr>
        <sz val="11"/>
        <rFont val="Noto Sans CJK SC"/>
        <family val="2"/>
      </rPr>
      <t xml:space="preserve">廣告營收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非付費用戶推論成本</t>
    </r>
  </si>
  <si>
    <t xml:space="preserve">六、含訓練分攤之全成本毛利率（參考；訓練依各層級推論成本占比分攤）</t>
  </si>
  <si>
    <r>
      <rPr>
        <sz val="11"/>
        <rFont val="Noto Sans CJK SC"/>
        <family val="2"/>
      </rPr>
      <t xml:space="preserve">訓練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推論</t>
    </r>
  </si>
  <si>
    <r>
      <rPr>
        <b val="true"/>
        <sz val="13"/>
        <rFont val="Noto Sans CJK SC"/>
        <family val="2"/>
      </rPr>
      <t xml:space="preserve">訓練成本（</t>
    </r>
    <r>
      <rPr>
        <b val="true"/>
        <sz val="13"/>
        <rFont val="Arial"/>
        <family val="0"/>
        <charset val="1"/>
      </rPr>
      <t xml:space="preserve">$B</t>
    </r>
    <r>
      <rPr>
        <b val="true"/>
        <sz val="13"/>
        <rFont val="Noto Sans CJK SC"/>
        <family val="2"/>
      </rPr>
      <t xml:space="preserve">）＝訓練 </t>
    </r>
    <r>
      <rPr>
        <b val="true"/>
        <sz val="13"/>
        <rFont val="Arial"/>
        <family val="0"/>
        <charset val="1"/>
      </rPr>
      <t xml:space="preserve">VR-eq GW ×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VR-eq GW </t>
    </r>
    <r>
      <rPr>
        <b val="true"/>
        <sz val="13"/>
        <rFont val="Noto Sans CJK SC"/>
        <family val="2"/>
      </rPr>
      <t xml:space="preserve">成本；列在研發費用、不入營業成本；計畫值僅作檢查</t>
    </r>
  </si>
  <si>
    <r>
      <rPr>
        <sz val="11"/>
        <rFont val="Noto Sans CJK SC"/>
        <family val="2"/>
      </rPr>
      <t xml:space="preserve">訓練 </t>
    </r>
    <r>
      <rPr>
        <sz val="11"/>
        <rFont val="Arial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VR-eq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</si>
  <si>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每 </t>
    </r>
    <r>
      <rPr>
        <sz val="11"/>
        <rFont val="Arial"/>
        <family val="0"/>
        <charset val="1"/>
      </rPr>
      <t xml:space="preserve">VR-eq GW </t>
    </r>
    <r>
      <rPr>
        <sz val="11"/>
        <rFont val="Noto Sans CJK SC"/>
        <family val="2"/>
      </rPr>
      <t xml:space="preserve">年成本</t>
    </r>
  </si>
  <si>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由校準等於輸入值（</t>
    </r>
    <r>
      <rPr>
        <sz val="11"/>
        <rFont val="Arial"/>
        <family val="0"/>
        <charset val="1"/>
      </rPr>
      <t xml:space="preserve">$12B</t>
    </r>
    <r>
      <rPr>
        <sz val="11"/>
        <rFont val="Noto Sans CJK SC"/>
        <family val="2"/>
      </rPr>
      <t xml:space="preserve">）</t>
    </r>
  </si>
  <si>
    <t xml:space="preserve">檢查：公司計畫口徑（計畫算力 − 計畫推論）</t>
  </si>
  <si>
    <t xml:space="preserve">計畫推論成本</t>
  </si>
  <si>
    <r>
      <rPr>
        <sz val="11"/>
        <rFont val="Arial"/>
        <family val="0"/>
        <charset val="1"/>
      </rPr>
      <t xml:space="preserve">2025 </t>
    </r>
    <r>
      <rPr>
        <sz val="11"/>
        <rFont val="Noto Sans CJK SC"/>
        <family val="2"/>
      </rPr>
      <t xml:space="preserve">實際；</t>
    </r>
    <r>
      <rPr>
        <sz val="11"/>
        <rFont val="Arial"/>
        <family val="0"/>
        <charset val="1"/>
      </rPr>
      <t xml:space="preserve">2026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2030 </t>
    </r>
    <r>
      <rPr>
        <sz val="11"/>
        <rFont val="Noto Sans CJK SC"/>
        <family val="2"/>
      </rPr>
      <t xml:space="preserve">為公司預測，</t>
    </r>
    <r>
      <rPr>
        <sz val="11"/>
        <rFont val="Arial"/>
        <family val="0"/>
        <charset val="1"/>
      </rPr>
      <t xml:space="preserve">2027–29 </t>
    </r>
    <r>
      <rPr>
        <sz val="11"/>
        <rFont val="Noto Sans CJK SC"/>
        <family val="2"/>
      </rPr>
      <t xml:space="preserve">幾何內插</t>
    </r>
  </si>
  <si>
    <r>
      <rPr>
        <sz val="11"/>
        <color theme="1"/>
        <rFont val="Noto Sans CJK SC"/>
        <family val="2"/>
      </rPr>
      <t xml:space="preserve">計畫訓練總額 </t>
    </r>
    <r>
      <rPr>
        <sz val="11"/>
        <color theme="1"/>
        <rFont val="Arial"/>
        <family val="0"/>
        <charset val="1"/>
      </rPr>
      <t xml:space="preserve">2026–30</t>
    </r>
    <r>
      <rPr>
        <sz val="11"/>
        <color theme="1"/>
        <rFont val="Noto Sans CJK SC"/>
        <family val="2"/>
      </rPr>
      <t xml:space="preserve">（計畫算力 − 計畫推論）</t>
    </r>
  </si>
  <si>
    <r>
      <rPr>
        <sz val="11"/>
        <color theme="1"/>
        <rFont val="Noto Sans CJK SC"/>
        <family val="2"/>
      </rPr>
      <t xml:space="preserve">本模型訓練 </t>
    </r>
    <r>
      <rPr>
        <sz val="11"/>
        <color theme="1"/>
        <rFont val="Arial"/>
        <family val="0"/>
        <charset val="1"/>
      </rPr>
      <t xml:space="preserve">2026–30 ÷ </t>
    </r>
    <r>
      <rPr>
        <sz val="11"/>
        <color theme="1"/>
        <rFont val="Noto Sans CJK SC"/>
        <family val="2"/>
      </rPr>
      <t xml:space="preserve">計畫訓練</t>
    </r>
  </si>
  <si>
    <t xml:space="preserve">比率</t>
  </si>
  <si>
    <r>
      <rPr>
        <sz val="11"/>
        <rFont val="Noto Sans CJK SC"/>
        <family val="2"/>
      </rPr>
      <t xml:space="preserve">訓練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總額營收</t>
    </r>
  </si>
  <si>
    <r>
      <rPr>
        <sz val="11"/>
        <rFont val="Noto Sans CJK SC"/>
        <family val="2"/>
      </rPr>
      <t xml:space="preserve">訓練占 </t>
    </r>
    <r>
      <rPr>
        <sz val="11"/>
        <rFont val="Arial"/>
        <family val="0"/>
        <charset val="1"/>
      </rPr>
      <t xml:space="preserve">VR-eq </t>
    </r>
    <r>
      <rPr>
        <sz val="11"/>
        <rFont val="Noto Sans CJK SC"/>
        <family val="2"/>
      </rPr>
      <t xml:space="preserve">供給</t>
    </r>
  </si>
  <si>
    <r>
      <rPr>
        <sz val="11"/>
        <rFont val="Noto Sans CJK SC"/>
        <family val="2"/>
      </rPr>
      <t xml:space="preserve">參考：</t>
    </r>
    <r>
      <rPr>
        <sz val="11"/>
        <rFont val="Arial"/>
        <family val="0"/>
        <charset val="1"/>
      </rPr>
      <t xml:space="preserve">2024 </t>
    </r>
    <r>
      <rPr>
        <sz val="11"/>
        <rFont val="Noto Sans CJK SC"/>
        <family val="2"/>
      </rPr>
      <t xml:space="preserve">訓練 </t>
    </r>
    <r>
      <rPr>
        <sz val="11"/>
        <rFont val="Arial"/>
        <family val="0"/>
        <charset val="1"/>
      </rPr>
      <t xml:space="preserve">$3B</t>
    </r>
    <r>
      <rPr>
        <sz val="11"/>
        <rFont val="Noto Sans CJK SC"/>
        <family val="2"/>
      </rPr>
      <t xml:space="preserve">、推論 </t>
    </r>
    <r>
      <rPr>
        <sz val="11"/>
        <rFont val="Arial"/>
        <family val="0"/>
        <charset val="1"/>
      </rPr>
      <t xml:space="preserve">$1.8B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Epoch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</si>
  <si>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訓練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研發費用總額（</t>
    </r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）</t>
    </r>
  </si>
  <si>
    <r>
      <rPr>
        <b val="true"/>
        <sz val="13"/>
        <rFont val="Noto Sans CJK SC"/>
        <family val="2"/>
      </rPr>
      <t xml:space="preserve">反向模式：假設管理層目標達成，反解充分條件（廣告取正向值，</t>
    </r>
    <r>
      <rPr>
        <b val="true"/>
        <sz val="13"/>
        <rFont val="Arial"/>
        <family val="0"/>
        <charset val="1"/>
      </rPr>
      <t xml:space="preserve">R3</t>
    </r>
    <r>
      <rPr>
        <b val="true"/>
        <sz val="13"/>
        <rFont val="Noto Sans CJK SC"/>
        <family val="2"/>
      </rPr>
      <t xml:space="preserve">）</t>
    </r>
  </si>
  <si>
    <t xml:space="preserve">管理層營收目標</t>
  </si>
  <si>
    <r>
      <rPr>
        <sz val="11"/>
        <rFont val="Arial"/>
        <family val="0"/>
        <charset val="1"/>
      </rPr>
      <t xml:space="preserve">2027–29 </t>
    </r>
    <r>
      <rPr>
        <sz val="11"/>
        <rFont val="Noto Sans CJK SC"/>
        <family val="2"/>
      </rPr>
      <t xml:space="preserve">為依五年累計 </t>
    </r>
    <r>
      <rPr>
        <sz val="11"/>
        <rFont val="Arial"/>
        <family val="0"/>
        <charset val="1"/>
      </rPr>
      <t xml:space="preserve">$840B </t>
    </r>
    <r>
      <rPr>
        <sz val="11"/>
        <rFont val="Noto Sans CJK SC"/>
        <family val="2"/>
      </rPr>
      <t xml:space="preserve">擬合 </t>
    </r>
    <r>
      <rPr>
        <sz val="11"/>
        <rFont val="Arial"/>
        <family val="0"/>
        <charset val="1"/>
      </rPr>
      <t xml:space="preserve">[Derived]</t>
    </r>
  </si>
  <si>
    <t xml:space="preserve">正向總額</t>
  </si>
  <si>
    <t xml:space="preserve">差距（目標−正向）</t>
  </si>
  <si>
    <t xml:space="preserve">核心需求（目標−正向廣告）</t>
  </si>
  <si>
    <r>
      <rPr>
        <b val="true"/>
        <sz val="11"/>
        <color rgb="FF1F3864"/>
        <rFont val="Noto Sans CJK SC"/>
        <family val="2"/>
      </rPr>
      <t xml:space="preserve">充分條件組（</t>
    </r>
    <r>
      <rPr>
        <b val="true"/>
        <sz val="11"/>
        <color rgb="FF1F3864"/>
        <rFont val="Arial"/>
        <family val="0"/>
        <charset val="1"/>
      </rPr>
      <t xml:space="preserve">R2</t>
    </r>
    <r>
      <rPr>
        <b val="true"/>
        <sz val="11"/>
        <color rgb="FF1F3864"/>
        <rFont val="Noto Sans CJK SC"/>
        <family val="2"/>
      </rPr>
      <t xml:space="preserve">）：所需倍數（相對正向）</t>
    </r>
  </si>
  <si>
    <r>
      <rPr>
        <sz val="11"/>
        <rFont val="Noto Sans CJK SC"/>
        <family val="2"/>
      </rPr>
      <t xml:space="preserve">只靠 </t>
    </r>
    <r>
      <rPr>
        <sz val="11"/>
        <rFont val="Arial"/>
        <family val="0"/>
        <charset val="1"/>
      </rPr>
      <t xml:space="preserve">API</t>
    </r>
  </si>
  <si>
    <t xml:space="preserve">只靠訂閱</t>
  </si>
  <si>
    <t xml:space="preserve">兩線等比例</t>
  </si>
  <si>
    <t xml:space="preserve">對照：廣告取內部路徑時之等比例倍數</t>
  </si>
  <si>
    <r>
      <rPr>
        <b val="true"/>
        <sz val="11"/>
        <color rgb="FF1F3864"/>
        <rFont val="Arial"/>
        <family val="0"/>
        <charset val="1"/>
      </rPr>
      <t xml:space="preserve">2030 </t>
    </r>
    <r>
      <rPr>
        <b val="true"/>
        <sz val="11"/>
        <color rgb="FF1F3864"/>
        <rFont val="Noto Sans CJK SC"/>
        <family val="2"/>
      </rPr>
      <t xml:space="preserve">換算為可觀測量</t>
    </r>
  </si>
  <si>
    <r>
      <rPr>
        <sz val="11"/>
        <color theme="1"/>
        <rFont val="Noto Sans CJK SC"/>
        <family val="2"/>
      </rPr>
      <t xml:space="preserve">正向付費用戶（</t>
    </r>
    <r>
      <rPr>
        <sz val="11"/>
        <color theme="1"/>
        <rFont val="Arial"/>
        <family val="0"/>
        <charset val="1"/>
      </rPr>
      <t xml:space="preserve">Go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Arial"/>
        <family val="0"/>
        <charset val="1"/>
      </rPr>
      <t xml:space="preserve">Plus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Arial"/>
        <family val="0"/>
        <charset val="1"/>
      </rPr>
      <t xml:space="preserve">Pro</t>
    </r>
    <r>
      <rPr>
        <sz val="11"/>
        <color theme="1"/>
        <rFont val="Noto Sans CJK SC"/>
        <family val="2"/>
      </rPr>
      <t xml:space="preserve">＋席位）</t>
    </r>
  </si>
  <si>
    <r>
      <rPr>
        <sz val="11"/>
        <color theme="1"/>
        <rFont val="Noto Sans CJK SC"/>
        <family val="2"/>
      </rPr>
      <t xml:space="preserve">正向混合 </t>
    </r>
    <r>
      <rPr>
        <sz val="11"/>
        <color theme="1"/>
        <rFont val="Arial"/>
        <family val="0"/>
        <charset val="1"/>
      </rPr>
      <t xml:space="preserve">ARPU</t>
    </r>
  </si>
  <si>
    <r>
      <rPr>
        <sz val="11"/>
        <color theme="1"/>
        <rFont val="Noto Sans CJK SC"/>
        <family val="2"/>
      </rPr>
      <t xml:space="preserve">只靠訂閱：所需付費用戶（同 </t>
    </r>
    <r>
      <rPr>
        <sz val="11"/>
        <color theme="1"/>
        <rFont val="Arial"/>
        <family val="0"/>
        <charset val="1"/>
      </rPr>
      <t xml:space="preserve">ARPU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</si>
  <si>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正向 </t>
    </r>
    <r>
      <rPr>
        <sz val="11"/>
        <color theme="1"/>
        <rFont val="Arial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計費 </t>
    </r>
    <r>
      <rPr>
        <sz val="11"/>
        <color theme="1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</si>
  <si>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只靠 </t>
    </r>
    <r>
      <rPr>
        <sz val="11"/>
        <color theme="1"/>
        <rFont val="Arial"/>
        <family val="0"/>
        <charset val="1"/>
      </rPr>
      <t xml:space="preserve">API</t>
    </r>
    <r>
      <rPr>
        <sz val="11"/>
        <color theme="1"/>
        <rFont val="Noto Sans CJK SC"/>
        <family val="2"/>
      </rPr>
      <t xml:space="preserve">：所需計費 </t>
    </r>
    <r>
      <rPr>
        <sz val="11"/>
        <color theme="1"/>
        <rFont val="Arial"/>
        <family val="0"/>
        <charset val="1"/>
      </rPr>
      <t xml:space="preserve">token</t>
    </r>
    <r>
      <rPr>
        <sz val="11"/>
        <color theme="1"/>
        <rFont val="Noto Sans CJK SC"/>
        <family val="2"/>
      </rPr>
      <t xml:space="preserve">（同單價路徑）</t>
    </r>
  </si>
  <si>
    <r>
      <rPr>
        <b val="true"/>
        <sz val="11"/>
        <color rgb="FF1F3864"/>
        <rFont val="Noto Sans CJK SC"/>
        <family val="2"/>
      </rPr>
      <t xml:space="preserve">橋接 </t>
    </r>
    <r>
      <rPr>
        <b val="true"/>
        <sz val="11"/>
        <color rgb="FF1F3864"/>
        <rFont val="Arial"/>
        <family val="0"/>
        <charset val="1"/>
      </rPr>
      <t xml:space="preserve">2030</t>
    </r>
    <r>
      <rPr>
        <b val="true"/>
        <sz val="11"/>
        <color rgb="FF1F3864"/>
        <rFont val="Noto Sans CJK SC"/>
        <family val="2"/>
      </rPr>
      <t xml:space="preserve">（示意；簡報營收組成未揭露，順序不同則各項不同）</t>
    </r>
  </si>
  <si>
    <t xml:space="preserve">＋廣告由正向提高至內部路徑</t>
  </si>
  <si>
    <t xml:space="preserve">＋用戶提高至計畫（訂閱等比放大）</t>
  </si>
  <si>
    <t xml:space="preserve">＋核心殘差</t>
  </si>
  <si>
    <t xml:space="preserve">＝管理層目標</t>
  </si>
  <si>
    <r>
      <rPr>
        <sz val="11"/>
        <rFont val="Noto Sans CJK SC"/>
        <family val="2"/>
      </rPr>
      <t xml:space="preserve">核心殘差折算：</t>
    </r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所需倍數</t>
    </r>
  </si>
  <si>
    <t xml:space="preserve">廣告步驟占差距比例</t>
  </si>
  <si>
    <r>
      <rPr>
        <sz val="11"/>
        <rFont val="Noto Sans CJK SC"/>
        <family val="2"/>
      </rPr>
      <t xml:space="preserve">廣告內部路徑占管理層 </t>
    </r>
    <r>
      <rPr>
        <sz val="11"/>
        <rFont val="Arial"/>
        <family val="0"/>
        <charset val="1"/>
      </rPr>
      <t xml:space="preserve">2030 </t>
    </r>
    <r>
      <rPr>
        <sz val="11"/>
        <rFont val="Noto Sans CJK SC"/>
        <family val="2"/>
      </rPr>
      <t xml:space="preserve">目標</t>
    </r>
  </si>
  <si>
    <r>
      <rPr>
        <b val="true"/>
        <sz val="13"/>
        <rFont val="Noto Sans CJK SC"/>
        <family val="2"/>
      </rPr>
      <t xml:space="preserve">支出（</t>
    </r>
    <r>
      <rPr>
        <b val="true"/>
        <sz val="13"/>
        <rFont val="Arial"/>
        <family val="0"/>
        <charset val="1"/>
      </rPr>
      <t xml:space="preserve">$B</t>
    </r>
    <r>
      <rPr>
        <b val="true"/>
        <sz val="13"/>
        <rFont val="Noto Sans CJK SC"/>
        <family val="2"/>
      </rPr>
      <t xml:space="preserve">，名目、現金口徑）：合約付款＋自有資本支出＋營運費用</t>
    </r>
  </si>
  <si>
    <r>
      <rPr>
        <b val="true"/>
        <sz val="11"/>
        <color rgb="FFFFFFFF"/>
        <rFont val="Arial"/>
        <family val="0"/>
        <charset val="1"/>
      </rPr>
      <t xml:space="preserve">2030 </t>
    </r>
    <r>
      <rPr>
        <b val="true"/>
        <sz val="11"/>
        <color rgb="FFFFFFFF"/>
        <rFont val="Noto Sans CJK SC"/>
        <family val="2"/>
      </rPr>
      <t xml:space="preserve">年後剩餘</t>
    </r>
  </si>
  <si>
    <t xml:space="preserve">交易對手合約付款（已揭露依年額；未揭露依輸入頁付款型態）</t>
  </si>
  <si>
    <t xml:space="preserve">合約付款合計</t>
  </si>
  <si>
    <t xml:space="preserve">自有資本支出（扣合作方出資）</t>
  </si>
  <si>
    <t xml:space="preserve">租賃（未揭露）</t>
  </si>
  <si>
    <t xml:space="preserve">算力現金合計（由上而下）</t>
  </si>
  <si>
    <r>
      <rPr>
        <b val="true"/>
        <sz val="11"/>
        <color rgb="FF1F3864"/>
        <rFont val="Noto Sans CJK SC"/>
        <family val="2"/>
      </rPr>
      <t xml:space="preserve">算力口徑對照（</t>
    </r>
    <r>
      <rPr>
        <b val="true"/>
        <sz val="11"/>
        <color rgb="FF1F3864"/>
        <rFont val="Arial"/>
        <family val="0"/>
        <charset val="1"/>
      </rPr>
      <t xml:space="preserve">S6c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</si>
  <si>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b val="true"/>
        <sz val="11"/>
        <color rgb="FF1F3864"/>
        <rFont val="Noto Sans CJK SC"/>
        <family val="2"/>
      </rPr>
      <t xml:space="preserve">算力損益成本（依 </t>
    </r>
    <r>
      <rPr>
        <b val="true"/>
        <sz val="11"/>
        <color rgb="FF1F3864"/>
        <rFont val="Arial"/>
        <family val="0"/>
        <charset val="1"/>
      </rPr>
      <t xml:space="preserve">MW </t>
    </r>
    <r>
      <rPr>
        <b val="true"/>
        <sz val="11"/>
        <color rgb="FF1F3864"/>
        <rFont val="Noto Sans CJK SC"/>
        <family val="2"/>
      </rPr>
      <t xml:space="preserve">拆分；算力</t>
    </r>
    <r>
      <rPr>
        <b val="true"/>
        <sz val="11"/>
        <color rgb="FF1F3864"/>
        <rFont val="Arial"/>
        <family val="0"/>
        <charset val="1"/>
      </rPr>
      <t xml:space="preserve">MW </t>
    </r>
    <r>
      <rPr>
        <b val="true"/>
        <sz val="11"/>
        <color rgb="FF1F3864"/>
        <rFont val="Noto Sans CJK SC"/>
        <family val="2"/>
      </rPr>
      <t xml:space="preserve">頁回填）</t>
    </r>
  </si>
  <si>
    <r>
      <rPr>
        <sz val="11"/>
        <rFont val="Noto Sans CJK SC"/>
        <family val="2"/>
      </rPr>
      <t xml:space="preserve">推論成本（</t>
    </r>
    <r>
      <rPr>
        <sz val="11"/>
        <rFont val="Arial"/>
        <family val="0"/>
        <charset val="1"/>
      </rPr>
      <t xml:space="preserve">MW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</si>
  <si>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訓練成本（</t>
    </r>
    <r>
      <rPr>
        <sz val="11"/>
        <rFont val="Arial"/>
        <family val="0"/>
        <charset val="1"/>
      </rPr>
      <t xml:space="preserve">MW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</si>
  <si>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閒置成本（</t>
    </r>
    <r>
      <rPr>
        <sz val="11"/>
        <rFont val="Arial"/>
        <family val="0"/>
        <charset val="1"/>
      </rPr>
      <t xml:space="preserve">MW</t>
    </r>
    <r>
      <rPr>
        <sz val="11"/>
        <rFont val="Noto Sans CJK SC"/>
        <family val="2"/>
      </rPr>
      <t xml:space="preserve">）</t>
    </r>
  </si>
  <si>
    <t xml:space="preserve">算力損益成本合計</t>
  </si>
  <si>
    <t xml:space="preserve">算力現金 − 算力損益成本（自建資本支出與折舊之時間差）</t>
  </si>
  <si>
    <t xml:space="preserve">營運費用（不含算力、股票薪酬）</t>
  </si>
  <si>
    <t xml:space="preserve">正向</t>
  </si>
  <si>
    <t xml:space="preserve">反向（隨目標營收）</t>
  </si>
  <si>
    <r>
      <rPr>
        <b val="true"/>
        <sz val="13"/>
        <rFont val="Noto Sans CJK SC"/>
        <family val="2"/>
      </rPr>
      <t xml:space="preserve">資金（</t>
    </r>
    <r>
      <rPr>
        <b val="true"/>
        <sz val="13"/>
        <rFont val="Arial"/>
        <family val="0"/>
        <charset val="1"/>
      </rPr>
      <t xml:space="preserve">$B</t>
    </r>
    <r>
      <rPr>
        <b val="true"/>
        <sz val="13"/>
        <rFont val="Noto Sans CJK SC"/>
        <family val="2"/>
      </rPr>
      <t xml:space="preserve">）：年底現金低於最低現金之差額累計＝外部資金需求</t>
    </r>
  </si>
  <si>
    <t xml:space="preserve">正向模式</t>
  </si>
  <si>
    <t xml:space="preserve">淨營收</t>
  </si>
  <si>
    <t xml:space="preserve">− 合約付款</t>
  </si>
  <si>
    <t xml:space="preserve">− 自有資本支出</t>
  </si>
  <si>
    <t xml:space="preserve">− 營運費用</t>
  </si>
  <si>
    <t xml:space="preserve">自由現金流</t>
  </si>
  <si>
    <t xml:space="preserve">股權流入</t>
  </si>
  <si>
    <t xml:space="preserve">期初現金</t>
  </si>
  <si>
    <t xml:space="preserve">補足前年底現金</t>
  </si>
  <si>
    <t xml:space="preserve">當年外部資金需求</t>
  </si>
  <si>
    <t xml:space="preserve">年底現金</t>
  </si>
  <si>
    <t xml:space="preserve">累計外部資金需求</t>
  </si>
  <si>
    <r>
      <rPr>
        <b val="true"/>
        <sz val="11"/>
        <color rgb="FF1F3864"/>
        <rFont val="Noto Sans CJK SC"/>
        <family val="2"/>
      </rPr>
      <t xml:space="preserve">反向模式：目標營收之 </t>
    </r>
    <r>
      <rPr>
        <b val="true"/>
        <sz val="11"/>
        <color rgb="FF1F3864"/>
        <rFont val="Arial"/>
        <family val="0"/>
        <charset val="1"/>
      </rPr>
      <t xml:space="preserve">Microsoft </t>
    </r>
    <r>
      <rPr>
        <b val="true"/>
        <sz val="11"/>
        <color rgb="FF1F3864"/>
        <rFont val="Noto Sans CJK SC"/>
        <family val="2"/>
      </rPr>
      <t xml:space="preserve">分潤（同上限規則）</t>
    </r>
  </si>
  <si>
    <t xml:space="preserve">分潤（目標營收）</t>
  </si>
  <si>
    <t xml:space="preserve">  分潤累計</t>
  </si>
  <si>
    <t xml:space="preserve">反向模式（管理層目標營收＋同一支出）</t>
  </si>
  <si>
    <t xml:space="preserve">反向模式與簡報累計自由現金流對帳</t>
  </si>
  <si>
    <r>
      <rPr>
        <sz val="11"/>
        <color theme="1"/>
        <rFont val="Noto Sans CJK SC"/>
        <family val="2"/>
      </rPr>
      <t xml:space="preserve">本模型反向 </t>
    </r>
    <r>
      <rPr>
        <sz val="11"/>
        <color theme="1"/>
        <rFont val="Arial"/>
        <family val="0"/>
        <charset val="1"/>
      </rPr>
      <t xml:space="preserve">Σ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Arial"/>
        <family val="0"/>
        <charset val="1"/>
      </rPr>
      <t xml:space="preserve">2026–30</t>
    </r>
  </si>
  <si>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Arial"/>
        <family val="0"/>
        <charset val="1"/>
      </rPr>
      <t xml:space="preserve">Σ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Arial"/>
        <family val="0"/>
        <charset val="1"/>
      </rPr>
      <t xml:space="preserve">2026–30</t>
    </r>
  </si>
  <si>
    <t xml:space="preserve">差異（本模型−簡報）</t>
  </si>
  <si>
    <r>
      <rPr>
        <sz val="11"/>
        <color theme="1"/>
        <rFont val="Noto Sans CJK SC"/>
        <family val="2"/>
      </rPr>
      <t xml:space="preserve">其中：算力（簡報 </t>
    </r>
    <r>
      <rPr>
        <sz val="11"/>
        <color theme="1"/>
        <rFont val="Arial"/>
        <family val="0"/>
        <charset val="1"/>
      </rPr>
      <t xml:space="preserve">856 − </t>
    </r>
    <r>
      <rPr>
        <sz val="11"/>
        <color theme="1"/>
        <rFont val="Noto Sans CJK SC"/>
        <family val="2"/>
      </rPr>
      <t xml:space="preserve">本模型由上而下）</t>
    </r>
  </si>
  <si>
    <t xml:space="preserve">其中：其餘（營運費用、分潤上限、口徑）</t>
  </si>
  <si>
    <t xml:space="preserve">檢查（通過／未通過）</t>
  </si>
  <si>
    <r>
      <rPr>
        <sz val="11"/>
        <color theme="1"/>
        <rFont val="Arial"/>
        <family val="0"/>
        <charset val="1"/>
      </rPr>
      <t xml:space="preserve">FY2025 </t>
    </r>
    <r>
      <rPr>
        <sz val="11"/>
        <color theme="1"/>
        <rFont val="Noto Sans CJK SC"/>
        <family val="2"/>
      </rPr>
      <t xml:space="preserve">總額＝實際（≤</t>
    </r>
    <r>
      <rPr>
        <sz val="11"/>
        <color theme="1"/>
        <rFont val="Arial"/>
        <family val="0"/>
        <charset val="1"/>
      </rPr>
      <t xml:space="preserve">0.1%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</si>
  <si>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2025 API </t>
    </r>
    <r>
      <rPr>
        <sz val="11"/>
        <color theme="1"/>
        <rFont val="Noto Sans CJK SC"/>
        <family val="2"/>
      </rPr>
      <t xml:space="preserve">計費比例 </t>
    </r>
    <r>
      <rPr>
        <sz val="11"/>
        <color theme="1"/>
        <rFont val="Arial"/>
        <family val="0"/>
        <charset val="1"/>
      </rPr>
      <t xml:space="preserve">50–110%</t>
    </r>
  </si>
  <si>
    <r>
      <rPr>
        <sz val="11"/>
        <color theme="1"/>
        <rFont val="Arial"/>
        <family val="0"/>
        <charset val="1"/>
      </rPr>
      <t xml:space="preserve">FY2026 </t>
    </r>
    <r>
      <rPr>
        <sz val="11"/>
        <color theme="1"/>
        <rFont val="Noto Sans CJK SC"/>
        <family val="2"/>
      </rPr>
      <t xml:space="preserve">總額落在獨立推估區間</t>
    </r>
  </si>
  <si>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Arial"/>
        <family val="0"/>
        <charset val="1"/>
      </rPr>
      <t xml:space="preserve">1.0–2.5</t>
    </r>
  </si>
  <si>
    <r>
      <rPr>
        <sz val="11"/>
        <color theme="1"/>
        <rFont val="Noto Sans CJK SC"/>
        <family val="2"/>
      </rPr>
      <t xml:space="preserve">企業端占總額 </t>
    </r>
    <r>
      <rPr>
        <sz val="11"/>
        <color theme="1"/>
        <rFont val="Arial"/>
        <family val="0"/>
        <charset val="1"/>
      </rPr>
      <t xml:space="preserve">FY2026 </t>
    </r>
    <r>
      <rPr>
        <sz val="11"/>
        <color theme="1"/>
        <rFont val="Noto Sans CJK SC"/>
        <family val="2"/>
      </rPr>
      <t xml:space="preserve">介於 </t>
    </r>
    <r>
      <rPr>
        <sz val="11"/>
        <color theme="1"/>
        <rFont val="Arial"/>
        <family val="0"/>
        <charset val="1"/>
      </rPr>
      <t xml:space="preserve">45–60%</t>
    </r>
  </si>
  <si>
    <t xml:space="preserve">消費端＋企業端＝總額</t>
  </si>
  <si>
    <r>
      <rPr>
        <sz val="11"/>
        <color theme="1"/>
        <rFont val="Arial"/>
        <family val="0"/>
        <charset val="1"/>
      </rPr>
      <t xml:space="preserve">FY2025 </t>
    </r>
    <r>
      <rPr>
        <sz val="11"/>
        <color theme="1"/>
        <rFont val="Noto Sans CJK SC"/>
        <family val="2"/>
      </rPr>
      <t xml:space="preserve">推論合計＝校準值 </t>
    </r>
    <r>
      <rPr>
        <sz val="11"/>
        <color theme="1"/>
        <rFont val="Arial"/>
        <family val="0"/>
        <charset val="1"/>
      </rPr>
      <t xml:space="preserve">8.4</t>
    </r>
  </si>
  <si>
    <r>
      <rPr>
        <sz val="11"/>
        <color theme="1"/>
        <rFont val="Arial"/>
        <family val="0"/>
        <charset val="1"/>
      </rPr>
      <t xml:space="preserve">FY2025 API </t>
    </r>
    <r>
      <rPr>
        <sz val="11"/>
        <color theme="1"/>
        <rFont val="Noto Sans CJK SC"/>
        <family val="2"/>
      </rPr>
      <t xml:space="preserve">毛利率＝先驗</t>
    </r>
  </si>
  <si>
    <r>
      <rPr>
        <sz val="11"/>
        <color theme="1"/>
        <rFont val="Arial"/>
        <family val="0"/>
        <charset val="1"/>
      </rPr>
      <t xml:space="preserve">Free </t>
    </r>
    <r>
      <rPr>
        <sz val="11"/>
        <color theme="1"/>
        <rFont val="Noto Sans CJK SC"/>
        <family val="2"/>
      </rPr>
      <t xml:space="preserve">殘差 ≥ </t>
    </r>
    <r>
      <rPr>
        <sz val="11"/>
        <color theme="1"/>
        <rFont val="Arial"/>
        <family val="0"/>
        <charset val="1"/>
      </rPr>
      <t xml:space="preserve">0</t>
    </r>
  </si>
  <si>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推論成本在預測 </t>
    </r>
    <r>
      <rPr>
        <sz val="11"/>
        <color theme="1"/>
        <rFont val="Arial"/>
        <family val="0"/>
        <charset val="1"/>
      </rPr>
      <t xml:space="preserve">±35%</t>
    </r>
  </si>
  <si>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付費占推論 </t>
    </r>
    <r>
      <rPr>
        <sz val="11"/>
        <color theme="1"/>
        <rFont val="Arial"/>
        <family val="0"/>
        <charset val="1"/>
      </rPr>
      <t xml:space="preserve">55–80%</t>
    </r>
  </si>
  <si>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合約推得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與實際平均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差距 ≤</t>
    </r>
    <r>
      <rPr>
        <sz val="11"/>
        <color theme="1"/>
        <rFont val="Arial"/>
        <family val="0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</si>
  <si>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推論＋訓練＋閒置 </t>
    </r>
    <r>
      <rPr>
        <sz val="11"/>
        <color theme="1"/>
        <rFont val="Arial"/>
        <family val="0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VR-eq </t>
    </r>
    <r>
      <rPr>
        <sz val="11"/>
        <color theme="1"/>
        <rFont val="Noto Sans CJK SC"/>
        <family val="2"/>
      </rPr>
      <t xml:space="preserve">供給</t>
    </r>
  </si>
  <si>
    <r>
      <rPr>
        <sz val="11"/>
        <color theme="1"/>
        <rFont val="Arial"/>
        <family val="0"/>
        <charset val="1"/>
      </rPr>
      <t xml:space="preserve">MW </t>
    </r>
    <r>
      <rPr>
        <sz val="11"/>
        <color theme="1"/>
        <rFont val="Noto Sans CJK SC"/>
        <family val="2"/>
      </rPr>
      <t xml:space="preserve">成本拆分加總＝算力損益成本</t>
    </r>
  </si>
  <si>
    <r>
      <rPr>
        <sz val="11"/>
        <color theme="1"/>
        <rFont val="Noto Sans CJK SC"/>
        <family val="2"/>
      </rPr>
      <t xml:space="preserve">容量上限未觸發（</t>
    </r>
    <r>
      <rPr>
        <sz val="11"/>
        <color theme="1"/>
        <rFont val="Arial"/>
        <family val="0"/>
        <charset val="1"/>
      </rPr>
      <t xml:space="preserve">2026–30 </t>
    </r>
    <r>
      <rPr>
        <sz val="11"/>
        <color theme="1"/>
        <rFont val="Noto Sans CJK SC"/>
        <family val="2"/>
      </rPr>
      <t xml:space="preserve">係數＝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</si>
  <si>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需求口徑推論成本 </t>
    </r>
    <r>
      <rPr>
        <sz val="11"/>
        <color theme="1"/>
        <rFont val="Arial"/>
        <family val="0"/>
        <charset val="1"/>
      </rPr>
      <t xml:space="preserve">× </t>
    </r>
    <r>
      <rPr>
        <sz val="11"/>
        <color theme="1"/>
        <rFont val="Noto Sans CJK SC"/>
        <family val="2"/>
      </rPr>
      <t xml:space="preserve">係數＝</t>
    </r>
    <r>
      <rPr>
        <sz val="11"/>
        <color theme="1"/>
        <rFont val="Arial"/>
        <family val="0"/>
        <charset val="1"/>
      </rPr>
      <t xml:space="preserve">MW </t>
    </r>
    <r>
      <rPr>
        <sz val="11"/>
        <color theme="1"/>
        <rFont val="Noto Sans CJK SC"/>
        <family val="2"/>
      </rPr>
      <t xml:space="preserve">推論成本</t>
    </r>
  </si>
  <si>
    <t xml:space="preserve">分潤累計 ≤ 上限</t>
  </si>
  <si>
    <r>
      <rPr>
        <sz val="11"/>
        <color theme="1"/>
        <rFont val="Arial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歸因誤差 </t>
    </r>
    <r>
      <rPr>
        <sz val="11"/>
        <color theme="1"/>
        <rFont val="Arial"/>
        <family val="0"/>
        <charset val="1"/>
      </rPr>
      <t xml:space="preserve">&lt; 1e−9</t>
    </r>
  </si>
  <si>
    <r>
      <rPr>
        <sz val="11"/>
        <color theme="1"/>
        <rFont val="Arial"/>
        <family val="0"/>
        <charset val="1"/>
      </rPr>
      <t xml:space="preserve">2026 </t>
    </r>
    <r>
      <rPr>
        <sz val="11"/>
        <color theme="1"/>
        <rFont val="Noto Sans CJK SC"/>
        <family val="2"/>
      </rPr>
      <t xml:space="preserve">算力現金與證詞差距 ≤</t>
    </r>
    <r>
      <rPr>
        <sz val="11"/>
        <color theme="1"/>
        <rFont val="Arial"/>
        <family val="0"/>
        <charset val="1"/>
      </rPr>
      <t xml:space="preserve">25%</t>
    </r>
  </si>
  <si>
    <r>
      <rPr>
        <sz val="11"/>
        <color theme="1"/>
        <rFont val="Arial"/>
        <family val="0"/>
        <charset val="1"/>
      </rPr>
      <t xml:space="preserve">Σ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Arial"/>
        <family val="0"/>
        <charset val="1"/>
      </rPr>
      <t xml:space="preserve">2026–30 </t>
    </r>
    <r>
      <rPr>
        <sz val="11"/>
        <color theme="1"/>
        <rFont val="Noto Sans CJK SC"/>
        <family val="2"/>
      </rPr>
      <t xml:space="preserve">介於 </t>
    </r>
    <r>
      <rPr>
        <sz val="11"/>
        <color theme="1"/>
        <rFont val="Arial"/>
        <family val="0"/>
        <charset val="1"/>
      </rPr>
      <t xml:space="preserve">WSJ×0.9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Arial"/>
        <family val="0"/>
        <charset val="1"/>
      </rPr>
      <t xml:space="preserve">FT×1.1</t>
    </r>
  </si>
  <si>
    <r>
      <rPr>
        <sz val="11"/>
        <color theme="1"/>
        <rFont val="Noto Sans CJK SC"/>
        <family val="2"/>
      </rPr>
      <t xml:space="preserve">廣告 </t>
    </r>
    <r>
      <rPr>
        <sz val="11"/>
        <color theme="1"/>
        <rFont val="Arial"/>
        <family val="0"/>
        <charset val="1"/>
      </rPr>
      <t xml:space="preserve">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0</t>
    </r>
  </si>
  <si>
    <t xml:space="preserve">未通過項數</t>
  </si>
  <si>
    <t xml:space="preserve">或有負債（只列示，不作資金來源）</t>
  </si>
  <si>
    <r>
      <rPr>
        <sz val="11"/>
        <color theme="1"/>
        <rFont val="Arial"/>
        <family val="0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</t>
    </r>
  </si>
  <si>
    <r>
      <rPr>
        <sz val="11"/>
        <color theme="1"/>
        <rFont val="Arial"/>
        <family val="0"/>
        <charset val="1"/>
      </rPr>
      <t xml:space="preserve">Nvidia </t>
    </r>
    <r>
      <rPr>
        <sz val="11"/>
        <color theme="1"/>
        <rFont val="Noto Sans CJK SC"/>
        <family val="2"/>
      </rPr>
      <t xml:space="preserve">晶片融資（洽談中）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</si>
</sst>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#,##0.0;\(#,##0.0\);\-"/>
    <numFmt numFmtId="167" formatCode="0.0%;\(0.0%\);\-"/>
    <numFmt numFmtId="168" formatCode="#,##0.00;\(#,##0.00\);\-"/>
    <numFmt numFmtId="169" formatCode="0.00\x"/>
    <numFmt numFmtId="170" formatCode="@"/>
    <numFmt numFmtId="171" formatCode="#,##0;\(#,##0\);\-"/>
    <numFmt numFmtId="172" formatCode="0.0000"/>
    <numFmt numFmtId="173" formatCode="0.000"/>
    <numFmt numFmtId="174" formatCode="0.0E+00"/>
    <numFmt numFmtId="175" formatCode="0.0"/>
    <numFmt numFmtId="176" formatCode="0.00000"/>
    <numFmt numFmtId="177" formatCode="0.00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1"/>
      <name val="Noto Sans CJK SC"/>
      <family val="2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8" min="3" style="0" width="11"/>
    <col collapsed="false" customWidth="true" hidden="false" outlineLevel="0" max="9" min="9" style="0" width="14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tr">
        <f aca="false">"情境："&amp;輸入!$C$5&amp;"｜付款型態："&amp;輸入!$C$6&amp;"｜檢查未通過："&amp;資金與檢查!C63</f>
        <v>情境：base｜付款型態：ramp｜檢查未通過：0</v>
      </c>
    </row>
    <row r="3" customFormat="false" ht="17.15" hidden="false" customHeight="false" outlineLevel="0" collapsed="false">
      <c r="A3" s="3" t="s">
        <v>1</v>
      </c>
      <c r="B3" s="3" t="s">
        <v>2</v>
      </c>
      <c r="C3" s="4" t="n">
        <v>2025</v>
      </c>
      <c r="D3" s="4" t="n">
        <v>2026</v>
      </c>
      <c r="E3" s="4" t="n">
        <v>2027</v>
      </c>
      <c r="F3" s="4" t="n">
        <v>2028</v>
      </c>
      <c r="G3" s="4" t="n">
        <v>2029</v>
      </c>
      <c r="H3" s="4" t="n">
        <v>2030</v>
      </c>
      <c r="I3" s="5" t="s">
        <v>3</v>
      </c>
      <c r="J3" s="3" t="s">
        <v>4</v>
      </c>
    </row>
    <row r="4" customFormat="false" ht="15" hidden="false" customHeight="false" outlineLevel="0" collapsed="false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8" t="s">
        <v>6</v>
      </c>
      <c r="B5" s="9" t="s">
        <v>7</v>
      </c>
      <c r="C5" s="10" t="n">
        <f aca="false">營收彙總!C18</f>
        <v>9.444</v>
      </c>
      <c r="D5" s="10" t="n">
        <f aca="false">營收彙總!D18</f>
        <v>17.7204</v>
      </c>
      <c r="E5" s="10" t="n">
        <f aca="false">營收彙總!E18</f>
        <v>26.6313391304348</v>
      </c>
      <c r="F5" s="10" t="n">
        <f aca="false">營收彙總!F18</f>
        <v>35.5643217391304</v>
      </c>
      <c r="G5" s="10" t="n">
        <f aca="false">營收彙總!G18</f>
        <v>42.949747826087</v>
      </c>
      <c r="H5" s="10" t="n">
        <f aca="false">營收彙總!H18</f>
        <v>49.4248173913043</v>
      </c>
      <c r="I5" s="11" t="n">
        <f aca="false">SUM(D5:H5)</f>
        <v>172.290626086957</v>
      </c>
    </row>
    <row r="6" customFormat="false" ht="15" hidden="false" customHeight="false" outlineLevel="0" collapsed="false">
      <c r="A6" s="9" t="s">
        <v>8</v>
      </c>
      <c r="B6" s="9" t="s">
        <v>7</v>
      </c>
      <c r="C6" s="10" t="n">
        <f aca="false">營收彙總!C19</f>
        <v>3.626</v>
      </c>
      <c r="D6" s="10" t="n">
        <f aca="false">營收彙總!D19</f>
        <v>14.44068112519</v>
      </c>
      <c r="E6" s="10" t="n">
        <f aca="false">營收彙總!E19</f>
        <v>24.0798357762544</v>
      </c>
      <c r="F6" s="10" t="n">
        <f aca="false">營收彙總!F19</f>
        <v>36.4087116936967</v>
      </c>
      <c r="G6" s="10" t="n">
        <f aca="false">營收彙總!G19</f>
        <v>50.0619785788329</v>
      </c>
      <c r="H6" s="10" t="n">
        <f aca="false">營收彙總!H19</f>
        <v>64.8803242381675</v>
      </c>
      <c r="I6" s="11" t="n">
        <f aca="false">SUM(D6:H6)</f>
        <v>189.871531412141</v>
      </c>
    </row>
    <row r="7" customFormat="false" ht="17.15" hidden="false" customHeight="false" outlineLevel="0" collapsed="false">
      <c r="A7" s="12" t="s">
        <v>9</v>
      </c>
      <c r="B7" s="9" t="s">
        <v>7</v>
      </c>
      <c r="C7" s="13" t="n">
        <f aca="false">營收彙總!C20</f>
        <v>13.07</v>
      </c>
      <c r="D7" s="13" t="n">
        <f aca="false">營收彙總!D20</f>
        <v>32.1610811251901</v>
      </c>
      <c r="E7" s="13" t="n">
        <f aca="false">營收彙總!E20</f>
        <v>50.7111749066892</v>
      </c>
      <c r="F7" s="13" t="n">
        <f aca="false">營收彙總!F20</f>
        <v>71.9730334328271</v>
      </c>
      <c r="G7" s="13" t="n">
        <f aca="false">營收彙總!G20</f>
        <v>93.0117264049199</v>
      </c>
      <c r="H7" s="13" t="n">
        <f aca="false">營收彙總!H20</f>
        <v>114.305141629472</v>
      </c>
      <c r="I7" s="11" t="n">
        <f aca="false">SUM(D7:H7)</f>
        <v>362.162157499098</v>
      </c>
    </row>
    <row r="8" customFormat="false" ht="15" hidden="false" customHeight="false" outlineLevel="0" collapsed="false">
      <c r="A8" s="8" t="s">
        <v>10</v>
      </c>
      <c r="B8" s="9" t="s">
        <v>7</v>
      </c>
      <c r="C8" s="10" t="n">
        <f aca="false">營收彙總!C21</f>
        <v>0</v>
      </c>
      <c r="D8" s="10" t="n">
        <f aca="false">營收彙總!D21</f>
        <v>0.74295</v>
      </c>
      <c r="E8" s="10" t="n">
        <f aca="false">營收彙總!E21</f>
        <v>1.85842695652174</v>
      </c>
      <c r="F8" s="10" t="n">
        <f aca="false">營收彙總!F21</f>
        <v>2.91060782608696</v>
      </c>
      <c r="G8" s="10" t="n">
        <f aca="false">營收彙總!G21</f>
        <v>4.15680652173913</v>
      </c>
      <c r="H8" s="10" t="n">
        <f aca="false">營收彙總!H21</f>
        <v>5.57615706521739</v>
      </c>
      <c r="I8" s="11" t="n">
        <f aca="false">SUM(D8:H8)</f>
        <v>15.2449483695652</v>
      </c>
    </row>
    <row r="9" customFormat="false" ht="15" hidden="false" customHeight="false" outlineLevel="0" collapsed="false">
      <c r="A9" s="12" t="s">
        <v>11</v>
      </c>
      <c r="B9" s="9" t="s">
        <v>7</v>
      </c>
      <c r="C9" s="13" t="n">
        <f aca="false">營收彙總!C22</f>
        <v>13.07</v>
      </c>
      <c r="D9" s="13" t="n">
        <f aca="false">營收彙總!D22</f>
        <v>32.9040311251901</v>
      </c>
      <c r="E9" s="13" t="n">
        <f aca="false">營收彙總!E22</f>
        <v>52.5696018632109</v>
      </c>
      <c r="F9" s="13" t="n">
        <f aca="false">營收彙總!F22</f>
        <v>74.8836412589141</v>
      </c>
      <c r="G9" s="13" t="n">
        <f aca="false">營收彙總!G22</f>
        <v>97.168532926659</v>
      </c>
      <c r="H9" s="13" t="n">
        <f aca="false">營收彙總!H22</f>
        <v>119.881298694689</v>
      </c>
      <c r="I9" s="11" t="n">
        <f aca="false">SUM(D9:H9)</f>
        <v>377.407105868663</v>
      </c>
    </row>
    <row r="10" customFormat="false" ht="17.15" hidden="false" customHeight="false" outlineLevel="0" collapsed="false">
      <c r="A10" s="9" t="s">
        <v>12</v>
      </c>
      <c r="B10" s="9" t="s">
        <v>7</v>
      </c>
      <c r="C10" s="10" t="n">
        <f aca="false">營收彙總!C23</f>
        <v>2.614</v>
      </c>
      <c r="D10" s="10" t="n">
        <f aca="false">營收彙總!D23</f>
        <v>6.58080622503801</v>
      </c>
      <c r="E10" s="10" t="n">
        <f aca="false">營收彙總!E23</f>
        <v>10.5139203726422</v>
      </c>
      <c r="F10" s="10" t="n">
        <f aca="false">營收彙總!F23</f>
        <v>14.9767282517828</v>
      </c>
      <c r="G10" s="10" t="n">
        <f aca="false">營收彙總!G23</f>
        <v>5.928545150537</v>
      </c>
      <c r="H10" s="10" t="n">
        <f aca="false">營收彙總!H23</f>
        <v>0</v>
      </c>
      <c r="I10" s="11" t="n">
        <f aca="false">SUM(D10:H10)</f>
        <v>38</v>
      </c>
    </row>
    <row r="11" customFormat="false" ht="15" hidden="false" customHeight="false" outlineLevel="0" collapsed="false">
      <c r="A11" s="12" t="s">
        <v>13</v>
      </c>
      <c r="B11" s="9" t="s">
        <v>7</v>
      </c>
      <c r="C11" s="13" t="n">
        <f aca="false">營收彙總!C25</f>
        <v>10.456</v>
      </c>
      <c r="D11" s="13" t="n">
        <f aca="false">營收彙總!D25</f>
        <v>26.323224900152</v>
      </c>
      <c r="E11" s="13" t="n">
        <f aca="false">營收彙總!E25</f>
        <v>42.0556814905687</v>
      </c>
      <c r="F11" s="13" t="n">
        <f aca="false">營收彙總!F25</f>
        <v>59.9069130071312</v>
      </c>
      <c r="G11" s="13" t="n">
        <f aca="false">營收彙總!G25</f>
        <v>91.239987776122</v>
      </c>
      <c r="H11" s="13" t="n">
        <f aca="false">營收彙總!H25</f>
        <v>119.881298694689</v>
      </c>
      <c r="I11" s="11" t="n">
        <f aca="false">SUM(D11:H11)</f>
        <v>339.407105868663</v>
      </c>
    </row>
    <row r="12" customFormat="false" ht="15" hidden="false" customHeight="false" outlineLevel="0" collapsed="false">
      <c r="A12" s="8" t="s">
        <v>14</v>
      </c>
      <c r="B12" s="9" t="s">
        <v>7</v>
      </c>
      <c r="C12" s="10" t="n">
        <f aca="false">營收彙總!C10</f>
        <v>8.364</v>
      </c>
      <c r="D12" s="10" t="n">
        <f aca="false">營收彙總!D10</f>
        <v>13.42335</v>
      </c>
      <c r="E12" s="10" t="n">
        <f aca="false">營收彙總!E10</f>
        <v>19.1297660869565</v>
      </c>
      <c r="F12" s="10" t="n">
        <f aca="false">營收彙總!F10</f>
        <v>24.7949295652174</v>
      </c>
      <c r="G12" s="10" t="n">
        <f aca="false">營收彙總!G10</f>
        <v>29.8265543478261</v>
      </c>
      <c r="H12" s="10" t="n">
        <f aca="false">營收彙總!H10</f>
        <v>34.8409744565217</v>
      </c>
    </row>
    <row r="13" customFormat="false" ht="15" hidden="false" customHeight="false" outlineLevel="0" collapsed="false">
      <c r="A13" s="8" t="s">
        <v>15</v>
      </c>
      <c r="B13" s="9" t="s">
        <v>7</v>
      </c>
      <c r="C13" s="10" t="n">
        <f aca="false">營收彙總!C15</f>
        <v>4.706</v>
      </c>
      <c r="D13" s="10" t="n">
        <f aca="false">營收彙總!D15</f>
        <v>19.48068112519</v>
      </c>
      <c r="E13" s="10" t="n">
        <f aca="false">營收彙總!E15</f>
        <v>33.4398357762544</v>
      </c>
      <c r="F13" s="10" t="n">
        <f aca="false">營收彙總!F15</f>
        <v>50.0887116936967</v>
      </c>
      <c r="G13" s="10" t="n">
        <f aca="false">營收彙總!G15</f>
        <v>67.3419785788329</v>
      </c>
      <c r="H13" s="10" t="n">
        <f aca="false">營收彙總!H15</f>
        <v>85.0403242381675</v>
      </c>
    </row>
    <row r="14" customFormat="false" ht="15" hidden="false" customHeight="false" outlineLevel="0" collapsed="false">
      <c r="A14" s="8" t="s">
        <v>16</v>
      </c>
      <c r="B14" s="9" t="s">
        <v>17</v>
      </c>
      <c r="C14" s="14" t="n">
        <f aca="false">營收彙總!C16</f>
        <v>0.360061208875287</v>
      </c>
      <c r="D14" s="14" t="n">
        <f aca="false">營收彙總!D16</f>
        <v>0.592045426017009</v>
      </c>
      <c r="E14" s="14" t="n">
        <f aca="false">營收彙總!E16</f>
        <v>0.636105935579781</v>
      </c>
      <c r="F14" s="14" t="n">
        <f aca="false">營收彙總!F16</f>
        <v>0.668887234269396</v>
      </c>
      <c r="G14" s="14" t="n">
        <f aca="false">營收彙總!G16</f>
        <v>0.693043072181211</v>
      </c>
      <c r="H14" s="14" t="n">
        <f aca="false">營收彙總!H16</f>
        <v>0.709371062577042</v>
      </c>
    </row>
    <row r="15" customFormat="false" ht="17.15" hidden="false" customHeight="false" outlineLevel="0" collapsed="false">
      <c r="A15" s="6" t="s">
        <v>18</v>
      </c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7.15" hidden="false" customHeight="false" outlineLevel="0" collapsed="false">
      <c r="A16" s="8" t="s">
        <v>19</v>
      </c>
      <c r="B16" s="9" t="s">
        <v>20</v>
      </c>
      <c r="C16" s="15" t="n">
        <f aca="false">算力MW!C13</f>
        <v>1.25</v>
      </c>
      <c r="D16" s="15" t="n">
        <f aca="false">算力MW!D13</f>
        <v>2.83420634920635</v>
      </c>
      <c r="E16" s="15" t="n">
        <f aca="false">算力MW!E13</f>
        <v>9.40177248677249</v>
      </c>
      <c r="F16" s="15" t="n">
        <f aca="false">算力MW!F13</f>
        <v>11.7008201058201</v>
      </c>
      <c r="G16" s="15" t="n">
        <f aca="false">算力MW!G13</f>
        <v>14.3470899470899</v>
      </c>
      <c r="H16" s="15" t="n">
        <f aca="false">算力MW!H13</f>
        <v>16.5939153439153</v>
      </c>
    </row>
    <row r="17" customFormat="false" ht="17.15" hidden="false" customHeight="false" outlineLevel="0" collapsed="false">
      <c r="A17" s="9" t="s">
        <v>21</v>
      </c>
      <c r="B17" s="9" t="s">
        <v>20</v>
      </c>
      <c r="C17" s="15" t="n">
        <f aca="false">算力MW!C22</f>
        <v>0.376148018714629</v>
      </c>
      <c r="D17" s="15" t="n">
        <f aca="false">算力MW!D22</f>
        <v>1.19748851872618</v>
      </c>
      <c r="E17" s="15" t="n">
        <f aca="false">算力MW!E22</f>
        <v>5.82706079587942</v>
      </c>
      <c r="F17" s="15" t="n">
        <f aca="false">算力MW!F22</f>
        <v>9.31021164040178</v>
      </c>
      <c r="G17" s="15" t="n">
        <f aca="false">算力MW!G22</f>
        <v>12.9907046932203</v>
      </c>
      <c r="H17" s="15" t="n">
        <f aca="false">算力MW!H22</f>
        <v>16.805149310787</v>
      </c>
    </row>
    <row r="18" customFormat="false" ht="17.15" hidden="false" customHeight="false" outlineLevel="0" collapsed="false">
      <c r="A18" s="8" t="s">
        <v>22</v>
      </c>
      <c r="B18" s="9" t="s">
        <v>20</v>
      </c>
      <c r="C18" s="15" t="n">
        <f aca="false">算力MW!C33</f>
        <v>0.154884478294259</v>
      </c>
      <c r="D18" s="15" t="n">
        <f aca="false">算力MW!D33</f>
        <v>0.336337826317423</v>
      </c>
      <c r="E18" s="15" t="n">
        <f aca="false">算力MW!E33</f>
        <v>0.58922516364661</v>
      </c>
      <c r="F18" s="15" t="n">
        <f aca="false">算力MW!F33</f>
        <v>0.994647469746686</v>
      </c>
      <c r="G18" s="15" t="n">
        <f aca="false">算力MW!G33</f>
        <v>1.6380118946255</v>
      </c>
      <c r="H18" s="15" t="n">
        <f aca="false">算力MW!H33</f>
        <v>2.6782465910612</v>
      </c>
    </row>
    <row r="19" customFormat="false" ht="17.15" hidden="false" customHeight="false" outlineLevel="0" collapsed="false">
      <c r="A19" s="8" t="s">
        <v>23</v>
      </c>
      <c r="B19" s="9" t="s">
        <v>20</v>
      </c>
      <c r="C19" s="15" t="n">
        <f aca="false">算力MW!C34</f>
        <v>0.22126354042037</v>
      </c>
      <c r="D19" s="15" t="n">
        <f aca="false">算力MW!D34</f>
        <v>0.741401840536142</v>
      </c>
      <c r="E19" s="15" t="n">
        <f aca="false">算力MW!E34</f>
        <v>4.65512955264487</v>
      </c>
      <c r="F19" s="15" t="n">
        <f aca="false">算力MW!F34</f>
        <v>7.38454300661491</v>
      </c>
      <c r="G19" s="15" t="n">
        <f aca="false">算力MW!G34</f>
        <v>10.0536223292728</v>
      </c>
      <c r="H19" s="15" t="n">
        <f aca="false">算力MW!H34</f>
        <v>12.4463877886471</v>
      </c>
    </row>
    <row r="20" customFormat="false" ht="17.15" hidden="false" customHeight="false" outlineLevel="0" collapsed="false">
      <c r="A20" s="8" t="s">
        <v>24</v>
      </c>
      <c r="B20" s="9" t="s">
        <v>20</v>
      </c>
      <c r="C20" s="15" t="n">
        <f aca="false">算力MW!C35</f>
        <v>0</v>
      </c>
      <c r="D20" s="15" t="n">
        <f aca="false">算力MW!D35</f>
        <v>0.119748851872618</v>
      </c>
      <c r="E20" s="15" t="n">
        <f aca="false">算力MW!E35</f>
        <v>0.582706079587942</v>
      </c>
      <c r="F20" s="15" t="n">
        <f aca="false">算力MW!F35</f>
        <v>0.931021164040178</v>
      </c>
      <c r="G20" s="15" t="n">
        <f aca="false">算力MW!G35</f>
        <v>1.29907046932203</v>
      </c>
      <c r="H20" s="15" t="n">
        <f aca="false">算力MW!H35</f>
        <v>1.6805149310787</v>
      </c>
    </row>
    <row r="21" customFormat="false" ht="17.15" hidden="false" customHeight="false" outlineLevel="0" collapsed="false">
      <c r="A21" s="8" t="s">
        <v>25</v>
      </c>
      <c r="B21" s="9" t="s">
        <v>26</v>
      </c>
      <c r="C21" s="15" t="n">
        <f aca="false">算力MW!C32</f>
        <v>1</v>
      </c>
      <c r="D21" s="15" t="n">
        <f aca="false">算力MW!D32</f>
        <v>1</v>
      </c>
      <c r="E21" s="15" t="n">
        <f aca="false">算力MW!E32</f>
        <v>1</v>
      </c>
      <c r="F21" s="15" t="n">
        <f aca="false">算力MW!F32</f>
        <v>1</v>
      </c>
      <c r="G21" s="15" t="n">
        <f aca="false">算力MW!G32</f>
        <v>1</v>
      </c>
      <c r="H21" s="15" t="n">
        <f aca="false">算力MW!H32</f>
        <v>1</v>
      </c>
    </row>
    <row r="22" customFormat="false" ht="17.15" hidden="false" customHeight="false" outlineLevel="0" collapsed="false">
      <c r="A22" s="8" t="s">
        <v>27</v>
      </c>
      <c r="B22" s="9" t="s">
        <v>28</v>
      </c>
      <c r="C22" s="10" t="n">
        <f aca="false">算力MW!C50</f>
        <v>10.456</v>
      </c>
      <c r="D22" s="10" t="n">
        <f aca="false">算力MW!D50</f>
        <v>11.6096102651114</v>
      </c>
      <c r="E22" s="10" t="n">
        <f aca="false">算力MW!E50</f>
        <v>5.59145649792866</v>
      </c>
      <c r="F22" s="10" t="n">
        <f aca="false">算力MW!F50</f>
        <v>6.3998626234469</v>
      </c>
      <c r="G22" s="10" t="n">
        <f aca="false">算力MW!G50</f>
        <v>6.77269977988588</v>
      </c>
      <c r="H22" s="10" t="n">
        <f aca="false">算力MW!H50</f>
        <v>7.22441305804584</v>
      </c>
    </row>
    <row r="23" customFormat="false" ht="17.15" hidden="false" customHeight="false" outlineLevel="0" collapsed="false">
      <c r="A23" s="8" t="s">
        <v>29</v>
      </c>
      <c r="B23" s="9" t="s">
        <v>28</v>
      </c>
      <c r="C23" s="10" t="n">
        <f aca="false">算力MW!C42</f>
        <v>54.2339690362076</v>
      </c>
      <c r="D23" s="10" t="n">
        <f aca="false">算力MW!D42</f>
        <v>27.7586251565855</v>
      </c>
      <c r="E23" s="10" t="n">
        <f aca="false">算力MW!E42</f>
        <v>19.9123934393732</v>
      </c>
      <c r="F23" s="10" t="n">
        <f aca="false">算力MW!F42</f>
        <v>15.1417790011712</v>
      </c>
      <c r="G23" s="10" t="n">
        <f aca="false">算力MW!G42</f>
        <v>13.0203967082915</v>
      </c>
      <c r="H23" s="10" t="n">
        <f aca="false">算力MW!H42</f>
        <v>11.4002921460753</v>
      </c>
    </row>
    <row r="24" customFormat="false" ht="15" hidden="false" customHeight="false" outlineLevel="0" collapsed="false">
      <c r="A24" s="6" t="s">
        <v>30</v>
      </c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A25" s="8" t="s">
        <v>31</v>
      </c>
      <c r="B25" s="9" t="s">
        <v>7</v>
      </c>
      <c r="C25" s="10" t="n">
        <f aca="false">營收彙總!C43</f>
        <v>8.4</v>
      </c>
      <c r="D25" s="10" t="n">
        <f aca="false">營收彙總!D43</f>
        <v>9.33627564672609</v>
      </c>
      <c r="E25" s="10" t="n">
        <f aca="false">營收彙總!E43</f>
        <v>11.7328832829104</v>
      </c>
      <c r="F25" s="10" t="n">
        <f aca="false">營收彙總!F43</f>
        <v>15.0607321709784</v>
      </c>
      <c r="G25" s="10" t="n">
        <f aca="false">營收彙總!G43</f>
        <v>21.3275646809241</v>
      </c>
      <c r="H25" s="10" t="n">
        <f aca="false">營收彙總!H43</f>
        <v>30.532793577328</v>
      </c>
      <c r="I25" s="11" t="n">
        <f aca="false">SUM(D25:H25)</f>
        <v>87.990249358867</v>
      </c>
    </row>
    <row r="26" customFormat="false" ht="15" hidden="false" customHeight="false" outlineLevel="0" collapsed="false">
      <c r="A26" s="12" t="s">
        <v>32</v>
      </c>
      <c r="B26" s="9" t="s">
        <v>17</v>
      </c>
      <c r="C26" s="16" t="n">
        <f aca="false">營收彙總!C45</f>
        <v>0.357306809487376</v>
      </c>
      <c r="D26" s="16" t="n">
        <f aca="false">營收彙總!D45</f>
        <v>0.716257390737191</v>
      </c>
      <c r="E26" s="16" t="n">
        <f aca="false">營收彙總!E45</f>
        <v>0.776812399807783</v>
      </c>
      <c r="F26" s="16" t="n">
        <f aca="false">營收彙總!F45</f>
        <v>0.798878207338968</v>
      </c>
      <c r="G26" s="16" t="n">
        <f aca="false">營收彙總!G45</f>
        <v>0.780509553468079</v>
      </c>
      <c r="H26" s="16" t="n">
        <f aca="false">營收彙總!H45</f>
        <v>0.745308118031919</v>
      </c>
    </row>
    <row r="27" customFormat="false" ht="15" hidden="false" customHeight="false" outlineLevel="0" collapsed="false">
      <c r="A27" s="8" t="s">
        <v>33</v>
      </c>
      <c r="B27" s="9" t="s">
        <v>7</v>
      </c>
      <c r="C27" s="10" t="n">
        <f aca="false">營收彙總!C46</f>
        <v>12</v>
      </c>
      <c r="D27" s="10" t="n">
        <f aca="false">營收彙總!D46</f>
        <v>20.5802957818453</v>
      </c>
      <c r="E27" s="10" t="n">
        <f aca="false">營收彙總!E46</f>
        <v>92.6947711635182</v>
      </c>
      <c r="F27" s="10" t="n">
        <f aca="false">營收彙總!F46</f>
        <v>111.815118230807</v>
      </c>
      <c r="G27" s="10" t="n">
        <f aca="false">營收彙總!G46</f>
        <v>130.902151082469</v>
      </c>
      <c r="H27" s="10" t="n">
        <f aca="false">營收彙總!H46</f>
        <v>141.892456953922</v>
      </c>
      <c r="I27" s="11" t="n">
        <f aca="false">SUM(D27:H27)</f>
        <v>497.884793212562</v>
      </c>
    </row>
    <row r="28" customFormat="false" ht="15" hidden="false" customHeight="false" outlineLevel="0" collapsed="false">
      <c r="A28" s="12" t="s">
        <v>34</v>
      </c>
      <c r="B28" s="9" t="s">
        <v>17</v>
      </c>
      <c r="C28" s="16" t="n">
        <f aca="false">營收彙總!C49</f>
        <v>-0.560826319816373</v>
      </c>
      <c r="D28" s="16" t="n">
        <f aca="false">營收彙總!D49</f>
        <v>-0.0102298649719905</v>
      </c>
      <c r="E28" s="16" t="n">
        <f aca="false">營收彙總!E49</f>
        <v>-1.20718291655731</v>
      </c>
      <c r="F28" s="16" t="n">
        <f aca="false">營收彙總!F49</f>
        <v>-0.882562930208926</v>
      </c>
      <c r="G28" s="16" t="n">
        <f aca="false">營收彙總!G49</f>
        <v>-0.740729467981769</v>
      </c>
      <c r="H28" s="16" t="n">
        <f aca="false">營收彙總!H49</f>
        <v>-0.598110912939886</v>
      </c>
    </row>
    <row r="29" customFormat="false" ht="15" hidden="false" customHeight="false" outlineLevel="0" collapsed="false">
      <c r="A29" s="6" t="s">
        <v>35</v>
      </c>
      <c r="B29" s="7"/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A30" s="8" t="s">
        <v>36</v>
      </c>
      <c r="B30" s="9" t="s">
        <v>7</v>
      </c>
      <c r="C30" s="10" t="n">
        <f aca="false">反向!C4</f>
        <v>13.07</v>
      </c>
      <c r="D30" s="10" t="n">
        <f aca="false">反向!D4</f>
        <v>36</v>
      </c>
      <c r="E30" s="10" t="n">
        <f aca="false">反向!E4</f>
        <v>75.1</v>
      </c>
      <c r="F30" s="10" t="n">
        <f aca="false">反向!F4</f>
        <v>141.5</v>
      </c>
      <c r="G30" s="10" t="n">
        <f aca="false">反向!G4</f>
        <v>237.4</v>
      </c>
      <c r="H30" s="10" t="n">
        <f aca="false">反向!H4</f>
        <v>350</v>
      </c>
      <c r="I30" s="11" t="n">
        <f aca="false">SUM(D30:H30)</f>
        <v>840</v>
      </c>
    </row>
    <row r="31" customFormat="false" ht="15" hidden="false" customHeight="false" outlineLevel="0" collapsed="false">
      <c r="A31" s="8" t="s">
        <v>37</v>
      </c>
      <c r="B31" s="9" t="s">
        <v>26</v>
      </c>
      <c r="D31" s="17" t="n">
        <f aca="false">反向!D11</f>
        <v>1.09626445276384</v>
      </c>
      <c r="E31" s="17" t="n">
        <f aca="false">反向!E11</f>
        <v>1.44428862431695</v>
      </c>
      <c r="F31" s="17" t="n">
        <f aca="false">反向!F11</f>
        <v>1.92557386515131</v>
      </c>
      <c r="G31" s="17" t="n">
        <f aca="false">反向!G11</f>
        <v>2.507675134024</v>
      </c>
      <c r="H31" s="17" t="n">
        <f aca="false">反向!H11</f>
        <v>3.01319641465698</v>
      </c>
    </row>
    <row r="32" customFormat="false" ht="15" hidden="false" customHeight="false" outlineLevel="0" collapsed="false">
      <c r="A32" s="6" t="s">
        <v>38</v>
      </c>
      <c r="B32" s="7"/>
      <c r="C32" s="7"/>
      <c r="D32" s="7"/>
      <c r="E32" s="7"/>
      <c r="F32" s="7"/>
      <c r="G32" s="7"/>
      <c r="H32" s="7"/>
      <c r="I32" s="7"/>
      <c r="J32" s="7"/>
    </row>
    <row r="33" customFormat="false" ht="15" hidden="false" customHeight="false" outlineLevel="0" collapsed="false">
      <c r="A33" s="8" t="s">
        <v>39</v>
      </c>
      <c r="B33" s="9" t="s">
        <v>7</v>
      </c>
      <c r="C33" s="10" t="n">
        <f aca="false">支出!C14</f>
        <v>14.7552380952381</v>
      </c>
      <c r="D33" s="10" t="n">
        <f aca="false">支出!D14</f>
        <v>53.2406349206349</v>
      </c>
      <c r="E33" s="10" t="n">
        <f aca="false">支出!E14</f>
        <v>141.726031746032</v>
      </c>
      <c r="F33" s="10" t="n">
        <f aca="false">支出!F14</f>
        <v>175.211428571429</v>
      </c>
      <c r="G33" s="10" t="n">
        <f aca="false">支出!G14</f>
        <v>208.696825396825</v>
      </c>
      <c r="H33" s="10" t="n">
        <f aca="false">支出!H14</f>
        <v>228.222222222222</v>
      </c>
      <c r="I33" s="11" t="n">
        <f aca="false">SUM(D33:H33)</f>
        <v>807.097142857143</v>
      </c>
    </row>
    <row r="34" customFormat="false" ht="15" hidden="false" customHeight="false" outlineLevel="0" collapsed="false">
      <c r="A34" s="12" t="s">
        <v>40</v>
      </c>
      <c r="B34" s="9" t="s">
        <v>7</v>
      </c>
      <c r="D34" s="13" t="n">
        <f aca="false">資金與檢查!D9</f>
        <v>-37.7757402917956</v>
      </c>
      <c r="E34" s="13" t="n">
        <f aca="false">資金與檢查!E9</f>
        <v>-113.601294749214</v>
      </c>
      <c r="F34" s="13" t="n">
        <f aca="false">資金與檢查!F9</f>
        <v>-131.778916641258</v>
      </c>
      <c r="G34" s="13" t="n">
        <f aca="false">資金與檢查!G9</f>
        <v>-134.947173547502</v>
      </c>
      <c r="H34" s="13" t="n">
        <f aca="false">資金與檢查!H9</f>
        <v>-125.12430534479</v>
      </c>
      <c r="I34" s="11" t="n">
        <f aca="false">SUM(D34:H34)</f>
        <v>-543.227430574559</v>
      </c>
    </row>
    <row r="35" customFormat="false" ht="15" hidden="false" customHeight="false" outlineLevel="0" collapsed="false">
      <c r="A35" s="12" t="s">
        <v>41</v>
      </c>
      <c r="B35" s="9" t="s">
        <v>7</v>
      </c>
      <c r="D35" s="13" t="n">
        <f aca="false">資金與檢查!D15</f>
        <v>0</v>
      </c>
      <c r="E35" s="13" t="n">
        <f aca="false">資金與檢查!E15</f>
        <v>34.3770350410095</v>
      </c>
      <c r="F35" s="13" t="n">
        <f aca="false">資金與檢查!F15</f>
        <v>166.155951682268</v>
      </c>
      <c r="G35" s="13" t="n">
        <f aca="false">資金與檢查!G15</f>
        <v>301.10312522977</v>
      </c>
      <c r="H35" s="13" t="n">
        <f aca="false">資金與檢查!H15</f>
        <v>426.22743057456</v>
      </c>
    </row>
    <row r="36" customFormat="false" ht="15" hidden="false" customHeight="false" outlineLevel="0" collapsed="false">
      <c r="A36" s="8" t="s">
        <v>42</v>
      </c>
      <c r="B36" s="9" t="s">
        <v>7</v>
      </c>
      <c r="D36" s="10" t="n">
        <f aca="false">資金與檢查!D26</f>
        <v>-36.3206349206349</v>
      </c>
      <c r="E36" s="10" t="n">
        <f aca="false">資金與檢查!E26</f>
        <v>-101.547531746032</v>
      </c>
      <c r="F36" s="10" t="n">
        <f aca="false">資金與檢查!F26</f>
        <v>-80.6214285714286</v>
      </c>
      <c r="G36" s="10" t="n">
        <f aca="false">資金與檢查!G26</f>
        <v>-14.0288253968254</v>
      </c>
      <c r="H36" s="10" t="n">
        <f aca="false">資金與檢查!H26</f>
        <v>72.7777777777778</v>
      </c>
      <c r="I36" s="11" t="n">
        <f aca="false">SUM(D36:H36)</f>
        <v>-159.740642857143</v>
      </c>
    </row>
    <row r="37" customFormat="false" ht="15" hidden="false" customHeight="false" outlineLevel="0" collapsed="false">
      <c r="A37" s="8" t="s">
        <v>43</v>
      </c>
      <c r="B37" s="9" t="s">
        <v>7</v>
      </c>
      <c r="D37" s="10" t="n">
        <f aca="false">資金與檢查!D32</f>
        <v>0</v>
      </c>
      <c r="E37" s="10" t="n">
        <f aca="false">資金與檢查!E32</f>
        <v>20.8681666666667</v>
      </c>
      <c r="F37" s="10" t="n">
        <f aca="false">資金與檢查!F32</f>
        <v>101.489595238095</v>
      </c>
      <c r="G37" s="10" t="n">
        <f aca="false">資金與檢查!G32</f>
        <v>115.518420634921</v>
      </c>
      <c r="H37" s="10" t="n">
        <f aca="false">資金與檢查!H32</f>
        <v>115.518420634921</v>
      </c>
    </row>
    <row r="39" customFormat="false" ht="17.15" hidden="false" customHeight="false" outlineLevel="0" collapsed="false">
      <c r="A39" s="18" t="s">
        <v>44</v>
      </c>
    </row>
    <row r="40" customFormat="false" ht="17.15" hidden="false" customHeight="false" outlineLevel="0" collapsed="false">
      <c r="A40" s="18" t="s">
        <v>45</v>
      </c>
    </row>
    <row r="41" customFormat="false" ht="17.15" hidden="false" customHeight="false" outlineLevel="0" collapsed="false">
      <c r="A41" s="18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70"/>
    <col collapsed="false" customWidth="true" hidden="false" outlineLevel="0" max="11" min="11" style="0" width="16"/>
  </cols>
  <sheetData>
    <row r="1" customFormat="false" ht="20.1" hidden="false" customHeight="false" outlineLevel="0" collapsed="false">
      <c r="A1" s="1" t="s">
        <v>47</v>
      </c>
    </row>
    <row r="2" customFormat="false" ht="15" hidden="false" customHeight="false" outlineLevel="0" collapsed="false">
      <c r="A2" s="18" t="s">
        <v>48</v>
      </c>
    </row>
    <row r="3" customFormat="false" ht="15" hidden="false" customHeight="false" outlineLevel="0" collapsed="false">
      <c r="A3" s="3" t="s">
        <v>1</v>
      </c>
      <c r="B3" s="3" t="s">
        <v>2</v>
      </c>
      <c r="C3" s="4" t="n">
        <v>2025</v>
      </c>
      <c r="D3" s="4" t="n">
        <v>2026</v>
      </c>
      <c r="E3" s="4" t="n">
        <v>2027</v>
      </c>
      <c r="F3" s="4" t="n">
        <v>2028</v>
      </c>
      <c r="G3" s="4" t="n">
        <v>2029</v>
      </c>
      <c r="H3" s="4" t="n">
        <v>2030</v>
      </c>
      <c r="I3" s="3" t="s">
        <v>49</v>
      </c>
      <c r="J3" s="3" t="s">
        <v>50</v>
      </c>
      <c r="K3" s="3" t="s">
        <v>51</v>
      </c>
    </row>
    <row r="4" customFormat="false" ht="15" hidden="false" customHeight="false" outlineLevel="0" collapsed="false">
      <c r="A4" s="6" t="s">
        <v>52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17.15" hidden="false" customHeight="false" outlineLevel="0" collapsed="false">
      <c r="A5" s="8" t="s">
        <v>53</v>
      </c>
      <c r="B5" s="8" t="s">
        <v>54</v>
      </c>
      <c r="C5" s="19" t="s">
        <v>55</v>
      </c>
      <c r="I5" s="9" t="s">
        <v>56</v>
      </c>
      <c r="J5" s="20" t="s">
        <v>57</v>
      </c>
      <c r="K5" s="8" t="s">
        <v>58</v>
      </c>
    </row>
    <row r="6" customFormat="false" ht="17.15" hidden="false" customHeight="false" outlineLevel="0" collapsed="false">
      <c r="A6" s="8" t="s">
        <v>59</v>
      </c>
      <c r="B6" s="8" t="s">
        <v>54</v>
      </c>
      <c r="C6" s="19" t="s">
        <v>60</v>
      </c>
      <c r="I6" s="9" t="s">
        <v>56</v>
      </c>
      <c r="J6" s="20" t="s">
        <v>61</v>
      </c>
      <c r="K6" s="8" t="s">
        <v>58</v>
      </c>
    </row>
    <row r="7" customFormat="false" ht="17.15" hidden="false" customHeight="false" outlineLevel="0" collapsed="false">
      <c r="A7" s="8" t="s">
        <v>62</v>
      </c>
      <c r="B7" s="9" t="s">
        <v>63</v>
      </c>
      <c r="C7" s="21" t="n">
        <v>0</v>
      </c>
      <c r="I7" s="9" t="s">
        <v>56</v>
      </c>
      <c r="J7" s="22" t="s">
        <v>64</v>
      </c>
      <c r="K7" s="8" t="s">
        <v>58</v>
      </c>
    </row>
    <row r="8" customFormat="false" ht="15" hidden="false" customHeight="false" outlineLevel="0" collapsed="false">
      <c r="A8" s="6" t="s">
        <v>65</v>
      </c>
      <c r="B8" s="7"/>
      <c r="C8" s="7"/>
      <c r="D8" s="7"/>
      <c r="E8" s="7"/>
      <c r="F8" s="7"/>
      <c r="G8" s="7"/>
      <c r="H8" s="7"/>
      <c r="I8" s="7"/>
      <c r="J8" s="7"/>
    </row>
    <row r="9" customFormat="false" ht="17.15" hidden="false" customHeight="false" outlineLevel="0" collapsed="false">
      <c r="A9" s="9" t="s">
        <v>66</v>
      </c>
      <c r="B9" s="9" t="s">
        <v>7</v>
      </c>
      <c r="C9" s="23" t="n">
        <v>13.07</v>
      </c>
      <c r="I9" s="9" t="s">
        <v>67</v>
      </c>
      <c r="J9" s="20" t="s">
        <v>68</v>
      </c>
      <c r="K9" s="8" t="s">
        <v>69</v>
      </c>
    </row>
    <row r="10" customFormat="false" ht="17.15" hidden="false" customHeight="false" outlineLevel="0" collapsed="false">
      <c r="A10" s="9" t="s">
        <v>70</v>
      </c>
      <c r="B10" s="9" t="s">
        <v>7</v>
      </c>
      <c r="C10" s="24" t="n">
        <v>5.7</v>
      </c>
      <c r="I10" s="9" t="s">
        <v>67</v>
      </c>
      <c r="J10" s="20" t="s">
        <v>71</v>
      </c>
      <c r="K10" s="8" t="s">
        <v>69</v>
      </c>
    </row>
    <row r="11" customFormat="false" ht="17.15" hidden="false" customHeight="false" outlineLevel="0" collapsed="false">
      <c r="A11" s="9" t="s">
        <v>72</v>
      </c>
      <c r="B11" s="9" t="s">
        <v>7</v>
      </c>
      <c r="C11" s="24" t="n">
        <v>6.7</v>
      </c>
      <c r="I11" s="9" t="s">
        <v>67</v>
      </c>
      <c r="J11" s="20" t="s">
        <v>73</v>
      </c>
      <c r="K11" s="8" t="s">
        <v>69</v>
      </c>
    </row>
    <row r="12" customFormat="false" ht="17.15" hidden="false" customHeight="false" outlineLevel="0" collapsed="false">
      <c r="A12" s="9" t="s">
        <v>74</v>
      </c>
      <c r="B12" s="9" t="s">
        <v>7</v>
      </c>
      <c r="C12" s="24" t="n">
        <v>7.5</v>
      </c>
      <c r="I12" s="9" t="s">
        <v>67</v>
      </c>
      <c r="J12" s="22" t="s">
        <v>75</v>
      </c>
      <c r="K12" s="8" t="s">
        <v>69</v>
      </c>
    </row>
    <row r="13" customFormat="false" ht="17.15" hidden="false" customHeight="false" outlineLevel="0" collapsed="false">
      <c r="A13" s="9" t="s">
        <v>76</v>
      </c>
      <c r="B13" s="9" t="s">
        <v>77</v>
      </c>
      <c r="C13" s="25" t="n">
        <v>2628</v>
      </c>
      <c r="I13" s="9" t="s">
        <v>78</v>
      </c>
      <c r="J13" s="20" t="s">
        <v>79</v>
      </c>
      <c r="K13" s="8" t="s">
        <v>80</v>
      </c>
    </row>
    <row r="14" customFormat="false" ht="17.15" hidden="false" customHeight="false" outlineLevel="0" collapsed="false">
      <c r="A14" s="9" t="s">
        <v>81</v>
      </c>
      <c r="B14" s="9" t="s">
        <v>7</v>
      </c>
      <c r="C14" s="24" t="n">
        <v>31</v>
      </c>
      <c r="I14" s="9" t="s">
        <v>78</v>
      </c>
      <c r="J14" s="20" t="s">
        <v>82</v>
      </c>
      <c r="K14" s="8" t="s">
        <v>69</v>
      </c>
    </row>
    <row r="15" customFormat="false" ht="17.15" hidden="false" customHeight="false" outlineLevel="0" collapsed="false">
      <c r="A15" s="9" t="s">
        <v>83</v>
      </c>
      <c r="B15" s="9" t="s">
        <v>7</v>
      </c>
      <c r="C15" s="24" t="n">
        <v>36</v>
      </c>
      <c r="I15" s="9" t="s">
        <v>78</v>
      </c>
      <c r="J15" s="22" t="s">
        <v>84</v>
      </c>
      <c r="K15" s="8" t="s">
        <v>69</v>
      </c>
    </row>
    <row r="16" customFormat="false" ht="17.15" hidden="false" customHeight="false" outlineLevel="0" collapsed="false">
      <c r="A16" s="26" t="s">
        <v>85</v>
      </c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7.15" hidden="false" customHeight="false" outlineLevel="0" collapsed="false">
      <c r="A17" s="8" t="s">
        <v>86</v>
      </c>
      <c r="B17" s="9" t="s">
        <v>17</v>
      </c>
      <c r="C17" s="27" t="n">
        <v>0.2</v>
      </c>
      <c r="I17" s="9" t="s">
        <v>67</v>
      </c>
      <c r="J17" s="20" t="s">
        <v>87</v>
      </c>
      <c r="K17" s="8" t="s">
        <v>69</v>
      </c>
    </row>
    <row r="18" customFormat="false" ht="17.15" hidden="false" customHeight="false" outlineLevel="0" collapsed="false">
      <c r="A18" s="8" t="s">
        <v>88</v>
      </c>
      <c r="B18" s="9" t="s">
        <v>7</v>
      </c>
      <c r="C18" s="24" t="n">
        <v>38</v>
      </c>
      <c r="I18" s="9" t="s">
        <v>67</v>
      </c>
      <c r="J18" s="20" t="s">
        <v>89</v>
      </c>
      <c r="K18" s="8" t="s">
        <v>69</v>
      </c>
    </row>
    <row r="19" customFormat="false" ht="15" hidden="false" customHeight="false" outlineLevel="0" collapsed="false">
      <c r="A19" s="8" t="s">
        <v>90</v>
      </c>
      <c r="B19" s="8" t="s">
        <v>91</v>
      </c>
      <c r="C19" s="21" t="n">
        <v>2026</v>
      </c>
      <c r="I19" s="9" t="s">
        <v>56</v>
      </c>
      <c r="J19" s="20" t="s">
        <v>92</v>
      </c>
      <c r="K19" s="8" t="s">
        <v>58</v>
      </c>
    </row>
    <row r="20" customFormat="false" ht="17.15" hidden="false" customHeight="false" outlineLevel="0" collapsed="false">
      <c r="A20" s="8" t="s">
        <v>93</v>
      </c>
      <c r="B20" s="8" t="s">
        <v>91</v>
      </c>
      <c r="C20" s="21" t="n">
        <v>2030</v>
      </c>
      <c r="I20" s="9" t="s">
        <v>94</v>
      </c>
      <c r="J20" s="20" t="s">
        <v>95</v>
      </c>
      <c r="K20" s="8" t="s">
        <v>96</v>
      </c>
    </row>
    <row r="21" customFormat="false" ht="17.15" hidden="false" customHeight="false" outlineLevel="0" collapsed="false">
      <c r="A21" s="26" t="s">
        <v>97</v>
      </c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7.15" hidden="false" customHeight="false" outlineLevel="0" collapsed="false">
      <c r="A22" s="8" t="s">
        <v>98</v>
      </c>
      <c r="B22" s="9" t="s">
        <v>99</v>
      </c>
      <c r="C22" s="23" t="n">
        <v>2.5</v>
      </c>
      <c r="D22" s="23" t="n">
        <v>6.6</v>
      </c>
      <c r="I22" s="9" t="s">
        <v>100</v>
      </c>
      <c r="J22" s="20" t="s">
        <v>101</v>
      </c>
      <c r="K22" s="8" t="s">
        <v>69</v>
      </c>
    </row>
    <row r="23" customFormat="false" ht="17.15" hidden="false" customHeight="false" outlineLevel="0" collapsed="false">
      <c r="A23" s="8" t="s">
        <v>102</v>
      </c>
      <c r="B23" s="9" t="s">
        <v>99</v>
      </c>
      <c r="C23" s="23" t="n">
        <v>14</v>
      </c>
      <c r="D23" s="23" t="n">
        <v>35.8</v>
      </c>
      <c r="I23" s="9" t="s">
        <v>100</v>
      </c>
      <c r="J23" s="20" t="s">
        <v>103</v>
      </c>
      <c r="K23" s="8" t="s">
        <v>69</v>
      </c>
    </row>
    <row r="24" customFormat="false" ht="17.15" hidden="false" customHeight="false" outlineLevel="0" collapsed="false">
      <c r="A24" s="8" t="s">
        <v>104</v>
      </c>
      <c r="B24" s="9" t="s">
        <v>99</v>
      </c>
      <c r="C24" s="23" t="n">
        <v>1.5</v>
      </c>
      <c r="D24" s="23" t="n">
        <v>2.29</v>
      </c>
      <c r="I24" s="9" t="s">
        <v>100</v>
      </c>
      <c r="J24" s="20" t="s">
        <v>101</v>
      </c>
      <c r="K24" s="8" t="s">
        <v>69</v>
      </c>
    </row>
    <row r="25" customFormat="false" ht="17.15" hidden="false" customHeight="false" outlineLevel="0" collapsed="false">
      <c r="A25" s="8" t="s">
        <v>105</v>
      </c>
      <c r="B25" s="9" t="s">
        <v>99</v>
      </c>
      <c r="C25" s="23" t="n">
        <v>8</v>
      </c>
      <c r="D25" s="23" t="n">
        <v>13.25</v>
      </c>
      <c r="I25" s="9" t="s">
        <v>100</v>
      </c>
      <c r="J25" s="20" t="s">
        <v>103</v>
      </c>
      <c r="K25" s="8" t="s">
        <v>69</v>
      </c>
    </row>
    <row r="26" customFormat="false" ht="17.15" hidden="false" customHeight="false" outlineLevel="0" collapsed="false">
      <c r="A26" s="8" t="s">
        <v>106</v>
      </c>
      <c r="B26" s="9" t="s">
        <v>99</v>
      </c>
      <c r="C26" s="23" t="n">
        <v>0.2</v>
      </c>
      <c r="D26" s="23" t="n">
        <v>0.64</v>
      </c>
      <c r="I26" s="9" t="s">
        <v>100</v>
      </c>
      <c r="J26" s="20" t="s">
        <v>101</v>
      </c>
      <c r="K26" s="8" t="s">
        <v>69</v>
      </c>
    </row>
    <row r="27" customFormat="false" ht="17.15" hidden="false" customHeight="false" outlineLevel="0" collapsed="false">
      <c r="A27" s="8" t="s">
        <v>107</v>
      </c>
      <c r="B27" s="9" t="s">
        <v>99</v>
      </c>
      <c r="C27" s="23" t="n">
        <v>1</v>
      </c>
      <c r="D27" s="23" t="n">
        <v>3.83</v>
      </c>
      <c r="I27" s="9" t="s">
        <v>100</v>
      </c>
      <c r="J27" s="20" t="s">
        <v>103</v>
      </c>
      <c r="K27" s="8" t="s">
        <v>69</v>
      </c>
    </row>
    <row r="28" customFormat="false" ht="17.15" hidden="false" customHeight="false" outlineLevel="0" collapsed="false">
      <c r="A28" s="26" t="s">
        <v>108</v>
      </c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false" outlineLevel="0" collapsed="false">
      <c r="C29" s="28" t="s">
        <v>109</v>
      </c>
      <c r="D29" s="28" t="s">
        <v>55</v>
      </c>
      <c r="E29" s="28" t="s">
        <v>110</v>
      </c>
      <c r="F29" s="12" t="s">
        <v>111</v>
      </c>
    </row>
    <row r="30" customFormat="false" ht="17.15" hidden="false" customHeight="false" outlineLevel="0" collapsed="false">
      <c r="A30" s="8" t="s">
        <v>112</v>
      </c>
      <c r="B30" s="9" t="s">
        <v>113</v>
      </c>
      <c r="C30" s="27" t="n">
        <v>-0.45</v>
      </c>
      <c r="D30" s="27" t="n">
        <v>-0.3</v>
      </c>
      <c r="E30" s="27" t="n">
        <v>-0.3</v>
      </c>
      <c r="F30" s="29" t="n">
        <f aca="false">INDEX(C30:E30,MATCH($C$5,$C$29:$E$29,0))</f>
        <v>-0.3</v>
      </c>
      <c r="I30" s="9" t="s">
        <v>114</v>
      </c>
      <c r="J30" s="8" t="s">
        <v>115</v>
      </c>
      <c r="K30" s="8" t="s">
        <v>58</v>
      </c>
    </row>
    <row r="31" customFormat="false" ht="17.15" hidden="false" customHeight="false" outlineLevel="0" collapsed="false">
      <c r="A31" s="8" t="s">
        <v>116</v>
      </c>
      <c r="B31" s="9" t="s">
        <v>113</v>
      </c>
      <c r="C31" s="27" t="n">
        <v>-0.6</v>
      </c>
      <c r="D31" s="27" t="n">
        <v>-0.4</v>
      </c>
      <c r="E31" s="27" t="n">
        <v>-0.4</v>
      </c>
      <c r="F31" s="29" t="n">
        <f aca="false">INDEX(C31:E31,MATCH($C$5,$C$29:$E$29,0))</f>
        <v>-0.4</v>
      </c>
      <c r="I31" s="9" t="s">
        <v>114</v>
      </c>
      <c r="J31" s="8" t="s">
        <v>115</v>
      </c>
      <c r="K31" s="8" t="s">
        <v>58</v>
      </c>
    </row>
    <row r="32" customFormat="false" ht="17.15" hidden="false" customHeight="false" outlineLevel="0" collapsed="false">
      <c r="A32" s="8" t="s">
        <v>117</v>
      </c>
      <c r="B32" s="9" t="s">
        <v>113</v>
      </c>
      <c r="C32" s="27" t="n">
        <v>-0.6</v>
      </c>
      <c r="D32" s="27" t="n">
        <v>-0.4</v>
      </c>
      <c r="E32" s="27" t="n">
        <v>-0.4</v>
      </c>
      <c r="F32" s="29" t="n">
        <f aca="false">INDEX(C32:E32,MATCH($C$5,$C$29:$E$29,0))</f>
        <v>-0.4</v>
      </c>
      <c r="I32" s="9" t="s">
        <v>114</v>
      </c>
      <c r="J32" s="8" t="s">
        <v>115</v>
      </c>
      <c r="K32" s="8" t="s">
        <v>58</v>
      </c>
    </row>
    <row r="33" customFormat="false" ht="15" hidden="false" customHeight="false" outlineLevel="0" collapsed="false">
      <c r="A33" s="8" t="s">
        <v>118</v>
      </c>
      <c r="B33" s="9" t="s">
        <v>119</v>
      </c>
      <c r="C33" s="23" t="n">
        <v>-0.35</v>
      </c>
      <c r="D33" s="23" t="n">
        <v>-0.7</v>
      </c>
      <c r="E33" s="23" t="n">
        <v>-1.05</v>
      </c>
      <c r="F33" s="30" t="n">
        <f aca="false">INDEX(C33:E33,MATCH($C$5,$C$29:$E$29,0))</f>
        <v>-0.7</v>
      </c>
      <c r="I33" s="9" t="s">
        <v>114</v>
      </c>
      <c r="J33" s="8" t="s">
        <v>120</v>
      </c>
      <c r="K33" s="8" t="s">
        <v>58</v>
      </c>
    </row>
    <row r="34" customFormat="false" ht="17.15" hidden="false" customHeight="false" outlineLevel="0" collapsed="false">
      <c r="A34" s="8" t="s">
        <v>121</v>
      </c>
      <c r="B34" s="9" t="s">
        <v>119</v>
      </c>
      <c r="C34" s="23" t="n">
        <v>-0.15</v>
      </c>
      <c r="D34" s="23" t="n">
        <v>-0.3</v>
      </c>
      <c r="E34" s="23" t="n">
        <v>-0.45</v>
      </c>
      <c r="F34" s="30" t="n">
        <f aca="false">INDEX(C34:E34,MATCH($C$5,$C$29:$E$29,0))</f>
        <v>-0.3</v>
      </c>
      <c r="I34" s="9" t="s">
        <v>114</v>
      </c>
      <c r="J34" s="8" t="s">
        <v>122</v>
      </c>
      <c r="K34" s="8" t="s">
        <v>58</v>
      </c>
    </row>
    <row r="35" customFormat="false" ht="17.15" hidden="false" customHeight="false" outlineLevel="0" collapsed="false">
      <c r="A35" s="9" t="s">
        <v>123</v>
      </c>
      <c r="B35" s="9" t="s">
        <v>26</v>
      </c>
      <c r="C35" s="27" t="n">
        <v>0</v>
      </c>
      <c r="D35" s="27" t="n">
        <v>0.3</v>
      </c>
      <c r="E35" s="27" t="n">
        <v>0.8</v>
      </c>
      <c r="F35" s="29" t="n">
        <f aca="false">INDEX(C35:E35,MATCH($C$5,$C$29:$E$29,0))</f>
        <v>0.3</v>
      </c>
      <c r="I35" s="9" t="s">
        <v>56</v>
      </c>
      <c r="J35" s="9" t="s">
        <v>124</v>
      </c>
      <c r="K35" s="8" t="s">
        <v>58</v>
      </c>
    </row>
    <row r="36" customFormat="false" ht="17.15" hidden="false" customHeight="false" outlineLevel="0" collapsed="false">
      <c r="A36" s="8" t="s">
        <v>125</v>
      </c>
      <c r="B36" s="9" t="s">
        <v>113</v>
      </c>
      <c r="C36" s="27" t="n">
        <v>0.25</v>
      </c>
      <c r="D36" s="27" t="n">
        <v>0.15</v>
      </c>
      <c r="E36" s="27" t="n">
        <v>0.1</v>
      </c>
      <c r="F36" s="29" t="n">
        <f aca="false">INDEX(C36:E36,MATCH($C$5,$C$29:$E$29,0))</f>
        <v>0.15</v>
      </c>
      <c r="I36" s="9" t="s">
        <v>114</v>
      </c>
      <c r="J36" s="8" t="s">
        <v>126</v>
      </c>
      <c r="K36" s="8" t="s">
        <v>58</v>
      </c>
    </row>
    <row r="37" customFormat="false" ht="17.15" hidden="false" customHeight="false" outlineLevel="0" collapsed="false">
      <c r="A37" s="26" t="s">
        <v>127</v>
      </c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7.15" hidden="false" customHeight="false" outlineLevel="0" collapsed="false">
      <c r="A38" s="9" t="s">
        <v>128</v>
      </c>
      <c r="B38" s="9" t="s">
        <v>17</v>
      </c>
      <c r="C38" s="27" t="n">
        <v>0.4</v>
      </c>
      <c r="D38" s="27" t="n">
        <v>0.15</v>
      </c>
      <c r="E38" s="27" t="n">
        <v>0.15</v>
      </c>
      <c r="F38" s="27" t="n">
        <v>0.15</v>
      </c>
      <c r="G38" s="27" t="n">
        <v>0.15</v>
      </c>
      <c r="H38" s="27" t="n">
        <v>0.15</v>
      </c>
      <c r="I38" s="9" t="s">
        <v>114</v>
      </c>
      <c r="J38" s="22"/>
      <c r="K38" s="8" t="s">
        <v>58</v>
      </c>
    </row>
    <row r="39" customFormat="false" ht="17.15" hidden="false" customHeight="false" outlineLevel="0" collapsed="false">
      <c r="A39" s="9" t="s">
        <v>129</v>
      </c>
      <c r="B39" s="9" t="s">
        <v>17</v>
      </c>
      <c r="C39" s="27" t="n">
        <v>0.4</v>
      </c>
      <c r="D39" s="27" t="n">
        <v>0.45</v>
      </c>
      <c r="E39" s="27" t="n">
        <v>0.45</v>
      </c>
      <c r="F39" s="27" t="n">
        <v>0.45</v>
      </c>
      <c r="G39" s="27" t="n">
        <v>0.45</v>
      </c>
      <c r="H39" s="27" t="n">
        <v>0.45</v>
      </c>
      <c r="I39" s="9" t="s">
        <v>114</v>
      </c>
      <c r="J39" s="22" t="s">
        <v>130</v>
      </c>
      <c r="K39" s="8" t="s">
        <v>58</v>
      </c>
    </row>
    <row r="40" customFormat="false" ht="17.15" hidden="false" customHeight="false" outlineLevel="0" collapsed="false">
      <c r="A40" s="8" t="s">
        <v>131</v>
      </c>
      <c r="B40" s="9" t="s">
        <v>17</v>
      </c>
      <c r="C40" s="27" t="n">
        <v>0.2</v>
      </c>
      <c r="I40" s="9" t="s">
        <v>132</v>
      </c>
      <c r="J40" s="20" t="s">
        <v>133</v>
      </c>
      <c r="K40" s="8" t="s">
        <v>80</v>
      </c>
    </row>
    <row r="41" customFormat="false" ht="17.15" hidden="false" customHeight="false" outlineLevel="0" collapsed="false">
      <c r="A41" s="8" t="s">
        <v>134</v>
      </c>
      <c r="B41" s="9" t="s">
        <v>17</v>
      </c>
      <c r="C41" s="27" t="n">
        <v>0.55</v>
      </c>
      <c r="I41" s="9" t="s">
        <v>114</v>
      </c>
      <c r="J41" s="22"/>
      <c r="K41" s="8" t="s">
        <v>58</v>
      </c>
    </row>
    <row r="42" customFormat="false" ht="17.15" hidden="false" customHeight="false" outlineLevel="0" collapsed="false">
      <c r="A42" s="8" t="s">
        <v>135</v>
      </c>
      <c r="B42" s="9" t="s">
        <v>17</v>
      </c>
      <c r="C42" s="27" t="n">
        <v>0.1</v>
      </c>
      <c r="I42" s="9" t="s">
        <v>94</v>
      </c>
      <c r="J42" s="22" t="s">
        <v>136</v>
      </c>
      <c r="K42" s="8" t="s">
        <v>96</v>
      </c>
    </row>
    <row r="43" customFormat="false" ht="17.15" hidden="false" customHeight="false" outlineLevel="0" collapsed="false">
      <c r="A43" s="8" t="s">
        <v>137</v>
      </c>
      <c r="B43" s="9" t="s">
        <v>17</v>
      </c>
      <c r="C43" s="27" t="n">
        <v>0.2</v>
      </c>
      <c r="I43" s="9" t="s">
        <v>114</v>
      </c>
      <c r="J43" s="20" t="s">
        <v>138</v>
      </c>
      <c r="K43" s="8" t="s">
        <v>58</v>
      </c>
    </row>
    <row r="44" customFormat="false" ht="17.15" hidden="false" customHeight="false" outlineLevel="0" collapsed="false">
      <c r="A44" s="8" t="s">
        <v>139</v>
      </c>
      <c r="B44" s="9" t="s">
        <v>140</v>
      </c>
      <c r="C44" s="24" t="n">
        <v>10</v>
      </c>
      <c r="I44" s="9" t="s">
        <v>114</v>
      </c>
      <c r="J44" s="22" t="s">
        <v>141</v>
      </c>
      <c r="K44" s="8" t="s">
        <v>58</v>
      </c>
    </row>
    <row r="45" customFormat="false" ht="17.15" hidden="false" customHeight="false" outlineLevel="0" collapsed="false">
      <c r="A45" s="8" t="s">
        <v>142</v>
      </c>
      <c r="B45" s="9" t="s">
        <v>17</v>
      </c>
      <c r="C45" s="31" t="n">
        <v>0</v>
      </c>
      <c r="D45" s="31" t="n">
        <v>1.34</v>
      </c>
      <c r="E45" s="31" t="n">
        <v>0.45</v>
      </c>
      <c r="F45" s="31" t="n">
        <v>0.35</v>
      </c>
      <c r="G45" s="31" t="n">
        <v>0.25</v>
      </c>
      <c r="H45" s="31" t="n">
        <v>0.2</v>
      </c>
      <c r="I45" s="9" t="s">
        <v>114</v>
      </c>
      <c r="J45" s="20" t="s">
        <v>143</v>
      </c>
      <c r="K45" s="8" t="s">
        <v>58</v>
      </c>
    </row>
    <row r="46" customFormat="false" ht="17.15" hidden="false" customHeight="false" outlineLevel="0" collapsed="false">
      <c r="A46" s="8" t="s">
        <v>144</v>
      </c>
      <c r="B46" s="9" t="s">
        <v>17</v>
      </c>
      <c r="C46" s="27" t="n">
        <v>0</v>
      </c>
      <c r="D46" s="27" t="n">
        <v>0.2</v>
      </c>
      <c r="E46" s="27" t="n">
        <v>0.15</v>
      </c>
      <c r="F46" s="27" t="n">
        <v>0.12</v>
      </c>
      <c r="G46" s="27" t="n">
        <v>0.1</v>
      </c>
      <c r="H46" s="27" t="n">
        <v>0.08</v>
      </c>
      <c r="I46" s="9" t="s">
        <v>114</v>
      </c>
      <c r="J46" s="22"/>
      <c r="K46" s="8" t="s">
        <v>58</v>
      </c>
    </row>
    <row r="47" customFormat="false" ht="17.15" hidden="false" customHeight="false" outlineLevel="0" collapsed="false">
      <c r="A47" s="8" t="s">
        <v>145</v>
      </c>
      <c r="B47" s="8" t="s">
        <v>91</v>
      </c>
      <c r="C47" s="21" t="n">
        <v>2027</v>
      </c>
      <c r="I47" s="9" t="s">
        <v>56</v>
      </c>
      <c r="J47" s="20" t="s">
        <v>146</v>
      </c>
      <c r="K47" s="8" t="s">
        <v>58</v>
      </c>
    </row>
    <row r="48" customFormat="false" ht="17.15" hidden="false" customHeight="false" outlineLevel="0" collapsed="false">
      <c r="A48" s="6" t="s">
        <v>147</v>
      </c>
      <c r="B48" s="7"/>
      <c r="C48" s="7"/>
      <c r="D48" s="7"/>
      <c r="E48" s="7"/>
      <c r="F48" s="7"/>
      <c r="G48" s="7"/>
      <c r="H48" s="7"/>
      <c r="I48" s="7"/>
      <c r="J48" s="7"/>
    </row>
    <row r="49" customFormat="false" ht="17.15" hidden="false" customHeight="false" outlineLevel="0" collapsed="false">
      <c r="A49" s="9" t="s">
        <v>148</v>
      </c>
      <c r="B49" s="9" t="s">
        <v>149</v>
      </c>
      <c r="C49" s="25" t="n">
        <v>600</v>
      </c>
      <c r="D49" s="25" t="n">
        <v>950</v>
      </c>
      <c r="E49" s="25" t="n">
        <v>1250</v>
      </c>
      <c r="F49" s="25" t="n">
        <v>1500</v>
      </c>
      <c r="G49" s="25" t="n">
        <v>1700</v>
      </c>
      <c r="H49" s="25" t="n">
        <v>1850</v>
      </c>
      <c r="I49" s="9" t="s">
        <v>132</v>
      </c>
      <c r="J49" s="20" t="s">
        <v>150</v>
      </c>
      <c r="K49" s="8" t="s">
        <v>69</v>
      </c>
    </row>
    <row r="50" customFormat="false" ht="17.15" hidden="false" customHeight="false" outlineLevel="0" collapsed="false">
      <c r="A50" s="9" t="s">
        <v>151</v>
      </c>
      <c r="B50" s="9" t="s">
        <v>149</v>
      </c>
      <c r="C50" s="25" t="n">
        <v>2</v>
      </c>
      <c r="D50" s="25" t="n">
        <v>10</v>
      </c>
      <c r="E50" s="25" t="n">
        <v>22</v>
      </c>
      <c r="F50" s="25" t="n">
        <v>35</v>
      </c>
      <c r="G50" s="25" t="n">
        <v>45</v>
      </c>
      <c r="H50" s="25" t="n">
        <v>55</v>
      </c>
      <c r="I50" s="9" t="s">
        <v>114</v>
      </c>
      <c r="J50" s="20" t="s">
        <v>152</v>
      </c>
      <c r="K50" s="8" t="s">
        <v>69</v>
      </c>
    </row>
    <row r="51" customFormat="false" ht="17.15" hidden="false" customHeight="false" outlineLevel="0" collapsed="false">
      <c r="A51" s="9" t="s">
        <v>153</v>
      </c>
      <c r="B51" s="9" t="s">
        <v>149</v>
      </c>
      <c r="C51" s="25" t="n">
        <v>30</v>
      </c>
      <c r="D51" s="25" t="n">
        <v>46</v>
      </c>
      <c r="E51" s="25" t="n">
        <v>52</v>
      </c>
      <c r="F51" s="25" t="n">
        <v>57</v>
      </c>
      <c r="G51" s="25" t="n">
        <v>61</v>
      </c>
      <c r="H51" s="25" t="n">
        <v>64</v>
      </c>
      <c r="I51" s="9" t="s">
        <v>67</v>
      </c>
      <c r="J51" s="20" t="s">
        <v>154</v>
      </c>
      <c r="K51" s="8" t="s">
        <v>69</v>
      </c>
    </row>
    <row r="52" customFormat="false" ht="17.15" hidden="false" customHeight="false" outlineLevel="0" collapsed="false">
      <c r="A52" s="9" t="s">
        <v>155</v>
      </c>
      <c r="B52" s="9" t="s">
        <v>149</v>
      </c>
      <c r="C52" s="25" t="n">
        <v>0.5</v>
      </c>
      <c r="D52" s="25" t="n">
        <v>1</v>
      </c>
      <c r="E52" s="25" t="n">
        <v>1.5</v>
      </c>
      <c r="F52" s="25" t="n">
        <v>2</v>
      </c>
      <c r="G52" s="25" t="n">
        <v>2.5</v>
      </c>
      <c r="H52" s="25" t="n">
        <v>3</v>
      </c>
      <c r="I52" s="9" t="s">
        <v>67</v>
      </c>
      <c r="J52" s="22" t="s">
        <v>156</v>
      </c>
      <c r="K52" s="8" t="s">
        <v>69</v>
      </c>
    </row>
    <row r="53" customFormat="false" ht="17.15" hidden="false" customHeight="false" outlineLevel="0" collapsed="false">
      <c r="A53" s="8" t="s">
        <v>157</v>
      </c>
      <c r="B53" s="9" t="s">
        <v>149</v>
      </c>
      <c r="C53" s="25" t="n">
        <v>3</v>
      </c>
      <c r="D53" s="25" t="n">
        <v>14</v>
      </c>
      <c r="E53" s="25" t="n">
        <v>26</v>
      </c>
      <c r="F53" s="25" t="n">
        <v>38</v>
      </c>
      <c r="G53" s="25" t="n">
        <v>48</v>
      </c>
      <c r="H53" s="25" t="n">
        <v>56</v>
      </c>
      <c r="I53" s="9" t="s">
        <v>114</v>
      </c>
      <c r="J53" s="22" t="s">
        <v>158</v>
      </c>
      <c r="K53" s="8" t="s">
        <v>69</v>
      </c>
    </row>
    <row r="54" customFormat="false" ht="17.15" hidden="false" customHeight="false" outlineLevel="0" collapsed="false">
      <c r="A54" s="8" t="s">
        <v>159</v>
      </c>
      <c r="B54" s="9" t="s">
        <v>149</v>
      </c>
      <c r="C54" s="25" t="n">
        <v>112</v>
      </c>
      <c r="I54" s="9" t="s">
        <v>67</v>
      </c>
      <c r="J54" s="20" t="s">
        <v>160</v>
      </c>
      <c r="K54" s="8" t="s">
        <v>69</v>
      </c>
    </row>
    <row r="55" customFormat="false" ht="17.15" hidden="false" customHeight="false" outlineLevel="0" collapsed="false">
      <c r="A55" s="8" t="s">
        <v>161</v>
      </c>
      <c r="B55" s="9" t="s">
        <v>149</v>
      </c>
      <c r="C55" s="25" t="n">
        <v>9</v>
      </c>
      <c r="I55" s="9" t="s">
        <v>67</v>
      </c>
      <c r="J55" s="22" t="s">
        <v>122</v>
      </c>
      <c r="K55" s="8" t="s">
        <v>69</v>
      </c>
    </row>
    <row r="56" customFormat="false" ht="17.15" hidden="false" customHeight="false" outlineLevel="0" collapsed="false">
      <c r="A56" s="9" t="s">
        <v>162</v>
      </c>
      <c r="B56" s="9" t="s">
        <v>163</v>
      </c>
      <c r="C56" s="24" t="n">
        <v>6</v>
      </c>
      <c r="D56" s="24" t="n">
        <v>6</v>
      </c>
      <c r="E56" s="24" t="n">
        <v>6</v>
      </c>
      <c r="F56" s="24" t="n">
        <v>6</v>
      </c>
      <c r="G56" s="24" t="n">
        <v>6</v>
      </c>
      <c r="H56" s="24" t="n">
        <v>6</v>
      </c>
      <c r="I56" s="9" t="s">
        <v>114</v>
      </c>
      <c r="J56" s="22"/>
      <c r="K56" s="8" t="s">
        <v>58</v>
      </c>
    </row>
    <row r="57" customFormat="false" ht="17.15" hidden="false" customHeight="false" outlineLevel="0" collapsed="false">
      <c r="A57" s="9" t="s">
        <v>164</v>
      </c>
      <c r="B57" s="9" t="s">
        <v>163</v>
      </c>
      <c r="C57" s="24" t="n">
        <v>19.5</v>
      </c>
      <c r="D57" s="24" t="n">
        <v>19</v>
      </c>
      <c r="E57" s="24" t="n">
        <v>19</v>
      </c>
      <c r="F57" s="24" t="n">
        <v>19</v>
      </c>
      <c r="G57" s="24" t="n">
        <v>19</v>
      </c>
      <c r="H57" s="24" t="n">
        <v>19</v>
      </c>
      <c r="I57" s="9" t="s">
        <v>114</v>
      </c>
      <c r="J57" s="20" t="s">
        <v>165</v>
      </c>
      <c r="K57" s="8" t="s">
        <v>58</v>
      </c>
    </row>
    <row r="58" customFormat="false" ht="17.15" hidden="false" customHeight="false" outlineLevel="0" collapsed="false">
      <c r="A58" s="9" t="s">
        <v>166</v>
      </c>
      <c r="B58" s="9" t="s">
        <v>163</v>
      </c>
      <c r="C58" s="24" t="n">
        <v>200</v>
      </c>
      <c r="D58" s="24" t="n">
        <v>150</v>
      </c>
      <c r="E58" s="24" t="n">
        <v>150</v>
      </c>
      <c r="F58" s="24" t="n">
        <v>150</v>
      </c>
      <c r="G58" s="24" t="n">
        <v>150</v>
      </c>
      <c r="H58" s="24" t="n">
        <v>150</v>
      </c>
      <c r="I58" s="9" t="s">
        <v>114</v>
      </c>
      <c r="J58" s="20" t="s">
        <v>167</v>
      </c>
      <c r="K58" s="8" t="s">
        <v>58</v>
      </c>
    </row>
    <row r="59" customFormat="false" ht="17.15" hidden="false" customHeight="false" outlineLevel="0" collapsed="false">
      <c r="A59" s="8" t="s">
        <v>168</v>
      </c>
      <c r="B59" s="9" t="s">
        <v>163</v>
      </c>
      <c r="C59" s="24" t="n">
        <v>30</v>
      </c>
      <c r="D59" s="24" t="n">
        <v>30</v>
      </c>
      <c r="E59" s="24" t="n">
        <v>30</v>
      </c>
      <c r="F59" s="24" t="n">
        <v>30</v>
      </c>
      <c r="G59" s="24" t="n">
        <v>30</v>
      </c>
      <c r="H59" s="24" t="n">
        <v>30</v>
      </c>
      <c r="I59" s="9" t="s">
        <v>114</v>
      </c>
      <c r="J59" s="20" t="s">
        <v>169</v>
      </c>
      <c r="K59" s="8" t="s">
        <v>58</v>
      </c>
    </row>
    <row r="60" customFormat="false" ht="17.15" hidden="false" customHeight="false" outlineLevel="0" collapsed="false">
      <c r="A60" s="9" t="s">
        <v>170</v>
      </c>
      <c r="B60" s="8" t="s">
        <v>171</v>
      </c>
      <c r="C60" s="24" t="n">
        <v>1.7</v>
      </c>
      <c r="D60" s="24" t="n">
        <v>1.7</v>
      </c>
      <c r="I60" s="9" t="s">
        <v>114</v>
      </c>
      <c r="J60" s="20" t="s">
        <v>172</v>
      </c>
      <c r="K60" s="8" t="s">
        <v>80</v>
      </c>
    </row>
    <row r="61" customFormat="false" ht="17.15" hidden="false" customHeight="false" outlineLevel="0" collapsed="false">
      <c r="A61" s="9" t="s">
        <v>173</v>
      </c>
      <c r="B61" s="8" t="s">
        <v>171</v>
      </c>
      <c r="C61" s="24" t="n">
        <v>5.3</v>
      </c>
      <c r="D61" s="24" t="n">
        <v>5.7</v>
      </c>
      <c r="I61" s="9" t="s">
        <v>114</v>
      </c>
      <c r="J61" s="20" t="s">
        <v>172</v>
      </c>
      <c r="K61" s="8" t="s">
        <v>80</v>
      </c>
    </row>
    <row r="62" customFormat="false" ht="17.15" hidden="false" customHeight="false" outlineLevel="0" collapsed="false">
      <c r="A62" s="9" t="s">
        <v>174</v>
      </c>
      <c r="B62" s="8" t="s">
        <v>171</v>
      </c>
      <c r="C62" s="24" t="n">
        <v>13.4</v>
      </c>
      <c r="D62" s="24" t="n">
        <v>17.9</v>
      </c>
      <c r="I62" s="9" t="s">
        <v>114</v>
      </c>
      <c r="J62" s="20" t="s">
        <v>172</v>
      </c>
      <c r="K62" s="8" t="s">
        <v>80</v>
      </c>
    </row>
    <row r="63" customFormat="false" ht="17.15" hidden="false" customHeight="false" outlineLevel="0" collapsed="false">
      <c r="A63" s="9" t="s">
        <v>175</v>
      </c>
      <c r="B63" s="8" t="s">
        <v>171</v>
      </c>
      <c r="C63" s="24" t="n">
        <v>41</v>
      </c>
      <c r="D63" s="24" t="n">
        <v>51.4</v>
      </c>
      <c r="I63" s="9" t="s">
        <v>114</v>
      </c>
      <c r="J63" s="20" t="s">
        <v>172</v>
      </c>
      <c r="K63" s="8" t="s">
        <v>80</v>
      </c>
    </row>
    <row r="64" customFormat="false" ht="17.15" hidden="false" customHeight="false" outlineLevel="0" collapsed="false">
      <c r="A64" s="8" t="s">
        <v>176</v>
      </c>
      <c r="B64" s="8" t="s">
        <v>171</v>
      </c>
      <c r="C64" s="24" t="n">
        <v>10.7</v>
      </c>
      <c r="D64" s="24" t="n">
        <v>14.3</v>
      </c>
      <c r="I64" s="9" t="s">
        <v>114</v>
      </c>
      <c r="J64" s="20" t="s">
        <v>172</v>
      </c>
      <c r="K64" s="8" t="s">
        <v>80</v>
      </c>
    </row>
    <row r="65" customFormat="false" ht="17.15" hidden="false" customHeight="false" outlineLevel="0" collapsed="false">
      <c r="A65" s="9" t="s">
        <v>177</v>
      </c>
      <c r="B65" s="9" t="s">
        <v>140</v>
      </c>
      <c r="C65" s="23" t="n">
        <v>2</v>
      </c>
      <c r="D65" s="23" t="n">
        <v>2.94</v>
      </c>
      <c r="I65" s="9" t="s">
        <v>114</v>
      </c>
      <c r="J65" s="20" t="s">
        <v>178</v>
      </c>
      <c r="K65" s="8" t="s">
        <v>80</v>
      </c>
    </row>
    <row r="66" customFormat="false" ht="17.15" hidden="false" customHeight="false" outlineLevel="0" collapsed="false">
      <c r="A66" s="9" t="s">
        <v>179</v>
      </c>
      <c r="B66" s="9" t="s">
        <v>140</v>
      </c>
      <c r="C66" s="23" t="n">
        <v>3</v>
      </c>
      <c r="D66" s="23" t="n">
        <v>4.39</v>
      </c>
      <c r="I66" s="9" t="s">
        <v>114</v>
      </c>
      <c r="J66" s="20" t="s">
        <v>178</v>
      </c>
      <c r="K66" s="8" t="s">
        <v>80</v>
      </c>
    </row>
    <row r="67" customFormat="false" ht="17.15" hidden="false" customHeight="false" outlineLevel="0" collapsed="false">
      <c r="A67" s="9" t="s">
        <v>180</v>
      </c>
      <c r="B67" s="9" t="s">
        <v>140</v>
      </c>
      <c r="C67" s="23" t="n">
        <v>4</v>
      </c>
      <c r="D67" s="23" t="n">
        <v>6.15</v>
      </c>
      <c r="I67" s="9" t="s">
        <v>114</v>
      </c>
      <c r="J67" s="20" t="s">
        <v>178</v>
      </c>
      <c r="K67" s="8" t="s">
        <v>80</v>
      </c>
    </row>
    <row r="68" customFormat="false" ht="17.15" hidden="false" customHeight="false" outlineLevel="0" collapsed="false">
      <c r="A68" s="9" t="s">
        <v>181</v>
      </c>
      <c r="B68" s="9" t="s">
        <v>140</v>
      </c>
      <c r="C68" s="23" t="n">
        <v>10</v>
      </c>
      <c r="D68" s="23" t="n">
        <v>15.6</v>
      </c>
      <c r="I68" s="9" t="s">
        <v>114</v>
      </c>
      <c r="J68" s="20" t="s">
        <v>178</v>
      </c>
      <c r="K68" s="8" t="s">
        <v>80</v>
      </c>
    </row>
    <row r="69" customFormat="false" ht="17.15" hidden="false" customHeight="false" outlineLevel="0" collapsed="false">
      <c r="A69" s="8" t="s">
        <v>182</v>
      </c>
      <c r="B69" s="9" t="s">
        <v>140</v>
      </c>
      <c r="C69" s="23" t="n">
        <v>4</v>
      </c>
      <c r="D69" s="23" t="n">
        <v>5.94</v>
      </c>
      <c r="I69" s="9" t="s">
        <v>114</v>
      </c>
      <c r="J69" s="20" t="s">
        <v>178</v>
      </c>
      <c r="K69" s="8" t="s">
        <v>80</v>
      </c>
    </row>
    <row r="70" customFormat="false" ht="17.15" hidden="false" customHeight="false" outlineLevel="0" collapsed="false">
      <c r="A70" s="8" t="s">
        <v>183</v>
      </c>
      <c r="B70" s="9" t="s">
        <v>17</v>
      </c>
      <c r="C70" s="27" t="n">
        <v>0.1</v>
      </c>
      <c r="I70" s="9" t="s">
        <v>114</v>
      </c>
      <c r="J70" s="22"/>
      <c r="K70" s="8" t="s">
        <v>58</v>
      </c>
    </row>
    <row r="71" customFormat="false" ht="17.15" hidden="false" customHeight="false" outlineLevel="0" collapsed="false">
      <c r="A71" s="26" t="s">
        <v>184</v>
      </c>
      <c r="B71" s="7"/>
      <c r="C71" s="7"/>
      <c r="D71" s="7"/>
      <c r="E71" s="7"/>
      <c r="F71" s="7"/>
      <c r="G71" s="7"/>
      <c r="H71" s="7"/>
      <c r="I71" s="7"/>
      <c r="J71" s="7"/>
    </row>
    <row r="72" customFormat="false" ht="17.15" hidden="false" customHeight="false" outlineLevel="0" collapsed="false">
      <c r="A72" s="8" t="s">
        <v>185</v>
      </c>
      <c r="B72" s="9" t="s">
        <v>186</v>
      </c>
      <c r="C72" s="25" t="n">
        <v>1580</v>
      </c>
      <c r="I72" s="9" t="s">
        <v>78</v>
      </c>
      <c r="J72" s="20" t="s">
        <v>187</v>
      </c>
      <c r="K72" s="8" t="s">
        <v>80</v>
      </c>
    </row>
    <row r="73" customFormat="false" ht="17.15" hidden="false" customHeight="false" outlineLevel="0" collapsed="false">
      <c r="A73" s="8" t="s">
        <v>188</v>
      </c>
      <c r="B73" s="9" t="s">
        <v>189</v>
      </c>
      <c r="C73" s="25" t="n">
        <v>3600</v>
      </c>
      <c r="I73" s="9" t="s">
        <v>78</v>
      </c>
      <c r="J73" s="20" t="s">
        <v>190</v>
      </c>
      <c r="K73" s="8" t="s">
        <v>80</v>
      </c>
    </row>
    <row r="74" customFormat="false" ht="17.15" hidden="false" customHeight="false" outlineLevel="0" collapsed="false">
      <c r="A74" s="8" t="s">
        <v>191</v>
      </c>
      <c r="B74" s="9" t="s">
        <v>192</v>
      </c>
      <c r="C74" s="24" t="n">
        <v>20.7</v>
      </c>
      <c r="I74" s="9" t="s">
        <v>78</v>
      </c>
      <c r="J74" s="20" t="s">
        <v>193</v>
      </c>
      <c r="K74" s="8" t="s">
        <v>80</v>
      </c>
    </row>
    <row r="75" customFormat="false" ht="17.15" hidden="false" customHeight="false" outlineLevel="0" collapsed="false">
      <c r="A75" s="9" t="s">
        <v>194</v>
      </c>
      <c r="B75" s="9" t="s">
        <v>17</v>
      </c>
      <c r="C75" s="27" t="n">
        <v>0.35</v>
      </c>
      <c r="I75" s="9" t="s">
        <v>132</v>
      </c>
      <c r="J75" s="20" t="s">
        <v>195</v>
      </c>
      <c r="K75" s="8" t="s">
        <v>80</v>
      </c>
    </row>
    <row r="76" customFormat="false" ht="17.15" hidden="false" customHeight="false" outlineLevel="0" collapsed="false">
      <c r="A76" s="8" t="s">
        <v>196</v>
      </c>
      <c r="B76" s="9" t="s">
        <v>197</v>
      </c>
      <c r="C76" s="32" t="n">
        <v>1.7667</v>
      </c>
      <c r="I76" s="9" t="s">
        <v>78</v>
      </c>
      <c r="J76" s="20" t="s">
        <v>198</v>
      </c>
      <c r="K76" s="8" t="s">
        <v>80</v>
      </c>
    </row>
    <row r="77" customFormat="false" ht="17.15" hidden="false" customHeight="false" outlineLevel="0" collapsed="false">
      <c r="A77" s="8" t="s">
        <v>199</v>
      </c>
      <c r="B77" s="9" t="s">
        <v>200</v>
      </c>
      <c r="C77" s="23" t="n">
        <v>2.94</v>
      </c>
      <c r="I77" s="9" t="s">
        <v>132</v>
      </c>
      <c r="J77" s="20" t="s">
        <v>201</v>
      </c>
      <c r="K77" s="8" t="s">
        <v>80</v>
      </c>
    </row>
    <row r="78" customFormat="false" ht="17.15" hidden="false" customHeight="false" outlineLevel="0" collapsed="false">
      <c r="A78" s="8" t="s">
        <v>202</v>
      </c>
      <c r="B78" s="9" t="s">
        <v>17</v>
      </c>
      <c r="C78" s="27" t="n">
        <v>0.6</v>
      </c>
      <c r="I78" s="9" t="s">
        <v>114</v>
      </c>
      <c r="J78" s="22" t="s">
        <v>203</v>
      </c>
      <c r="K78" s="8" t="s">
        <v>58</v>
      </c>
    </row>
    <row r="79" customFormat="false" ht="17.15" hidden="false" customHeight="false" outlineLevel="0" collapsed="false">
      <c r="A79" s="9" t="s">
        <v>204</v>
      </c>
      <c r="B79" s="8" t="s">
        <v>205</v>
      </c>
      <c r="C79" s="33" t="n">
        <v>256</v>
      </c>
      <c r="I79" s="9" t="s">
        <v>114</v>
      </c>
      <c r="J79" s="22" t="s">
        <v>206</v>
      </c>
      <c r="K79" s="8" t="s">
        <v>58</v>
      </c>
    </row>
    <row r="80" customFormat="false" ht="17.15" hidden="false" customHeight="false" outlineLevel="0" collapsed="false">
      <c r="A80" s="8" t="s">
        <v>207</v>
      </c>
      <c r="B80" s="9" t="s">
        <v>140</v>
      </c>
      <c r="C80" s="24" t="n">
        <v>8</v>
      </c>
      <c r="I80" s="9" t="s">
        <v>114</v>
      </c>
      <c r="J80" s="22" t="s">
        <v>208</v>
      </c>
      <c r="K80" s="8" t="s">
        <v>58</v>
      </c>
    </row>
    <row r="81" customFormat="false" ht="17.15" hidden="false" customHeight="false" outlineLevel="0" collapsed="false">
      <c r="A81" s="9" t="s">
        <v>209</v>
      </c>
      <c r="B81" s="9" t="s">
        <v>26</v>
      </c>
      <c r="C81" s="23" t="n">
        <v>1.1</v>
      </c>
      <c r="I81" s="9" t="s">
        <v>114</v>
      </c>
      <c r="J81" s="22"/>
      <c r="K81" s="8" t="s">
        <v>58</v>
      </c>
    </row>
    <row r="82" customFormat="false" ht="17.15" hidden="false" customHeight="false" outlineLevel="0" collapsed="false">
      <c r="A82" s="8" t="s">
        <v>210</v>
      </c>
      <c r="B82" s="9" t="s">
        <v>17</v>
      </c>
      <c r="C82" s="27" t="n">
        <v>0.1</v>
      </c>
      <c r="I82" s="9" t="s">
        <v>132</v>
      </c>
      <c r="J82" s="22" t="s">
        <v>211</v>
      </c>
      <c r="K82" s="8" t="s">
        <v>69</v>
      </c>
    </row>
    <row r="83" customFormat="false" ht="17.15" hidden="false" customHeight="false" outlineLevel="0" collapsed="false">
      <c r="A83" s="9" t="s">
        <v>212</v>
      </c>
      <c r="B83" s="9" t="s">
        <v>213</v>
      </c>
      <c r="C83" s="25" t="n">
        <v>284</v>
      </c>
      <c r="I83" s="9" t="s">
        <v>132</v>
      </c>
      <c r="J83" s="20" t="s">
        <v>214</v>
      </c>
      <c r="K83" s="8" t="s">
        <v>80</v>
      </c>
    </row>
    <row r="84" customFormat="false" ht="17.15" hidden="false" customHeight="false" outlineLevel="0" collapsed="false">
      <c r="A84" s="9" t="s">
        <v>215</v>
      </c>
      <c r="B84" s="9" t="s">
        <v>213</v>
      </c>
      <c r="C84" s="33" t="n">
        <v>13</v>
      </c>
      <c r="I84" s="9" t="s">
        <v>132</v>
      </c>
      <c r="J84" s="20" t="s">
        <v>214</v>
      </c>
      <c r="K84" s="8" t="s">
        <v>80</v>
      </c>
    </row>
    <row r="85" customFormat="false" ht="17.15" hidden="false" customHeight="false" outlineLevel="0" collapsed="false">
      <c r="A85" s="9" t="s">
        <v>216</v>
      </c>
      <c r="B85" s="9" t="s">
        <v>217</v>
      </c>
      <c r="C85" s="25" t="n">
        <v>2795</v>
      </c>
      <c r="I85" s="9" t="s">
        <v>132</v>
      </c>
      <c r="J85" s="20" t="s">
        <v>214</v>
      </c>
      <c r="K85" s="8" t="s">
        <v>80</v>
      </c>
    </row>
    <row r="86" customFormat="false" ht="17.15" hidden="false" customHeight="false" outlineLevel="0" collapsed="false">
      <c r="A86" s="9" t="s">
        <v>218</v>
      </c>
      <c r="B86" s="9" t="s">
        <v>217</v>
      </c>
      <c r="C86" s="34" t="n">
        <v>0.51</v>
      </c>
      <c r="I86" s="9" t="s">
        <v>132</v>
      </c>
      <c r="J86" s="20" t="s">
        <v>214</v>
      </c>
      <c r="K86" s="8" t="s">
        <v>80</v>
      </c>
    </row>
    <row r="87" customFormat="false" ht="17.15" hidden="false" customHeight="false" outlineLevel="0" collapsed="false">
      <c r="A87" s="9" t="s">
        <v>219</v>
      </c>
      <c r="B87" s="9" t="s">
        <v>213</v>
      </c>
      <c r="C87" s="25" t="n">
        <v>1600</v>
      </c>
      <c r="I87" s="9" t="s">
        <v>132</v>
      </c>
      <c r="J87" s="20" t="s">
        <v>220</v>
      </c>
      <c r="K87" s="8" t="s">
        <v>80</v>
      </c>
    </row>
    <row r="88" customFormat="false" ht="17.15" hidden="false" customHeight="false" outlineLevel="0" collapsed="false">
      <c r="A88" s="9" t="s">
        <v>221</v>
      </c>
      <c r="B88" s="9" t="s">
        <v>213</v>
      </c>
      <c r="C88" s="33" t="n">
        <v>49</v>
      </c>
      <c r="I88" s="9" t="s">
        <v>132</v>
      </c>
      <c r="J88" s="20" t="s">
        <v>220</v>
      </c>
      <c r="K88" s="8" t="s">
        <v>80</v>
      </c>
    </row>
    <row r="89" customFormat="false" ht="17.15" hidden="false" customHeight="false" outlineLevel="0" collapsed="false">
      <c r="A89" s="9" t="s">
        <v>222</v>
      </c>
      <c r="B89" s="9" t="s">
        <v>217</v>
      </c>
      <c r="C89" s="25" t="n">
        <v>3965</v>
      </c>
      <c r="I89" s="9" t="s">
        <v>132</v>
      </c>
      <c r="J89" s="20" t="s">
        <v>220</v>
      </c>
      <c r="K89" s="8" t="s">
        <v>80</v>
      </c>
    </row>
    <row r="90" customFormat="false" ht="17.15" hidden="false" customHeight="false" outlineLevel="0" collapsed="false">
      <c r="A90" s="9" t="s">
        <v>223</v>
      </c>
      <c r="B90" s="9" t="s">
        <v>217</v>
      </c>
      <c r="C90" s="34" t="n">
        <v>0.507</v>
      </c>
      <c r="I90" s="9" t="s">
        <v>132</v>
      </c>
      <c r="J90" s="20" t="s">
        <v>220</v>
      </c>
      <c r="K90" s="8" t="s">
        <v>80</v>
      </c>
    </row>
    <row r="91" customFormat="false" ht="17.15" hidden="false" customHeight="false" outlineLevel="0" collapsed="false">
      <c r="A91" s="9" t="s">
        <v>224</v>
      </c>
      <c r="B91" s="9" t="s">
        <v>213</v>
      </c>
      <c r="C91" s="25" t="n">
        <v>4000</v>
      </c>
      <c r="I91" s="9" t="s">
        <v>132</v>
      </c>
      <c r="J91" s="20" t="s">
        <v>225</v>
      </c>
      <c r="K91" s="8" t="s">
        <v>80</v>
      </c>
    </row>
    <row r="92" customFormat="false" ht="17.15" hidden="false" customHeight="false" outlineLevel="0" collapsed="false">
      <c r="A92" s="9" t="s">
        <v>226</v>
      </c>
      <c r="B92" s="9" t="s">
        <v>213</v>
      </c>
      <c r="C92" s="33" t="n">
        <v>180</v>
      </c>
      <c r="I92" s="9" t="s">
        <v>132</v>
      </c>
      <c r="J92" s="20" t="s">
        <v>225</v>
      </c>
      <c r="K92" s="8" t="s">
        <v>80</v>
      </c>
    </row>
    <row r="93" customFormat="false" ht="17.15" hidden="false" customHeight="false" outlineLevel="0" collapsed="false">
      <c r="A93" s="9" t="s">
        <v>227</v>
      </c>
      <c r="B93" s="9" t="s">
        <v>217</v>
      </c>
      <c r="C93" s="25" t="n">
        <v>204800</v>
      </c>
      <c r="I93" s="9" t="s">
        <v>132</v>
      </c>
      <c r="J93" s="20" t="s">
        <v>225</v>
      </c>
      <c r="K93" s="8" t="s">
        <v>80</v>
      </c>
    </row>
    <row r="94" customFormat="false" ht="17.15" hidden="false" customHeight="false" outlineLevel="0" collapsed="false">
      <c r="A94" s="9" t="s">
        <v>228</v>
      </c>
      <c r="B94" s="9" t="s">
        <v>217</v>
      </c>
      <c r="C94" s="34" t="n">
        <v>0.53</v>
      </c>
      <c r="I94" s="9" t="s">
        <v>132</v>
      </c>
      <c r="J94" s="20" t="s">
        <v>225</v>
      </c>
      <c r="K94" s="8" t="s">
        <v>80</v>
      </c>
    </row>
    <row r="95" customFormat="false" ht="17.15" hidden="false" customHeight="false" outlineLevel="0" collapsed="false">
      <c r="A95" s="6" t="s">
        <v>229</v>
      </c>
      <c r="B95" s="7"/>
      <c r="C95" s="7"/>
      <c r="D95" s="7"/>
      <c r="E95" s="7"/>
      <c r="F95" s="7"/>
      <c r="G95" s="7"/>
      <c r="H95" s="7"/>
      <c r="I95" s="7"/>
      <c r="J95" s="7"/>
    </row>
    <row r="96" customFormat="false" ht="17.15" hidden="false" customHeight="false" outlineLevel="0" collapsed="false">
      <c r="A96" s="9" t="s">
        <v>230</v>
      </c>
      <c r="B96" s="9" t="s">
        <v>17</v>
      </c>
      <c r="C96" s="27" t="n">
        <v>0.9</v>
      </c>
      <c r="I96" s="9" t="s">
        <v>114</v>
      </c>
      <c r="J96" s="20" t="s">
        <v>231</v>
      </c>
      <c r="K96" s="8" t="s">
        <v>58</v>
      </c>
    </row>
    <row r="97" customFormat="false" ht="17.15" hidden="false" customHeight="false" outlineLevel="0" collapsed="false">
      <c r="A97" s="9" t="s">
        <v>232</v>
      </c>
      <c r="B97" s="9" t="s">
        <v>17</v>
      </c>
      <c r="C97" s="27" t="n">
        <v>0.1</v>
      </c>
      <c r="I97" s="9" t="s">
        <v>114</v>
      </c>
      <c r="J97" s="20" t="s">
        <v>231</v>
      </c>
      <c r="K97" s="8" t="s">
        <v>58</v>
      </c>
    </row>
    <row r="98" customFormat="false" ht="17.15" hidden="false" customHeight="false" outlineLevel="0" collapsed="false">
      <c r="A98" s="9" t="s">
        <v>233</v>
      </c>
      <c r="B98" s="9" t="s">
        <v>17</v>
      </c>
      <c r="C98" s="27" t="n">
        <v>0</v>
      </c>
      <c r="I98" s="9" t="s">
        <v>114</v>
      </c>
      <c r="J98" s="20" t="s">
        <v>231</v>
      </c>
      <c r="K98" s="8" t="s">
        <v>58</v>
      </c>
    </row>
    <row r="99" customFormat="false" ht="17.15" hidden="false" customHeight="false" outlineLevel="0" collapsed="false">
      <c r="A99" s="9" t="s">
        <v>234</v>
      </c>
      <c r="B99" s="9" t="s">
        <v>17</v>
      </c>
      <c r="C99" s="27" t="n">
        <v>0.25</v>
      </c>
      <c r="I99" s="9" t="s">
        <v>114</v>
      </c>
      <c r="J99" s="22"/>
      <c r="K99" s="8" t="s">
        <v>58</v>
      </c>
    </row>
    <row r="100" customFormat="false" ht="17.15" hidden="false" customHeight="false" outlineLevel="0" collapsed="false">
      <c r="A100" s="9" t="s">
        <v>235</v>
      </c>
      <c r="B100" s="9" t="s">
        <v>17</v>
      </c>
      <c r="C100" s="27" t="n">
        <v>0.4</v>
      </c>
      <c r="I100" s="9" t="s">
        <v>114</v>
      </c>
      <c r="J100" s="22"/>
      <c r="K100" s="8" t="s">
        <v>58</v>
      </c>
    </row>
    <row r="101" customFormat="false" ht="17.15" hidden="false" customHeight="false" outlineLevel="0" collapsed="false">
      <c r="A101" s="9" t="s">
        <v>236</v>
      </c>
      <c r="B101" s="9" t="s">
        <v>17</v>
      </c>
      <c r="C101" s="27" t="n">
        <v>0.85</v>
      </c>
      <c r="I101" s="9" t="s">
        <v>114</v>
      </c>
      <c r="J101" s="20" t="s">
        <v>231</v>
      </c>
      <c r="K101" s="8" t="s">
        <v>58</v>
      </c>
    </row>
    <row r="102" customFormat="false" ht="17.15" hidden="false" customHeight="false" outlineLevel="0" collapsed="false">
      <c r="A102" s="9" t="s">
        <v>237</v>
      </c>
      <c r="B102" s="9" t="s">
        <v>17</v>
      </c>
      <c r="C102" s="27" t="n">
        <v>0.15</v>
      </c>
      <c r="I102" s="9" t="s">
        <v>114</v>
      </c>
      <c r="J102" s="20" t="s">
        <v>231</v>
      </c>
      <c r="K102" s="8" t="s">
        <v>58</v>
      </c>
    </row>
    <row r="103" customFormat="false" ht="17.15" hidden="false" customHeight="false" outlineLevel="0" collapsed="false">
      <c r="A103" s="9" t="s">
        <v>238</v>
      </c>
      <c r="B103" s="9" t="s">
        <v>17</v>
      </c>
      <c r="C103" s="27" t="n">
        <v>0</v>
      </c>
      <c r="I103" s="9" t="s">
        <v>114</v>
      </c>
      <c r="J103" s="20" t="s">
        <v>231</v>
      </c>
      <c r="K103" s="8" t="s">
        <v>58</v>
      </c>
    </row>
    <row r="104" customFormat="false" ht="17.15" hidden="false" customHeight="false" outlineLevel="0" collapsed="false">
      <c r="A104" s="9" t="s">
        <v>239</v>
      </c>
      <c r="B104" s="9" t="s">
        <v>17</v>
      </c>
      <c r="C104" s="27" t="n">
        <v>0.25</v>
      </c>
      <c r="I104" s="9" t="s">
        <v>114</v>
      </c>
      <c r="J104" s="22"/>
      <c r="K104" s="8" t="s">
        <v>58</v>
      </c>
    </row>
    <row r="105" customFormat="false" ht="17.15" hidden="false" customHeight="false" outlineLevel="0" collapsed="false">
      <c r="A105" s="9" t="s">
        <v>240</v>
      </c>
      <c r="B105" s="9" t="s">
        <v>17</v>
      </c>
      <c r="C105" s="27" t="n">
        <v>0.4</v>
      </c>
      <c r="I105" s="9" t="s">
        <v>114</v>
      </c>
      <c r="J105" s="22"/>
      <c r="K105" s="8" t="s">
        <v>58</v>
      </c>
    </row>
    <row r="106" customFormat="false" ht="17.15" hidden="false" customHeight="false" outlineLevel="0" collapsed="false">
      <c r="A106" s="9" t="s">
        <v>241</v>
      </c>
      <c r="B106" s="9" t="s">
        <v>17</v>
      </c>
      <c r="C106" s="27" t="n">
        <v>0.35</v>
      </c>
      <c r="I106" s="9" t="s">
        <v>114</v>
      </c>
      <c r="J106" s="20" t="s">
        <v>231</v>
      </c>
      <c r="K106" s="8" t="s">
        <v>58</v>
      </c>
    </row>
    <row r="107" customFormat="false" ht="17.15" hidden="false" customHeight="false" outlineLevel="0" collapsed="false">
      <c r="A107" s="9" t="s">
        <v>242</v>
      </c>
      <c r="B107" s="9" t="s">
        <v>17</v>
      </c>
      <c r="C107" s="27" t="n">
        <v>0.6</v>
      </c>
      <c r="I107" s="9" t="s">
        <v>114</v>
      </c>
      <c r="J107" s="20" t="s">
        <v>231</v>
      </c>
      <c r="K107" s="8" t="s">
        <v>58</v>
      </c>
    </row>
    <row r="108" customFormat="false" ht="17.15" hidden="false" customHeight="false" outlineLevel="0" collapsed="false">
      <c r="A108" s="9" t="s">
        <v>243</v>
      </c>
      <c r="B108" s="9" t="s">
        <v>17</v>
      </c>
      <c r="C108" s="27" t="n">
        <v>0.05</v>
      </c>
      <c r="I108" s="9" t="s">
        <v>114</v>
      </c>
      <c r="J108" s="20" t="s">
        <v>231</v>
      </c>
      <c r="K108" s="8" t="s">
        <v>58</v>
      </c>
    </row>
    <row r="109" customFormat="false" ht="17.15" hidden="false" customHeight="false" outlineLevel="0" collapsed="false">
      <c r="A109" s="9" t="s">
        <v>244</v>
      </c>
      <c r="B109" s="9" t="s">
        <v>17</v>
      </c>
      <c r="C109" s="27" t="n">
        <v>0.4</v>
      </c>
      <c r="I109" s="9" t="s">
        <v>114</v>
      </c>
      <c r="J109" s="22"/>
      <c r="K109" s="8" t="s">
        <v>58</v>
      </c>
    </row>
    <row r="110" customFormat="false" ht="17.15" hidden="false" customHeight="false" outlineLevel="0" collapsed="false">
      <c r="A110" s="9" t="s">
        <v>245</v>
      </c>
      <c r="B110" s="9" t="s">
        <v>17</v>
      </c>
      <c r="C110" s="27" t="n">
        <v>0.5</v>
      </c>
      <c r="I110" s="9" t="s">
        <v>114</v>
      </c>
      <c r="J110" s="22"/>
      <c r="K110" s="8" t="s">
        <v>58</v>
      </c>
    </row>
    <row r="111" customFormat="false" ht="17.15" hidden="false" customHeight="false" outlineLevel="0" collapsed="false">
      <c r="A111" s="9" t="s">
        <v>246</v>
      </c>
      <c r="B111" s="9" t="s">
        <v>17</v>
      </c>
      <c r="C111" s="27" t="n">
        <v>0.1</v>
      </c>
      <c r="I111" s="9" t="s">
        <v>114</v>
      </c>
      <c r="J111" s="20" t="s">
        <v>231</v>
      </c>
      <c r="K111" s="8" t="s">
        <v>58</v>
      </c>
    </row>
    <row r="112" customFormat="false" ht="17.15" hidden="false" customHeight="false" outlineLevel="0" collapsed="false">
      <c r="A112" s="9" t="s">
        <v>247</v>
      </c>
      <c r="B112" s="9" t="s">
        <v>17</v>
      </c>
      <c r="C112" s="27" t="n">
        <v>0.5</v>
      </c>
      <c r="I112" s="9" t="s">
        <v>114</v>
      </c>
      <c r="J112" s="20" t="s">
        <v>231</v>
      </c>
      <c r="K112" s="8" t="s">
        <v>58</v>
      </c>
    </row>
    <row r="113" customFormat="false" ht="17.15" hidden="false" customHeight="false" outlineLevel="0" collapsed="false">
      <c r="A113" s="9" t="s">
        <v>248</v>
      </c>
      <c r="B113" s="9" t="s">
        <v>17</v>
      </c>
      <c r="C113" s="27" t="n">
        <v>0.4</v>
      </c>
      <c r="I113" s="9" t="s">
        <v>114</v>
      </c>
      <c r="J113" s="20" t="s">
        <v>231</v>
      </c>
      <c r="K113" s="8" t="s">
        <v>58</v>
      </c>
    </row>
    <row r="114" customFormat="false" ht="17.15" hidden="false" customHeight="false" outlineLevel="0" collapsed="false">
      <c r="A114" s="9" t="s">
        <v>249</v>
      </c>
      <c r="B114" s="9" t="s">
        <v>17</v>
      </c>
      <c r="C114" s="27" t="n">
        <v>0.5</v>
      </c>
      <c r="I114" s="9" t="s">
        <v>114</v>
      </c>
      <c r="J114" s="22"/>
      <c r="K114" s="8" t="s">
        <v>58</v>
      </c>
    </row>
    <row r="115" customFormat="false" ht="17.15" hidden="false" customHeight="false" outlineLevel="0" collapsed="false">
      <c r="A115" s="9" t="s">
        <v>250</v>
      </c>
      <c r="B115" s="9" t="s">
        <v>17</v>
      </c>
      <c r="C115" s="27" t="n">
        <v>0.6</v>
      </c>
      <c r="I115" s="9" t="s">
        <v>114</v>
      </c>
      <c r="J115" s="22"/>
      <c r="K115" s="8" t="s">
        <v>58</v>
      </c>
    </row>
    <row r="116" customFormat="false" ht="17.15" hidden="false" customHeight="false" outlineLevel="0" collapsed="false">
      <c r="A116" s="8" t="s">
        <v>251</v>
      </c>
      <c r="B116" s="9" t="s">
        <v>17</v>
      </c>
      <c r="C116" s="27" t="n">
        <v>0.3</v>
      </c>
      <c r="I116" s="9" t="s">
        <v>114</v>
      </c>
      <c r="J116" s="20" t="s">
        <v>231</v>
      </c>
      <c r="K116" s="8" t="s">
        <v>58</v>
      </c>
    </row>
    <row r="117" customFormat="false" ht="17.15" hidden="false" customHeight="false" outlineLevel="0" collapsed="false">
      <c r="A117" s="8" t="s">
        <v>252</v>
      </c>
      <c r="B117" s="9" t="s">
        <v>17</v>
      </c>
      <c r="C117" s="27" t="n">
        <v>0.65</v>
      </c>
      <c r="I117" s="9" t="s">
        <v>114</v>
      </c>
      <c r="J117" s="20" t="s">
        <v>231</v>
      </c>
      <c r="K117" s="8" t="s">
        <v>58</v>
      </c>
    </row>
    <row r="118" customFormat="false" ht="17.15" hidden="false" customHeight="false" outlineLevel="0" collapsed="false">
      <c r="A118" s="8" t="s">
        <v>253</v>
      </c>
      <c r="B118" s="9" t="s">
        <v>17</v>
      </c>
      <c r="C118" s="27" t="n">
        <v>0.05</v>
      </c>
      <c r="I118" s="9" t="s">
        <v>114</v>
      </c>
      <c r="J118" s="20" t="s">
        <v>231</v>
      </c>
      <c r="K118" s="8" t="s">
        <v>58</v>
      </c>
    </row>
    <row r="119" customFormat="false" ht="15" hidden="false" customHeight="false" outlineLevel="0" collapsed="false">
      <c r="A119" s="8" t="s">
        <v>254</v>
      </c>
      <c r="B119" s="9" t="s">
        <v>17</v>
      </c>
      <c r="C119" s="27" t="n">
        <v>0.35</v>
      </c>
      <c r="I119" s="9" t="s">
        <v>114</v>
      </c>
      <c r="J119" s="22"/>
      <c r="K119" s="8" t="s">
        <v>58</v>
      </c>
    </row>
    <row r="120" customFormat="false" ht="15" hidden="false" customHeight="false" outlineLevel="0" collapsed="false">
      <c r="A120" s="8" t="s">
        <v>255</v>
      </c>
      <c r="B120" s="9" t="s">
        <v>17</v>
      </c>
      <c r="C120" s="27" t="n">
        <v>0.55</v>
      </c>
      <c r="I120" s="9" t="s">
        <v>114</v>
      </c>
      <c r="J120" s="22"/>
      <c r="K120" s="8" t="s">
        <v>58</v>
      </c>
    </row>
    <row r="121" customFormat="false" ht="17.15" hidden="false" customHeight="false" outlineLevel="0" collapsed="false">
      <c r="A121" s="6" t="s">
        <v>256</v>
      </c>
      <c r="B121" s="7"/>
      <c r="C121" s="7"/>
      <c r="D121" s="7"/>
      <c r="E121" s="7"/>
      <c r="F121" s="7"/>
      <c r="G121" s="7"/>
      <c r="H121" s="7"/>
      <c r="I121" s="7"/>
      <c r="J121" s="7"/>
    </row>
    <row r="122" customFormat="false" ht="17.15" hidden="false" customHeight="false" outlineLevel="0" collapsed="false">
      <c r="A122" s="9" t="s">
        <v>257</v>
      </c>
      <c r="B122" s="9" t="s">
        <v>7</v>
      </c>
      <c r="C122" s="35" t="n">
        <v>8.4</v>
      </c>
      <c r="I122" s="9" t="s">
        <v>67</v>
      </c>
      <c r="J122" s="20" t="s">
        <v>258</v>
      </c>
      <c r="K122" s="8" t="s">
        <v>69</v>
      </c>
    </row>
    <row r="123" customFormat="false" ht="17.15" hidden="false" customHeight="false" outlineLevel="0" collapsed="false">
      <c r="A123" s="8" t="s">
        <v>259</v>
      </c>
      <c r="B123" s="9" t="s">
        <v>7</v>
      </c>
      <c r="C123" s="24" t="n">
        <v>3.9</v>
      </c>
      <c r="I123" s="9" t="s">
        <v>67</v>
      </c>
      <c r="J123" s="22" t="s">
        <v>260</v>
      </c>
      <c r="K123" s="8" t="s">
        <v>69</v>
      </c>
    </row>
    <row r="124" customFormat="false" ht="17.15" hidden="false" customHeight="false" outlineLevel="0" collapsed="false">
      <c r="A124" s="8" t="s">
        <v>261</v>
      </c>
      <c r="B124" s="9" t="s">
        <v>7</v>
      </c>
      <c r="C124" s="24" t="n">
        <v>4.5</v>
      </c>
      <c r="I124" s="9" t="s">
        <v>67</v>
      </c>
      <c r="J124" s="22" t="s">
        <v>262</v>
      </c>
      <c r="K124" s="8" t="s">
        <v>69</v>
      </c>
    </row>
    <row r="125" customFormat="false" ht="17.15" hidden="false" customHeight="false" outlineLevel="0" collapsed="false">
      <c r="A125" s="9" t="s">
        <v>263</v>
      </c>
      <c r="B125" s="9" t="s">
        <v>17</v>
      </c>
      <c r="C125" s="31" t="n">
        <v>0.5</v>
      </c>
      <c r="I125" s="9" t="s">
        <v>114</v>
      </c>
      <c r="J125" s="20" t="s">
        <v>264</v>
      </c>
      <c r="K125" s="8" t="s">
        <v>58</v>
      </c>
    </row>
    <row r="126" customFormat="false" ht="17.15" hidden="false" customHeight="false" outlineLevel="0" collapsed="false">
      <c r="A126" s="9" t="s">
        <v>265</v>
      </c>
      <c r="B126" s="9" t="s">
        <v>7</v>
      </c>
      <c r="C126" s="24" t="n">
        <v>14.1</v>
      </c>
      <c r="I126" s="9" t="s">
        <v>67</v>
      </c>
      <c r="J126" s="20" t="s">
        <v>266</v>
      </c>
      <c r="K126" s="8" t="s">
        <v>69</v>
      </c>
    </row>
    <row r="127" customFormat="false" ht="17.15" hidden="false" customHeight="false" outlineLevel="0" collapsed="false">
      <c r="A127" s="9" t="s">
        <v>267</v>
      </c>
      <c r="B127" s="9" t="s">
        <v>17</v>
      </c>
      <c r="C127" s="27" t="n">
        <v>0.66</v>
      </c>
      <c r="I127" s="9" t="s">
        <v>67</v>
      </c>
      <c r="J127" s="20" t="s">
        <v>266</v>
      </c>
      <c r="K127" s="8" t="s">
        <v>69</v>
      </c>
    </row>
    <row r="128" customFormat="false" ht="17.15" hidden="false" customHeight="false" outlineLevel="0" collapsed="false">
      <c r="A128" s="9" t="s">
        <v>268</v>
      </c>
      <c r="B128" s="9" t="s">
        <v>7</v>
      </c>
      <c r="C128" s="24" t="n">
        <v>85</v>
      </c>
      <c r="I128" s="9" t="s">
        <v>67</v>
      </c>
      <c r="J128" s="22" t="s">
        <v>122</v>
      </c>
      <c r="K128" s="8" t="s">
        <v>69</v>
      </c>
    </row>
    <row r="129" customFormat="false" ht="17.15" hidden="false" customHeight="false" outlineLevel="0" collapsed="false">
      <c r="A129" s="9" t="s">
        <v>269</v>
      </c>
      <c r="B129" s="9" t="s">
        <v>17</v>
      </c>
      <c r="C129" s="27" t="n">
        <v>0.67</v>
      </c>
      <c r="I129" s="9" t="s">
        <v>67</v>
      </c>
      <c r="J129" s="22" t="s">
        <v>122</v>
      </c>
      <c r="K129" s="8" t="s">
        <v>69</v>
      </c>
    </row>
    <row r="130" customFormat="false" ht="15" hidden="false" customHeight="false" outlineLevel="0" collapsed="false">
      <c r="A130" s="6" t="s">
        <v>270</v>
      </c>
      <c r="B130" s="7"/>
      <c r="C130" s="7"/>
      <c r="D130" s="7"/>
      <c r="E130" s="7"/>
      <c r="F130" s="7"/>
      <c r="G130" s="7"/>
      <c r="H130" s="7"/>
      <c r="I130" s="7"/>
      <c r="J130" s="7"/>
    </row>
    <row r="131" customFormat="false" ht="17.15" hidden="false" customHeight="false" outlineLevel="0" collapsed="false">
      <c r="A131" s="9" t="s">
        <v>271</v>
      </c>
      <c r="B131" s="9" t="s">
        <v>7</v>
      </c>
      <c r="C131" s="24" t="n">
        <v>3</v>
      </c>
      <c r="I131" s="9" t="s">
        <v>67</v>
      </c>
      <c r="J131" s="20" t="s">
        <v>272</v>
      </c>
      <c r="K131" s="8" t="s">
        <v>69</v>
      </c>
    </row>
    <row r="132" customFormat="false" ht="17.15" hidden="false" customHeight="false" outlineLevel="0" collapsed="false">
      <c r="A132" s="9" t="s">
        <v>273</v>
      </c>
      <c r="B132" s="9" t="s">
        <v>7</v>
      </c>
      <c r="C132" s="35" t="n">
        <v>12</v>
      </c>
      <c r="I132" s="9" t="s">
        <v>78</v>
      </c>
      <c r="J132" s="20" t="s">
        <v>274</v>
      </c>
      <c r="K132" s="8" t="s">
        <v>69</v>
      </c>
    </row>
    <row r="133" customFormat="false" ht="17.15" hidden="false" customHeight="false" outlineLevel="0" collapsed="false">
      <c r="A133" s="9" t="s">
        <v>275</v>
      </c>
      <c r="B133" s="9" t="s">
        <v>7</v>
      </c>
      <c r="C133" s="23" t="n">
        <v>19.18</v>
      </c>
      <c r="I133" s="9" t="s">
        <v>67</v>
      </c>
      <c r="J133" s="22" t="s">
        <v>276</v>
      </c>
      <c r="K133" s="8" t="s">
        <v>69</v>
      </c>
    </row>
    <row r="134" customFormat="false" ht="17.15" hidden="false" customHeight="false" outlineLevel="0" collapsed="false">
      <c r="A134" s="8" t="s">
        <v>277</v>
      </c>
      <c r="B134" s="9" t="s">
        <v>7</v>
      </c>
      <c r="C134" s="25" t="n">
        <v>856</v>
      </c>
      <c r="I134" s="9" t="s">
        <v>67</v>
      </c>
      <c r="J134" s="20" t="s">
        <v>278</v>
      </c>
      <c r="K134" s="8" t="s">
        <v>69</v>
      </c>
    </row>
    <row r="135" customFormat="false" ht="17.15" hidden="false" customHeight="false" outlineLevel="0" collapsed="false">
      <c r="A135" s="6" t="s">
        <v>279</v>
      </c>
      <c r="B135" s="7"/>
      <c r="C135" s="7"/>
      <c r="D135" s="7"/>
      <c r="E135" s="7"/>
      <c r="F135" s="7"/>
      <c r="G135" s="7"/>
      <c r="H135" s="7"/>
      <c r="I135" s="7"/>
      <c r="J135" s="7"/>
    </row>
    <row r="136" customFormat="false" ht="17.15" hidden="false" customHeight="false" outlineLevel="0" collapsed="false">
      <c r="A136" s="9" t="s">
        <v>280</v>
      </c>
      <c r="B136" s="8" t="s">
        <v>281</v>
      </c>
      <c r="C136" s="25" t="n">
        <v>5263</v>
      </c>
      <c r="I136" s="9" t="s">
        <v>78</v>
      </c>
      <c r="J136" s="20" t="s">
        <v>282</v>
      </c>
      <c r="K136" s="8" t="s">
        <v>80</v>
      </c>
    </row>
    <row r="137" customFormat="false" ht="17.15" hidden="false" customHeight="false" outlineLevel="0" collapsed="false">
      <c r="A137" s="9" t="s">
        <v>283</v>
      </c>
      <c r="B137" s="8" t="s">
        <v>281</v>
      </c>
      <c r="C137" s="25" t="n">
        <v>7194</v>
      </c>
      <c r="I137" s="9" t="s">
        <v>78</v>
      </c>
      <c r="J137" s="20" t="s">
        <v>284</v>
      </c>
      <c r="K137" s="8" t="s">
        <v>80</v>
      </c>
    </row>
    <row r="138" customFormat="false" ht="17.15" hidden="false" customHeight="false" outlineLevel="0" collapsed="false">
      <c r="A138" s="9" t="s">
        <v>285</v>
      </c>
      <c r="B138" s="9" t="s">
        <v>286</v>
      </c>
      <c r="C138" s="25" t="n">
        <v>105423</v>
      </c>
      <c r="I138" s="9" t="s">
        <v>78</v>
      </c>
      <c r="J138" s="20" t="s">
        <v>287</v>
      </c>
      <c r="K138" s="8" t="s">
        <v>80</v>
      </c>
    </row>
    <row r="139" customFormat="false" ht="17.15" hidden="false" customHeight="false" outlineLevel="0" collapsed="false">
      <c r="A139" s="9" t="s">
        <v>288</v>
      </c>
      <c r="B139" s="9" t="s">
        <v>286</v>
      </c>
      <c r="C139" s="25" t="n">
        <v>40668</v>
      </c>
      <c r="I139" s="9" t="s">
        <v>78</v>
      </c>
      <c r="J139" s="20" t="s">
        <v>289</v>
      </c>
      <c r="K139" s="8" t="s">
        <v>80</v>
      </c>
    </row>
    <row r="140" customFormat="false" ht="17.15" hidden="false" customHeight="false" outlineLevel="0" collapsed="false">
      <c r="A140" s="8" t="s">
        <v>290</v>
      </c>
      <c r="B140" s="9" t="s">
        <v>28</v>
      </c>
      <c r="C140" s="24" t="n">
        <v>43.2</v>
      </c>
      <c r="I140" s="9" t="s">
        <v>78</v>
      </c>
      <c r="J140" s="20" t="s">
        <v>291</v>
      </c>
      <c r="K140" s="8" t="s">
        <v>80</v>
      </c>
    </row>
    <row r="141" customFormat="false" ht="17.15" hidden="false" customHeight="false" outlineLevel="0" collapsed="false">
      <c r="A141" s="9" t="s">
        <v>292</v>
      </c>
      <c r="B141" s="9" t="s">
        <v>26</v>
      </c>
      <c r="C141" s="36" t="n">
        <v>0.15</v>
      </c>
      <c r="I141" s="9" t="s">
        <v>132</v>
      </c>
      <c r="J141" s="20" t="s">
        <v>293</v>
      </c>
      <c r="K141" s="8" t="s">
        <v>80</v>
      </c>
    </row>
    <row r="142" customFormat="false" ht="17.15" hidden="false" customHeight="false" outlineLevel="0" collapsed="false">
      <c r="A142" s="8" t="s">
        <v>294</v>
      </c>
      <c r="B142" s="9" t="s">
        <v>26</v>
      </c>
      <c r="C142" s="23" t="n">
        <v>0.6</v>
      </c>
      <c r="I142" s="9" t="s">
        <v>114</v>
      </c>
      <c r="J142" s="20" t="s">
        <v>295</v>
      </c>
      <c r="K142" s="8" t="s">
        <v>58</v>
      </c>
    </row>
    <row r="143" customFormat="false" ht="17.15" hidden="false" customHeight="false" outlineLevel="0" collapsed="false">
      <c r="A143" s="8" t="s">
        <v>296</v>
      </c>
      <c r="B143" s="9" t="s">
        <v>26</v>
      </c>
      <c r="C143" s="23" t="n">
        <v>1.8</v>
      </c>
      <c r="I143" s="9" t="s">
        <v>114</v>
      </c>
      <c r="J143" s="20" t="s">
        <v>297</v>
      </c>
      <c r="K143" s="8" t="s">
        <v>58</v>
      </c>
    </row>
    <row r="144" customFormat="false" ht="17.15" hidden="false" customHeight="false" outlineLevel="0" collapsed="false">
      <c r="A144" s="8" t="s">
        <v>298</v>
      </c>
      <c r="B144" s="9" t="s">
        <v>17</v>
      </c>
      <c r="C144" s="27" t="n">
        <v>0.6</v>
      </c>
      <c r="D144" s="27" t="n">
        <v>0.35</v>
      </c>
      <c r="E144" s="27" t="n">
        <v>0.15</v>
      </c>
      <c r="F144" s="27" t="n">
        <v>0.05</v>
      </c>
      <c r="G144" s="27" t="n">
        <v>0</v>
      </c>
      <c r="H144" s="27" t="n">
        <v>0</v>
      </c>
      <c r="I144" s="9" t="s">
        <v>114</v>
      </c>
      <c r="J144" s="22" t="s">
        <v>299</v>
      </c>
      <c r="K144" s="8" t="s">
        <v>58</v>
      </c>
    </row>
    <row r="145" customFormat="false" ht="17.15" hidden="false" customHeight="false" outlineLevel="0" collapsed="false">
      <c r="A145" s="8" t="s">
        <v>300</v>
      </c>
      <c r="B145" s="9" t="s">
        <v>17</v>
      </c>
      <c r="C145" s="27" t="n">
        <v>0.4</v>
      </c>
      <c r="D145" s="27" t="n">
        <v>0.55</v>
      </c>
      <c r="E145" s="27" t="n">
        <v>0.45</v>
      </c>
      <c r="F145" s="27" t="n">
        <v>0.3</v>
      </c>
      <c r="G145" s="27" t="n">
        <v>0.2</v>
      </c>
      <c r="H145" s="27" t="n">
        <v>0.1</v>
      </c>
      <c r="I145" s="9" t="s">
        <v>114</v>
      </c>
      <c r="J145" s="22" t="s">
        <v>299</v>
      </c>
      <c r="K145" s="8" t="s">
        <v>58</v>
      </c>
    </row>
    <row r="146" customFormat="false" ht="17.15" hidden="false" customHeight="false" outlineLevel="0" collapsed="false">
      <c r="A146" s="8" t="s">
        <v>301</v>
      </c>
      <c r="B146" s="9" t="s">
        <v>17</v>
      </c>
      <c r="C146" s="27" t="n">
        <v>0</v>
      </c>
      <c r="D146" s="27" t="n">
        <v>0.05</v>
      </c>
      <c r="E146" s="27" t="n">
        <v>0.3</v>
      </c>
      <c r="F146" s="27" t="n">
        <v>0.45</v>
      </c>
      <c r="G146" s="27" t="n">
        <v>0.5</v>
      </c>
      <c r="H146" s="27" t="n">
        <v>0.45</v>
      </c>
      <c r="I146" s="9" t="s">
        <v>114</v>
      </c>
      <c r="J146" s="22" t="s">
        <v>299</v>
      </c>
      <c r="K146" s="8" t="s">
        <v>58</v>
      </c>
    </row>
    <row r="147" customFormat="false" ht="17.15" hidden="false" customHeight="false" outlineLevel="0" collapsed="false">
      <c r="A147" s="8" t="s">
        <v>302</v>
      </c>
      <c r="B147" s="9" t="s">
        <v>17</v>
      </c>
      <c r="C147" s="27" t="n">
        <v>0</v>
      </c>
      <c r="D147" s="27" t="n">
        <v>0</v>
      </c>
      <c r="E147" s="27" t="n">
        <v>0</v>
      </c>
      <c r="F147" s="27" t="n">
        <v>0.05</v>
      </c>
      <c r="G147" s="27" t="n">
        <v>0.1</v>
      </c>
      <c r="H147" s="27" t="n">
        <v>0.2</v>
      </c>
      <c r="I147" s="9" t="s">
        <v>114</v>
      </c>
      <c r="J147" s="22" t="s">
        <v>299</v>
      </c>
      <c r="K147" s="8" t="s">
        <v>58</v>
      </c>
    </row>
    <row r="148" customFormat="false" ht="17.15" hidden="false" customHeight="false" outlineLevel="0" collapsed="false">
      <c r="A148" s="9" t="s">
        <v>303</v>
      </c>
      <c r="B148" s="9" t="s">
        <v>20</v>
      </c>
      <c r="C148" s="23" t="n">
        <v>0.6</v>
      </c>
      <c r="I148" s="9" t="s">
        <v>67</v>
      </c>
      <c r="J148" s="20" t="s">
        <v>304</v>
      </c>
      <c r="K148" s="8" t="s">
        <v>69</v>
      </c>
    </row>
    <row r="149" customFormat="false" ht="17.15" hidden="false" customHeight="false" outlineLevel="0" collapsed="false">
      <c r="A149" s="9" t="s">
        <v>305</v>
      </c>
      <c r="B149" s="9" t="s">
        <v>20</v>
      </c>
      <c r="C149" s="36" t="n">
        <v>1.9</v>
      </c>
      <c r="I149" s="9" t="s">
        <v>67</v>
      </c>
      <c r="J149" s="20" t="s">
        <v>304</v>
      </c>
      <c r="K149" s="8" t="s">
        <v>69</v>
      </c>
    </row>
    <row r="150" customFormat="false" ht="17.15" hidden="false" customHeight="false" outlineLevel="0" collapsed="false">
      <c r="A150" s="9" t="s">
        <v>306</v>
      </c>
      <c r="B150" s="9" t="s">
        <v>7</v>
      </c>
      <c r="C150" s="24" t="n">
        <v>20</v>
      </c>
      <c r="I150" s="9" t="s">
        <v>67</v>
      </c>
      <c r="J150" s="20" t="s">
        <v>304</v>
      </c>
      <c r="K150" s="8" t="s">
        <v>69</v>
      </c>
    </row>
    <row r="151" customFormat="false" ht="17.15" hidden="false" customHeight="false" outlineLevel="0" collapsed="false">
      <c r="A151" s="8" t="s">
        <v>307</v>
      </c>
      <c r="B151" s="9" t="s">
        <v>308</v>
      </c>
      <c r="C151" s="35" t="n">
        <v>12</v>
      </c>
      <c r="I151" s="9" t="s">
        <v>132</v>
      </c>
      <c r="J151" s="20" t="s">
        <v>309</v>
      </c>
      <c r="K151" s="8" t="s">
        <v>69</v>
      </c>
    </row>
    <row r="152" customFormat="false" ht="17.15" hidden="false" customHeight="false" outlineLevel="0" collapsed="false">
      <c r="A152" s="8" t="s">
        <v>310</v>
      </c>
      <c r="B152" s="9" t="s">
        <v>17</v>
      </c>
      <c r="C152" s="27" t="n">
        <v>0.1</v>
      </c>
      <c r="I152" s="9" t="s">
        <v>114</v>
      </c>
      <c r="J152" s="22"/>
      <c r="K152" s="8" t="s">
        <v>58</v>
      </c>
    </row>
    <row r="153" customFormat="false" ht="17.15" hidden="false" customHeight="false" outlineLevel="0" collapsed="false">
      <c r="A153" s="8" t="s">
        <v>311</v>
      </c>
      <c r="B153" s="9" t="s">
        <v>17</v>
      </c>
      <c r="C153" s="27" t="n">
        <v>0.3</v>
      </c>
      <c r="I153" s="9" t="s">
        <v>114</v>
      </c>
      <c r="J153" s="20" t="s">
        <v>312</v>
      </c>
      <c r="K153" s="8" t="s">
        <v>58</v>
      </c>
    </row>
    <row r="154" customFormat="false" ht="17.15" hidden="false" customHeight="false" outlineLevel="0" collapsed="false">
      <c r="A154" s="6" t="s">
        <v>313</v>
      </c>
      <c r="B154" s="7"/>
      <c r="C154" s="7"/>
      <c r="D154" s="7"/>
      <c r="E154" s="7"/>
      <c r="F154" s="7"/>
      <c r="G154" s="7"/>
      <c r="H154" s="7"/>
      <c r="I154" s="7"/>
      <c r="J154" s="7"/>
    </row>
    <row r="155" customFormat="false" ht="17.15" hidden="false" customHeight="false" outlineLevel="0" collapsed="false">
      <c r="A155" s="8" t="s">
        <v>314</v>
      </c>
      <c r="B155" s="9" t="s">
        <v>17</v>
      </c>
      <c r="C155" s="27" t="n">
        <v>0</v>
      </c>
      <c r="D155" s="27" t="n">
        <v>0.25</v>
      </c>
      <c r="E155" s="27" t="n">
        <v>0.35</v>
      </c>
      <c r="F155" s="27" t="n">
        <v>0.4</v>
      </c>
      <c r="G155" s="27" t="n">
        <v>0.45</v>
      </c>
      <c r="H155" s="27" t="n">
        <v>0.5</v>
      </c>
      <c r="I155" s="9" t="s">
        <v>114</v>
      </c>
      <c r="J155" s="20" t="s">
        <v>315</v>
      </c>
      <c r="K155" s="8" t="s">
        <v>58</v>
      </c>
    </row>
    <row r="156" customFormat="false" ht="17.15" hidden="false" customHeight="false" outlineLevel="0" collapsed="false">
      <c r="A156" s="8" t="s">
        <v>316</v>
      </c>
      <c r="B156" s="9" t="s">
        <v>317</v>
      </c>
      <c r="C156" s="24" t="n">
        <v>0</v>
      </c>
      <c r="D156" s="24" t="n">
        <v>3</v>
      </c>
      <c r="E156" s="24" t="n">
        <v>4</v>
      </c>
      <c r="F156" s="24" t="n">
        <v>4.5</v>
      </c>
      <c r="G156" s="24" t="n">
        <v>5</v>
      </c>
      <c r="H156" s="24" t="n">
        <v>5.5</v>
      </c>
      <c r="I156" s="9" t="s">
        <v>132</v>
      </c>
      <c r="J156" s="22" t="s">
        <v>318</v>
      </c>
      <c r="K156" s="8" t="s">
        <v>69</v>
      </c>
    </row>
    <row r="157" customFormat="false" ht="15" hidden="false" customHeight="false" outlineLevel="0" collapsed="false">
      <c r="A157" s="6" t="s">
        <v>319</v>
      </c>
      <c r="B157" s="7"/>
      <c r="C157" s="7"/>
      <c r="D157" s="7"/>
      <c r="E157" s="7"/>
      <c r="F157" s="7"/>
      <c r="G157" s="7"/>
      <c r="H157" s="7"/>
      <c r="I157" s="7"/>
      <c r="J157" s="7"/>
    </row>
    <row r="158" customFormat="false" ht="17.15" hidden="false" customHeight="false" outlineLevel="0" collapsed="false">
      <c r="A158" s="8" t="s">
        <v>320</v>
      </c>
      <c r="B158" s="9" t="s">
        <v>7</v>
      </c>
      <c r="C158" s="35" t="n">
        <v>13.07</v>
      </c>
      <c r="D158" s="35" t="n">
        <v>36</v>
      </c>
      <c r="E158" s="35" t="n">
        <v>75.1</v>
      </c>
      <c r="F158" s="35" t="n">
        <v>141.5</v>
      </c>
      <c r="G158" s="35" t="n">
        <v>237.4</v>
      </c>
      <c r="H158" s="35" t="n">
        <v>350</v>
      </c>
      <c r="I158" s="9" t="s">
        <v>321</v>
      </c>
      <c r="J158" s="20" t="s">
        <v>322</v>
      </c>
      <c r="K158" s="8" t="s">
        <v>80</v>
      </c>
    </row>
    <row r="159" customFormat="false" ht="17.15" hidden="false" customHeight="false" outlineLevel="0" collapsed="false">
      <c r="A159" s="8" t="s">
        <v>323</v>
      </c>
      <c r="B159" s="9" t="s">
        <v>7</v>
      </c>
      <c r="C159" s="24" t="n">
        <v>0</v>
      </c>
      <c r="D159" s="24" t="n">
        <v>2.5</v>
      </c>
      <c r="E159" s="24" t="n">
        <v>11</v>
      </c>
      <c r="F159" s="24" t="n">
        <v>25</v>
      </c>
      <c r="G159" s="24" t="n">
        <v>53</v>
      </c>
      <c r="H159" s="24" t="n">
        <v>100</v>
      </c>
      <c r="I159" s="9" t="s">
        <v>67</v>
      </c>
      <c r="J159" s="20" t="s">
        <v>324</v>
      </c>
      <c r="K159" s="8" t="s">
        <v>69</v>
      </c>
    </row>
    <row r="160" customFormat="false" ht="17.15" hidden="false" customHeight="false" outlineLevel="0" collapsed="false">
      <c r="A160" s="9" t="s">
        <v>325</v>
      </c>
      <c r="B160" s="9" t="s">
        <v>149</v>
      </c>
      <c r="C160" s="25" t="n">
        <v>2750</v>
      </c>
      <c r="I160" s="9" t="s">
        <v>67</v>
      </c>
      <c r="J160" s="20" t="s">
        <v>326</v>
      </c>
      <c r="K160" s="8" t="s">
        <v>69</v>
      </c>
    </row>
    <row r="161" customFormat="false" ht="17.15" hidden="false" customHeight="false" outlineLevel="0" collapsed="false">
      <c r="A161" s="8" t="s">
        <v>327</v>
      </c>
      <c r="B161" s="9" t="s">
        <v>7</v>
      </c>
      <c r="C161" s="25" t="n">
        <v>-278</v>
      </c>
      <c r="I161" s="9" t="s">
        <v>67</v>
      </c>
      <c r="J161" s="20" t="s">
        <v>328</v>
      </c>
      <c r="K161" s="8" t="s">
        <v>69</v>
      </c>
    </row>
    <row r="162" customFormat="false" ht="17.15" hidden="false" customHeight="false" outlineLevel="0" collapsed="false">
      <c r="A162" s="6" t="s">
        <v>329</v>
      </c>
      <c r="B162" s="7"/>
      <c r="C162" s="7"/>
      <c r="D162" s="7"/>
      <c r="E162" s="7"/>
      <c r="F162" s="7"/>
      <c r="G162" s="7"/>
      <c r="H162" s="7"/>
      <c r="I162" s="7"/>
      <c r="J162" s="7"/>
    </row>
    <row r="163" customFormat="false" ht="17.15" hidden="false" customHeight="false" outlineLevel="0" collapsed="false">
      <c r="C163" s="12" t="s">
        <v>330</v>
      </c>
      <c r="D163" s="12" t="s">
        <v>331</v>
      </c>
      <c r="E163" s="12" t="s">
        <v>332</v>
      </c>
      <c r="F163" s="12" t="s">
        <v>333</v>
      </c>
      <c r="G163" s="12" t="s">
        <v>334</v>
      </c>
    </row>
    <row r="164" customFormat="false" ht="17.15" hidden="false" customHeight="false" outlineLevel="0" collapsed="false">
      <c r="A164" s="9" t="s">
        <v>335</v>
      </c>
      <c r="B164" s="9" t="s">
        <v>7</v>
      </c>
      <c r="C164" s="24" t="n">
        <v>250</v>
      </c>
      <c r="D164" s="21" t="n">
        <v>2025</v>
      </c>
      <c r="E164" s="21" t="n">
        <v>2030</v>
      </c>
      <c r="I164" s="9" t="s">
        <v>336</v>
      </c>
      <c r="J164" s="8" t="s">
        <v>337</v>
      </c>
      <c r="K164" s="8" t="s">
        <v>69</v>
      </c>
    </row>
    <row r="165" customFormat="false" ht="17.15" hidden="false" customHeight="false" outlineLevel="0" collapsed="false">
      <c r="A165" s="9" t="s">
        <v>338</v>
      </c>
      <c r="B165" s="9" t="s">
        <v>7</v>
      </c>
      <c r="C165" s="24" t="n">
        <v>300</v>
      </c>
      <c r="D165" s="21" t="n">
        <v>2027</v>
      </c>
      <c r="E165" s="21" t="n">
        <v>2031</v>
      </c>
      <c r="F165" s="24" t="n">
        <v>60</v>
      </c>
      <c r="G165" s="23" t="n">
        <v>4.5</v>
      </c>
      <c r="I165" s="9" t="s">
        <v>67</v>
      </c>
      <c r="J165" s="9" t="s">
        <v>339</v>
      </c>
      <c r="K165" s="8" t="s">
        <v>69</v>
      </c>
    </row>
    <row r="166" customFormat="false" ht="17.15" hidden="false" customHeight="false" outlineLevel="0" collapsed="false">
      <c r="A166" s="9" t="s">
        <v>340</v>
      </c>
      <c r="B166" s="9" t="s">
        <v>7</v>
      </c>
      <c r="C166" s="24" t="n">
        <v>38</v>
      </c>
      <c r="D166" s="21" t="n">
        <v>2025</v>
      </c>
      <c r="E166" s="21" t="n">
        <v>2031</v>
      </c>
      <c r="I166" s="9" t="s">
        <v>94</v>
      </c>
      <c r="J166" s="9" t="s">
        <v>341</v>
      </c>
      <c r="K166" s="8" t="s">
        <v>69</v>
      </c>
    </row>
    <row r="167" customFormat="false" ht="17.15" hidden="false" customHeight="false" outlineLevel="0" collapsed="false">
      <c r="A167" s="9" t="s">
        <v>342</v>
      </c>
      <c r="B167" s="9" t="s">
        <v>7</v>
      </c>
      <c r="C167" s="24" t="n">
        <v>100</v>
      </c>
      <c r="D167" s="21" t="n">
        <v>2026</v>
      </c>
      <c r="E167" s="21" t="n">
        <v>2033</v>
      </c>
      <c r="G167" s="23" t="n">
        <v>2</v>
      </c>
      <c r="I167" s="9" t="s">
        <v>94</v>
      </c>
      <c r="J167" s="9" t="s">
        <v>343</v>
      </c>
      <c r="K167" s="8" t="s">
        <v>69</v>
      </c>
    </row>
    <row r="168" customFormat="false" ht="17.15" hidden="false" customHeight="false" outlineLevel="0" collapsed="false">
      <c r="A168" s="9" t="s">
        <v>344</v>
      </c>
      <c r="B168" s="9" t="s">
        <v>7</v>
      </c>
      <c r="C168" s="24" t="n">
        <v>22.4</v>
      </c>
      <c r="D168" s="21" t="n">
        <v>2025</v>
      </c>
      <c r="E168" s="21" t="n">
        <v>2029</v>
      </c>
      <c r="I168" s="9" t="s">
        <v>94</v>
      </c>
      <c r="J168" s="9" t="s">
        <v>345</v>
      </c>
      <c r="K168" s="8" t="s">
        <v>69</v>
      </c>
    </row>
    <row r="169" customFormat="false" ht="17.15" hidden="false" customHeight="false" outlineLevel="0" collapsed="false">
      <c r="A169" s="9" t="s">
        <v>346</v>
      </c>
      <c r="B169" s="9" t="s">
        <v>7</v>
      </c>
      <c r="C169" s="24" t="n">
        <v>20</v>
      </c>
      <c r="D169" s="21" t="n">
        <v>2026</v>
      </c>
      <c r="E169" s="21" t="n">
        <v>2031</v>
      </c>
      <c r="G169" s="23" t="n">
        <v>0.75</v>
      </c>
      <c r="I169" s="9" t="s">
        <v>336</v>
      </c>
      <c r="J169" s="9" t="s">
        <v>347</v>
      </c>
      <c r="K169" s="8" t="s">
        <v>69</v>
      </c>
    </row>
    <row r="170" customFormat="false" ht="15" hidden="false" customHeight="false" outlineLevel="0" collapsed="false">
      <c r="A170" s="6" t="s">
        <v>348</v>
      </c>
      <c r="B170" s="7"/>
      <c r="C170" s="7"/>
      <c r="D170" s="7"/>
      <c r="E170" s="7"/>
      <c r="F170" s="7"/>
      <c r="G170" s="7"/>
      <c r="H170" s="7"/>
      <c r="I170" s="7"/>
      <c r="J170" s="7"/>
    </row>
    <row r="171" customFormat="false" ht="17.15" hidden="false" customHeight="false" outlineLevel="0" collapsed="false">
      <c r="A171" s="8" t="s">
        <v>349</v>
      </c>
      <c r="B171" s="9" t="s">
        <v>7</v>
      </c>
      <c r="C171" s="24" t="n">
        <v>0</v>
      </c>
      <c r="D171" s="24" t="n">
        <v>20</v>
      </c>
      <c r="E171" s="24" t="n">
        <v>30</v>
      </c>
      <c r="F171" s="24" t="n">
        <v>45</v>
      </c>
      <c r="G171" s="24" t="n">
        <v>60</v>
      </c>
      <c r="H171" s="24" t="n">
        <v>70</v>
      </c>
      <c r="I171" s="9" t="s">
        <v>114</v>
      </c>
      <c r="J171" s="22" t="s">
        <v>350</v>
      </c>
      <c r="K171" s="8" t="s">
        <v>58</v>
      </c>
    </row>
    <row r="172" customFormat="false" ht="17.15" hidden="false" customHeight="false" outlineLevel="0" collapsed="false">
      <c r="A172" s="8" t="s">
        <v>351</v>
      </c>
      <c r="B172" s="9" t="s">
        <v>17</v>
      </c>
      <c r="C172" s="27" t="n">
        <v>0</v>
      </c>
      <c r="I172" s="9" t="s">
        <v>114</v>
      </c>
      <c r="J172" s="20" t="s">
        <v>352</v>
      </c>
      <c r="K172" s="8" t="s">
        <v>58</v>
      </c>
    </row>
    <row r="173" customFormat="false" ht="17.15" hidden="false" customHeight="false" outlineLevel="0" collapsed="false">
      <c r="A173" s="8" t="s">
        <v>353</v>
      </c>
      <c r="B173" s="9" t="s">
        <v>17</v>
      </c>
      <c r="C173" s="27" t="n">
        <v>1.216</v>
      </c>
      <c r="D173" s="27" t="n">
        <v>0.33</v>
      </c>
      <c r="E173" s="27" t="n">
        <v>0.265</v>
      </c>
      <c r="F173" s="27" t="n">
        <v>0.22</v>
      </c>
      <c r="G173" s="27" t="n">
        <v>0.18</v>
      </c>
      <c r="H173" s="27" t="n">
        <v>0.14</v>
      </c>
      <c r="I173" s="9" t="s">
        <v>114</v>
      </c>
      <c r="J173" s="20" t="s">
        <v>354</v>
      </c>
      <c r="K173" s="8" t="s">
        <v>80</v>
      </c>
    </row>
    <row r="174" customFormat="false" ht="17.15" hidden="false" customHeight="false" outlineLevel="0" collapsed="false">
      <c r="A174" s="8" t="s">
        <v>355</v>
      </c>
      <c r="B174" s="9" t="s">
        <v>7</v>
      </c>
      <c r="C174" s="25" t="n">
        <v>750</v>
      </c>
      <c r="I174" s="9" t="s">
        <v>67</v>
      </c>
      <c r="J174" s="20" t="s">
        <v>356</v>
      </c>
      <c r="K174" s="8" t="s">
        <v>69</v>
      </c>
    </row>
    <row r="175" customFormat="false" ht="17.15" hidden="false" customHeight="false" outlineLevel="0" collapsed="false">
      <c r="A175" s="8" t="s">
        <v>357</v>
      </c>
      <c r="B175" s="9" t="s">
        <v>7</v>
      </c>
      <c r="C175" s="25" t="n">
        <v>856</v>
      </c>
      <c r="I175" s="9" t="s">
        <v>67</v>
      </c>
      <c r="J175" s="20" t="s">
        <v>328</v>
      </c>
      <c r="K175" s="8" t="s">
        <v>69</v>
      </c>
    </row>
    <row r="176" customFormat="false" ht="17.15" hidden="false" customHeight="false" outlineLevel="0" collapsed="false">
      <c r="A176" s="9" t="s">
        <v>358</v>
      </c>
      <c r="B176" s="9" t="s">
        <v>7</v>
      </c>
      <c r="C176" s="25" t="n">
        <v>50</v>
      </c>
      <c r="I176" s="9" t="s">
        <v>67</v>
      </c>
      <c r="J176" s="20" t="s">
        <v>359</v>
      </c>
      <c r="K176" s="8" t="s">
        <v>69</v>
      </c>
    </row>
    <row r="177" customFormat="false" ht="15" hidden="false" customHeight="false" outlineLevel="0" collapsed="false">
      <c r="A177" s="6" t="s">
        <v>360</v>
      </c>
      <c r="B177" s="7"/>
      <c r="C177" s="7"/>
      <c r="D177" s="7"/>
      <c r="E177" s="7"/>
      <c r="F177" s="7"/>
      <c r="G177" s="7"/>
      <c r="H177" s="7"/>
      <c r="I177" s="7"/>
      <c r="J177" s="7"/>
    </row>
    <row r="178" customFormat="false" ht="17.15" hidden="false" customHeight="false" outlineLevel="0" collapsed="false">
      <c r="A178" s="9" t="s">
        <v>361</v>
      </c>
      <c r="B178" s="9" t="s">
        <v>7</v>
      </c>
      <c r="C178" s="24" t="n">
        <v>40</v>
      </c>
      <c r="I178" s="9" t="s">
        <v>67</v>
      </c>
      <c r="J178" s="20" t="s">
        <v>362</v>
      </c>
      <c r="K178" s="8" t="s">
        <v>69</v>
      </c>
    </row>
    <row r="179" customFormat="false" ht="17.15" hidden="false" customHeight="false" outlineLevel="0" collapsed="false">
      <c r="A179" s="9" t="s">
        <v>363</v>
      </c>
      <c r="B179" s="9" t="s">
        <v>7</v>
      </c>
      <c r="C179" s="24" t="n">
        <v>87</v>
      </c>
      <c r="I179" s="9" t="s">
        <v>67</v>
      </c>
      <c r="J179" s="20" t="s">
        <v>364</v>
      </c>
      <c r="K179" s="8" t="s">
        <v>69</v>
      </c>
    </row>
    <row r="180" customFormat="false" ht="17.15" hidden="false" customHeight="false" outlineLevel="0" collapsed="false">
      <c r="A180" s="9" t="s">
        <v>365</v>
      </c>
      <c r="B180" s="9" t="s">
        <v>7</v>
      </c>
      <c r="C180" s="24" t="n">
        <v>35</v>
      </c>
      <c r="I180" s="9" t="s">
        <v>94</v>
      </c>
      <c r="J180" s="20" t="s">
        <v>366</v>
      </c>
      <c r="K180" s="8" t="s">
        <v>96</v>
      </c>
    </row>
    <row r="181" customFormat="false" ht="17.15" hidden="false" customHeight="false" outlineLevel="0" collapsed="false">
      <c r="A181" s="8" t="s">
        <v>367</v>
      </c>
      <c r="B181" s="9" t="s">
        <v>7</v>
      </c>
      <c r="C181" s="24" t="n">
        <v>10</v>
      </c>
      <c r="I181" s="9" t="s">
        <v>114</v>
      </c>
      <c r="J181" s="20" t="s">
        <v>368</v>
      </c>
      <c r="K181" s="8" t="s">
        <v>58</v>
      </c>
    </row>
    <row r="182" customFormat="false" ht="17.15" hidden="false" customHeight="false" outlineLevel="0" collapsed="false">
      <c r="A182" s="8" t="s">
        <v>369</v>
      </c>
      <c r="B182" s="9" t="s">
        <v>7</v>
      </c>
      <c r="C182" s="25" t="n">
        <v>250</v>
      </c>
      <c r="I182" s="9" t="s">
        <v>67</v>
      </c>
      <c r="J182" s="20" t="s">
        <v>370</v>
      </c>
      <c r="K182" s="8" t="s">
        <v>69</v>
      </c>
    </row>
    <row r="183" customFormat="false" ht="17.15" hidden="false" customHeight="false" outlineLevel="0" collapsed="false">
      <c r="A183" s="8" t="s">
        <v>371</v>
      </c>
      <c r="B183" s="9" t="s">
        <v>7</v>
      </c>
      <c r="C183" s="25" t="n">
        <v>350</v>
      </c>
      <c r="I183" s="9" t="s">
        <v>67</v>
      </c>
      <c r="J183" s="20" t="s">
        <v>372</v>
      </c>
      <c r="K183" s="8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70"/>
    <col collapsed="false" customWidth="true" hidden="false" outlineLevel="0" max="7" min="7" style="0" width="52"/>
  </cols>
  <sheetData>
    <row r="1" customFormat="false" ht="20.1" hidden="false" customHeight="false" outlineLevel="0" collapsed="false">
      <c r="A1" s="37" t="s">
        <v>373</v>
      </c>
    </row>
    <row r="2" customFormat="false" ht="17.15" hidden="false" customHeight="false" outlineLevel="0" collapsed="false">
      <c r="A2" s="2" t="str">
        <f aca="false">"待查核-workbook："&amp;COUNTIF(E4:E164,"待查核-workbook")&amp;"　待查核-報導："&amp;COUNTIF(E4:E164,"待查核-報導")&amp;"　假設："&amp;COUNTIF(E4:E164,"假設")&amp;"　已核實："&amp;COUNTIF(E4:E164,"已核實")</f>
        <v>待查核-workbook：38　待查核-報導：54　假設：66　已核實：3</v>
      </c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374</v>
      </c>
      <c r="D3" s="3" t="s">
        <v>49</v>
      </c>
      <c r="E3" s="3" t="s">
        <v>375</v>
      </c>
      <c r="F3" s="3" t="s">
        <v>376</v>
      </c>
      <c r="G3" s="3" t="s">
        <v>377</v>
      </c>
    </row>
    <row r="4" customFormat="false" ht="17.15" hidden="false" customHeight="false" outlineLevel="0" collapsed="false">
      <c r="A4" s="2" t="s">
        <v>378</v>
      </c>
      <c r="B4" s="2" t="s">
        <v>54</v>
      </c>
      <c r="C4" s="2" t="str">
        <f aca="false">輸入!C5</f>
        <v>base</v>
      </c>
      <c r="D4" s="38" t="s">
        <v>56</v>
      </c>
      <c r="E4" s="2" t="s">
        <v>58</v>
      </c>
      <c r="F4" s="38" t="s">
        <v>379</v>
      </c>
      <c r="G4" s="2" t="s">
        <v>380</v>
      </c>
    </row>
    <row r="5" customFormat="false" ht="17.15" hidden="false" customHeight="false" outlineLevel="0" collapsed="false">
      <c r="A5" s="2" t="s">
        <v>381</v>
      </c>
      <c r="B5" s="2" t="s">
        <v>54</v>
      </c>
      <c r="C5" s="2" t="str">
        <f aca="false">輸入!C6</f>
        <v>ramp</v>
      </c>
      <c r="D5" s="38" t="s">
        <v>56</v>
      </c>
      <c r="E5" s="2" t="s">
        <v>58</v>
      </c>
      <c r="F5" s="38" t="s">
        <v>382</v>
      </c>
      <c r="G5" s="2" t="s">
        <v>380</v>
      </c>
    </row>
    <row r="6" customFormat="false" ht="17.15" hidden="false" customHeight="false" outlineLevel="0" collapsed="false">
      <c r="A6" s="2" t="s">
        <v>383</v>
      </c>
      <c r="B6" s="38" t="s">
        <v>63</v>
      </c>
      <c r="C6" s="39" t="n">
        <f aca="false">輸入!C7</f>
        <v>0</v>
      </c>
      <c r="D6" s="38" t="s">
        <v>56</v>
      </c>
      <c r="E6" s="2" t="s">
        <v>58</v>
      </c>
      <c r="F6" s="2" t="s">
        <v>384</v>
      </c>
      <c r="G6" s="2" t="s">
        <v>380</v>
      </c>
    </row>
    <row r="7" customFormat="false" ht="17.15" hidden="false" customHeight="false" outlineLevel="0" collapsed="false">
      <c r="A7" s="38" t="s">
        <v>385</v>
      </c>
      <c r="B7" s="38" t="s">
        <v>7</v>
      </c>
      <c r="C7" s="40" t="n">
        <f aca="false">輸入!C9</f>
        <v>13.07</v>
      </c>
      <c r="D7" s="38" t="s">
        <v>67</v>
      </c>
      <c r="E7" s="41" t="s">
        <v>386</v>
      </c>
      <c r="F7" s="38" t="s">
        <v>387</v>
      </c>
      <c r="G7" s="2" t="s">
        <v>388</v>
      </c>
    </row>
    <row r="8" customFormat="false" ht="17.15" hidden="false" customHeight="false" outlineLevel="0" collapsed="false">
      <c r="A8" s="38" t="s">
        <v>389</v>
      </c>
      <c r="B8" s="38" t="s">
        <v>7</v>
      </c>
      <c r="C8" s="11" t="n">
        <f aca="false">輸入!C10</f>
        <v>5.7</v>
      </c>
      <c r="D8" s="38" t="s">
        <v>67</v>
      </c>
      <c r="E8" s="41" t="s">
        <v>386</v>
      </c>
      <c r="F8" s="38" t="s">
        <v>390</v>
      </c>
      <c r="G8" s="2" t="s">
        <v>388</v>
      </c>
    </row>
    <row r="9" customFormat="false" ht="17.15" hidden="false" customHeight="false" outlineLevel="0" collapsed="false">
      <c r="A9" s="38" t="s">
        <v>391</v>
      </c>
      <c r="B9" s="38" t="s">
        <v>7</v>
      </c>
      <c r="C9" s="11" t="n">
        <f aca="false">輸入!C11</f>
        <v>6.7</v>
      </c>
      <c r="D9" s="38" t="s">
        <v>67</v>
      </c>
      <c r="E9" s="41" t="s">
        <v>386</v>
      </c>
      <c r="F9" s="38" t="s">
        <v>392</v>
      </c>
      <c r="G9" s="2" t="s">
        <v>388</v>
      </c>
    </row>
    <row r="10" customFormat="false" ht="17.15" hidden="false" customHeight="false" outlineLevel="0" collapsed="false">
      <c r="A10" s="38" t="s">
        <v>393</v>
      </c>
      <c r="B10" s="38" t="s">
        <v>7</v>
      </c>
      <c r="C10" s="11" t="n">
        <f aca="false">輸入!C12</f>
        <v>7.5</v>
      </c>
      <c r="D10" s="38" t="s">
        <v>67</v>
      </c>
      <c r="E10" s="41" t="s">
        <v>386</v>
      </c>
      <c r="F10" s="2" t="s">
        <v>394</v>
      </c>
      <c r="G10" s="2" t="s">
        <v>388</v>
      </c>
    </row>
    <row r="11" customFormat="false" ht="17.15" hidden="false" customHeight="false" outlineLevel="0" collapsed="false">
      <c r="A11" s="38" t="s">
        <v>395</v>
      </c>
      <c r="B11" s="38" t="s">
        <v>77</v>
      </c>
      <c r="C11" s="42" t="n">
        <f aca="false">輸入!C13</f>
        <v>2628</v>
      </c>
      <c r="D11" s="38" t="s">
        <v>78</v>
      </c>
      <c r="E11" s="41" t="s">
        <v>396</v>
      </c>
      <c r="F11" s="38" t="s">
        <v>397</v>
      </c>
      <c r="G11" s="2" t="s">
        <v>398</v>
      </c>
    </row>
    <row r="12" customFormat="false" ht="17.15" hidden="false" customHeight="false" outlineLevel="0" collapsed="false">
      <c r="A12" s="38" t="s">
        <v>399</v>
      </c>
      <c r="B12" s="38" t="s">
        <v>7</v>
      </c>
      <c r="C12" s="11" t="n">
        <f aca="false">輸入!C14</f>
        <v>31</v>
      </c>
      <c r="D12" s="38" t="s">
        <v>78</v>
      </c>
      <c r="E12" s="41" t="s">
        <v>386</v>
      </c>
      <c r="F12" s="38" t="s">
        <v>400</v>
      </c>
      <c r="G12" s="2" t="s">
        <v>388</v>
      </c>
    </row>
    <row r="13" customFormat="false" ht="17.15" hidden="false" customHeight="false" outlineLevel="0" collapsed="false">
      <c r="A13" s="38" t="s">
        <v>401</v>
      </c>
      <c r="B13" s="38" t="s">
        <v>7</v>
      </c>
      <c r="C13" s="11" t="n">
        <f aca="false">輸入!C15</f>
        <v>36</v>
      </c>
      <c r="D13" s="38" t="s">
        <v>78</v>
      </c>
      <c r="E13" s="41" t="s">
        <v>386</v>
      </c>
      <c r="F13" s="2" t="s">
        <v>402</v>
      </c>
      <c r="G13" s="2" t="s">
        <v>388</v>
      </c>
    </row>
    <row r="14" customFormat="false" ht="17.15" hidden="false" customHeight="false" outlineLevel="0" collapsed="false">
      <c r="A14" s="2" t="s">
        <v>86</v>
      </c>
      <c r="B14" s="38" t="s">
        <v>17</v>
      </c>
      <c r="C14" s="43" t="n">
        <f aca="false">輸入!C17</f>
        <v>0.2</v>
      </c>
      <c r="D14" s="38" t="s">
        <v>67</v>
      </c>
      <c r="E14" s="41" t="s">
        <v>386</v>
      </c>
      <c r="F14" s="38" t="s">
        <v>403</v>
      </c>
      <c r="G14" s="2" t="s">
        <v>388</v>
      </c>
    </row>
    <row r="15" customFormat="false" ht="17.15" hidden="false" customHeight="false" outlineLevel="0" collapsed="false">
      <c r="A15" s="2" t="s">
        <v>88</v>
      </c>
      <c r="B15" s="38" t="s">
        <v>7</v>
      </c>
      <c r="C15" s="11" t="n">
        <f aca="false">輸入!C18</f>
        <v>38</v>
      </c>
      <c r="D15" s="38" t="s">
        <v>67</v>
      </c>
      <c r="E15" s="41" t="s">
        <v>386</v>
      </c>
      <c r="F15" s="38" t="s">
        <v>404</v>
      </c>
      <c r="G15" s="2" t="s">
        <v>388</v>
      </c>
    </row>
    <row r="16" customFormat="false" ht="15" hidden="false" customHeight="false" outlineLevel="0" collapsed="false">
      <c r="A16" s="2" t="s">
        <v>90</v>
      </c>
      <c r="B16" s="2" t="s">
        <v>91</v>
      </c>
      <c r="C16" s="39" t="n">
        <f aca="false">輸入!C19</f>
        <v>2026</v>
      </c>
      <c r="D16" s="38" t="s">
        <v>56</v>
      </c>
      <c r="E16" s="2" t="s">
        <v>58</v>
      </c>
      <c r="F16" s="38" t="s">
        <v>92</v>
      </c>
      <c r="G16" s="2" t="s">
        <v>380</v>
      </c>
    </row>
    <row r="17" customFormat="false" ht="17.15" hidden="false" customHeight="false" outlineLevel="0" collapsed="false">
      <c r="A17" s="2" t="s">
        <v>93</v>
      </c>
      <c r="B17" s="2" t="s">
        <v>91</v>
      </c>
      <c r="C17" s="39" t="n">
        <f aca="false">輸入!C20</f>
        <v>2030</v>
      </c>
      <c r="D17" s="38" t="s">
        <v>94</v>
      </c>
      <c r="E17" s="2" t="s">
        <v>96</v>
      </c>
      <c r="F17" s="38" t="s">
        <v>405</v>
      </c>
      <c r="G17" s="38" t="s">
        <v>406</v>
      </c>
    </row>
    <row r="18" customFormat="false" ht="17.15" hidden="false" customHeight="false" outlineLevel="0" collapsed="false">
      <c r="A18" s="2" t="s">
        <v>407</v>
      </c>
      <c r="B18" s="38" t="s">
        <v>99</v>
      </c>
      <c r="C18" s="40" t="n">
        <f aca="false">輸入!C22</f>
        <v>2.5</v>
      </c>
      <c r="D18" s="38" t="s">
        <v>100</v>
      </c>
      <c r="E18" s="41" t="s">
        <v>386</v>
      </c>
      <c r="F18" s="38" t="s">
        <v>408</v>
      </c>
      <c r="G18" s="2" t="s">
        <v>388</v>
      </c>
    </row>
    <row r="19" customFormat="false" ht="17.15" hidden="false" customHeight="false" outlineLevel="0" collapsed="false">
      <c r="A19" s="2" t="s">
        <v>409</v>
      </c>
      <c r="B19" s="38" t="s">
        <v>99</v>
      </c>
      <c r="C19" s="40" t="n">
        <f aca="false">輸入!C23</f>
        <v>14</v>
      </c>
      <c r="D19" s="38" t="s">
        <v>100</v>
      </c>
      <c r="E19" s="41" t="s">
        <v>386</v>
      </c>
      <c r="F19" s="38" t="s">
        <v>410</v>
      </c>
      <c r="G19" s="2" t="s">
        <v>388</v>
      </c>
    </row>
    <row r="20" customFormat="false" ht="17.15" hidden="false" customHeight="false" outlineLevel="0" collapsed="false">
      <c r="A20" s="2" t="s">
        <v>411</v>
      </c>
      <c r="B20" s="38" t="s">
        <v>99</v>
      </c>
      <c r="C20" s="40" t="n">
        <f aca="false">輸入!C24</f>
        <v>1.5</v>
      </c>
      <c r="D20" s="38" t="s">
        <v>100</v>
      </c>
      <c r="E20" s="41" t="s">
        <v>386</v>
      </c>
      <c r="F20" s="38" t="s">
        <v>408</v>
      </c>
      <c r="G20" s="2" t="s">
        <v>388</v>
      </c>
    </row>
    <row r="21" customFormat="false" ht="17.15" hidden="false" customHeight="false" outlineLevel="0" collapsed="false">
      <c r="A21" s="2" t="s">
        <v>412</v>
      </c>
      <c r="B21" s="38" t="s">
        <v>99</v>
      </c>
      <c r="C21" s="40" t="n">
        <f aca="false">輸入!C25</f>
        <v>8</v>
      </c>
      <c r="D21" s="38" t="s">
        <v>100</v>
      </c>
      <c r="E21" s="41" t="s">
        <v>386</v>
      </c>
      <c r="F21" s="38" t="s">
        <v>410</v>
      </c>
      <c r="G21" s="2" t="s">
        <v>388</v>
      </c>
    </row>
    <row r="22" customFormat="false" ht="17.15" hidden="false" customHeight="false" outlineLevel="0" collapsed="false">
      <c r="A22" s="2" t="s">
        <v>413</v>
      </c>
      <c r="B22" s="38" t="s">
        <v>99</v>
      </c>
      <c r="C22" s="40" t="n">
        <f aca="false">輸入!C26</f>
        <v>0.2</v>
      </c>
      <c r="D22" s="38" t="s">
        <v>100</v>
      </c>
      <c r="E22" s="41" t="s">
        <v>386</v>
      </c>
      <c r="F22" s="38" t="s">
        <v>408</v>
      </c>
      <c r="G22" s="2" t="s">
        <v>388</v>
      </c>
    </row>
    <row r="23" customFormat="false" ht="17.15" hidden="false" customHeight="false" outlineLevel="0" collapsed="false">
      <c r="A23" s="2" t="s">
        <v>414</v>
      </c>
      <c r="B23" s="38" t="s">
        <v>99</v>
      </c>
      <c r="C23" s="40" t="n">
        <f aca="false">輸入!C27</f>
        <v>1</v>
      </c>
      <c r="D23" s="38" t="s">
        <v>100</v>
      </c>
      <c r="E23" s="41" t="s">
        <v>386</v>
      </c>
      <c r="F23" s="38" t="s">
        <v>410</v>
      </c>
      <c r="G23" s="2" t="s">
        <v>388</v>
      </c>
    </row>
    <row r="24" customFormat="false" ht="17.15" hidden="false" customHeight="false" outlineLevel="0" collapsed="false">
      <c r="A24" s="2" t="s">
        <v>415</v>
      </c>
      <c r="B24" s="38" t="s">
        <v>416</v>
      </c>
      <c r="C24" s="43" t="n">
        <f aca="false">輸入!C30</f>
        <v>-0.45</v>
      </c>
      <c r="D24" s="38" t="s">
        <v>114</v>
      </c>
      <c r="E24" s="2" t="s">
        <v>58</v>
      </c>
      <c r="F24" s="2" t="s">
        <v>115</v>
      </c>
      <c r="G24" s="2" t="s">
        <v>380</v>
      </c>
    </row>
    <row r="25" customFormat="false" ht="17.15" hidden="false" customHeight="false" outlineLevel="0" collapsed="false">
      <c r="A25" s="2" t="s">
        <v>417</v>
      </c>
      <c r="B25" s="38" t="s">
        <v>416</v>
      </c>
      <c r="C25" s="43" t="n">
        <f aca="false">輸入!C31</f>
        <v>-0.6</v>
      </c>
      <c r="D25" s="38" t="s">
        <v>114</v>
      </c>
      <c r="E25" s="2" t="s">
        <v>58</v>
      </c>
      <c r="F25" s="2" t="s">
        <v>115</v>
      </c>
      <c r="G25" s="2" t="s">
        <v>380</v>
      </c>
    </row>
    <row r="26" customFormat="false" ht="17.15" hidden="false" customHeight="false" outlineLevel="0" collapsed="false">
      <c r="A26" s="2" t="s">
        <v>418</v>
      </c>
      <c r="B26" s="38" t="s">
        <v>416</v>
      </c>
      <c r="C26" s="43" t="n">
        <f aca="false">輸入!C32</f>
        <v>-0.6</v>
      </c>
      <c r="D26" s="38" t="s">
        <v>114</v>
      </c>
      <c r="E26" s="2" t="s">
        <v>58</v>
      </c>
      <c r="F26" s="2" t="s">
        <v>115</v>
      </c>
      <c r="G26" s="2" t="s">
        <v>380</v>
      </c>
    </row>
    <row r="27" customFormat="false" ht="15" hidden="false" customHeight="false" outlineLevel="0" collapsed="false">
      <c r="A27" s="2" t="s">
        <v>118</v>
      </c>
      <c r="B27" s="38" t="s">
        <v>119</v>
      </c>
      <c r="C27" s="40" t="n">
        <f aca="false">輸入!C33</f>
        <v>-0.35</v>
      </c>
      <c r="D27" s="38" t="s">
        <v>114</v>
      </c>
      <c r="E27" s="2" t="s">
        <v>58</v>
      </c>
      <c r="F27" s="2" t="s">
        <v>120</v>
      </c>
      <c r="G27" s="2" t="s">
        <v>380</v>
      </c>
    </row>
    <row r="28" customFormat="false" ht="17.15" hidden="false" customHeight="false" outlineLevel="0" collapsed="false">
      <c r="A28" s="2" t="s">
        <v>419</v>
      </c>
      <c r="B28" s="38" t="s">
        <v>119</v>
      </c>
      <c r="C28" s="40" t="n">
        <f aca="false">輸入!C34</f>
        <v>-0.15</v>
      </c>
      <c r="D28" s="38" t="s">
        <v>114</v>
      </c>
      <c r="E28" s="2" t="s">
        <v>58</v>
      </c>
      <c r="F28" s="2" t="s">
        <v>122</v>
      </c>
      <c r="G28" s="2" t="s">
        <v>380</v>
      </c>
    </row>
    <row r="29" customFormat="false" ht="17.15" hidden="false" customHeight="false" outlineLevel="0" collapsed="false">
      <c r="A29" s="38" t="s">
        <v>420</v>
      </c>
      <c r="B29" s="38" t="s">
        <v>26</v>
      </c>
      <c r="C29" s="43" t="n">
        <f aca="false">輸入!C35</f>
        <v>0</v>
      </c>
      <c r="D29" s="38" t="s">
        <v>56</v>
      </c>
      <c r="E29" s="2" t="s">
        <v>58</v>
      </c>
      <c r="F29" s="38" t="s">
        <v>421</v>
      </c>
      <c r="G29" s="2" t="s">
        <v>380</v>
      </c>
    </row>
    <row r="30" customFormat="false" ht="17.15" hidden="false" customHeight="false" outlineLevel="0" collapsed="false">
      <c r="A30" s="2" t="s">
        <v>422</v>
      </c>
      <c r="B30" s="38" t="s">
        <v>416</v>
      </c>
      <c r="C30" s="43" t="n">
        <f aca="false">輸入!C36</f>
        <v>0.25</v>
      </c>
      <c r="D30" s="38" t="s">
        <v>114</v>
      </c>
      <c r="E30" s="2" t="s">
        <v>58</v>
      </c>
      <c r="F30" s="2" t="s">
        <v>126</v>
      </c>
      <c r="G30" s="2" t="s">
        <v>380</v>
      </c>
    </row>
    <row r="31" customFormat="false" ht="17.15" hidden="false" customHeight="false" outlineLevel="0" collapsed="false">
      <c r="A31" s="38" t="s">
        <v>423</v>
      </c>
      <c r="B31" s="38" t="s">
        <v>17</v>
      </c>
      <c r="C31" s="43" t="n">
        <f aca="false">輸入!C38</f>
        <v>0.4</v>
      </c>
      <c r="D31" s="38" t="s">
        <v>114</v>
      </c>
      <c r="E31" s="2" t="s">
        <v>58</v>
      </c>
      <c r="F31" s="2"/>
      <c r="G31" s="2" t="s">
        <v>380</v>
      </c>
    </row>
    <row r="32" customFormat="false" ht="17.15" hidden="false" customHeight="false" outlineLevel="0" collapsed="false">
      <c r="A32" s="38" t="s">
        <v>424</v>
      </c>
      <c r="B32" s="38" t="s">
        <v>17</v>
      </c>
      <c r="C32" s="43" t="n">
        <f aca="false">輸入!C39</f>
        <v>0.4</v>
      </c>
      <c r="D32" s="38" t="s">
        <v>114</v>
      </c>
      <c r="E32" s="2" t="s">
        <v>58</v>
      </c>
      <c r="F32" s="2" t="s">
        <v>425</v>
      </c>
      <c r="G32" s="2" t="s">
        <v>380</v>
      </c>
    </row>
    <row r="33" customFormat="false" ht="17.15" hidden="false" customHeight="false" outlineLevel="0" collapsed="false">
      <c r="A33" s="2" t="s">
        <v>426</v>
      </c>
      <c r="B33" s="38" t="s">
        <v>17</v>
      </c>
      <c r="C33" s="43" t="n">
        <f aca="false">輸入!C40</f>
        <v>0.2</v>
      </c>
      <c r="D33" s="38" t="s">
        <v>132</v>
      </c>
      <c r="E33" s="41" t="s">
        <v>396</v>
      </c>
      <c r="F33" s="38" t="s">
        <v>427</v>
      </c>
      <c r="G33" s="2" t="s">
        <v>398</v>
      </c>
    </row>
    <row r="34" customFormat="false" ht="17.15" hidden="false" customHeight="false" outlineLevel="0" collapsed="false">
      <c r="A34" s="2" t="s">
        <v>428</v>
      </c>
      <c r="B34" s="38" t="s">
        <v>17</v>
      </c>
      <c r="C34" s="43" t="n">
        <f aca="false">輸入!C41</f>
        <v>0.55</v>
      </c>
      <c r="D34" s="38" t="s">
        <v>114</v>
      </c>
      <c r="E34" s="2" t="s">
        <v>58</v>
      </c>
      <c r="F34" s="2"/>
      <c r="G34" s="2" t="s">
        <v>380</v>
      </c>
    </row>
    <row r="35" customFormat="false" ht="17.15" hidden="false" customHeight="false" outlineLevel="0" collapsed="false">
      <c r="A35" s="2" t="s">
        <v>429</v>
      </c>
      <c r="B35" s="38" t="s">
        <v>17</v>
      </c>
      <c r="C35" s="43" t="n">
        <f aca="false">輸入!C42</f>
        <v>0.1</v>
      </c>
      <c r="D35" s="38" t="s">
        <v>94</v>
      </c>
      <c r="E35" s="2" t="s">
        <v>96</v>
      </c>
      <c r="F35" s="2" t="s">
        <v>430</v>
      </c>
      <c r="G35" s="38" t="s">
        <v>406</v>
      </c>
    </row>
    <row r="36" customFormat="false" ht="17.15" hidden="false" customHeight="false" outlineLevel="0" collapsed="false">
      <c r="A36" s="2" t="s">
        <v>431</v>
      </c>
      <c r="B36" s="38" t="s">
        <v>17</v>
      </c>
      <c r="C36" s="43" t="n">
        <f aca="false">輸入!C43</f>
        <v>0.2</v>
      </c>
      <c r="D36" s="38" t="s">
        <v>114</v>
      </c>
      <c r="E36" s="2" t="s">
        <v>58</v>
      </c>
      <c r="F36" s="38" t="s">
        <v>432</v>
      </c>
      <c r="G36" s="2" t="s">
        <v>380</v>
      </c>
    </row>
    <row r="37" customFormat="false" ht="17.15" hidden="false" customHeight="false" outlineLevel="0" collapsed="false">
      <c r="A37" s="2" t="s">
        <v>433</v>
      </c>
      <c r="B37" s="38" t="s">
        <v>140</v>
      </c>
      <c r="C37" s="11" t="n">
        <f aca="false">輸入!C44</f>
        <v>10</v>
      </c>
      <c r="D37" s="38" t="s">
        <v>114</v>
      </c>
      <c r="E37" s="2" t="s">
        <v>58</v>
      </c>
      <c r="F37" s="2" t="s">
        <v>434</v>
      </c>
      <c r="G37" s="2" t="s">
        <v>380</v>
      </c>
    </row>
    <row r="38" customFormat="false" ht="17.15" hidden="false" customHeight="false" outlineLevel="0" collapsed="false">
      <c r="A38" s="2" t="s">
        <v>142</v>
      </c>
      <c r="B38" s="38" t="s">
        <v>17</v>
      </c>
      <c r="C38" s="43" t="n">
        <f aca="false">輸入!C45</f>
        <v>0</v>
      </c>
      <c r="D38" s="38" t="s">
        <v>114</v>
      </c>
      <c r="E38" s="2" t="s">
        <v>58</v>
      </c>
      <c r="F38" s="38" t="s">
        <v>435</v>
      </c>
      <c r="G38" s="2" t="s">
        <v>380</v>
      </c>
    </row>
    <row r="39" customFormat="false" ht="17.15" hidden="false" customHeight="false" outlineLevel="0" collapsed="false">
      <c r="A39" s="2" t="s">
        <v>436</v>
      </c>
      <c r="B39" s="38" t="s">
        <v>17</v>
      </c>
      <c r="C39" s="43" t="n">
        <f aca="false">輸入!C46</f>
        <v>0</v>
      </c>
      <c r="D39" s="38" t="s">
        <v>114</v>
      </c>
      <c r="E39" s="2" t="s">
        <v>58</v>
      </c>
      <c r="F39" s="2"/>
      <c r="G39" s="2" t="s">
        <v>380</v>
      </c>
    </row>
    <row r="40" customFormat="false" ht="17.15" hidden="false" customHeight="false" outlineLevel="0" collapsed="false">
      <c r="A40" s="2" t="s">
        <v>145</v>
      </c>
      <c r="B40" s="2" t="s">
        <v>91</v>
      </c>
      <c r="C40" s="39" t="n">
        <f aca="false">輸入!C47</f>
        <v>2027</v>
      </c>
      <c r="D40" s="38" t="s">
        <v>56</v>
      </c>
      <c r="E40" s="2" t="s">
        <v>58</v>
      </c>
      <c r="F40" s="38" t="s">
        <v>437</v>
      </c>
      <c r="G40" s="2" t="s">
        <v>380</v>
      </c>
    </row>
    <row r="41" customFormat="false" ht="17.15" hidden="false" customHeight="false" outlineLevel="0" collapsed="false">
      <c r="A41" s="38" t="s">
        <v>438</v>
      </c>
      <c r="B41" s="38" t="s">
        <v>149</v>
      </c>
      <c r="C41" s="42" t="n">
        <f aca="false">輸入!C49</f>
        <v>600</v>
      </c>
      <c r="D41" s="38" t="s">
        <v>132</v>
      </c>
      <c r="E41" s="41" t="s">
        <v>386</v>
      </c>
      <c r="F41" s="38" t="s">
        <v>439</v>
      </c>
      <c r="G41" s="2" t="s">
        <v>388</v>
      </c>
    </row>
    <row r="42" customFormat="false" ht="17.15" hidden="false" customHeight="false" outlineLevel="0" collapsed="false">
      <c r="A42" s="38" t="s">
        <v>440</v>
      </c>
      <c r="B42" s="38" t="s">
        <v>149</v>
      </c>
      <c r="C42" s="42" t="n">
        <f aca="false">輸入!C50</f>
        <v>2</v>
      </c>
      <c r="D42" s="38" t="s">
        <v>114</v>
      </c>
      <c r="E42" s="41" t="s">
        <v>386</v>
      </c>
      <c r="F42" s="38" t="s">
        <v>441</v>
      </c>
      <c r="G42" s="2" t="s">
        <v>388</v>
      </c>
    </row>
    <row r="43" customFormat="false" ht="17.15" hidden="false" customHeight="false" outlineLevel="0" collapsed="false">
      <c r="A43" s="38" t="s">
        <v>442</v>
      </c>
      <c r="B43" s="38" t="s">
        <v>149</v>
      </c>
      <c r="C43" s="42" t="n">
        <f aca="false">輸入!C51</f>
        <v>30</v>
      </c>
      <c r="D43" s="38" t="s">
        <v>67</v>
      </c>
      <c r="E43" s="41" t="s">
        <v>386</v>
      </c>
      <c r="F43" s="38" t="s">
        <v>443</v>
      </c>
      <c r="G43" s="2" t="s">
        <v>388</v>
      </c>
    </row>
    <row r="44" customFormat="false" ht="17.15" hidden="false" customHeight="false" outlineLevel="0" collapsed="false">
      <c r="A44" s="38" t="s">
        <v>444</v>
      </c>
      <c r="B44" s="38" t="s">
        <v>149</v>
      </c>
      <c r="C44" s="42" t="n">
        <f aca="false">輸入!C52</f>
        <v>0.5</v>
      </c>
      <c r="D44" s="38" t="s">
        <v>67</v>
      </c>
      <c r="E44" s="41" t="s">
        <v>386</v>
      </c>
      <c r="F44" s="2" t="s">
        <v>445</v>
      </c>
      <c r="G44" s="2" t="s">
        <v>388</v>
      </c>
    </row>
    <row r="45" customFormat="false" ht="17.15" hidden="false" customHeight="false" outlineLevel="0" collapsed="false">
      <c r="A45" s="2" t="s">
        <v>157</v>
      </c>
      <c r="B45" s="38" t="s">
        <v>149</v>
      </c>
      <c r="C45" s="42" t="n">
        <f aca="false">輸入!C53</f>
        <v>3</v>
      </c>
      <c r="D45" s="38" t="s">
        <v>114</v>
      </c>
      <c r="E45" s="41" t="s">
        <v>386</v>
      </c>
      <c r="F45" s="2" t="s">
        <v>446</v>
      </c>
      <c r="G45" s="2" t="s">
        <v>388</v>
      </c>
    </row>
    <row r="46" customFormat="false" ht="17.15" hidden="false" customHeight="false" outlineLevel="0" collapsed="false">
      <c r="A46" s="2" t="s">
        <v>447</v>
      </c>
      <c r="B46" s="38" t="s">
        <v>149</v>
      </c>
      <c r="C46" s="42" t="n">
        <f aca="false">輸入!C54</f>
        <v>112</v>
      </c>
      <c r="D46" s="38" t="s">
        <v>67</v>
      </c>
      <c r="E46" s="41" t="s">
        <v>386</v>
      </c>
      <c r="F46" s="38" t="s">
        <v>448</v>
      </c>
      <c r="G46" s="2" t="s">
        <v>388</v>
      </c>
    </row>
    <row r="47" customFormat="false" ht="17.15" hidden="false" customHeight="false" outlineLevel="0" collapsed="false">
      <c r="A47" s="2" t="s">
        <v>449</v>
      </c>
      <c r="B47" s="38" t="s">
        <v>149</v>
      </c>
      <c r="C47" s="42" t="n">
        <f aca="false">輸入!C55</f>
        <v>9</v>
      </c>
      <c r="D47" s="38" t="s">
        <v>67</v>
      </c>
      <c r="E47" s="41" t="s">
        <v>386</v>
      </c>
      <c r="F47" s="2" t="s">
        <v>122</v>
      </c>
      <c r="G47" s="2" t="s">
        <v>388</v>
      </c>
    </row>
    <row r="48" customFormat="false" ht="17.15" hidden="false" customHeight="false" outlineLevel="0" collapsed="false">
      <c r="A48" s="38" t="s">
        <v>450</v>
      </c>
      <c r="B48" s="38" t="s">
        <v>451</v>
      </c>
      <c r="C48" s="11" t="n">
        <f aca="false">輸入!C56</f>
        <v>6</v>
      </c>
      <c r="D48" s="38" t="s">
        <v>114</v>
      </c>
      <c r="E48" s="2" t="s">
        <v>58</v>
      </c>
      <c r="F48" s="2"/>
      <c r="G48" s="2" t="s">
        <v>380</v>
      </c>
    </row>
    <row r="49" customFormat="false" ht="17.15" hidden="false" customHeight="false" outlineLevel="0" collapsed="false">
      <c r="A49" s="38" t="s">
        <v>452</v>
      </c>
      <c r="B49" s="38" t="s">
        <v>451</v>
      </c>
      <c r="C49" s="11" t="n">
        <f aca="false">輸入!C57</f>
        <v>19.5</v>
      </c>
      <c r="D49" s="38" t="s">
        <v>114</v>
      </c>
      <c r="E49" s="2" t="s">
        <v>58</v>
      </c>
      <c r="F49" s="38" t="s">
        <v>453</v>
      </c>
      <c r="G49" s="2" t="s">
        <v>380</v>
      </c>
    </row>
    <row r="50" customFormat="false" ht="17.15" hidden="false" customHeight="false" outlineLevel="0" collapsed="false">
      <c r="A50" s="38" t="s">
        <v>454</v>
      </c>
      <c r="B50" s="38" t="s">
        <v>451</v>
      </c>
      <c r="C50" s="11" t="n">
        <f aca="false">輸入!C58</f>
        <v>200</v>
      </c>
      <c r="D50" s="38" t="s">
        <v>114</v>
      </c>
      <c r="E50" s="2" t="s">
        <v>58</v>
      </c>
      <c r="F50" s="38" t="s">
        <v>455</v>
      </c>
      <c r="G50" s="2" t="s">
        <v>380</v>
      </c>
    </row>
    <row r="51" customFormat="false" ht="17.15" hidden="false" customHeight="false" outlineLevel="0" collapsed="false">
      <c r="A51" s="2" t="s">
        <v>456</v>
      </c>
      <c r="B51" s="38" t="s">
        <v>451</v>
      </c>
      <c r="C51" s="11" t="n">
        <f aca="false">輸入!C59</f>
        <v>30</v>
      </c>
      <c r="D51" s="38" t="s">
        <v>114</v>
      </c>
      <c r="E51" s="2" t="s">
        <v>58</v>
      </c>
      <c r="F51" s="38" t="s">
        <v>457</v>
      </c>
      <c r="G51" s="2" t="s">
        <v>380</v>
      </c>
    </row>
    <row r="52" customFormat="false" ht="17.15" hidden="false" customHeight="false" outlineLevel="0" collapsed="false">
      <c r="A52" s="38" t="s">
        <v>458</v>
      </c>
      <c r="B52" s="2" t="s">
        <v>459</v>
      </c>
      <c r="C52" s="11" t="n">
        <f aca="false">輸入!C60</f>
        <v>1.7</v>
      </c>
      <c r="D52" s="38" t="s">
        <v>114</v>
      </c>
      <c r="E52" s="41" t="s">
        <v>396</v>
      </c>
      <c r="F52" s="38" t="s">
        <v>460</v>
      </c>
      <c r="G52" s="2" t="s">
        <v>398</v>
      </c>
    </row>
    <row r="53" customFormat="false" ht="17.15" hidden="false" customHeight="false" outlineLevel="0" collapsed="false">
      <c r="A53" s="38" t="s">
        <v>461</v>
      </c>
      <c r="B53" s="2" t="s">
        <v>459</v>
      </c>
      <c r="C53" s="11" t="n">
        <f aca="false">輸入!C61</f>
        <v>5.3</v>
      </c>
      <c r="D53" s="38" t="s">
        <v>114</v>
      </c>
      <c r="E53" s="41" t="s">
        <v>396</v>
      </c>
      <c r="F53" s="38" t="s">
        <v>460</v>
      </c>
      <c r="G53" s="2" t="s">
        <v>398</v>
      </c>
    </row>
    <row r="54" customFormat="false" ht="17.15" hidden="false" customHeight="false" outlineLevel="0" collapsed="false">
      <c r="A54" s="38" t="s">
        <v>462</v>
      </c>
      <c r="B54" s="2" t="s">
        <v>459</v>
      </c>
      <c r="C54" s="11" t="n">
        <f aca="false">輸入!C62</f>
        <v>13.4</v>
      </c>
      <c r="D54" s="38" t="s">
        <v>114</v>
      </c>
      <c r="E54" s="41" t="s">
        <v>396</v>
      </c>
      <c r="F54" s="38" t="s">
        <v>460</v>
      </c>
      <c r="G54" s="2" t="s">
        <v>398</v>
      </c>
    </row>
    <row r="55" customFormat="false" ht="17.15" hidden="false" customHeight="false" outlineLevel="0" collapsed="false">
      <c r="A55" s="38" t="s">
        <v>463</v>
      </c>
      <c r="B55" s="2" t="s">
        <v>459</v>
      </c>
      <c r="C55" s="11" t="n">
        <f aca="false">輸入!C63</f>
        <v>41</v>
      </c>
      <c r="D55" s="38" t="s">
        <v>114</v>
      </c>
      <c r="E55" s="41" t="s">
        <v>396</v>
      </c>
      <c r="F55" s="38" t="s">
        <v>460</v>
      </c>
      <c r="G55" s="2" t="s">
        <v>398</v>
      </c>
    </row>
    <row r="56" customFormat="false" ht="17.15" hidden="false" customHeight="false" outlineLevel="0" collapsed="false">
      <c r="A56" s="2" t="s">
        <v>464</v>
      </c>
      <c r="B56" s="2" t="s">
        <v>459</v>
      </c>
      <c r="C56" s="11" t="n">
        <f aca="false">輸入!C64</f>
        <v>10.7</v>
      </c>
      <c r="D56" s="38" t="s">
        <v>114</v>
      </c>
      <c r="E56" s="41" t="s">
        <v>396</v>
      </c>
      <c r="F56" s="38" t="s">
        <v>460</v>
      </c>
      <c r="G56" s="2" t="s">
        <v>398</v>
      </c>
    </row>
    <row r="57" customFormat="false" ht="17.15" hidden="false" customHeight="false" outlineLevel="0" collapsed="false">
      <c r="A57" s="38" t="s">
        <v>465</v>
      </c>
      <c r="B57" s="38" t="s">
        <v>140</v>
      </c>
      <c r="C57" s="40" t="n">
        <f aca="false">輸入!C65</f>
        <v>2</v>
      </c>
      <c r="D57" s="38" t="s">
        <v>114</v>
      </c>
      <c r="E57" s="41" t="s">
        <v>396</v>
      </c>
      <c r="F57" s="38" t="s">
        <v>466</v>
      </c>
      <c r="G57" s="2" t="s">
        <v>398</v>
      </c>
    </row>
    <row r="58" customFormat="false" ht="17.15" hidden="false" customHeight="false" outlineLevel="0" collapsed="false">
      <c r="A58" s="38" t="s">
        <v>467</v>
      </c>
      <c r="B58" s="38" t="s">
        <v>140</v>
      </c>
      <c r="C58" s="40" t="n">
        <f aca="false">輸入!C66</f>
        <v>3</v>
      </c>
      <c r="D58" s="38" t="s">
        <v>114</v>
      </c>
      <c r="E58" s="41" t="s">
        <v>396</v>
      </c>
      <c r="F58" s="38" t="s">
        <v>466</v>
      </c>
      <c r="G58" s="2" t="s">
        <v>398</v>
      </c>
    </row>
    <row r="59" customFormat="false" ht="17.15" hidden="false" customHeight="false" outlineLevel="0" collapsed="false">
      <c r="A59" s="38" t="s">
        <v>468</v>
      </c>
      <c r="B59" s="38" t="s">
        <v>140</v>
      </c>
      <c r="C59" s="40" t="n">
        <f aca="false">輸入!C67</f>
        <v>4</v>
      </c>
      <c r="D59" s="38" t="s">
        <v>114</v>
      </c>
      <c r="E59" s="41" t="s">
        <v>396</v>
      </c>
      <c r="F59" s="38" t="s">
        <v>466</v>
      </c>
      <c r="G59" s="2" t="s">
        <v>398</v>
      </c>
    </row>
    <row r="60" customFormat="false" ht="17.15" hidden="false" customHeight="false" outlineLevel="0" collapsed="false">
      <c r="A60" s="38" t="s">
        <v>469</v>
      </c>
      <c r="B60" s="38" t="s">
        <v>140</v>
      </c>
      <c r="C60" s="40" t="n">
        <f aca="false">輸入!C68</f>
        <v>10</v>
      </c>
      <c r="D60" s="38" t="s">
        <v>114</v>
      </c>
      <c r="E60" s="41" t="s">
        <v>396</v>
      </c>
      <c r="F60" s="38" t="s">
        <v>466</v>
      </c>
      <c r="G60" s="2" t="s">
        <v>398</v>
      </c>
    </row>
    <row r="61" customFormat="false" ht="17.15" hidden="false" customHeight="false" outlineLevel="0" collapsed="false">
      <c r="A61" s="2" t="s">
        <v>470</v>
      </c>
      <c r="B61" s="38" t="s">
        <v>140</v>
      </c>
      <c r="C61" s="40" t="n">
        <f aca="false">輸入!C69</f>
        <v>4</v>
      </c>
      <c r="D61" s="38" t="s">
        <v>114</v>
      </c>
      <c r="E61" s="41" t="s">
        <v>396</v>
      </c>
      <c r="F61" s="38" t="s">
        <v>466</v>
      </c>
      <c r="G61" s="2" t="s">
        <v>398</v>
      </c>
    </row>
    <row r="62" customFormat="false" ht="17.15" hidden="false" customHeight="false" outlineLevel="0" collapsed="false">
      <c r="A62" s="2" t="s">
        <v>471</v>
      </c>
      <c r="B62" s="38" t="s">
        <v>17</v>
      </c>
      <c r="C62" s="43" t="n">
        <f aca="false">輸入!C70</f>
        <v>0.1</v>
      </c>
      <c r="D62" s="38" t="s">
        <v>114</v>
      </c>
      <c r="E62" s="2" t="s">
        <v>58</v>
      </c>
      <c r="F62" s="2"/>
      <c r="G62" s="2" t="s">
        <v>380</v>
      </c>
    </row>
    <row r="63" customFormat="false" ht="17.15" hidden="false" customHeight="false" outlineLevel="0" collapsed="false">
      <c r="A63" s="2" t="s">
        <v>472</v>
      </c>
      <c r="B63" s="38" t="s">
        <v>186</v>
      </c>
      <c r="C63" s="42" t="n">
        <f aca="false">輸入!C72</f>
        <v>1580</v>
      </c>
      <c r="D63" s="38" t="s">
        <v>78</v>
      </c>
      <c r="E63" s="41" t="s">
        <v>396</v>
      </c>
      <c r="F63" s="38" t="s">
        <v>473</v>
      </c>
      <c r="G63" s="2" t="s">
        <v>398</v>
      </c>
    </row>
    <row r="64" customFormat="false" ht="17.15" hidden="false" customHeight="false" outlineLevel="0" collapsed="false">
      <c r="A64" s="2" t="s">
        <v>474</v>
      </c>
      <c r="B64" s="38" t="s">
        <v>189</v>
      </c>
      <c r="C64" s="42" t="n">
        <f aca="false">輸入!C73</f>
        <v>3600</v>
      </c>
      <c r="D64" s="38" t="s">
        <v>78</v>
      </c>
      <c r="E64" s="41" t="s">
        <v>396</v>
      </c>
      <c r="F64" s="38" t="s">
        <v>475</v>
      </c>
      <c r="G64" s="2" t="s">
        <v>398</v>
      </c>
    </row>
    <row r="65" customFormat="false" ht="17.15" hidden="false" customHeight="false" outlineLevel="0" collapsed="false">
      <c r="A65" s="2" t="s">
        <v>476</v>
      </c>
      <c r="B65" s="38" t="s">
        <v>192</v>
      </c>
      <c r="C65" s="11" t="n">
        <f aca="false">輸入!C74</f>
        <v>20.7</v>
      </c>
      <c r="D65" s="38" t="s">
        <v>78</v>
      </c>
      <c r="E65" s="41" t="s">
        <v>396</v>
      </c>
      <c r="F65" s="38" t="s">
        <v>477</v>
      </c>
      <c r="G65" s="2" t="s">
        <v>398</v>
      </c>
    </row>
    <row r="66" customFormat="false" ht="17.15" hidden="false" customHeight="false" outlineLevel="0" collapsed="false">
      <c r="A66" s="38" t="s">
        <v>478</v>
      </c>
      <c r="B66" s="38" t="s">
        <v>17</v>
      </c>
      <c r="C66" s="43" t="n">
        <f aca="false">輸入!C75</f>
        <v>0.35</v>
      </c>
      <c r="D66" s="38" t="s">
        <v>132</v>
      </c>
      <c r="E66" s="41" t="s">
        <v>396</v>
      </c>
      <c r="F66" s="38" t="s">
        <v>479</v>
      </c>
      <c r="G66" s="2" t="s">
        <v>398</v>
      </c>
    </row>
    <row r="67" customFormat="false" ht="17.15" hidden="false" customHeight="false" outlineLevel="0" collapsed="false">
      <c r="A67" s="2" t="s">
        <v>196</v>
      </c>
      <c r="B67" s="38" t="s">
        <v>480</v>
      </c>
      <c r="C67" s="44" t="n">
        <f aca="false">輸入!C76</f>
        <v>1.7667</v>
      </c>
      <c r="D67" s="38" t="s">
        <v>78</v>
      </c>
      <c r="E67" s="41" t="s">
        <v>396</v>
      </c>
      <c r="F67" s="38" t="s">
        <v>481</v>
      </c>
      <c r="G67" s="2" t="s">
        <v>398</v>
      </c>
    </row>
    <row r="68" customFormat="false" ht="17.15" hidden="false" customHeight="false" outlineLevel="0" collapsed="false">
      <c r="A68" s="2" t="s">
        <v>482</v>
      </c>
      <c r="B68" s="38" t="s">
        <v>200</v>
      </c>
      <c r="C68" s="40" t="n">
        <f aca="false">輸入!C77</f>
        <v>2.94</v>
      </c>
      <c r="D68" s="38" t="s">
        <v>132</v>
      </c>
      <c r="E68" s="41" t="s">
        <v>396</v>
      </c>
      <c r="F68" s="38" t="s">
        <v>483</v>
      </c>
      <c r="G68" s="2" t="s">
        <v>398</v>
      </c>
    </row>
    <row r="69" customFormat="false" ht="17.15" hidden="false" customHeight="false" outlineLevel="0" collapsed="false">
      <c r="A69" s="2" t="s">
        <v>202</v>
      </c>
      <c r="B69" s="38" t="s">
        <v>17</v>
      </c>
      <c r="C69" s="43" t="n">
        <f aca="false">輸入!C78</f>
        <v>0.6</v>
      </c>
      <c r="D69" s="38" t="s">
        <v>114</v>
      </c>
      <c r="E69" s="2" t="s">
        <v>58</v>
      </c>
      <c r="F69" s="2" t="s">
        <v>484</v>
      </c>
      <c r="G69" s="2" t="s">
        <v>380</v>
      </c>
    </row>
    <row r="70" customFormat="false" ht="17.15" hidden="false" customHeight="false" outlineLevel="0" collapsed="false">
      <c r="A70" s="38" t="s">
        <v>485</v>
      </c>
      <c r="B70" s="2" t="s">
        <v>205</v>
      </c>
      <c r="C70" s="42" t="n">
        <f aca="false">輸入!C79</f>
        <v>256</v>
      </c>
      <c r="D70" s="38" t="s">
        <v>114</v>
      </c>
      <c r="E70" s="2" t="s">
        <v>58</v>
      </c>
      <c r="F70" s="2" t="s">
        <v>486</v>
      </c>
      <c r="G70" s="2" t="s">
        <v>380</v>
      </c>
    </row>
    <row r="71" customFormat="false" ht="17.15" hidden="false" customHeight="false" outlineLevel="0" collapsed="false">
      <c r="A71" s="2" t="s">
        <v>207</v>
      </c>
      <c r="B71" s="38" t="s">
        <v>140</v>
      </c>
      <c r="C71" s="11" t="n">
        <f aca="false">輸入!C80</f>
        <v>8</v>
      </c>
      <c r="D71" s="38" t="s">
        <v>114</v>
      </c>
      <c r="E71" s="2" t="s">
        <v>58</v>
      </c>
      <c r="F71" s="2" t="s">
        <v>487</v>
      </c>
      <c r="G71" s="2" t="s">
        <v>380</v>
      </c>
    </row>
    <row r="72" customFormat="false" ht="17.15" hidden="false" customHeight="false" outlineLevel="0" collapsed="false">
      <c r="A72" s="38" t="s">
        <v>488</v>
      </c>
      <c r="B72" s="38" t="s">
        <v>26</v>
      </c>
      <c r="C72" s="40" t="n">
        <f aca="false">輸入!C81</f>
        <v>1.1</v>
      </c>
      <c r="D72" s="38" t="s">
        <v>114</v>
      </c>
      <c r="E72" s="2" t="s">
        <v>58</v>
      </c>
      <c r="F72" s="2"/>
      <c r="G72" s="2" t="s">
        <v>380</v>
      </c>
    </row>
    <row r="73" customFormat="false" ht="17.15" hidden="false" customHeight="false" outlineLevel="0" collapsed="false">
      <c r="A73" s="2" t="s">
        <v>489</v>
      </c>
      <c r="B73" s="38" t="s">
        <v>17</v>
      </c>
      <c r="C73" s="43" t="n">
        <f aca="false">輸入!C82</f>
        <v>0.1</v>
      </c>
      <c r="D73" s="38" t="s">
        <v>132</v>
      </c>
      <c r="E73" s="41" t="s">
        <v>386</v>
      </c>
      <c r="F73" s="2" t="s">
        <v>490</v>
      </c>
      <c r="G73" s="2" t="s">
        <v>388</v>
      </c>
    </row>
    <row r="74" customFormat="false" ht="17.15" hidden="false" customHeight="false" outlineLevel="0" collapsed="false">
      <c r="A74" s="38" t="s">
        <v>491</v>
      </c>
      <c r="B74" s="38" t="s">
        <v>213</v>
      </c>
      <c r="C74" s="42" t="n">
        <f aca="false">輸入!C83</f>
        <v>284</v>
      </c>
      <c r="D74" s="38" t="s">
        <v>132</v>
      </c>
      <c r="E74" s="41" t="s">
        <v>396</v>
      </c>
      <c r="F74" s="38" t="s">
        <v>492</v>
      </c>
      <c r="G74" s="2" t="s">
        <v>398</v>
      </c>
    </row>
    <row r="75" customFormat="false" ht="17.15" hidden="false" customHeight="false" outlineLevel="0" collapsed="false">
      <c r="A75" s="38" t="s">
        <v>493</v>
      </c>
      <c r="B75" s="38" t="s">
        <v>213</v>
      </c>
      <c r="C75" s="42" t="n">
        <f aca="false">輸入!C84</f>
        <v>13</v>
      </c>
      <c r="D75" s="38" t="s">
        <v>132</v>
      </c>
      <c r="E75" s="41" t="s">
        <v>396</v>
      </c>
      <c r="F75" s="38" t="s">
        <v>492</v>
      </c>
      <c r="G75" s="2" t="s">
        <v>398</v>
      </c>
    </row>
    <row r="76" customFormat="false" ht="17.15" hidden="false" customHeight="false" outlineLevel="0" collapsed="false">
      <c r="A76" s="38" t="s">
        <v>494</v>
      </c>
      <c r="B76" s="38" t="s">
        <v>217</v>
      </c>
      <c r="C76" s="42" t="n">
        <f aca="false">輸入!C85</f>
        <v>2795</v>
      </c>
      <c r="D76" s="38" t="s">
        <v>132</v>
      </c>
      <c r="E76" s="41" t="s">
        <v>396</v>
      </c>
      <c r="F76" s="38" t="s">
        <v>492</v>
      </c>
      <c r="G76" s="2" t="s">
        <v>398</v>
      </c>
    </row>
    <row r="77" customFormat="false" ht="17.15" hidden="false" customHeight="false" outlineLevel="0" collapsed="false">
      <c r="A77" s="38" t="s">
        <v>495</v>
      </c>
      <c r="B77" s="38" t="s">
        <v>217</v>
      </c>
      <c r="C77" s="45" t="n">
        <f aca="false">輸入!C86</f>
        <v>0.51</v>
      </c>
      <c r="D77" s="38" t="s">
        <v>132</v>
      </c>
      <c r="E77" s="41" t="s">
        <v>396</v>
      </c>
      <c r="F77" s="38" t="s">
        <v>492</v>
      </c>
      <c r="G77" s="2" t="s">
        <v>398</v>
      </c>
    </row>
    <row r="78" customFormat="false" ht="17.15" hidden="false" customHeight="false" outlineLevel="0" collapsed="false">
      <c r="A78" s="38" t="s">
        <v>496</v>
      </c>
      <c r="B78" s="38" t="s">
        <v>213</v>
      </c>
      <c r="C78" s="42" t="n">
        <f aca="false">輸入!C87</f>
        <v>1600</v>
      </c>
      <c r="D78" s="38" t="s">
        <v>132</v>
      </c>
      <c r="E78" s="41" t="s">
        <v>396</v>
      </c>
      <c r="F78" s="38" t="s">
        <v>497</v>
      </c>
      <c r="G78" s="2" t="s">
        <v>398</v>
      </c>
    </row>
    <row r="79" customFormat="false" ht="17.15" hidden="false" customHeight="false" outlineLevel="0" collapsed="false">
      <c r="A79" s="38" t="s">
        <v>498</v>
      </c>
      <c r="B79" s="38" t="s">
        <v>213</v>
      </c>
      <c r="C79" s="42" t="n">
        <f aca="false">輸入!C88</f>
        <v>49</v>
      </c>
      <c r="D79" s="38" t="s">
        <v>132</v>
      </c>
      <c r="E79" s="41" t="s">
        <v>396</v>
      </c>
      <c r="F79" s="38" t="s">
        <v>497</v>
      </c>
      <c r="G79" s="2" t="s">
        <v>398</v>
      </c>
    </row>
    <row r="80" customFormat="false" ht="17.15" hidden="false" customHeight="false" outlineLevel="0" collapsed="false">
      <c r="A80" s="38" t="s">
        <v>499</v>
      </c>
      <c r="B80" s="38" t="s">
        <v>217</v>
      </c>
      <c r="C80" s="42" t="n">
        <f aca="false">輸入!C89</f>
        <v>3965</v>
      </c>
      <c r="D80" s="38" t="s">
        <v>132</v>
      </c>
      <c r="E80" s="41" t="s">
        <v>396</v>
      </c>
      <c r="F80" s="38" t="s">
        <v>497</v>
      </c>
      <c r="G80" s="2" t="s">
        <v>398</v>
      </c>
    </row>
    <row r="81" customFormat="false" ht="17.15" hidden="false" customHeight="false" outlineLevel="0" collapsed="false">
      <c r="A81" s="38" t="s">
        <v>500</v>
      </c>
      <c r="B81" s="38" t="s">
        <v>217</v>
      </c>
      <c r="C81" s="45" t="n">
        <f aca="false">輸入!C90</f>
        <v>0.507</v>
      </c>
      <c r="D81" s="38" t="s">
        <v>132</v>
      </c>
      <c r="E81" s="41" t="s">
        <v>396</v>
      </c>
      <c r="F81" s="38" t="s">
        <v>497</v>
      </c>
      <c r="G81" s="2" t="s">
        <v>398</v>
      </c>
    </row>
    <row r="82" customFormat="false" ht="17.15" hidden="false" customHeight="false" outlineLevel="0" collapsed="false">
      <c r="A82" s="38" t="s">
        <v>501</v>
      </c>
      <c r="B82" s="38" t="s">
        <v>213</v>
      </c>
      <c r="C82" s="42" t="n">
        <f aca="false">輸入!C91</f>
        <v>4000</v>
      </c>
      <c r="D82" s="38" t="s">
        <v>132</v>
      </c>
      <c r="E82" s="41" t="s">
        <v>396</v>
      </c>
      <c r="F82" s="38" t="s">
        <v>502</v>
      </c>
      <c r="G82" s="2" t="s">
        <v>398</v>
      </c>
    </row>
    <row r="83" customFormat="false" ht="17.15" hidden="false" customHeight="false" outlineLevel="0" collapsed="false">
      <c r="A83" s="38" t="s">
        <v>503</v>
      </c>
      <c r="B83" s="38" t="s">
        <v>213</v>
      </c>
      <c r="C83" s="42" t="n">
        <f aca="false">輸入!C92</f>
        <v>180</v>
      </c>
      <c r="D83" s="38" t="s">
        <v>132</v>
      </c>
      <c r="E83" s="41" t="s">
        <v>396</v>
      </c>
      <c r="F83" s="38" t="s">
        <v>502</v>
      </c>
      <c r="G83" s="2" t="s">
        <v>398</v>
      </c>
    </row>
    <row r="84" customFormat="false" ht="17.15" hidden="false" customHeight="false" outlineLevel="0" collapsed="false">
      <c r="A84" s="38" t="s">
        <v>504</v>
      </c>
      <c r="B84" s="38" t="s">
        <v>217</v>
      </c>
      <c r="C84" s="42" t="n">
        <f aca="false">輸入!C93</f>
        <v>204800</v>
      </c>
      <c r="D84" s="38" t="s">
        <v>132</v>
      </c>
      <c r="E84" s="41" t="s">
        <v>396</v>
      </c>
      <c r="F84" s="38" t="s">
        <v>502</v>
      </c>
      <c r="G84" s="2" t="s">
        <v>398</v>
      </c>
    </row>
    <row r="85" customFormat="false" ht="17.15" hidden="false" customHeight="false" outlineLevel="0" collapsed="false">
      <c r="A85" s="38" t="s">
        <v>505</v>
      </c>
      <c r="B85" s="38" t="s">
        <v>217</v>
      </c>
      <c r="C85" s="45" t="n">
        <f aca="false">輸入!C94</f>
        <v>0.53</v>
      </c>
      <c r="D85" s="38" t="s">
        <v>132</v>
      </c>
      <c r="E85" s="41" t="s">
        <v>396</v>
      </c>
      <c r="F85" s="38" t="s">
        <v>502</v>
      </c>
      <c r="G85" s="2" t="s">
        <v>398</v>
      </c>
    </row>
    <row r="86" customFormat="false" ht="17.15" hidden="false" customHeight="false" outlineLevel="0" collapsed="false">
      <c r="A86" s="38" t="s">
        <v>506</v>
      </c>
      <c r="B86" s="38" t="s">
        <v>17</v>
      </c>
      <c r="C86" s="43" t="n">
        <f aca="false">輸入!C96</f>
        <v>0.9</v>
      </c>
      <c r="D86" s="38" t="s">
        <v>114</v>
      </c>
      <c r="E86" s="2" t="s">
        <v>58</v>
      </c>
      <c r="F86" s="38" t="s">
        <v>507</v>
      </c>
      <c r="G86" s="2" t="s">
        <v>380</v>
      </c>
    </row>
    <row r="87" customFormat="false" ht="17.15" hidden="false" customHeight="false" outlineLevel="0" collapsed="false">
      <c r="A87" s="38" t="s">
        <v>508</v>
      </c>
      <c r="B87" s="38" t="s">
        <v>17</v>
      </c>
      <c r="C87" s="43" t="n">
        <f aca="false">輸入!C97</f>
        <v>0.1</v>
      </c>
      <c r="D87" s="38" t="s">
        <v>114</v>
      </c>
      <c r="E87" s="2" t="s">
        <v>58</v>
      </c>
      <c r="F87" s="38" t="s">
        <v>507</v>
      </c>
      <c r="G87" s="2" t="s">
        <v>380</v>
      </c>
    </row>
    <row r="88" customFormat="false" ht="17.15" hidden="false" customHeight="false" outlineLevel="0" collapsed="false">
      <c r="A88" s="38" t="s">
        <v>509</v>
      </c>
      <c r="B88" s="38" t="s">
        <v>17</v>
      </c>
      <c r="C88" s="43" t="n">
        <f aca="false">輸入!C98</f>
        <v>0</v>
      </c>
      <c r="D88" s="38" t="s">
        <v>114</v>
      </c>
      <c r="E88" s="2" t="s">
        <v>58</v>
      </c>
      <c r="F88" s="38" t="s">
        <v>507</v>
      </c>
      <c r="G88" s="2" t="s">
        <v>380</v>
      </c>
    </row>
    <row r="89" customFormat="false" ht="17.15" hidden="false" customHeight="false" outlineLevel="0" collapsed="false">
      <c r="A89" s="38" t="s">
        <v>510</v>
      </c>
      <c r="B89" s="38" t="s">
        <v>17</v>
      </c>
      <c r="C89" s="43" t="n">
        <f aca="false">輸入!C99</f>
        <v>0.25</v>
      </c>
      <c r="D89" s="38" t="s">
        <v>114</v>
      </c>
      <c r="E89" s="2" t="s">
        <v>58</v>
      </c>
      <c r="F89" s="2"/>
      <c r="G89" s="2" t="s">
        <v>380</v>
      </c>
    </row>
    <row r="90" customFormat="false" ht="17.15" hidden="false" customHeight="false" outlineLevel="0" collapsed="false">
      <c r="A90" s="38" t="s">
        <v>511</v>
      </c>
      <c r="B90" s="38" t="s">
        <v>17</v>
      </c>
      <c r="C90" s="43" t="n">
        <f aca="false">輸入!C100</f>
        <v>0.4</v>
      </c>
      <c r="D90" s="38" t="s">
        <v>114</v>
      </c>
      <c r="E90" s="2" t="s">
        <v>58</v>
      </c>
      <c r="F90" s="2"/>
      <c r="G90" s="2" t="s">
        <v>380</v>
      </c>
    </row>
    <row r="91" customFormat="false" ht="17.15" hidden="false" customHeight="false" outlineLevel="0" collapsed="false">
      <c r="A91" s="38" t="s">
        <v>512</v>
      </c>
      <c r="B91" s="38" t="s">
        <v>17</v>
      </c>
      <c r="C91" s="43" t="n">
        <f aca="false">輸入!C101</f>
        <v>0.85</v>
      </c>
      <c r="D91" s="38" t="s">
        <v>114</v>
      </c>
      <c r="E91" s="2" t="s">
        <v>58</v>
      </c>
      <c r="F91" s="38" t="s">
        <v>507</v>
      </c>
      <c r="G91" s="2" t="s">
        <v>380</v>
      </c>
    </row>
    <row r="92" customFormat="false" ht="17.15" hidden="false" customHeight="false" outlineLevel="0" collapsed="false">
      <c r="A92" s="38" t="s">
        <v>513</v>
      </c>
      <c r="B92" s="38" t="s">
        <v>17</v>
      </c>
      <c r="C92" s="43" t="n">
        <f aca="false">輸入!C102</f>
        <v>0.15</v>
      </c>
      <c r="D92" s="38" t="s">
        <v>114</v>
      </c>
      <c r="E92" s="2" t="s">
        <v>58</v>
      </c>
      <c r="F92" s="38" t="s">
        <v>507</v>
      </c>
      <c r="G92" s="2" t="s">
        <v>380</v>
      </c>
    </row>
    <row r="93" customFormat="false" ht="17.15" hidden="false" customHeight="false" outlineLevel="0" collapsed="false">
      <c r="A93" s="38" t="s">
        <v>514</v>
      </c>
      <c r="B93" s="38" t="s">
        <v>17</v>
      </c>
      <c r="C93" s="43" t="n">
        <f aca="false">輸入!C103</f>
        <v>0</v>
      </c>
      <c r="D93" s="38" t="s">
        <v>114</v>
      </c>
      <c r="E93" s="2" t="s">
        <v>58</v>
      </c>
      <c r="F93" s="38" t="s">
        <v>507</v>
      </c>
      <c r="G93" s="2" t="s">
        <v>380</v>
      </c>
    </row>
    <row r="94" customFormat="false" ht="17.15" hidden="false" customHeight="false" outlineLevel="0" collapsed="false">
      <c r="A94" s="38" t="s">
        <v>515</v>
      </c>
      <c r="B94" s="38" t="s">
        <v>17</v>
      </c>
      <c r="C94" s="43" t="n">
        <f aca="false">輸入!C104</f>
        <v>0.25</v>
      </c>
      <c r="D94" s="38" t="s">
        <v>114</v>
      </c>
      <c r="E94" s="2" t="s">
        <v>58</v>
      </c>
      <c r="F94" s="2"/>
      <c r="G94" s="2" t="s">
        <v>380</v>
      </c>
    </row>
    <row r="95" customFormat="false" ht="17.15" hidden="false" customHeight="false" outlineLevel="0" collapsed="false">
      <c r="A95" s="38" t="s">
        <v>516</v>
      </c>
      <c r="B95" s="38" t="s">
        <v>17</v>
      </c>
      <c r="C95" s="43" t="n">
        <f aca="false">輸入!C105</f>
        <v>0.4</v>
      </c>
      <c r="D95" s="38" t="s">
        <v>114</v>
      </c>
      <c r="E95" s="2" t="s">
        <v>58</v>
      </c>
      <c r="F95" s="2"/>
      <c r="G95" s="2" t="s">
        <v>380</v>
      </c>
    </row>
    <row r="96" customFormat="false" ht="17.15" hidden="false" customHeight="false" outlineLevel="0" collapsed="false">
      <c r="A96" s="38" t="s">
        <v>517</v>
      </c>
      <c r="B96" s="38" t="s">
        <v>17</v>
      </c>
      <c r="C96" s="43" t="n">
        <f aca="false">輸入!C106</f>
        <v>0.35</v>
      </c>
      <c r="D96" s="38" t="s">
        <v>114</v>
      </c>
      <c r="E96" s="2" t="s">
        <v>58</v>
      </c>
      <c r="F96" s="38" t="s">
        <v>507</v>
      </c>
      <c r="G96" s="2" t="s">
        <v>380</v>
      </c>
    </row>
    <row r="97" customFormat="false" ht="17.15" hidden="false" customHeight="false" outlineLevel="0" collapsed="false">
      <c r="A97" s="38" t="s">
        <v>518</v>
      </c>
      <c r="B97" s="38" t="s">
        <v>17</v>
      </c>
      <c r="C97" s="43" t="n">
        <f aca="false">輸入!C107</f>
        <v>0.6</v>
      </c>
      <c r="D97" s="38" t="s">
        <v>114</v>
      </c>
      <c r="E97" s="2" t="s">
        <v>58</v>
      </c>
      <c r="F97" s="38" t="s">
        <v>507</v>
      </c>
      <c r="G97" s="2" t="s">
        <v>380</v>
      </c>
    </row>
    <row r="98" customFormat="false" ht="17.15" hidden="false" customHeight="false" outlineLevel="0" collapsed="false">
      <c r="A98" s="38" t="s">
        <v>519</v>
      </c>
      <c r="B98" s="38" t="s">
        <v>17</v>
      </c>
      <c r="C98" s="43" t="n">
        <f aca="false">輸入!C108</f>
        <v>0.05</v>
      </c>
      <c r="D98" s="38" t="s">
        <v>114</v>
      </c>
      <c r="E98" s="2" t="s">
        <v>58</v>
      </c>
      <c r="F98" s="38" t="s">
        <v>507</v>
      </c>
      <c r="G98" s="2" t="s">
        <v>380</v>
      </c>
    </row>
    <row r="99" customFormat="false" ht="17.15" hidden="false" customHeight="false" outlineLevel="0" collapsed="false">
      <c r="A99" s="38" t="s">
        <v>520</v>
      </c>
      <c r="B99" s="38" t="s">
        <v>17</v>
      </c>
      <c r="C99" s="43" t="n">
        <f aca="false">輸入!C109</f>
        <v>0.4</v>
      </c>
      <c r="D99" s="38" t="s">
        <v>114</v>
      </c>
      <c r="E99" s="2" t="s">
        <v>58</v>
      </c>
      <c r="F99" s="2"/>
      <c r="G99" s="2" t="s">
        <v>380</v>
      </c>
    </row>
    <row r="100" customFormat="false" ht="17.15" hidden="false" customHeight="false" outlineLevel="0" collapsed="false">
      <c r="A100" s="38" t="s">
        <v>521</v>
      </c>
      <c r="B100" s="38" t="s">
        <v>17</v>
      </c>
      <c r="C100" s="43" t="n">
        <f aca="false">輸入!C110</f>
        <v>0.5</v>
      </c>
      <c r="D100" s="38" t="s">
        <v>114</v>
      </c>
      <c r="E100" s="2" t="s">
        <v>58</v>
      </c>
      <c r="F100" s="2"/>
      <c r="G100" s="2" t="s">
        <v>380</v>
      </c>
    </row>
    <row r="101" customFormat="false" ht="17.15" hidden="false" customHeight="false" outlineLevel="0" collapsed="false">
      <c r="A101" s="38" t="s">
        <v>522</v>
      </c>
      <c r="B101" s="38" t="s">
        <v>17</v>
      </c>
      <c r="C101" s="43" t="n">
        <f aca="false">輸入!C111</f>
        <v>0.1</v>
      </c>
      <c r="D101" s="38" t="s">
        <v>114</v>
      </c>
      <c r="E101" s="2" t="s">
        <v>58</v>
      </c>
      <c r="F101" s="38" t="s">
        <v>507</v>
      </c>
      <c r="G101" s="2" t="s">
        <v>380</v>
      </c>
    </row>
    <row r="102" customFormat="false" ht="17.15" hidden="false" customHeight="false" outlineLevel="0" collapsed="false">
      <c r="A102" s="38" t="s">
        <v>523</v>
      </c>
      <c r="B102" s="38" t="s">
        <v>17</v>
      </c>
      <c r="C102" s="43" t="n">
        <f aca="false">輸入!C112</f>
        <v>0.5</v>
      </c>
      <c r="D102" s="38" t="s">
        <v>114</v>
      </c>
      <c r="E102" s="2" t="s">
        <v>58</v>
      </c>
      <c r="F102" s="38" t="s">
        <v>507</v>
      </c>
      <c r="G102" s="2" t="s">
        <v>380</v>
      </c>
    </row>
    <row r="103" customFormat="false" ht="17.15" hidden="false" customHeight="false" outlineLevel="0" collapsed="false">
      <c r="A103" s="38" t="s">
        <v>524</v>
      </c>
      <c r="B103" s="38" t="s">
        <v>17</v>
      </c>
      <c r="C103" s="43" t="n">
        <f aca="false">輸入!C113</f>
        <v>0.4</v>
      </c>
      <c r="D103" s="38" t="s">
        <v>114</v>
      </c>
      <c r="E103" s="2" t="s">
        <v>58</v>
      </c>
      <c r="F103" s="38" t="s">
        <v>507</v>
      </c>
      <c r="G103" s="2" t="s">
        <v>380</v>
      </c>
    </row>
    <row r="104" customFormat="false" ht="17.15" hidden="false" customHeight="false" outlineLevel="0" collapsed="false">
      <c r="A104" s="38" t="s">
        <v>525</v>
      </c>
      <c r="B104" s="38" t="s">
        <v>17</v>
      </c>
      <c r="C104" s="43" t="n">
        <f aca="false">輸入!C114</f>
        <v>0.5</v>
      </c>
      <c r="D104" s="38" t="s">
        <v>114</v>
      </c>
      <c r="E104" s="2" t="s">
        <v>58</v>
      </c>
      <c r="F104" s="2"/>
      <c r="G104" s="2" t="s">
        <v>380</v>
      </c>
    </row>
    <row r="105" customFormat="false" ht="17.15" hidden="false" customHeight="false" outlineLevel="0" collapsed="false">
      <c r="A105" s="38" t="s">
        <v>526</v>
      </c>
      <c r="B105" s="38" t="s">
        <v>17</v>
      </c>
      <c r="C105" s="43" t="n">
        <f aca="false">輸入!C115</f>
        <v>0.6</v>
      </c>
      <c r="D105" s="38" t="s">
        <v>114</v>
      </c>
      <c r="E105" s="2" t="s">
        <v>58</v>
      </c>
      <c r="F105" s="2"/>
      <c r="G105" s="2" t="s">
        <v>380</v>
      </c>
    </row>
    <row r="106" customFormat="false" ht="17.15" hidden="false" customHeight="false" outlineLevel="0" collapsed="false">
      <c r="A106" s="2" t="s">
        <v>527</v>
      </c>
      <c r="B106" s="38" t="s">
        <v>17</v>
      </c>
      <c r="C106" s="43" t="n">
        <f aca="false">輸入!C116</f>
        <v>0.3</v>
      </c>
      <c r="D106" s="38" t="s">
        <v>114</v>
      </c>
      <c r="E106" s="2" t="s">
        <v>58</v>
      </c>
      <c r="F106" s="38" t="s">
        <v>507</v>
      </c>
      <c r="G106" s="2" t="s">
        <v>380</v>
      </c>
    </row>
    <row r="107" customFormat="false" ht="17.15" hidden="false" customHeight="false" outlineLevel="0" collapsed="false">
      <c r="A107" s="2" t="s">
        <v>528</v>
      </c>
      <c r="B107" s="38" t="s">
        <v>17</v>
      </c>
      <c r="C107" s="43" t="n">
        <f aca="false">輸入!C117</f>
        <v>0.65</v>
      </c>
      <c r="D107" s="38" t="s">
        <v>114</v>
      </c>
      <c r="E107" s="2" t="s">
        <v>58</v>
      </c>
      <c r="F107" s="38" t="s">
        <v>507</v>
      </c>
      <c r="G107" s="2" t="s">
        <v>380</v>
      </c>
    </row>
    <row r="108" customFormat="false" ht="17.15" hidden="false" customHeight="false" outlineLevel="0" collapsed="false">
      <c r="A108" s="2" t="s">
        <v>529</v>
      </c>
      <c r="B108" s="38" t="s">
        <v>17</v>
      </c>
      <c r="C108" s="43" t="n">
        <f aca="false">輸入!C118</f>
        <v>0.05</v>
      </c>
      <c r="D108" s="38" t="s">
        <v>114</v>
      </c>
      <c r="E108" s="2" t="s">
        <v>58</v>
      </c>
      <c r="F108" s="38" t="s">
        <v>507</v>
      </c>
      <c r="G108" s="2" t="s">
        <v>380</v>
      </c>
    </row>
    <row r="109" customFormat="false" ht="15" hidden="false" customHeight="false" outlineLevel="0" collapsed="false">
      <c r="A109" s="2" t="s">
        <v>254</v>
      </c>
      <c r="B109" s="38" t="s">
        <v>17</v>
      </c>
      <c r="C109" s="43" t="n">
        <f aca="false">輸入!C119</f>
        <v>0.35</v>
      </c>
      <c r="D109" s="38" t="s">
        <v>114</v>
      </c>
      <c r="E109" s="2" t="s">
        <v>58</v>
      </c>
      <c r="F109" s="2"/>
      <c r="G109" s="2" t="s">
        <v>380</v>
      </c>
    </row>
    <row r="110" customFormat="false" ht="15" hidden="false" customHeight="false" outlineLevel="0" collapsed="false">
      <c r="A110" s="2" t="s">
        <v>255</v>
      </c>
      <c r="B110" s="38" t="s">
        <v>17</v>
      </c>
      <c r="C110" s="43" t="n">
        <f aca="false">輸入!C120</f>
        <v>0.55</v>
      </c>
      <c r="D110" s="38" t="s">
        <v>114</v>
      </c>
      <c r="E110" s="2" t="s">
        <v>58</v>
      </c>
      <c r="F110" s="2"/>
      <c r="G110" s="2" t="s">
        <v>380</v>
      </c>
    </row>
    <row r="111" customFormat="false" ht="17.15" hidden="false" customHeight="false" outlineLevel="0" collapsed="false">
      <c r="A111" s="38" t="s">
        <v>530</v>
      </c>
      <c r="B111" s="38" t="s">
        <v>7</v>
      </c>
      <c r="C111" s="11" t="n">
        <f aca="false">輸入!C122</f>
        <v>8.4</v>
      </c>
      <c r="D111" s="38" t="s">
        <v>67</v>
      </c>
      <c r="E111" s="41" t="s">
        <v>386</v>
      </c>
      <c r="F111" s="38" t="s">
        <v>531</v>
      </c>
      <c r="G111" s="2" t="s">
        <v>388</v>
      </c>
    </row>
    <row r="112" customFormat="false" ht="17.15" hidden="false" customHeight="false" outlineLevel="0" collapsed="false">
      <c r="A112" s="2" t="s">
        <v>259</v>
      </c>
      <c r="B112" s="38" t="s">
        <v>7</v>
      </c>
      <c r="C112" s="11" t="n">
        <f aca="false">輸入!C123</f>
        <v>3.9</v>
      </c>
      <c r="D112" s="38" t="s">
        <v>67</v>
      </c>
      <c r="E112" s="41" t="s">
        <v>386</v>
      </c>
      <c r="F112" s="2" t="s">
        <v>532</v>
      </c>
      <c r="G112" s="2" t="s">
        <v>388</v>
      </c>
    </row>
    <row r="113" customFormat="false" ht="17.15" hidden="false" customHeight="false" outlineLevel="0" collapsed="false">
      <c r="A113" s="2" t="s">
        <v>261</v>
      </c>
      <c r="B113" s="38" t="s">
        <v>7</v>
      </c>
      <c r="C113" s="11" t="n">
        <f aca="false">輸入!C124</f>
        <v>4.5</v>
      </c>
      <c r="D113" s="38" t="s">
        <v>67</v>
      </c>
      <c r="E113" s="41" t="s">
        <v>386</v>
      </c>
      <c r="F113" s="2" t="s">
        <v>533</v>
      </c>
      <c r="G113" s="2" t="s">
        <v>388</v>
      </c>
    </row>
    <row r="114" customFormat="false" ht="17.15" hidden="false" customHeight="false" outlineLevel="0" collapsed="false">
      <c r="A114" s="38" t="s">
        <v>534</v>
      </c>
      <c r="B114" s="38" t="s">
        <v>17</v>
      </c>
      <c r="C114" s="43" t="n">
        <f aca="false">輸入!C125</f>
        <v>0.5</v>
      </c>
      <c r="D114" s="38" t="s">
        <v>114</v>
      </c>
      <c r="E114" s="2" t="s">
        <v>58</v>
      </c>
      <c r="F114" s="38" t="s">
        <v>535</v>
      </c>
      <c r="G114" s="2" t="s">
        <v>380</v>
      </c>
    </row>
    <row r="115" customFormat="false" ht="17.15" hidden="false" customHeight="false" outlineLevel="0" collapsed="false">
      <c r="A115" s="38" t="s">
        <v>536</v>
      </c>
      <c r="B115" s="38" t="s">
        <v>7</v>
      </c>
      <c r="C115" s="11" t="n">
        <f aca="false">輸入!C126</f>
        <v>14.1</v>
      </c>
      <c r="D115" s="38" t="s">
        <v>67</v>
      </c>
      <c r="E115" s="41" t="s">
        <v>386</v>
      </c>
      <c r="F115" s="38" t="s">
        <v>537</v>
      </c>
      <c r="G115" s="2" t="s">
        <v>388</v>
      </c>
    </row>
    <row r="116" customFormat="false" ht="17.15" hidden="false" customHeight="false" outlineLevel="0" collapsed="false">
      <c r="A116" s="38" t="s">
        <v>538</v>
      </c>
      <c r="B116" s="38" t="s">
        <v>17</v>
      </c>
      <c r="C116" s="43" t="n">
        <f aca="false">輸入!C127</f>
        <v>0.66</v>
      </c>
      <c r="D116" s="38" t="s">
        <v>67</v>
      </c>
      <c r="E116" s="41" t="s">
        <v>386</v>
      </c>
      <c r="F116" s="38" t="s">
        <v>537</v>
      </c>
      <c r="G116" s="2" t="s">
        <v>388</v>
      </c>
    </row>
    <row r="117" customFormat="false" ht="17.15" hidden="false" customHeight="false" outlineLevel="0" collapsed="false">
      <c r="A117" s="38" t="s">
        <v>539</v>
      </c>
      <c r="B117" s="38" t="s">
        <v>7</v>
      </c>
      <c r="C117" s="11" t="n">
        <f aca="false">輸入!C128</f>
        <v>85</v>
      </c>
      <c r="D117" s="38" t="s">
        <v>67</v>
      </c>
      <c r="E117" s="41" t="s">
        <v>386</v>
      </c>
      <c r="F117" s="2" t="s">
        <v>122</v>
      </c>
      <c r="G117" s="2" t="s">
        <v>388</v>
      </c>
    </row>
    <row r="118" customFormat="false" ht="17.15" hidden="false" customHeight="false" outlineLevel="0" collapsed="false">
      <c r="A118" s="38" t="s">
        <v>540</v>
      </c>
      <c r="B118" s="38" t="s">
        <v>17</v>
      </c>
      <c r="C118" s="43" t="n">
        <f aca="false">輸入!C129</f>
        <v>0.67</v>
      </c>
      <c r="D118" s="38" t="s">
        <v>67</v>
      </c>
      <c r="E118" s="41" t="s">
        <v>386</v>
      </c>
      <c r="F118" s="2" t="s">
        <v>122</v>
      </c>
      <c r="G118" s="2" t="s">
        <v>388</v>
      </c>
    </row>
    <row r="119" customFormat="false" ht="17.15" hidden="false" customHeight="false" outlineLevel="0" collapsed="false">
      <c r="A119" s="38" t="s">
        <v>541</v>
      </c>
      <c r="B119" s="38" t="s">
        <v>7</v>
      </c>
      <c r="C119" s="11" t="n">
        <f aca="false">輸入!C131</f>
        <v>3</v>
      </c>
      <c r="D119" s="38" t="s">
        <v>67</v>
      </c>
      <c r="E119" s="41" t="s">
        <v>386</v>
      </c>
      <c r="F119" s="38" t="s">
        <v>542</v>
      </c>
      <c r="G119" s="2" t="s">
        <v>388</v>
      </c>
    </row>
    <row r="120" customFormat="false" ht="17.15" hidden="false" customHeight="false" outlineLevel="0" collapsed="false">
      <c r="A120" s="38" t="s">
        <v>543</v>
      </c>
      <c r="B120" s="38" t="s">
        <v>7</v>
      </c>
      <c r="C120" s="11" t="n">
        <f aca="false">輸入!C132</f>
        <v>12</v>
      </c>
      <c r="D120" s="38" t="s">
        <v>78</v>
      </c>
      <c r="E120" s="41" t="s">
        <v>386</v>
      </c>
      <c r="F120" s="38" t="s">
        <v>544</v>
      </c>
      <c r="G120" s="2" t="s">
        <v>388</v>
      </c>
    </row>
    <row r="121" customFormat="false" ht="17.15" hidden="false" customHeight="false" outlineLevel="0" collapsed="false">
      <c r="A121" s="38" t="s">
        <v>545</v>
      </c>
      <c r="B121" s="38" t="s">
        <v>7</v>
      </c>
      <c r="C121" s="40" t="n">
        <f aca="false">輸入!C133</f>
        <v>19.18</v>
      </c>
      <c r="D121" s="38" t="s">
        <v>67</v>
      </c>
      <c r="E121" s="41" t="s">
        <v>386</v>
      </c>
      <c r="F121" s="2" t="s">
        <v>546</v>
      </c>
      <c r="G121" s="2" t="s">
        <v>388</v>
      </c>
    </row>
    <row r="122" customFormat="false" ht="17.15" hidden="false" customHeight="false" outlineLevel="0" collapsed="false">
      <c r="A122" s="2" t="s">
        <v>547</v>
      </c>
      <c r="B122" s="38" t="s">
        <v>7</v>
      </c>
      <c r="C122" s="42" t="n">
        <f aca="false">輸入!C134</f>
        <v>856</v>
      </c>
      <c r="D122" s="38" t="s">
        <v>67</v>
      </c>
      <c r="E122" s="41" t="s">
        <v>386</v>
      </c>
      <c r="F122" s="38" t="s">
        <v>548</v>
      </c>
      <c r="G122" s="2" t="s">
        <v>388</v>
      </c>
    </row>
    <row r="123" customFormat="false" ht="17.15" hidden="false" customHeight="false" outlineLevel="0" collapsed="false">
      <c r="A123" s="38" t="s">
        <v>549</v>
      </c>
      <c r="B123" s="2" t="s">
        <v>281</v>
      </c>
      <c r="C123" s="42" t="n">
        <f aca="false">輸入!C136</f>
        <v>5263</v>
      </c>
      <c r="D123" s="38" t="s">
        <v>78</v>
      </c>
      <c r="E123" s="41" t="s">
        <v>396</v>
      </c>
      <c r="F123" s="38" t="s">
        <v>282</v>
      </c>
      <c r="G123" s="2" t="s">
        <v>398</v>
      </c>
    </row>
    <row r="124" customFormat="false" ht="17.15" hidden="false" customHeight="false" outlineLevel="0" collapsed="false">
      <c r="A124" s="38" t="s">
        <v>550</v>
      </c>
      <c r="B124" s="2" t="s">
        <v>281</v>
      </c>
      <c r="C124" s="42" t="n">
        <f aca="false">輸入!C137</f>
        <v>7194</v>
      </c>
      <c r="D124" s="38" t="s">
        <v>78</v>
      </c>
      <c r="E124" s="41" t="s">
        <v>396</v>
      </c>
      <c r="F124" s="38" t="s">
        <v>284</v>
      </c>
      <c r="G124" s="2" t="s">
        <v>398</v>
      </c>
    </row>
    <row r="125" customFormat="false" ht="17.15" hidden="false" customHeight="false" outlineLevel="0" collapsed="false">
      <c r="A125" s="38" t="s">
        <v>551</v>
      </c>
      <c r="B125" s="38" t="s">
        <v>286</v>
      </c>
      <c r="C125" s="42" t="n">
        <f aca="false">輸入!C138</f>
        <v>105423</v>
      </c>
      <c r="D125" s="38" t="s">
        <v>78</v>
      </c>
      <c r="E125" s="41" t="s">
        <v>396</v>
      </c>
      <c r="F125" s="38" t="s">
        <v>287</v>
      </c>
      <c r="G125" s="2" t="s">
        <v>398</v>
      </c>
    </row>
    <row r="126" customFormat="false" ht="17.15" hidden="false" customHeight="false" outlineLevel="0" collapsed="false">
      <c r="A126" s="38" t="s">
        <v>552</v>
      </c>
      <c r="B126" s="38" t="s">
        <v>286</v>
      </c>
      <c r="C126" s="42" t="n">
        <f aca="false">輸入!C139</f>
        <v>40668</v>
      </c>
      <c r="D126" s="38" t="s">
        <v>78</v>
      </c>
      <c r="E126" s="41" t="s">
        <v>396</v>
      </c>
      <c r="F126" s="38" t="s">
        <v>289</v>
      </c>
      <c r="G126" s="2" t="s">
        <v>398</v>
      </c>
    </row>
    <row r="127" customFormat="false" ht="17.15" hidden="false" customHeight="false" outlineLevel="0" collapsed="false">
      <c r="A127" s="2" t="s">
        <v>553</v>
      </c>
      <c r="B127" s="38" t="s">
        <v>28</v>
      </c>
      <c r="C127" s="11" t="n">
        <f aca="false">輸入!C140</f>
        <v>43.2</v>
      </c>
      <c r="D127" s="38" t="s">
        <v>78</v>
      </c>
      <c r="E127" s="41" t="s">
        <v>396</v>
      </c>
      <c r="F127" s="38" t="s">
        <v>291</v>
      </c>
      <c r="G127" s="2" t="s">
        <v>398</v>
      </c>
    </row>
    <row r="128" customFormat="false" ht="17.15" hidden="false" customHeight="false" outlineLevel="0" collapsed="false">
      <c r="A128" s="38" t="s">
        <v>554</v>
      </c>
      <c r="B128" s="38" t="s">
        <v>26</v>
      </c>
      <c r="C128" s="40" t="n">
        <f aca="false">輸入!C141</f>
        <v>0.15</v>
      </c>
      <c r="D128" s="38" t="s">
        <v>132</v>
      </c>
      <c r="E128" s="41" t="s">
        <v>396</v>
      </c>
      <c r="F128" s="38" t="s">
        <v>555</v>
      </c>
      <c r="G128" s="2" t="s">
        <v>398</v>
      </c>
    </row>
    <row r="129" customFormat="false" ht="17.15" hidden="false" customHeight="false" outlineLevel="0" collapsed="false">
      <c r="A129" s="2" t="s">
        <v>556</v>
      </c>
      <c r="B129" s="38" t="s">
        <v>26</v>
      </c>
      <c r="C129" s="40" t="n">
        <f aca="false">輸入!C142</f>
        <v>0.6</v>
      </c>
      <c r="D129" s="38" t="s">
        <v>114</v>
      </c>
      <c r="E129" s="2" t="s">
        <v>58</v>
      </c>
      <c r="F129" s="38" t="s">
        <v>557</v>
      </c>
      <c r="G129" s="2" t="s">
        <v>380</v>
      </c>
    </row>
    <row r="130" customFormat="false" ht="17.15" hidden="false" customHeight="false" outlineLevel="0" collapsed="false">
      <c r="A130" s="2" t="s">
        <v>558</v>
      </c>
      <c r="B130" s="38" t="s">
        <v>26</v>
      </c>
      <c r="C130" s="40" t="n">
        <f aca="false">輸入!C143</f>
        <v>1.8</v>
      </c>
      <c r="D130" s="38" t="s">
        <v>114</v>
      </c>
      <c r="E130" s="2" t="s">
        <v>58</v>
      </c>
      <c r="F130" s="38" t="s">
        <v>559</v>
      </c>
      <c r="G130" s="2" t="s">
        <v>380</v>
      </c>
    </row>
    <row r="131" customFormat="false" ht="17.15" hidden="false" customHeight="false" outlineLevel="0" collapsed="false">
      <c r="A131" s="2" t="s">
        <v>560</v>
      </c>
      <c r="B131" s="38" t="s">
        <v>17</v>
      </c>
      <c r="C131" s="43" t="n">
        <f aca="false">輸入!C144</f>
        <v>0.6</v>
      </c>
      <c r="D131" s="38" t="s">
        <v>114</v>
      </c>
      <c r="E131" s="2" t="s">
        <v>58</v>
      </c>
      <c r="F131" s="2" t="s">
        <v>561</v>
      </c>
      <c r="G131" s="2" t="s">
        <v>380</v>
      </c>
    </row>
    <row r="132" customFormat="false" ht="17.15" hidden="false" customHeight="false" outlineLevel="0" collapsed="false">
      <c r="A132" s="2" t="s">
        <v>562</v>
      </c>
      <c r="B132" s="38" t="s">
        <v>17</v>
      </c>
      <c r="C132" s="43" t="n">
        <f aca="false">輸入!C145</f>
        <v>0.4</v>
      </c>
      <c r="D132" s="38" t="s">
        <v>114</v>
      </c>
      <c r="E132" s="2" t="s">
        <v>58</v>
      </c>
      <c r="F132" s="2" t="s">
        <v>561</v>
      </c>
      <c r="G132" s="2" t="s">
        <v>380</v>
      </c>
    </row>
    <row r="133" customFormat="false" ht="17.15" hidden="false" customHeight="false" outlineLevel="0" collapsed="false">
      <c r="A133" s="2" t="s">
        <v>563</v>
      </c>
      <c r="B133" s="38" t="s">
        <v>17</v>
      </c>
      <c r="C133" s="43" t="n">
        <f aca="false">輸入!C146</f>
        <v>0</v>
      </c>
      <c r="D133" s="38" t="s">
        <v>114</v>
      </c>
      <c r="E133" s="2" t="s">
        <v>58</v>
      </c>
      <c r="F133" s="2" t="s">
        <v>561</v>
      </c>
      <c r="G133" s="2" t="s">
        <v>380</v>
      </c>
    </row>
    <row r="134" customFormat="false" ht="17.15" hidden="false" customHeight="false" outlineLevel="0" collapsed="false">
      <c r="A134" s="2" t="s">
        <v>564</v>
      </c>
      <c r="B134" s="38" t="s">
        <v>17</v>
      </c>
      <c r="C134" s="43" t="n">
        <f aca="false">輸入!C147</f>
        <v>0</v>
      </c>
      <c r="D134" s="38" t="s">
        <v>114</v>
      </c>
      <c r="E134" s="2" t="s">
        <v>58</v>
      </c>
      <c r="F134" s="2" t="s">
        <v>561</v>
      </c>
      <c r="G134" s="2" t="s">
        <v>380</v>
      </c>
    </row>
    <row r="135" customFormat="false" ht="17.15" hidden="false" customHeight="false" outlineLevel="0" collapsed="false">
      <c r="A135" s="38" t="s">
        <v>565</v>
      </c>
      <c r="B135" s="38" t="s">
        <v>20</v>
      </c>
      <c r="C135" s="40" t="n">
        <f aca="false">輸入!C148</f>
        <v>0.6</v>
      </c>
      <c r="D135" s="38" t="s">
        <v>67</v>
      </c>
      <c r="E135" s="41" t="s">
        <v>386</v>
      </c>
      <c r="F135" s="38" t="s">
        <v>566</v>
      </c>
      <c r="G135" s="2" t="s">
        <v>388</v>
      </c>
    </row>
    <row r="136" customFormat="false" ht="17.15" hidden="false" customHeight="false" outlineLevel="0" collapsed="false">
      <c r="A136" s="38" t="s">
        <v>567</v>
      </c>
      <c r="B136" s="38" t="s">
        <v>20</v>
      </c>
      <c r="C136" s="40" t="n">
        <f aca="false">輸入!C149</f>
        <v>1.9</v>
      </c>
      <c r="D136" s="38" t="s">
        <v>67</v>
      </c>
      <c r="E136" s="41" t="s">
        <v>386</v>
      </c>
      <c r="F136" s="38" t="s">
        <v>566</v>
      </c>
      <c r="G136" s="2" t="s">
        <v>388</v>
      </c>
    </row>
    <row r="137" customFormat="false" ht="17.15" hidden="false" customHeight="false" outlineLevel="0" collapsed="false">
      <c r="A137" s="38" t="s">
        <v>568</v>
      </c>
      <c r="B137" s="38" t="s">
        <v>7</v>
      </c>
      <c r="C137" s="11" t="n">
        <f aca="false">輸入!C150</f>
        <v>20</v>
      </c>
      <c r="D137" s="38" t="s">
        <v>67</v>
      </c>
      <c r="E137" s="41" t="s">
        <v>386</v>
      </c>
      <c r="F137" s="38" t="s">
        <v>566</v>
      </c>
      <c r="G137" s="2" t="s">
        <v>388</v>
      </c>
    </row>
    <row r="138" customFormat="false" ht="17.15" hidden="false" customHeight="false" outlineLevel="0" collapsed="false">
      <c r="A138" s="2" t="s">
        <v>569</v>
      </c>
      <c r="B138" s="38" t="s">
        <v>570</v>
      </c>
      <c r="C138" s="11" t="n">
        <f aca="false">輸入!C151</f>
        <v>12</v>
      </c>
      <c r="D138" s="38" t="s">
        <v>132</v>
      </c>
      <c r="E138" s="41" t="s">
        <v>386</v>
      </c>
      <c r="F138" s="38" t="s">
        <v>571</v>
      </c>
      <c r="G138" s="2" t="s">
        <v>388</v>
      </c>
    </row>
    <row r="139" customFormat="false" ht="17.15" hidden="false" customHeight="false" outlineLevel="0" collapsed="false">
      <c r="A139" s="2" t="s">
        <v>572</v>
      </c>
      <c r="B139" s="38" t="s">
        <v>17</v>
      </c>
      <c r="C139" s="43" t="n">
        <f aca="false">輸入!C152</f>
        <v>0.1</v>
      </c>
      <c r="D139" s="38" t="s">
        <v>114</v>
      </c>
      <c r="E139" s="2" t="s">
        <v>58</v>
      </c>
      <c r="F139" s="2"/>
      <c r="G139" s="2" t="s">
        <v>380</v>
      </c>
    </row>
    <row r="140" customFormat="false" ht="17.15" hidden="false" customHeight="false" outlineLevel="0" collapsed="false">
      <c r="A140" s="2" t="s">
        <v>311</v>
      </c>
      <c r="B140" s="38" t="s">
        <v>17</v>
      </c>
      <c r="C140" s="43" t="n">
        <f aca="false">輸入!C153</f>
        <v>0.3</v>
      </c>
      <c r="D140" s="38" t="s">
        <v>114</v>
      </c>
      <c r="E140" s="2" t="s">
        <v>58</v>
      </c>
      <c r="F140" s="38" t="s">
        <v>573</v>
      </c>
      <c r="G140" s="2" t="s">
        <v>380</v>
      </c>
    </row>
    <row r="141" customFormat="false" ht="17.15" hidden="false" customHeight="false" outlineLevel="0" collapsed="false">
      <c r="A141" s="2" t="s">
        <v>574</v>
      </c>
      <c r="B141" s="38" t="s">
        <v>17</v>
      </c>
      <c r="C141" s="43" t="n">
        <f aca="false">輸入!C155</f>
        <v>0</v>
      </c>
      <c r="D141" s="38" t="s">
        <v>114</v>
      </c>
      <c r="E141" s="2" t="s">
        <v>58</v>
      </c>
      <c r="F141" s="38" t="s">
        <v>575</v>
      </c>
      <c r="G141" s="2" t="s">
        <v>380</v>
      </c>
    </row>
    <row r="142" customFormat="false" ht="17.15" hidden="false" customHeight="false" outlineLevel="0" collapsed="false">
      <c r="A142" s="2" t="s">
        <v>316</v>
      </c>
      <c r="B142" s="38" t="s">
        <v>576</v>
      </c>
      <c r="C142" s="11" t="n">
        <f aca="false">輸入!C156</f>
        <v>0</v>
      </c>
      <c r="D142" s="38" t="s">
        <v>132</v>
      </c>
      <c r="E142" s="41" t="s">
        <v>386</v>
      </c>
      <c r="F142" s="2" t="s">
        <v>577</v>
      </c>
      <c r="G142" s="2" t="s">
        <v>388</v>
      </c>
    </row>
    <row r="143" customFormat="false" ht="17.15" hidden="false" customHeight="false" outlineLevel="0" collapsed="false">
      <c r="A143" s="2" t="s">
        <v>578</v>
      </c>
      <c r="B143" s="38" t="s">
        <v>7</v>
      </c>
      <c r="C143" s="11" t="n">
        <f aca="false">輸入!C158</f>
        <v>13.07</v>
      </c>
      <c r="D143" s="38" t="s">
        <v>321</v>
      </c>
      <c r="E143" s="41" t="s">
        <v>396</v>
      </c>
      <c r="F143" s="38" t="s">
        <v>579</v>
      </c>
      <c r="G143" s="2" t="s">
        <v>398</v>
      </c>
    </row>
    <row r="144" customFormat="false" ht="17.15" hidden="false" customHeight="false" outlineLevel="0" collapsed="false">
      <c r="A144" s="2" t="s">
        <v>323</v>
      </c>
      <c r="B144" s="38" t="s">
        <v>7</v>
      </c>
      <c r="C144" s="11" t="n">
        <f aca="false">輸入!C159</f>
        <v>0</v>
      </c>
      <c r="D144" s="38" t="s">
        <v>67</v>
      </c>
      <c r="E144" s="41" t="s">
        <v>386</v>
      </c>
      <c r="F144" s="38" t="s">
        <v>324</v>
      </c>
      <c r="G144" s="2" t="s">
        <v>388</v>
      </c>
    </row>
    <row r="145" customFormat="false" ht="17.15" hidden="false" customHeight="false" outlineLevel="0" collapsed="false">
      <c r="A145" s="38" t="s">
        <v>580</v>
      </c>
      <c r="B145" s="38" t="s">
        <v>149</v>
      </c>
      <c r="C145" s="42" t="n">
        <f aca="false">輸入!C160</f>
        <v>2750</v>
      </c>
      <c r="D145" s="38" t="s">
        <v>67</v>
      </c>
      <c r="E145" s="41" t="s">
        <v>386</v>
      </c>
      <c r="F145" s="38" t="s">
        <v>581</v>
      </c>
      <c r="G145" s="2" t="s">
        <v>388</v>
      </c>
    </row>
    <row r="146" customFormat="false" ht="17.15" hidden="false" customHeight="false" outlineLevel="0" collapsed="false">
      <c r="A146" s="2" t="s">
        <v>582</v>
      </c>
      <c r="B146" s="38" t="s">
        <v>7</v>
      </c>
      <c r="C146" s="42" t="n">
        <f aca="false">輸入!C161</f>
        <v>-278</v>
      </c>
      <c r="D146" s="38" t="s">
        <v>67</v>
      </c>
      <c r="E146" s="41" t="s">
        <v>386</v>
      </c>
      <c r="F146" s="38" t="s">
        <v>328</v>
      </c>
      <c r="G146" s="2" t="s">
        <v>388</v>
      </c>
    </row>
    <row r="147" customFormat="false" ht="17.15" hidden="false" customHeight="false" outlineLevel="0" collapsed="false">
      <c r="A147" s="38" t="s">
        <v>583</v>
      </c>
      <c r="B147" s="38" t="s">
        <v>7</v>
      </c>
      <c r="C147" s="11" t="n">
        <f aca="false">輸入!C164</f>
        <v>250</v>
      </c>
      <c r="D147" s="38" t="s">
        <v>336</v>
      </c>
      <c r="E147" s="41" t="s">
        <v>386</v>
      </c>
      <c r="F147" s="2" t="s">
        <v>584</v>
      </c>
      <c r="G147" s="2" t="s">
        <v>388</v>
      </c>
    </row>
    <row r="148" customFormat="false" ht="17.15" hidden="false" customHeight="false" outlineLevel="0" collapsed="false">
      <c r="A148" s="38" t="s">
        <v>585</v>
      </c>
      <c r="B148" s="38" t="s">
        <v>7</v>
      </c>
      <c r="C148" s="11" t="n">
        <f aca="false">輸入!C165</f>
        <v>300</v>
      </c>
      <c r="D148" s="38" t="s">
        <v>67</v>
      </c>
      <c r="E148" s="41" t="s">
        <v>386</v>
      </c>
      <c r="F148" s="38" t="s">
        <v>586</v>
      </c>
      <c r="G148" s="2" t="s">
        <v>388</v>
      </c>
    </row>
    <row r="149" customFormat="false" ht="17.15" hidden="false" customHeight="false" outlineLevel="0" collapsed="false">
      <c r="A149" s="38" t="s">
        <v>587</v>
      </c>
      <c r="B149" s="38" t="s">
        <v>7</v>
      </c>
      <c r="C149" s="11" t="n">
        <f aca="false">輸入!C166</f>
        <v>38</v>
      </c>
      <c r="D149" s="38" t="s">
        <v>94</v>
      </c>
      <c r="E149" s="41" t="s">
        <v>386</v>
      </c>
      <c r="F149" s="38" t="s">
        <v>588</v>
      </c>
      <c r="G149" s="2" t="s">
        <v>388</v>
      </c>
    </row>
    <row r="150" customFormat="false" ht="17.15" hidden="false" customHeight="false" outlineLevel="0" collapsed="false">
      <c r="A150" s="38" t="s">
        <v>589</v>
      </c>
      <c r="B150" s="38" t="s">
        <v>7</v>
      </c>
      <c r="C150" s="11" t="n">
        <f aca="false">輸入!C167</f>
        <v>100</v>
      </c>
      <c r="D150" s="38" t="s">
        <v>94</v>
      </c>
      <c r="E150" s="41" t="s">
        <v>386</v>
      </c>
      <c r="F150" s="38" t="s">
        <v>590</v>
      </c>
      <c r="G150" s="2" t="s">
        <v>388</v>
      </c>
    </row>
    <row r="151" customFormat="false" ht="17.15" hidden="false" customHeight="false" outlineLevel="0" collapsed="false">
      <c r="A151" s="38" t="s">
        <v>591</v>
      </c>
      <c r="B151" s="38" t="s">
        <v>7</v>
      </c>
      <c r="C151" s="11" t="n">
        <f aca="false">輸入!C168</f>
        <v>22.4</v>
      </c>
      <c r="D151" s="38" t="s">
        <v>94</v>
      </c>
      <c r="E151" s="41" t="s">
        <v>386</v>
      </c>
      <c r="F151" s="38" t="s">
        <v>592</v>
      </c>
      <c r="G151" s="2" t="s">
        <v>388</v>
      </c>
    </row>
    <row r="152" customFormat="false" ht="17.15" hidden="false" customHeight="false" outlineLevel="0" collapsed="false">
      <c r="A152" s="38" t="s">
        <v>593</v>
      </c>
      <c r="B152" s="38" t="s">
        <v>7</v>
      </c>
      <c r="C152" s="11" t="n">
        <f aca="false">輸入!C169</f>
        <v>20</v>
      </c>
      <c r="D152" s="38" t="s">
        <v>336</v>
      </c>
      <c r="E152" s="41" t="s">
        <v>386</v>
      </c>
      <c r="F152" s="38" t="s">
        <v>594</v>
      </c>
      <c r="G152" s="2" t="s">
        <v>388</v>
      </c>
    </row>
    <row r="153" customFormat="false" ht="17.15" hidden="false" customHeight="false" outlineLevel="0" collapsed="false">
      <c r="A153" s="2" t="s">
        <v>349</v>
      </c>
      <c r="B153" s="38" t="s">
        <v>7</v>
      </c>
      <c r="C153" s="11" t="n">
        <f aca="false">輸入!C171</f>
        <v>0</v>
      </c>
      <c r="D153" s="38" t="s">
        <v>114</v>
      </c>
      <c r="E153" s="2" t="s">
        <v>58</v>
      </c>
      <c r="F153" s="2" t="s">
        <v>595</v>
      </c>
      <c r="G153" s="2" t="s">
        <v>380</v>
      </c>
    </row>
    <row r="154" customFormat="false" ht="17.15" hidden="false" customHeight="false" outlineLevel="0" collapsed="false">
      <c r="A154" s="2" t="s">
        <v>351</v>
      </c>
      <c r="B154" s="38" t="s">
        <v>17</v>
      </c>
      <c r="C154" s="43" t="n">
        <f aca="false">輸入!C172</f>
        <v>0</v>
      </c>
      <c r="D154" s="38" t="s">
        <v>114</v>
      </c>
      <c r="E154" s="2" t="s">
        <v>58</v>
      </c>
      <c r="F154" s="38" t="s">
        <v>596</v>
      </c>
      <c r="G154" s="2" t="s">
        <v>380</v>
      </c>
    </row>
    <row r="155" customFormat="false" ht="17.15" hidden="false" customHeight="false" outlineLevel="0" collapsed="false">
      <c r="A155" s="2" t="s">
        <v>597</v>
      </c>
      <c r="B155" s="38" t="s">
        <v>17</v>
      </c>
      <c r="C155" s="43" t="n">
        <f aca="false">輸入!C173</f>
        <v>1.216</v>
      </c>
      <c r="D155" s="38" t="s">
        <v>114</v>
      </c>
      <c r="E155" s="41" t="s">
        <v>396</v>
      </c>
      <c r="F155" s="38" t="s">
        <v>598</v>
      </c>
      <c r="G155" s="2" t="s">
        <v>398</v>
      </c>
    </row>
    <row r="156" customFormat="false" ht="17.15" hidden="false" customHeight="false" outlineLevel="0" collapsed="false">
      <c r="A156" s="2" t="s">
        <v>599</v>
      </c>
      <c r="B156" s="38" t="s">
        <v>7</v>
      </c>
      <c r="C156" s="42" t="n">
        <f aca="false">輸入!C174</f>
        <v>750</v>
      </c>
      <c r="D156" s="38" t="s">
        <v>67</v>
      </c>
      <c r="E156" s="41" t="s">
        <v>386</v>
      </c>
      <c r="F156" s="38" t="s">
        <v>356</v>
      </c>
      <c r="G156" s="2" t="s">
        <v>388</v>
      </c>
    </row>
    <row r="157" customFormat="false" ht="17.15" hidden="false" customHeight="false" outlineLevel="0" collapsed="false">
      <c r="A157" s="2" t="s">
        <v>600</v>
      </c>
      <c r="B157" s="38" t="s">
        <v>7</v>
      </c>
      <c r="C157" s="42" t="n">
        <f aca="false">輸入!C175</f>
        <v>856</v>
      </c>
      <c r="D157" s="38" t="s">
        <v>67</v>
      </c>
      <c r="E157" s="41" t="s">
        <v>386</v>
      </c>
      <c r="F157" s="38" t="s">
        <v>328</v>
      </c>
      <c r="G157" s="2" t="s">
        <v>388</v>
      </c>
    </row>
    <row r="158" customFormat="false" ht="17.15" hidden="false" customHeight="false" outlineLevel="0" collapsed="false">
      <c r="A158" s="38" t="s">
        <v>601</v>
      </c>
      <c r="B158" s="38" t="s">
        <v>7</v>
      </c>
      <c r="C158" s="42" t="n">
        <f aca="false">輸入!C176</f>
        <v>50</v>
      </c>
      <c r="D158" s="38" t="s">
        <v>67</v>
      </c>
      <c r="E158" s="41" t="s">
        <v>386</v>
      </c>
      <c r="F158" s="38" t="s">
        <v>602</v>
      </c>
      <c r="G158" s="2" t="s">
        <v>388</v>
      </c>
    </row>
    <row r="159" customFormat="false" ht="17.15" hidden="false" customHeight="false" outlineLevel="0" collapsed="false">
      <c r="A159" s="38" t="s">
        <v>603</v>
      </c>
      <c r="B159" s="38" t="s">
        <v>7</v>
      </c>
      <c r="C159" s="11" t="n">
        <f aca="false">輸入!C178</f>
        <v>40</v>
      </c>
      <c r="D159" s="38" t="s">
        <v>67</v>
      </c>
      <c r="E159" s="41" t="s">
        <v>386</v>
      </c>
      <c r="F159" s="38" t="s">
        <v>604</v>
      </c>
      <c r="G159" s="2" t="s">
        <v>388</v>
      </c>
    </row>
    <row r="160" customFormat="false" ht="17.15" hidden="false" customHeight="false" outlineLevel="0" collapsed="false">
      <c r="A160" s="38" t="s">
        <v>605</v>
      </c>
      <c r="B160" s="38" t="s">
        <v>7</v>
      </c>
      <c r="C160" s="11" t="n">
        <f aca="false">輸入!C179</f>
        <v>87</v>
      </c>
      <c r="D160" s="38" t="s">
        <v>67</v>
      </c>
      <c r="E160" s="41" t="s">
        <v>386</v>
      </c>
      <c r="F160" s="38" t="s">
        <v>606</v>
      </c>
      <c r="G160" s="2" t="s">
        <v>388</v>
      </c>
    </row>
    <row r="161" customFormat="false" ht="17.15" hidden="false" customHeight="false" outlineLevel="0" collapsed="false">
      <c r="A161" s="38" t="s">
        <v>607</v>
      </c>
      <c r="B161" s="38" t="s">
        <v>7</v>
      </c>
      <c r="C161" s="11" t="n">
        <f aca="false">輸入!C180</f>
        <v>35</v>
      </c>
      <c r="D161" s="38" t="s">
        <v>94</v>
      </c>
      <c r="E161" s="2" t="s">
        <v>96</v>
      </c>
      <c r="F161" s="38" t="s">
        <v>608</v>
      </c>
      <c r="G161" s="38" t="s">
        <v>406</v>
      </c>
    </row>
    <row r="162" customFormat="false" ht="17.15" hidden="false" customHeight="false" outlineLevel="0" collapsed="false">
      <c r="A162" s="2" t="s">
        <v>367</v>
      </c>
      <c r="B162" s="38" t="s">
        <v>7</v>
      </c>
      <c r="C162" s="11" t="n">
        <f aca="false">輸入!C181</f>
        <v>10</v>
      </c>
      <c r="D162" s="38" t="s">
        <v>114</v>
      </c>
      <c r="E162" s="2" t="s">
        <v>58</v>
      </c>
      <c r="F162" s="38" t="s">
        <v>609</v>
      </c>
      <c r="G162" s="2" t="s">
        <v>380</v>
      </c>
    </row>
    <row r="163" customFormat="false" ht="17.15" hidden="false" customHeight="false" outlineLevel="0" collapsed="false">
      <c r="A163" s="2" t="s">
        <v>610</v>
      </c>
      <c r="B163" s="38" t="s">
        <v>7</v>
      </c>
      <c r="C163" s="42" t="n">
        <f aca="false">輸入!C182</f>
        <v>250</v>
      </c>
      <c r="D163" s="38" t="s">
        <v>67</v>
      </c>
      <c r="E163" s="41" t="s">
        <v>386</v>
      </c>
      <c r="F163" s="38" t="s">
        <v>611</v>
      </c>
      <c r="G163" s="2" t="s">
        <v>388</v>
      </c>
    </row>
    <row r="164" customFormat="false" ht="17.15" hidden="false" customHeight="false" outlineLevel="0" collapsed="false">
      <c r="A164" s="2" t="s">
        <v>612</v>
      </c>
      <c r="B164" s="38" t="s">
        <v>7</v>
      </c>
      <c r="C164" s="42" t="n">
        <f aca="false">輸入!C183</f>
        <v>350</v>
      </c>
      <c r="D164" s="38" t="s">
        <v>67</v>
      </c>
      <c r="E164" s="41" t="s">
        <v>386</v>
      </c>
      <c r="F164" s="38" t="s">
        <v>613</v>
      </c>
      <c r="G164" s="2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70"/>
  </cols>
  <sheetData>
    <row r="1" customFormat="false" ht="20.1" hidden="false" customHeight="false" outlineLevel="0" collapsed="false">
      <c r="A1" s="37" t="s">
        <v>614</v>
      </c>
    </row>
    <row r="3" customFormat="false" ht="17.15" hidden="false" customHeight="false" outlineLevel="0" collapsed="false">
      <c r="A3" s="3" t="s">
        <v>1</v>
      </c>
      <c r="B3" s="3" t="s">
        <v>2</v>
      </c>
      <c r="C3" s="4" t="n">
        <v>2025</v>
      </c>
      <c r="D3" s="4" t="n">
        <v>2026</v>
      </c>
      <c r="E3" s="4" t="n">
        <v>2027</v>
      </c>
      <c r="F3" s="4" t="n">
        <v>2028</v>
      </c>
      <c r="G3" s="4" t="n">
        <v>2029</v>
      </c>
      <c r="H3" s="4" t="n">
        <v>2030</v>
      </c>
      <c r="I3" s="5" t="s">
        <v>3</v>
      </c>
      <c r="J3" s="3" t="s">
        <v>615</v>
      </c>
    </row>
    <row r="4" customFormat="false" ht="17.15" hidden="false" customHeight="false" outlineLevel="0" collapsed="false">
      <c r="A4" s="6" t="s">
        <v>616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9" t="s">
        <v>335</v>
      </c>
      <c r="B5" s="9" t="s">
        <v>20</v>
      </c>
      <c r="C5" s="15" t="n">
        <f aca="false">IF(輸入!$G$164&lt;&gt;"",輸入!$G$164*支出!C5/IF(輸入!$F$164&lt;&gt;"",輸入!$F$164,IF(輸入!$C$6="even",輸入!$C$164/(輸入!$E$164-輸入!$D$164+1),2*輸入!$C$164/((輸入!$E$164-輸入!$D$164+1)+1))),支出!C5/輸入!$C$151)</f>
        <v>0.992063492063492</v>
      </c>
      <c r="D5" s="15" t="n">
        <f aca="false">IF(輸入!$G$164&lt;&gt;"",輸入!$G$164*支出!D5/IF(輸入!$F$164&lt;&gt;"",輸入!$F$164,IF(輸入!$C$6="even",輸入!$C$164/(輸入!$E$164-輸入!$D$164+1),2*輸入!$C$164/((輸入!$E$164-輸入!$D$164+1)+1))),支出!D5/輸入!$C$151)</f>
        <v>1.98412698412698</v>
      </c>
      <c r="E5" s="15" t="n">
        <f aca="false">IF(輸入!$G$164&lt;&gt;"",輸入!$G$164*支出!E5/IF(輸入!$F$164&lt;&gt;"",輸入!$F$164,IF(輸入!$C$6="even",輸入!$C$164/(輸入!$E$164-輸入!$D$164+1),2*輸入!$C$164/((輸入!$E$164-輸入!$D$164+1)+1))),支出!E5/輸入!$C$151)</f>
        <v>2.97619047619048</v>
      </c>
      <c r="F5" s="15" t="n">
        <f aca="false">IF(輸入!$G$164&lt;&gt;"",輸入!$G$164*支出!F5/IF(輸入!$F$164&lt;&gt;"",輸入!$F$164,IF(輸入!$C$6="even",輸入!$C$164/(輸入!$E$164-輸入!$D$164+1),2*輸入!$C$164/((輸入!$E$164-輸入!$D$164+1)+1))),支出!F5/輸入!$C$151)</f>
        <v>3.96825396825397</v>
      </c>
      <c r="G5" s="15" t="n">
        <f aca="false">IF(輸入!$G$164&lt;&gt;"",輸入!$G$164*支出!G5/IF(輸入!$F$164&lt;&gt;"",輸入!$F$164,IF(輸入!$C$6="even",輸入!$C$164/(輸入!$E$164-輸入!$D$164+1),2*輸入!$C$164/((輸入!$E$164-輸入!$D$164+1)+1))),支出!G5/輸入!$C$151)</f>
        <v>4.96031746031746</v>
      </c>
      <c r="H5" s="15" t="n">
        <f aca="false">IF(輸入!$G$164&lt;&gt;"",輸入!$G$164*支出!H5/IF(輸入!$F$164&lt;&gt;"",輸入!$F$164,IF(輸入!$C$6="even",輸入!$C$164/(輸入!$E$164-輸入!$D$164+1),2*輸入!$C$164/((輸入!$E$164-輸入!$D$164+1)+1))),支出!H5/輸入!$C$151)</f>
        <v>5.95238095238095</v>
      </c>
    </row>
    <row r="6" customFormat="false" ht="15" hidden="false" customHeight="false" outlineLevel="0" collapsed="false">
      <c r="A6" s="9" t="s">
        <v>338</v>
      </c>
      <c r="B6" s="9" t="s">
        <v>20</v>
      </c>
      <c r="C6" s="15" t="n">
        <f aca="false">IF(輸入!$G$165&lt;&gt;"",輸入!$G$165*支出!C6/IF(輸入!$F$165&lt;&gt;"",輸入!$F$165,IF(輸入!$C$6="even",輸入!$C$165/(輸入!$E$165-輸入!$D$165+1),2*輸入!$C$165/((輸入!$E$165-輸入!$D$165+1)+1))),支出!C6/輸入!$C$151)</f>
        <v>0</v>
      </c>
      <c r="D6" s="15" t="n">
        <f aca="false">IF(輸入!$G$165&lt;&gt;"",輸入!$G$165*支出!D6/IF(輸入!$F$165&lt;&gt;"",輸入!$F$165,IF(輸入!$C$6="even",輸入!$C$165/(輸入!$E$165-輸入!$D$165+1),2*輸入!$C$165/((輸入!$E$165-輸入!$D$165+1)+1))),支出!D6/輸入!$C$151)</f>
        <v>0</v>
      </c>
      <c r="E6" s="15" t="n">
        <f aca="false">IF(輸入!$G$165&lt;&gt;"",輸入!$G$165*支出!E6/IF(輸入!$F$165&lt;&gt;"",輸入!$F$165,IF(輸入!$C$6="even",輸入!$C$165/(輸入!$E$165-輸入!$D$165+1),2*輸入!$C$165/((輸入!$E$165-輸入!$D$165+1)+1))),支出!E6/輸入!$C$151)</f>
        <v>4.5</v>
      </c>
      <c r="F6" s="15" t="n">
        <f aca="false">IF(輸入!$G$165&lt;&gt;"",輸入!$G$165*支出!F6/IF(輸入!$F$165&lt;&gt;"",輸入!$F$165,IF(輸入!$C$6="even",輸入!$C$165/(輸入!$E$165-輸入!$D$165+1),2*輸入!$C$165/((輸入!$E$165-輸入!$D$165+1)+1))),支出!F6/輸入!$C$151)</f>
        <v>4.5</v>
      </c>
      <c r="G6" s="15" t="n">
        <f aca="false">IF(輸入!$G$165&lt;&gt;"",輸入!$G$165*支出!G6/IF(輸入!$F$165&lt;&gt;"",輸入!$F$165,IF(輸入!$C$6="even",輸入!$C$165/(輸入!$E$165-輸入!$D$165+1),2*輸入!$C$165/((輸入!$E$165-輸入!$D$165+1)+1))),支出!G6/輸入!$C$151)</f>
        <v>4.5</v>
      </c>
      <c r="H6" s="15" t="n">
        <f aca="false">IF(輸入!$G$165&lt;&gt;"",輸入!$G$165*支出!H6/IF(輸入!$F$165&lt;&gt;"",輸入!$F$165,IF(輸入!$C$6="even",輸入!$C$165/(輸入!$E$165-輸入!$D$165+1),2*輸入!$C$165/((輸入!$E$165-輸入!$D$165+1)+1))),支出!H6/輸入!$C$151)</f>
        <v>4.5</v>
      </c>
    </row>
    <row r="7" customFormat="false" ht="17.15" hidden="false" customHeight="false" outlineLevel="0" collapsed="false">
      <c r="A7" s="9" t="s">
        <v>340</v>
      </c>
      <c r="B7" s="9" t="s">
        <v>20</v>
      </c>
      <c r="C7" s="15" t="n">
        <f aca="false">IF(輸入!$G$166&lt;&gt;"",輸入!$G$166*支出!C7/IF(輸入!$F$166&lt;&gt;"",輸入!$F$166,IF(輸入!$C$6="even",輸入!$C$166/(輸入!$E$166-輸入!$D$166+1),2*輸入!$C$166/((輸入!$E$166-輸入!$D$166+1)+1))),支出!C7/輸入!$C$151)</f>
        <v>0.113095238095238</v>
      </c>
      <c r="D7" s="15" t="n">
        <f aca="false">IF(輸入!$G$166&lt;&gt;"",輸入!$G$166*支出!D7/IF(輸入!$F$166&lt;&gt;"",輸入!$F$166,IF(輸入!$C$6="even",輸入!$C$166/(輸入!$E$166-輸入!$D$166+1),2*輸入!$C$166/((輸入!$E$166-輸入!$D$166+1)+1))),支出!D7/輸入!$C$151)</f>
        <v>0.226190476190476</v>
      </c>
      <c r="E7" s="15" t="n">
        <f aca="false">IF(輸入!$G$166&lt;&gt;"",輸入!$G$166*支出!E7/IF(輸入!$F$166&lt;&gt;"",輸入!$F$166,IF(輸入!$C$6="even",輸入!$C$166/(輸入!$E$166-輸入!$D$166+1),2*輸入!$C$166/((輸入!$E$166-輸入!$D$166+1)+1))),支出!E7/輸入!$C$151)</f>
        <v>0.339285714285714</v>
      </c>
      <c r="F7" s="15" t="n">
        <f aca="false">IF(輸入!$G$166&lt;&gt;"",輸入!$G$166*支出!F7/IF(輸入!$F$166&lt;&gt;"",輸入!$F$166,IF(輸入!$C$6="even",輸入!$C$166/(輸入!$E$166-輸入!$D$166+1),2*輸入!$C$166/((輸入!$E$166-輸入!$D$166+1)+1))),支出!F7/輸入!$C$151)</f>
        <v>0.452380952380952</v>
      </c>
      <c r="G7" s="15" t="n">
        <f aca="false">IF(輸入!$G$166&lt;&gt;"",輸入!$G$166*支出!G7/IF(輸入!$F$166&lt;&gt;"",輸入!$F$166,IF(輸入!$C$6="even",輸入!$C$166/(輸入!$E$166-輸入!$D$166+1),2*輸入!$C$166/((輸入!$E$166-輸入!$D$166+1)+1))),支出!G7/輸入!$C$151)</f>
        <v>0.565476190476191</v>
      </c>
      <c r="H7" s="15" t="n">
        <f aca="false">IF(輸入!$G$166&lt;&gt;"",輸入!$G$166*支出!H7/IF(輸入!$F$166&lt;&gt;"",輸入!$F$166,IF(輸入!$C$6="even",輸入!$C$166/(輸入!$E$166-輸入!$D$166+1),2*輸入!$C$166/((輸入!$E$166-輸入!$D$166+1)+1))),支出!H7/輸入!$C$151)</f>
        <v>0.678571428571429</v>
      </c>
    </row>
    <row r="8" customFormat="false" ht="17.15" hidden="false" customHeight="false" outlineLevel="0" collapsed="false">
      <c r="A8" s="9" t="s">
        <v>342</v>
      </c>
      <c r="B8" s="9" t="s">
        <v>20</v>
      </c>
      <c r="C8" s="15" t="n">
        <f aca="false">IF(輸入!$G$167&lt;&gt;"",輸入!$G$167*支出!C8/IF(輸入!$F$167&lt;&gt;"",輸入!$F$167,IF(輸入!$C$6="even",輸入!$C$167/(輸入!$E$167-輸入!$D$167+1),2*輸入!$C$167/((輸入!$E$167-輸入!$D$167+1)+1))),支出!C8/輸入!$C$151)</f>
        <v>0</v>
      </c>
      <c r="D8" s="15" t="n">
        <f aca="false">IF(輸入!$G$167&lt;&gt;"",輸入!$G$167*支出!D8/IF(輸入!$F$167&lt;&gt;"",輸入!$F$167,IF(輸入!$C$6="even",輸入!$C$167/(輸入!$E$167-輸入!$D$167+1),2*輸入!$C$167/((輸入!$E$167-輸入!$D$167+1)+1))),支出!D8/輸入!$C$151)</f>
        <v>0.25</v>
      </c>
      <c r="E8" s="15" t="n">
        <f aca="false">IF(輸入!$G$167&lt;&gt;"",輸入!$G$167*支出!E8/IF(輸入!$F$167&lt;&gt;"",輸入!$F$167,IF(輸入!$C$6="even",輸入!$C$167/(輸入!$E$167-輸入!$D$167+1),2*輸入!$C$167/((輸入!$E$167-輸入!$D$167+1)+1))),支出!E8/輸入!$C$151)</f>
        <v>0.5</v>
      </c>
      <c r="F8" s="15" t="n">
        <f aca="false">IF(輸入!$G$167&lt;&gt;"",輸入!$G$167*支出!F8/IF(輸入!$F$167&lt;&gt;"",輸入!$F$167,IF(輸入!$C$6="even",輸入!$C$167/(輸入!$E$167-輸入!$D$167+1),2*輸入!$C$167/((輸入!$E$167-輸入!$D$167+1)+1))),支出!F8/輸入!$C$151)</f>
        <v>0.75</v>
      </c>
      <c r="G8" s="15" t="n">
        <f aca="false">IF(輸入!$G$167&lt;&gt;"",輸入!$G$167*支出!G8/IF(輸入!$F$167&lt;&gt;"",輸入!$F$167,IF(輸入!$C$6="even",輸入!$C$167/(輸入!$E$167-輸入!$D$167+1),2*輸入!$C$167/((輸入!$E$167-輸入!$D$167+1)+1))),支出!G8/輸入!$C$151)</f>
        <v>1</v>
      </c>
      <c r="H8" s="15" t="n">
        <f aca="false">IF(輸入!$G$167&lt;&gt;"",輸入!$G$167*支出!H8/IF(輸入!$F$167&lt;&gt;"",輸入!$F$167,IF(輸入!$C$6="even",輸入!$C$167/(輸入!$E$167-輸入!$D$167+1),2*輸入!$C$167/((輸入!$E$167-輸入!$D$167+1)+1))),支出!H8/輸入!$C$151)</f>
        <v>1.25</v>
      </c>
    </row>
    <row r="9" customFormat="false" ht="15" hidden="false" customHeight="false" outlineLevel="0" collapsed="false">
      <c r="A9" s="9" t="s">
        <v>344</v>
      </c>
      <c r="B9" s="9" t="s">
        <v>20</v>
      </c>
      <c r="C9" s="15" t="n">
        <f aca="false">IF(輸入!$G$168&lt;&gt;"",輸入!$G$168*支出!C9/IF(輸入!$F$168&lt;&gt;"",輸入!$F$168,IF(輸入!$C$6="even",輸入!$C$168/(輸入!$E$168-輸入!$D$168+1),2*輸入!$C$168/((輸入!$E$168-輸入!$D$168+1)+1))),支出!C9/輸入!$C$151)</f>
        <v>0.124444444444444</v>
      </c>
      <c r="D9" s="15" t="n">
        <f aca="false">IF(輸入!$G$168&lt;&gt;"",輸入!$G$168*支出!D9/IF(輸入!$F$168&lt;&gt;"",輸入!$F$168,IF(輸入!$C$6="even",輸入!$C$168/(輸入!$E$168-輸入!$D$168+1),2*輸入!$C$168/((輸入!$E$168-輸入!$D$168+1)+1))),支出!D9/輸入!$C$151)</f>
        <v>0.248888888888889</v>
      </c>
      <c r="E9" s="15" t="n">
        <f aca="false">IF(輸入!$G$168&lt;&gt;"",輸入!$G$168*支出!E9/IF(輸入!$F$168&lt;&gt;"",輸入!$F$168,IF(輸入!$C$6="even",輸入!$C$168/(輸入!$E$168-輸入!$D$168+1),2*輸入!$C$168/((輸入!$E$168-輸入!$D$168+1)+1))),支出!E9/輸入!$C$151)</f>
        <v>0.373333333333333</v>
      </c>
      <c r="F9" s="15" t="n">
        <f aca="false">IF(輸入!$G$168&lt;&gt;"",輸入!$G$168*支出!F9/IF(輸入!$F$168&lt;&gt;"",輸入!$F$168,IF(輸入!$C$6="even",輸入!$C$168/(輸入!$E$168-輸入!$D$168+1),2*輸入!$C$168/((輸入!$E$168-輸入!$D$168+1)+1))),支出!F9/輸入!$C$151)</f>
        <v>0.497777777777778</v>
      </c>
      <c r="G9" s="15" t="n">
        <f aca="false">IF(輸入!$G$168&lt;&gt;"",輸入!$G$168*支出!G9/IF(輸入!$F$168&lt;&gt;"",輸入!$F$168,IF(輸入!$C$6="even",輸入!$C$168/(輸入!$E$168-輸入!$D$168+1),2*輸入!$C$168/((輸入!$E$168-輸入!$D$168+1)+1))),支出!G9/輸入!$C$151)</f>
        <v>0.622222222222222</v>
      </c>
      <c r="H9" s="15" t="n">
        <f aca="false">IF(輸入!$G$168&lt;&gt;"",輸入!$G$168*支出!H9/IF(輸入!$F$168&lt;&gt;"",輸入!$F$168,IF(輸入!$C$6="even",輸入!$C$168/(輸入!$E$168-輸入!$D$168+1),2*輸入!$C$168/((輸入!$E$168-輸入!$D$168+1)+1))),支出!H9/輸入!$C$151)</f>
        <v>0</v>
      </c>
    </row>
    <row r="10" customFormat="false" ht="15" hidden="false" customHeight="false" outlineLevel="0" collapsed="false">
      <c r="A10" s="9" t="s">
        <v>346</v>
      </c>
      <c r="B10" s="9" t="s">
        <v>20</v>
      </c>
      <c r="C10" s="15" t="n">
        <f aca="false">IF(輸入!$G$169&lt;&gt;"",輸入!$G$169*支出!C10/IF(輸入!$F$169&lt;&gt;"",輸入!$F$169,IF(輸入!$C$6="even",輸入!$C$169/(輸入!$E$169-輸入!$D$169+1),2*輸入!$C$169/((輸入!$E$169-輸入!$D$169+1)+1))),支出!C10/輸入!$C$151)</f>
        <v>0</v>
      </c>
      <c r="D10" s="15" t="n">
        <f aca="false">IF(輸入!$G$169&lt;&gt;"",輸入!$G$169*支出!D10/IF(輸入!$F$169&lt;&gt;"",輸入!$F$169,IF(輸入!$C$6="even",輸入!$C$169/(輸入!$E$169-輸入!$D$169+1),2*輸入!$C$169/((輸入!$E$169-輸入!$D$169+1)+1))),支出!D10/輸入!$C$151)</f>
        <v>0.125</v>
      </c>
      <c r="E10" s="15" t="n">
        <f aca="false">IF(輸入!$G$169&lt;&gt;"",輸入!$G$169*支出!E10/IF(輸入!$F$169&lt;&gt;"",輸入!$F$169,IF(輸入!$C$6="even",輸入!$C$169/(輸入!$E$169-輸入!$D$169+1),2*輸入!$C$169/((輸入!$E$169-輸入!$D$169+1)+1))),支出!E10/輸入!$C$151)</f>
        <v>0.25</v>
      </c>
      <c r="F10" s="15" t="n">
        <f aca="false">IF(輸入!$G$169&lt;&gt;"",輸入!$G$169*支出!F10/IF(輸入!$F$169&lt;&gt;"",輸入!$F$169,IF(輸入!$C$6="even",輸入!$C$169/(輸入!$E$169-輸入!$D$169+1),2*輸入!$C$169/((輸入!$E$169-輸入!$D$169+1)+1))),支出!F10/輸入!$C$151)</f>
        <v>0.375</v>
      </c>
      <c r="G10" s="15" t="n">
        <f aca="false">IF(輸入!$G$169&lt;&gt;"",輸入!$G$169*支出!G10/IF(輸入!$F$169&lt;&gt;"",輸入!$F$169,IF(輸入!$C$6="even",輸入!$C$169/(輸入!$E$169-輸入!$D$169+1),2*輸入!$C$169/((輸入!$E$169-輸入!$D$169+1)+1))),支出!G10/輸入!$C$151)</f>
        <v>0.5</v>
      </c>
      <c r="H10" s="15" t="n">
        <f aca="false">IF(輸入!$G$169&lt;&gt;"",輸入!$G$169*支出!H10/IF(輸入!$F$169&lt;&gt;"",輸入!$F$169,IF(輸入!$C$6="even",輸入!$C$169/(輸入!$E$169-輸入!$D$169+1),2*輸入!$C$169/((輸入!$E$169-輸入!$D$169+1)+1))),支出!H10/輸入!$C$151)</f>
        <v>0.625</v>
      </c>
    </row>
    <row r="11" customFormat="false" ht="17.15" hidden="false" customHeight="false" outlineLevel="0" collapsed="false">
      <c r="A11" s="8" t="s">
        <v>617</v>
      </c>
      <c r="B11" s="9" t="s">
        <v>20</v>
      </c>
      <c r="C11" s="15" t="n">
        <f aca="false">0</f>
        <v>0</v>
      </c>
      <c r="D11" s="15" t="n">
        <f aca="false">SUM(輸入!$C$171:C$171)/輸入!$C$140</f>
        <v>0</v>
      </c>
      <c r="E11" s="15" t="n">
        <f aca="false">SUM(輸入!$C$171:D$171)/輸入!$C$140</f>
        <v>0.462962962962963</v>
      </c>
      <c r="F11" s="15" t="n">
        <f aca="false">SUM(輸入!$C$171:E$171)/輸入!$C$140</f>
        <v>1.15740740740741</v>
      </c>
      <c r="G11" s="15" t="n">
        <f aca="false">SUM(輸入!$C$171:F$171)/輸入!$C$140</f>
        <v>2.19907407407407</v>
      </c>
      <c r="H11" s="15" t="n">
        <f aca="false">SUM(輸入!$C$171:G$171)/輸入!$C$140</f>
        <v>3.58796296296296</v>
      </c>
    </row>
    <row r="12" customFormat="false" ht="17.15" hidden="false" customHeight="false" outlineLevel="0" collapsed="false">
      <c r="A12" s="8" t="s">
        <v>618</v>
      </c>
      <c r="B12" s="9" t="s">
        <v>20</v>
      </c>
      <c r="C12" s="15" t="n">
        <f aca="false">SUM(C5:C11)</f>
        <v>1.22960317460317</v>
      </c>
      <c r="D12" s="15" t="n">
        <f aca="false">SUM(D5:D11)</f>
        <v>2.83420634920635</v>
      </c>
      <c r="E12" s="15" t="n">
        <f aca="false">SUM(E5:E11)</f>
        <v>9.40177248677249</v>
      </c>
      <c r="F12" s="15" t="n">
        <f aca="false">SUM(F5:F11)</f>
        <v>11.7008201058201</v>
      </c>
      <c r="G12" s="15" t="n">
        <f aca="false">SUM(G5:G11)</f>
        <v>14.3470899470899</v>
      </c>
      <c r="H12" s="15" t="n">
        <f aca="false">SUM(H5:H11)</f>
        <v>16.5939153439153</v>
      </c>
    </row>
    <row r="13" customFormat="false" ht="17.15" hidden="false" customHeight="false" outlineLevel="0" collapsed="false">
      <c r="A13" s="12" t="s">
        <v>619</v>
      </c>
      <c r="B13" s="9" t="s">
        <v>20</v>
      </c>
      <c r="C13" s="46" t="n">
        <f aca="false">(輸入!$C$148+輸入!$C$149)/2</f>
        <v>1.25</v>
      </c>
      <c r="D13" s="46" t="n">
        <f aca="false">D12</f>
        <v>2.83420634920635</v>
      </c>
      <c r="E13" s="46" t="n">
        <f aca="false">E12</f>
        <v>9.40177248677249</v>
      </c>
      <c r="F13" s="46" t="n">
        <f aca="false">F12</f>
        <v>11.7008201058201</v>
      </c>
      <c r="G13" s="46" t="n">
        <f aca="false">G12</f>
        <v>14.3470899470899</v>
      </c>
      <c r="H13" s="46" t="n">
        <f aca="false">H12</f>
        <v>16.5939153439153</v>
      </c>
      <c r="J13" s="9" t="s">
        <v>620</v>
      </c>
    </row>
    <row r="14" customFormat="false" ht="17.15" hidden="false" customHeight="false" outlineLevel="0" collapsed="false">
      <c r="A14" s="6" t="s">
        <v>621</v>
      </c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7.15" hidden="false" customHeight="false" outlineLevel="0" collapsed="false">
      <c r="A15" s="9" t="s">
        <v>622</v>
      </c>
      <c r="B15" s="9" t="s">
        <v>26</v>
      </c>
      <c r="C15" s="15" t="n">
        <f aca="false">輸入!$C$139*輸入!$C$137/(輸入!$C$138*輸入!$C$136)</f>
        <v>0.527296037429258</v>
      </c>
      <c r="D15" s="15" t="n">
        <f aca="false">輸入!$C$139*輸入!$C$137/(輸入!$C$138*輸入!$C$136)</f>
        <v>0.527296037429258</v>
      </c>
      <c r="E15" s="15" t="n">
        <f aca="false">輸入!$C$139*輸入!$C$137/(輸入!$C$138*輸入!$C$136)</f>
        <v>0.527296037429258</v>
      </c>
      <c r="F15" s="15" t="n">
        <f aca="false">輸入!$C$139*輸入!$C$137/(輸入!$C$138*輸入!$C$136)</f>
        <v>0.527296037429258</v>
      </c>
      <c r="G15" s="15" t="n">
        <f aca="false">輸入!$C$139*輸入!$C$137/(輸入!$C$138*輸入!$C$136)</f>
        <v>0.527296037429258</v>
      </c>
      <c r="H15" s="15" t="n">
        <f aca="false">輸入!$C$139*輸入!$C$137/(輸入!$C$138*輸入!$C$136)</f>
        <v>0.527296037429258</v>
      </c>
    </row>
    <row r="16" customFormat="false" ht="17.15" hidden="false" customHeight="false" outlineLevel="0" collapsed="false">
      <c r="A16" s="8" t="s">
        <v>623</v>
      </c>
      <c r="B16" s="9" t="s">
        <v>17</v>
      </c>
      <c r="C16" s="47" t="n">
        <f aca="false">輸入!C$144</f>
        <v>0.6</v>
      </c>
      <c r="D16" s="47" t="n">
        <f aca="false">輸入!D$144</f>
        <v>0.35</v>
      </c>
      <c r="E16" s="47" t="n">
        <f aca="false">輸入!E$144</f>
        <v>0.15</v>
      </c>
      <c r="F16" s="47" t="n">
        <f aca="false">輸入!F$144</f>
        <v>0.05</v>
      </c>
      <c r="G16" s="47" t="n">
        <f aca="false">輸入!G$144</f>
        <v>0</v>
      </c>
      <c r="H16" s="47" t="n">
        <f aca="false">輸入!H$144</f>
        <v>0</v>
      </c>
    </row>
    <row r="17" customFormat="false" ht="17.15" hidden="false" customHeight="false" outlineLevel="0" collapsed="false">
      <c r="A17" s="8" t="s">
        <v>624</v>
      </c>
      <c r="B17" s="9" t="s">
        <v>17</v>
      </c>
      <c r="C17" s="47" t="n">
        <f aca="false">輸入!C$145</f>
        <v>0.4</v>
      </c>
      <c r="D17" s="47" t="n">
        <f aca="false">輸入!D$145</f>
        <v>0.55</v>
      </c>
      <c r="E17" s="47" t="n">
        <f aca="false">輸入!E$145</f>
        <v>0.45</v>
      </c>
      <c r="F17" s="47" t="n">
        <f aca="false">輸入!F$145</f>
        <v>0.3</v>
      </c>
      <c r="G17" s="47" t="n">
        <f aca="false">輸入!G$145</f>
        <v>0.2</v>
      </c>
      <c r="H17" s="47" t="n">
        <f aca="false">輸入!H$145</f>
        <v>0.1</v>
      </c>
    </row>
    <row r="18" customFormat="false" ht="17.15" hidden="false" customHeight="false" outlineLevel="0" collapsed="false">
      <c r="A18" s="8" t="s">
        <v>625</v>
      </c>
      <c r="B18" s="9" t="s">
        <v>17</v>
      </c>
      <c r="C18" s="47" t="n">
        <f aca="false">輸入!C$146</f>
        <v>0</v>
      </c>
      <c r="D18" s="47" t="n">
        <f aca="false">輸入!D$146</f>
        <v>0.05</v>
      </c>
      <c r="E18" s="47" t="n">
        <f aca="false">輸入!E$146</f>
        <v>0.3</v>
      </c>
      <c r="F18" s="47" t="n">
        <f aca="false">輸入!F$146</f>
        <v>0.45</v>
      </c>
      <c r="G18" s="47" t="n">
        <f aca="false">輸入!G$146</f>
        <v>0.5</v>
      </c>
      <c r="H18" s="47" t="n">
        <f aca="false">輸入!H$146</f>
        <v>0.45</v>
      </c>
    </row>
    <row r="19" customFormat="false" ht="15" hidden="false" customHeight="false" outlineLevel="0" collapsed="false">
      <c r="A19" s="8" t="s">
        <v>626</v>
      </c>
      <c r="B19" s="9" t="s">
        <v>17</v>
      </c>
      <c r="C19" s="47" t="n">
        <f aca="false">輸入!C$147</f>
        <v>0</v>
      </c>
      <c r="D19" s="47" t="n">
        <f aca="false">輸入!D$147</f>
        <v>0</v>
      </c>
      <c r="E19" s="47" t="n">
        <f aca="false">輸入!E$147</f>
        <v>0</v>
      </c>
      <c r="F19" s="47" t="n">
        <f aca="false">輸入!F$147</f>
        <v>0.05</v>
      </c>
      <c r="G19" s="47" t="n">
        <f aca="false">輸入!G$147</f>
        <v>0.1</v>
      </c>
      <c r="H19" s="47" t="n">
        <f aca="false">輸入!H$147</f>
        <v>0.2</v>
      </c>
    </row>
    <row r="20" customFormat="false" ht="15" hidden="false" customHeight="false" outlineLevel="0" collapsed="false">
      <c r="A20" s="8" t="s">
        <v>627</v>
      </c>
      <c r="B20" s="9" t="s">
        <v>17</v>
      </c>
      <c r="C20" s="14" t="n">
        <f aca="false">1-C16-C17-C18-C19</f>
        <v>0</v>
      </c>
      <c r="D20" s="14" t="n">
        <f aca="false">1-D16-D17-D18-D19</f>
        <v>0.05</v>
      </c>
      <c r="E20" s="14" t="n">
        <f aca="false">1-E16-E17-E18-E19</f>
        <v>0.1</v>
      </c>
      <c r="F20" s="14" t="n">
        <f aca="false">1-F16-F17-F18-F19</f>
        <v>0.15</v>
      </c>
      <c r="G20" s="14" t="n">
        <f aca="false">1-G16-G17-G18-G19</f>
        <v>0.2</v>
      </c>
      <c r="H20" s="14" t="n">
        <f aca="false">1-H16-H17-H18-H19</f>
        <v>0.25</v>
      </c>
    </row>
    <row r="21" customFormat="false" ht="17.15" hidden="false" customHeight="false" outlineLevel="0" collapsed="false">
      <c r="A21" s="12" t="s">
        <v>628</v>
      </c>
      <c r="B21" s="9" t="s">
        <v>26</v>
      </c>
      <c r="C21" s="46" t="n">
        <f aca="false">C16*輸入!$C$141+C17*C15+C18+C19*輸入!$C$143+C20*輸入!$C$142</f>
        <v>0.300918414971703</v>
      </c>
      <c r="D21" s="46" t="n">
        <f aca="false">D16*輸入!$C$141+D17*D15+D18+D19*輸入!$C$143+D20*輸入!$C$142</f>
        <v>0.422512820586092</v>
      </c>
      <c r="E21" s="46" t="n">
        <f aca="false">E16*輸入!$C$141+E17*E15+E18+E19*輸入!$C$143+E20*輸入!$C$142</f>
        <v>0.619783216843166</v>
      </c>
      <c r="F21" s="46" t="n">
        <f aca="false">F16*輸入!$C$141+F17*F15+F18+F19*輸入!$C$143+F20*輸入!$C$142</f>
        <v>0.795688811228777</v>
      </c>
      <c r="G21" s="46" t="n">
        <f aca="false">G16*輸入!$C$141+G17*G15+G18+G19*輸入!$C$143+G20*輸入!$C$142</f>
        <v>0.905459207485852</v>
      </c>
      <c r="H21" s="46" t="n">
        <f aca="false">H16*輸入!$C$141+H17*H15+H18+H19*輸入!$C$143+H20*輸入!$C$142</f>
        <v>1.01272960374293</v>
      </c>
    </row>
    <row r="22" customFormat="false" ht="17.15" hidden="false" customHeight="false" outlineLevel="0" collapsed="false">
      <c r="A22" s="28" t="s">
        <v>629</v>
      </c>
      <c r="B22" s="9" t="s">
        <v>20</v>
      </c>
      <c r="C22" s="46" t="n">
        <f aca="false">C13*C21</f>
        <v>0.376148018714629</v>
      </c>
      <c r="D22" s="46" t="n">
        <f aca="false">D13*D21</f>
        <v>1.19748851872618</v>
      </c>
      <c r="E22" s="46" t="n">
        <f aca="false">E13*E21</f>
        <v>5.82706079587942</v>
      </c>
      <c r="F22" s="46" t="n">
        <f aca="false">F13*F21</f>
        <v>9.31021164040178</v>
      </c>
      <c r="G22" s="46" t="n">
        <f aca="false">G13*G21</f>
        <v>12.9907046932203</v>
      </c>
      <c r="H22" s="46" t="n">
        <f aca="false">H13*H21</f>
        <v>16.805149310787</v>
      </c>
    </row>
    <row r="23" customFormat="false" ht="17.15" hidden="false" customHeight="false" outlineLevel="0" collapsed="false">
      <c r="A23" s="6" t="s">
        <v>630</v>
      </c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7.15" hidden="false" customHeight="false" outlineLevel="0" collapsed="false">
      <c r="A24" s="8" t="s">
        <v>631</v>
      </c>
      <c r="B24" s="9" t="s">
        <v>632</v>
      </c>
      <c r="C24" s="48" t="n">
        <f aca="false">推論成本!$C$56*(推論成本!C44*訂閱與廣告!C31+推論成本!C45*訂閱與廣告!C32+推論成本!C46*訂閱與廣告!C33+推論成本!C47*訂閱與廣告!C34+推論成本!C48*訂閱與廣告!C35)</f>
        <v>0.0920130803693919</v>
      </c>
      <c r="D24" s="48" t="n">
        <f aca="false">推論成本!$C$56*(推論成本!D44*訂閱與廣告!D31+推論成本!D45*訂閱與廣告!D32+推論成本!D46*訂閱與廣告!D33+推論成本!D47*訂閱與廣告!D34+推論成本!D48*訂閱與廣告!D35)</f>
        <v>0.281754725437558</v>
      </c>
      <c r="E24" s="48" t="n">
        <f aca="false">推論成本!$C$56*(推論成本!E44*訂閱與廣告!E31+推論成本!E45*訂閱與廣告!E32+推論成本!E46*訂閱與廣告!E33+推論成本!E47*訂閱與廣告!E34+推論成本!E48*訂閱與廣告!E35)</f>
        <v>0.487200512203494</v>
      </c>
      <c r="F24" s="48" t="n">
        <f aca="false">推論成本!$C$56*(推論成本!F44*訂閱與廣告!F31+推論成本!F45*訂閱與廣告!F32+推論成本!F46*訂閱與廣告!F33+推論成本!F47*訂閱與廣告!F34+推論成本!F48*訂閱與廣告!F35)</f>
        <v>0.775075763448909</v>
      </c>
      <c r="G24" s="48" t="n">
        <f aca="false">推論成本!$C$56*(推論成本!G44*訂閱與廣告!G31+推論成本!G45*訂閱與廣告!G32+推論成本!G46*訂閱與廣告!G33+推論成本!G47*訂閱與廣告!G34+推論成本!G48*訂閱與廣告!G35)</f>
        <v>1.15672425039287</v>
      </c>
      <c r="H24" s="48" t="n">
        <f aca="false">推論成本!$C$56*(推論成本!H44*訂閱與廣告!H31+推論成本!H45*訂閱與廣告!H32+推論成本!H46*訂閱與廣告!H33+推論成本!H47*訂閱與廣告!H34+推論成本!H48*訂閱與廣告!H35)</f>
        <v>1.66027771934705</v>
      </c>
    </row>
    <row r="25" customFormat="false" ht="17.15" hidden="false" customHeight="false" outlineLevel="0" collapsed="false">
      <c r="A25" s="9" t="s">
        <v>633</v>
      </c>
      <c r="B25" s="9" t="s">
        <v>632</v>
      </c>
      <c r="C25" s="48" t="n">
        <f aca="false">推論成本!C49*API!C28+推論成本!C50*API!C30+推論成本!C51*API!C32</f>
        <v>0.0511207378456966</v>
      </c>
      <c r="D25" s="48" t="n">
        <f aca="false">推論成本!D49*API!D28+推論成本!D50*API!D30+推論成本!D51*API!D32</f>
        <v>0.0841922183306857</v>
      </c>
      <c r="E25" s="48" t="n">
        <f aca="false">推論成本!E49*API!E28+推論成本!E50*API!E30+推論成本!E51*API!E32</f>
        <v>0.218607944029628</v>
      </c>
      <c r="F25" s="48" t="n">
        <f aca="false">推論成本!F49*API!F28+推論成本!F50*API!F30+推論成本!F51*API!F32</f>
        <v>0.511664040140162</v>
      </c>
      <c r="G25" s="48" t="n">
        <f aca="false">推論成本!G49*API!G28+推論成本!G50*API!G30+推論成本!G51*API!G32</f>
        <v>1.08262327659296</v>
      </c>
      <c r="H25" s="48" t="n">
        <f aca="false">推論成本!H49*API!H28+推論成本!H50*API!H30+推論成本!H51*API!H32</f>
        <v>2.14639042478905</v>
      </c>
    </row>
    <row r="26" customFormat="false" ht="17.15" hidden="false" customHeight="false" outlineLevel="0" collapsed="false">
      <c r="A26" s="9" t="s">
        <v>634</v>
      </c>
      <c r="B26" s="9" t="s">
        <v>632</v>
      </c>
      <c r="C26" s="48" t="n">
        <f aca="false">推論成本!$C$58/推論成本!$C$54*訂閱與廣告!C7/訂閱與廣告!$C$7</f>
        <v>0.0937190212244323</v>
      </c>
      <c r="D26" s="48" t="n">
        <f aca="false">推論成本!$C$58/推論成本!$C$54*訂閱與廣告!D7/訂閱與廣告!$C$7</f>
        <v>0.148388450272018</v>
      </c>
      <c r="E26" s="48" t="n">
        <f aca="false">推論成本!$C$58/推論成本!$C$54*訂閱與廣告!E7/訂閱與廣告!$C$7</f>
        <v>0.195247960884234</v>
      </c>
      <c r="F26" s="48" t="n">
        <f aca="false">推論成本!$C$58/推論成本!$C$54*訂閱與廣告!F7/訂閱與廣告!$C$7</f>
        <v>0.234297553061081</v>
      </c>
      <c r="G26" s="48" t="n">
        <f aca="false">推論成本!$C$58/推論成本!$C$54*訂閱與廣告!G7/訂閱與廣告!$C$7</f>
        <v>0.265537226802558</v>
      </c>
      <c r="H26" s="48" t="n">
        <f aca="false">推論成本!$C$58/推論成本!$C$54*訂閱與廣告!H7/訂閱與廣告!$C$7</f>
        <v>0.288966982108666</v>
      </c>
    </row>
    <row r="27" customFormat="false" ht="17.15" hidden="false" customHeight="false" outlineLevel="0" collapsed="false">
      <c r="A27" s="8" t="s">
        <v>635</v>
      </c>
      <c r="B27" s="9" t="s">
        <v>632</v>
      </c>
      <c r="C27" s="48" t="n">
        <f aca="false">C24+C25+C26</f>
        <v>0.236852839439521</v>
      </c>
      <c r="D27" s="48" t="n">
        <f aca="false">D24+D25+D26</f>
        <v>0.514335394040262</v>
      </c>
      <c r="E27" s="48" t="n">
        <f aca="false">E24+E25+E26</f>
        <v>0.901056417117356</v>
      </c>
      <c r="F27" s="48" t="n">
        <f aca="false">F24+F25+F26</f>
        <v>1.52103735665015</v>
      </c>
      <c r="G27" s="48" t="n">
        <f aca="false">G24+G25+G26</f>
        <v>2.50488475378839</v>
      </c>
      <c r="H27" s="48" t="n">
        <f aca="false">H24+H25+H26</f>
        <v>4.09563512624476</v>
      </c>
      <c r="J27" s="8" t="s">
        <v>636</v>
      </c>
    </row>
    <row r="28" customFormat="false" ht="17.15" hidden="false" customHeight="false" outlineLevel="0" collapsed="false">
      <c r="A28" s="38" t="s">
        <v>637</v>
      </c>
      <c r="B28" s="38" t="s">
        <v>17</v>
      </c>
      <c r="C28" s="43" t="n">
        <f aca="false">輸入!$C$122/(輸入!$C$122+輸入!$C$132)</f>
        <v>0.411764705882353</v>
      </c>
    </row>
    <row r="29" customFormat="false" ht="17.15" hidden="false" customHeight="false" outlineLevel="0" collapsed="false">
      <c r="A29" s="38" t="s">
        <v>638</v>
      </c>
      <c r="B29" s="38" t="s">
        <v>639</v>
      </c>
      <c r="C29" s="44" t="n">
        <f aca="false">C22*C28/C27</f>
        <v>0.653927048798619</v>
      </c>
      <c r="J29" s="2" t="s">
        <v>640</v>
      </c>
    </row>
    <row r="30" customFormat="false" ht="17.15" hidden="false" customHeight="false" outlineLevel="0" collapsed="false">
      <c r="A30" s="8" t="s">
        <v>641</v>
      </c>
      <c r="B30" s="9" t="s">
        <v>20</v>
      </c>
      <c r="C30" s="15" t="n">
        <f aca="false">$C$29*C27</f>
        <v>0.154884478294259</v>
      </c>
      <c r="D30" s="15" t="n">
        <f aca="false">$C$29*D27</f>
        <v>0.336337826317423</v>
      </c>
      <c r="E30" s="15" t="n">
        <f aca="false">$C$29*E27</f>
        <v>0.58922516364661</v>
      </c>
      <c r="F30" s="15" t="n">
        <f aca="false">$C$29*F27</f>
        <v>0.994647469746686</v>
      </c>
      <c r="G30" s="15" t="n">
        <f aca="false">$C$29*G27</f>
        <v>1.6380118946255</v>
      </c>
      <c r="H30" s="15" t="n">
        <f aca="false">$C$29*H27</f>
        <v>2.6782465910612</v>
      </c>
    </row>
    <row r="31" customFormat="false" ht="17.15" hidden="false" customHeight="false" outlineLevel="0" collapsed="false">
      <c r="A31" s="8" t="s">
        <v>642</v>
      </c>
      <c r="B31" s="9" t="s">
        <v>20</v>
      </c>
      <c r="C31" s="15" t="n">
        <f aca="false">C22*C28</f>
        <v>0.154884478294259</v>
      </c>
      <c r="D31" s="15" t="n">
        <f aca="false">D22*(1-輸入!$C$152)*(1-輸入!$C$153)</f>
        <v>0.754417766797496</v>
      </c>
      <c r="E31" s="15" t="n">
        <f aca="false">E22*(1-輸入!$C$152)*(1-輸入!$C$153)</f>
        <v>3.67104830140404</v>
      </c>
      <c r="F31" s="15" t="n">
        <f aca="false">F22*(1-輸入!$C$152)*(1-輸入!$C$153)</f>
        <v>5.86543333345312</v>
      </c>
      <c r="G31" s="15" t="n">
        <f aca="false">G22*(1-輸入!$C$152)*(1-輸入!$C$153)</f>
        <v>8.18414395672878</v>
      </c>
      <c r="H31" s="15" t="n">
        <f aca="false">H22*(1-輸入!$C$152)*(1-輸入!$C$153)</f>
        <v>10.5872440657958</v>
      </c>
    </row>
    <row r="32" customFormat="false" ht="17.15" hidden="false" customHeight="false" outlineLevel="0" collapsed="false">
      <c r="A32" s="12" t="s">
        <v>643</v>
      </c>
      <c r="B32" s="9" t="s">
        <v>26</v>
      </c>
      <c r="C32" s="46" t="n">
        <f aca="false">1</f>
        <v>1</v>
      </c>
      <c r="D32" s="46" t="n">
        <f aca="false">MIN(1,D31/D30)</f>
        <v>1</v>
      </c>
      <c r="E32" s="46" t="n">
        <f aca="false">MIN(1,E31/E30)</f>
        <v>1</v>
      </c>
      <c r="F32" s="46" t="n">
        <f aca="false">MIN(1,F31/F30)</f>
        <v>1</v>
      </c>
      <c r="G32" s="46" t="n">
        <f aca="false">MIN(1,G31/G30)</f>
        <v>1</v>
      </c>
      <c r="H32" s="46" t="n">
        <f aca="false">MIN(1,H31/H30)</f>
        <v>1</v>
      </c>
    </row>
    <row r="33" customFormat="false" ht="17.15" hidden="false" customHeight="false" outlineLevel="0" collapsed="false">
      <c r="A33" s="12" t="s">
        <v>644</v>
      </c>
      <c r="B33" s="9" t="s">
        <v>20</v>
      </c>
      <c r="C33" s="46" t="n">
        <f aca="false">C30*C32</f>
        <v>0.154884478294259</v>
      </c>
      <c r="D33" s="46" t="n">
        <f aca="false">D30*D32</f>
        <v>0.336337826317423</v>
      </c>
      <c r="E33" s="46" t="n">
        <f aca="false">E30*E32</f>
        <v>0.58922516364661</v>
      </c>
      <c r="F33" s="46" t="n">
        <f aca="false">F30*F32</f>
        <v>0.994647469746686</v>
      </c>
      <c r="G33" s="46" t="n">
        <f aca="false">G30*G32</f>
        <v>1.6380118946255</v>
      </c>
      <c r="H33" s="46" t="n">
        <f aca="false">H30*H32</f>
        <v>2.6782465910612</v>
      </c>
    </row>
    <row r="34" customFormat="false" ht="17.15" hidden="false" customHeight="false" outlineLevel="0" collapsed="false">
      <c r="A34" s="12" t="s">
        <v>645</v>
      </c>
      <c r="B34" s="9" t="s">
        <v>20</v>
      </c>
      <c r="C34" s="46" t="n">
        <f aca="false">C22-C33</f>
        <v>0.22126354042037</v>
      </c>
      <c r="D34" s="46" t="n">
        <f aca="false">D22*(1-輸入!$C$152)-D33</f>
        <v>0.741401840536142</v>
      </c>
      <c r="E34" s="46" t="n">
        <f aca="false">E22*(1-輸入!$C$152)-E33</f>
        <v>4.65512955264487</v>
      </c>
      <c r="F34" s="46" t="n">
        <f aca="false">F22*(1-輸入!$C$152)-F33</f>
        <v>7.38454300661491</v>
      </c>
      <c r="G34" s="46" t="n">
        <f aca="false">G22*(1-輸入!$C$152)-G33</f>
        <v>10.0536223292728</v>
      </c>
      <c r="H34" s="46" t="n">
        <f aca="false">H22*(1-輸入!$C$152)-H33</f>
        <v>12.4463877886471</v>
      </c>
    </row>
    <row r="35" customFormat="false" ht="17.15" hidden="false" customHeight="false" outlineLevel="0" collapsed="false">
      <c r="A35" s="8" t="s">
        <v>646</v>
      </c>
      <c r="B35" s="9" t="s">
        <v>20</v>
      </c>
      <c r="C35" s="15" t="n">
        <f aca="false">0</f>
        <v>0</v>
      </c>
      <c r="D35" s="15" t="n">
        <f aca="false">D22*輸入!$C$152</f>
        <v>0.119748851872618</v>
      </c>
      <c r="E35" s="15" t="n">
        <f aca="false">E22*輸入!$C$152</f>
        <v>0.582706079587942</v>
      </c>
      <c r="F35" s="15" t="n">
        <f aca="false">F22*輸入!$C$152</f>
        <v>0.931021164040178</v>
      </c>
      <c r="G35" s="15" t="n">
        <f aca="false">G22*輸入!$C$152</f>
        <v>1.29907046932203</v>
      </c>
      <c r="H35" s="15" t="n">
        <f aca="false">H22*輸入!$C$152</f>
        <v>1.6805149310787</v>
      </c>
    </row>
    <row r="36" customFormat="false" ht="15" hidden="false" customHeight="false" outlineLevel="0" collapsed="false">
      <c r="A36" s="8" t="s">
        <v>647</v>
      </c>
      <c r="B36" s="9" t="s">
        <v>20</v>
      </c>
      <c r="C36" s="48" t="n">
        <f aca="false">C33+C34+C35-C22</f>
        <v>0</v>
      </c>
      <c r="D36" s="48" t="n">
        <f aca="false">D33+D34+D35-D22</f>
        <v>0</v>
      </c>
      <c r="E36" s="48" t="n">
        <f aca="false">E33+E34+E35-E22</f>
        <v>0</v>
      </c>
      <c r="F36" s="48" t="n">
        <f aca="false">F33+F34+F35-F22</f>
        <v>0</v>
      </c>
      <c r="G36" s="48" t="n">
        <f aca="false">G33+G34+G35-G22</f>
        <v>0</v>
      </c>
      <c r="H36" s="48" t="n">
        <f aca="false">H33+H34+H35-H22</f>
        <v>0</v>
      </c>
    </row>
    <row r="37" customFormat="false" ht="17.15" hidden="false" customHeight="false" outlineLevel="0" collapsed="false">
      <c r="A37" s="8" t="s">
        <v>648</v>
      </c>
      <c r="B37" s="9" t="s">
        <v>17</v>
      </c>
      <c r="C37" s="14" t="n">
        <f aca="false">C33/C22</f>
        <v>0.411764705882353</v>
      </c>
      <c r="D37" s="14" t="n">
        <f aca="false">D33/D22</f>
        <v>0.280869353699691</v>
      </c>
      <c r="E37" s="14" t="n">
        <f aca="false">E33/E22</f>
        <v>0.10111876026131</v>
      </c>
      <c r="F37" s="14" t="n">
        <f aca="false">F33/F22</f>
        <v>0.106834034301691</v>
      </c>
      <c r="G37" s="14" t="n">
        <f aca="false">G33/G22</f>
        <v>0.126091073063985</v>
      </c>
      <c r="H37" s="14" t="n">
        <f aca="false">H33/H22</f>
        <v>0.159370591806766</v>
      </c>
    </row>
    <row r="38" customFormat="false" ht="17.15" hidden="false" customHeight="false" outlineLevel="0" collapsed="false">
      <c r="A38" s="6" t="s">
        <v>649</v>
      </c>
      <c r="B38" s="7"/>
      <c r="C38" s="7"/>
      <c r="D38" s="7"/>
      <c r="E38" s="7"/>
      <c r="F38" s="7"/>
      <c r="G38" s="7"/>
      <c r="H38" s="7"/>
      <c r="I38" s="7"/>
      <c r="J38" s="7"/>
    </row>
    <row r="39" customFormat="false" ht="15" hidden="false" customHeight="false" outlineLevel="0" collapsed="false">
      <c r="A39" s="8" t="s">
        <v>650</v>
      </c>
      <c r="B39" s="9" t="s">
        <v>7</v>
      </c>
      <c r="C39" s="10" t="n">
        <f aca="false">支出!C11</f>
        <v>14.7552380952381</v>
      </c>
      <c r="D39" s="10" t="n">
        <f aca="false">支出!D11</f>
        <v>33.2406349206349</v>
      </c>
      <c r="E39" s="10" t="n">
        <f aca="false">支出!E11</f>
        <v>111.726031746032</v>
      </c>
      <c r="F39" s="10" t="n">
        <f aca="false">支出!F11</f>
        <v>130.211428571429</v>
      </c>
      <c r="G39" s="10" t="n">
        <f aca="false">支出!G11</f>
        <v>148.696825396825</v>
      </c>
      <c r="H39" s="10" t="n">
        <f aca="false">支出!H11</f>
        <v>158.222222222222</v>
      </c>
    </row>
    <row r="40" customFormat="false" ht="17.15" hidden="false" customHeight="false" outlineLevel="0" collapsed="false">
      <c r="A40" s="8" t="s">
        <v>651</v>
      </c>
      <c r="B40" s="9" t="s">
        <v>7</v>
      </c>
      <c r="C40" s="10" t="n">
        <f aca="false">C11*輸入!$C$76*輸入!$C$136/1000</f>
        <v>0</v>
      </c>
      <c r="D40" s="10" t="n">
        <f aca="false">D11*輸入!$C$76*輸入!$C$136/1000</f>
        <v>0</v>
      </c>
      <c r="E40" s="10" t="n">
        <f aca="false">E11*輸入!$C$76*輸入!$C$136/1000</f>
        <v>4.30469541666667</v>
      </c>
      <c r="F40" s="10" t="n">
        <f aca="false">F11*輸入!$C$76*輸入!$C$136/1000</f>
        <v>10.7617385416667</v>
      </c>
      <c r="G40" s="10" t="n">
        <f aca="false">G11*輸入!$C$76*輸入!$C$136/1000</f>
        <v>20.4473032291667</v>
      </c>
      <c r="H40" s="10" t="n">
        <f aca="false">H11*輸入!$C$76*輸入!$C$136/1000</f>
        <v>33.3613894791667</v>
      </c>
    </row>
    <row r="41" customFormat="false" ht="17.15" hidden="false" customHeight="false" outlineLevel="0" collapsed="false">
      <c r="A41" s="12" t="s">
        <v>652</v>
      </c>
      <c r="B41" s="9" t="s">
        <v>7</v>
      </c>
      <c r="C41" s="13" t="n">
        <f aca="false">輸入!$C$122+輸入!$C$132</f>
        <v>20.4</v>
      </c>
      <c r="D41" s="13" t="n">
        <f aca="false">D39+D40</f>
        <v>33.2406349206349</v>
      </c>
      <c r="E41" s="13" t="n">
        <f aca="false">E39+E40</f>
        <v>116.030727162698</v>
      </c>
      <c r="F41" s="13" t="n">
        <f aca="false">F39+F40</f>
        <v>140.973167113095</v>
      </c>
      <c r="G41" s="13" t="n">
        <f aca="false">G39+G40</f>
        <v>169.144128625992</v>
      </c>
      <c r="H41" s="13" t="n">
        <f aca="false">H39+H40</f>
        <v>191.583611701389</v>
      </c>
      <c r="I41" s="11" t="n">
        <f aca="false">SUM(D41:H41)</f>
        <v>650.97226952381</v>
      </c>
    </row>
    <row r="42" customFormat="false" ht="17.15" hidden="false" customHeight="false" outlineLevel="0" collapsed="false">
      <c r="A42" s="12" t="s">
        <v>653</v>
      </c>
      <c r="B42" s="9" t="s">
        <v>28</v>
      </c>
      <c r="C42" s="13" t="n">
        <f aca="false">C41/C22</f>
        <v>54.2339690362076</v>
      </c>
      <c r="D42" s="13" t="n">
        <f aca="false">D41/D22</f>
        <v>27.7586251565855</v>
      </c>
      <c r="E42" s="13" t="n">
        <f aca="false">E41/E22</f>
        <v>19.9123934393732</v>
      </c>
      <c r="F42" s="13" t="n">
        <f aca="false">F41/F22</f>
        <v>15.1417790011712</v>
      </c>
      <c r="G42" s="13" t="n">
        <f aca="false">G41/G22</f>
        <v>13.0203967082915</v>
      </c>
      <c r="H42" s="13" t="n">
        <f aca="false">H41/H22</f>
        <v>11.4002921460753</v>
      </c>
    </row>
    <row r="43" customFormat="false" ht="17.15" hidden="false" customHeight="false" outlineLevel="0" collapsed="false">
      <c r="A43" s="8" t="s">
        <v>654</v>
      </c>
      <c r="B43" s="9" t="s">
        <v>28</v>
      </c>
      <c r="C43" s="10" t="n">
        <f aca="false">C41/C13</f>
        <v>16.32</v>
      </c>
      <c r="D43" s="10" t="n">
        <f aca="false">D41/D13</f>
        <v>11.728375010501</v>
      </c>
      <c r="E43" s="10" t="n">
        <f aca="false">E41/E13</f>
        <v>12.3413672609015</v>
      </c>
      <c r="F43" s="10" t="n">
        <f aca="false">F41/F13</f>
        <v>12.0481441333308</v>
      </c>
      <c r="G43" s="10" t="n">
        <f aca="false">G41/G13</f>
        <v>11.789438084641</v>
      </c>
      <c r="H43" s="10" t="n">
        <f aca="false">H41/H13</f>
        <v>11.5454133476485</v>
      </c>
    </row>
    <row r="44" customFormat="false" ht="15" hidden="false" customHeight="false" outlineLevel="0" collapsed="false">
      <c r="A44" s="12" t="s">
        <v>31</v>
      </c>
      <c r="B44" s="9" t="s">
        <v>7</v>
      </c>
      <c r="C44" s="13" t="n">
        <f aca="false">C33*C42</f>
        <v>8.4</v>
      </c>
      <c r="D44" s="13" t="n">
        <f aca="false">D33*D42</f>
        <v>9.33627564672609</v>
      </c>
      <c r="E44" s="13" t="n">
        <f aca="false">E33*E42</f>
        <v>11.7328832829104</v>
      </c>
      <c r="F44" s="13" t="n">
        <f aca="false">F33*F42</f>
        <v>15.0607321709784</v>
      </c>
      <c r="G44" s="13" t="n">
        <f aca="false">G33*G42</f>
        <v>21.3275646809241</v>
      </c>
      <c r="H44" s="13" t="n">
        <f aca="false">H33*H42</f>
        <v>30.532793577328</v>
      </c>
      <c r="I44" s="11" t="n">
        <f aca="false">SUM(D44:H44)</f>
        <v>87.990249358867</v>
      </c>
    </row>
    <row r="45" customFormat="false" ht="15" hidden="false" customHeight="false" outlineLevel="0" collapsed="false">
      <c r="A45" s="8" t="s">
        <v>33</v>
      </c>
      <c r="B45" s="9" t="s">
        <v>7</v>
      </c>
      <c r="C45" s="10" t="n">
        <f aca="false">C34*C42</f>
        <v>12</v>
      </c>
      <c r="D45" s="10" t="n">
        <f aca="false">D34*D42</f>
        <v>20.5802957818453</v>
      </c>
      <c r="E45" s="10" t="n">
        <f aca="false">E34*E42</f>
        <v>92.6947711635182</v>
      </c>
      <c r="F45" s="10" t="n">
        <f aca="false">F34*F42</f>
        <v>111.815118230807</v>
      </c>
      <c r="G45" s="10" t="n">
        <f aca="false">G34*G42</f>
        <v>130.902151082469</v>
      </c>
      <c r="H45" s="10" t="n">
        <f aca="false">H34*H42</f>
        <v>141.892456953922</v>
      </c>
      <c r="I45" s="11" t="n">
        <f aca="false">SUM(D45:H45)</f>
        <v>497.884793212562</v>
      </c>
    </row>
    <row r="46" customFormat="false" ht="15" hidden="false" customHeight="false" outlineLevel="0" collapsed="false">
      <c r="A46" s="8" t="s">
        <v>655</v>
      </c>
      <c r="B46" s="9" t="s">
        <v>7</v>
      </c>
      <c r="C46" s="10" t="n">
        <f aca="false">C35*C42</f>
        <v>0</v>
      </c>
      <c r="D46" s="10" t="n">
        <f aca="false">D35*D42</f>
        <v>3.32406349206349</v>
      </c>
      <c r="E46" s="10" t="n">
        <f aca="false">E35*E42</f>
        <v>11.6030727162698</v>
      </c>
      <c r="F46" s="10" t="n">
        <f aca="false">F35*F42</f>
        <v>14.0973167113095</v>
      </c>
      <c r="G46" s="10" t="n">
        <f aca="false">G35*G42</f>
        <v>16.9144128625992</v>
      </c>
      <c r="H46" s="10" t="n">
        <f aca="false">H35*H42</f>
        <v>19.1583611701389</v>
      </c>
      <c r="I46" s="11" t="n">
        <f aca="false">SUM(D46:H46)</f>
        <v>65.097226952381</v>
      </c>
    </row>
    <row r="47" customFormat="false" ht="15" hidden="false" customHeight="false" outlineLevel="0" collapsed="false">
      <c r="A47" s="8" t="s">
        <v>656</v>
      </c>
      <c r="B47" s="9" t="s">
        <v>7</v>
      </c>
      <c r="C47" s="48" t="n">
        <f aca="false">C44+C45+C46-C41</f>
        <v>0</v>
      </c>
      <c r="D47" s="48" t="n">
        <f aca="false">D44+D45+D46-D41</f>
        <v>0</v>
      </c>
      <c r="E47" s="48" t="n">
        <f aca="false">E44+E45+E46-E41</f>
        <v>0</v>
      </c>
      <c r="F47" s="48" t="n">
        <f aca="false">F44+F45+F46-F41</f>
        <v>0</v>
      </c>
      <c r="G47" s="48" t="n">
        <f aca="false">G44+G45+G46-G41</f>
        <v>0</v>
      </c>
      <c r="H47" s="48" t="n">
        <f aca="false">H44+H45+H46-H41</f>
        <v>0</v>
      </c>
    </row>
    <row r="48" customFormat="false" ht="17.15" hidden="false" customHeight="false" outlineLevel="0" collapsed="false">
      <c r="A48" s="6" t="s">
        <v>657</v>
      </c>
      <c r="B48" s="7"/>
      <c r="C48" s="7"/>
      <c r="D48" s="7"/>
      <c r="E48" s="7"/>
      <c r="F48" s="7"/>
      <c r="G48" s="7"/>
      <c r="H48" s="7"/>
      <c r="I48" s="7"/>
      <c r="J48" s="7"/>
    </row>
    <row r="49" customFormat="false" ht="15" hidden="false" customHeight="false" outlineLevel="0" collapsed="false">
      <c r="A49" s="8" t="s">
        <v>658</v>
      </c>
      <c r="B49" s="9" t="s">
        <v>7</v>
      </c>
      <c r="C49" s="10" t="n">
        <f aca="false">營收彙總!C22</f>
        <v>13.07</v>
      </c>
      <c r="D49" s="10" t="n">
        <f aca="false">營收彙總!D22</f>
        <v>32.9040311251901</v>
      </c>
      <c r="E49" s="10" t="n">
        <f aca="false">營收彙總!E22</f>
        <v>52.5696018632109</v>
      </c>
      <c r="F49" s="10" t="n">
        <f aca="false">營收彙總!F22</f>
        <v>74.8836412589141</v>
      </c>
      <c r="G49" s="10" t="n">
        <f aca="false">營收彙總!G22</f>
        <v>97.168532926659</v>
      </c>
      <c r="H49" s="10" t="n">
        <f aca="false">營收彙總!H22</f>
        <v>119.881298694689</v>
      </c>
    </row>
    <row r="50" customFormat="false" ht="17.15" hidden="false" customHeight="false" outlineLevel="0" collapsed="false">
      <c r="A50" s="12" t="s">
        <v>659</v>
      </c>
      <c r="B50" s="9" t="s">
        <v>28</v>
      </c>
      <c r="C50" s="13" t="n">
        <f aca="false">C49/C13</f>
        <v>10.456</v>
      </c>
      <c r="D50" s="13" t="n">
        <f aca="false">D49/D13</f>
        <v>11.6096102651114</v>
      </c>
      <c r="E50" s="13" t="n">
        <f aca="false">E49/E13</f>
        <v>5.59145649792866</v>
      </c>
      <c r="F50" s="13" t="n">
        <f aca="false">F49/F13</f>
        <v>6.3998626234469</v>
      </c>
      <c r="G50" s="13" t="n">
        <f aca="false">G49/G13</f>
        <v>6.77269977988588</v>
      </c>
      <c r="H50" s="13" t="n">
        <f aca="false">H49/H13</f>
        <v>7.22441305804584</v>
      </c>
      <c r="J50" s="9" t="s">
        <v>660</v>
      </c>
    </row>
    <row r="51" customFormat="false" ht="17.15" hidden="false" customHeight="false" outlineLevel="0" collapsed="false">
      <c r="A51" s="8" t="s">
        <v>661</v>
      </c>
      <c r="B51" s="9" t="s">
        <v>28</v>
      </c>
      <c r="C51" s="10" t="n">
        <f aca="false">C49/C22</f>
        <v>34.7469595736879</v>
      </c>
      <c r="D51" s="10" t="n">
        <f aca="false">D49/D22</f>
        <v>27.4775336971008</v>
      </c>
      <c r="E51" s="10" t="n">
        <f aca="false">E49/E22</f>
        <v>9.02163263859976</v>
      </c>
      <c r="F51" s="10" t="n">
        <f aca="false">F49/F22</f>
        <v>8.04317282476755</v>
      </c>
      <c r="G51" s="10" t="n">
        <f aca="false">G49/G22</f>
        <v>7.47985080265663</v>
      </c>
      <c r="H51" s="10" t="n">
        <f aca="false">H49/H22</f>
        <v>7.13360509196659</v>
      </c>
    </row>
    <row r="52" customFormat="false" ht="17.15" hidden="false" customHeight="false" outlineLevel="0" collapsed="false">
      <c r="A52" s="8" t="s">
        <v>662</v>
      </c>
      <c r="B52" s="9" t="s">
        <v>28</v>
      </c>
      <c r="C52" s="10" t="n">
        <f aca="false">C49/C33</f>
        <v>84.3854732503849</v>
      </c>
      <c r="D52" s="10" t="n">
        <f aca="false">D49/D33</f>
        <v>97.8303020075312</v>
      </c>
      <c r="E52" s="10" t="n">
        <f aca="false">E49/E33</f>
        <v>89.218188744464</v>
      </c>
      <c r="F52" s="10" t="n">
        <f aca="false">F49/F33</f>
        <v>75.2866151441427</v>
      </c>
      <c r="G52" s="10" t="n">
        <f aca="false">G49/G33</f>
        <v>59.3210179031545</v>
      </c>
      <c r="H52" s="10" t="n">
        <f aca="false">H49/H33</f>
        <v>44.7611131457424</v>
      </c>
    </row>
    <row r="53" customFormat="false" ht="17.15" hidden="false" customHeight="false" outlineLevel="0" collapsed="false">
      <c r="A53" s="8" t="s">
        <v>663</v>
      </c>
      <c r="B53" s="9" t="s">
        <v>28</v>
      </c>
      <c r="C53" s="10" t="n">
        <f aca="false">(C49-C44)/C33</f>
        <v>30.1515042141773</v>
      </c>
      <c r="D53" s="10" t="n">
        <f aca="false">(D49-D44)/D33</f>
        <v>70.0716768509457</v>
      </c>
      <c r="E53" s="10" t="n">
        <f aca="false">(E49-E44)/E33</f>
        <v>69.3057953050908</v>
      </c>
      <c r="F53" s="10" t="n">
        <f aca="false">(F49-F44)/F33</f>
        <v>60.1448361429715</v>
      </c>
      <c r="G53" s="10" t="n">
        <f aca="false">(G49-G44)/G33</f>
        <v>46.300621194863</v>
      </c>
      <c r="H53" s="10" t="n">
        <f aca="false">(H49-H44)/H33</f>
        <v>33.3608209996671</v>
      </c>
    </row>
    <row r="54" customFormat="false" ht="17.15" hidden="false" customHeight="false" outlineLevel="0" collapsed="false">
      <c r="A54" s="8" t="s">
        <v>664</v>
      </c>
      <c r="B54" s="9" t="s">
        <v>26</v>
      </c>
      <c r="C54" s="15" t="n">
        <f aca="false">C41/C49</f>
        <v>1.56082631981637</v>
      </c>
      <c r="D54" s="15" t="n">
        <f aca="false">D41/D49</f>
        <v>1.01022986497199</v>
      </c>
      <c r="E54" s="15" t="n">
        <f aca="false">E41/E49</f>
        <v>2.20718291655731</v>
      </c>
      <c r="F54" s="15" t="n">
        <f aca="false">F41/F49</f>
        <v>1.88256293020893</v>
      </c>
      <c r="G54" s="15" t="n">
        <f aca="false">G41/G49</f>
        <v>1.74072946798177</v>
      </c>
      <c r="H54" s="15" t="n">
        <f aca="false">H41/H49</f>
        <v>1.59811091293989</v>
      </c>
    </row>
    <row r="55" customFormat="false" ht="17.15" hidden="false" customHeight="false" outlineLevel="0" collapsed="false">
      <c r="A55" s="8" t="s">
        <v>665</v>
      </c>
      <c r="B55" s="9" t="s">
        <v>7</v>
      </c>
      <c r="C55" s="10" t="n">
        <f aca="false">C13*$C$50</f>
        <v>13.07</v>
      </c>
      <c r="D55" s="10" t="n">
        <f aca="false">D13*$C$50</f>
        <v>29.6344615873016</v>
      </c>
      <c r="E55" s="10" t="n">
        <f aca="false">E13*$C$50</f>
        <v>98.3049331216931</v>
      </c>
      <c r="F55" s="10" t="n">
        <f aca="false">F13*$C$50</f>
        <v>122.343775026455</v>
      </c>
      <c r="G55" s="10" t="n">
        <f aca="false">G13*$C$50</f>
        <v>150.013172486773</v>
      </c>
      <c r="H55" s="10" t="n">
        <f aca="false">H13*$C$50</f>
        <v>173.505978835979</v>
      </c>
    </row>
    <row r="56" customFormat="false" ht="17.15" hidden="false" customHeight="false" outlineLevel="0" collapsed="false">
      <c r="A56" s="8" t="s">
        <v>666</v>
      </c>
      <c r="B56" s="9" t="s">
        <v>7</v>
      </c>
      <c r="C56" s="10" t="n">
        <f aca="false">C49-C55</f>
        <v>0</v>
      </c>
      <c r="D56" s="10" t="n">
        <f aca="false">D49-D55</f>
        <v>3.26956953788847</v>
      </c>
      <c r="E56" s="10" t="n">
        <f aca="false">E49-E55</f>
        <v>-45.7353312584822</v>
      </c>
      <c r="F56" s="10" t="n">
        <f aca="false">F49-F55</f>
        <v>-47.460133767541</v>
      </c>
      <c r="G56" s="10" t="n">
        <f aca="false">G49-G55</f>
        <v>-52.8446395601135</v>
      </c>
      <c r="H56" s="10" t="n">
        <f aca="false">H49-H55</f>
        <v>-53.6246801412897</v>
      </c>
    </row>
    <row r="57" customFormat="false" ht="17.15" hidden="false" customHeight="false" outlineLevel="0" collapsed="false">
      <c r="A57" s="8" t="s">
        <v>667</v>
      </c>
      <c r="B57" s="9" t="s">
        <v>20</v>
      </c>
      <c r="C57" s="15" t="n">
        <f aca="false">反向!C4/$C$50</f>
        <v>1.25</v>
      </c>
      <c r="D57" s="15" t="n">
        <f aca="false">反向!D4/$C$50</f>
        <v>3.44299923488906</v>
      </c>
      <c r="E57" s="15" t="n">
        <f aca="false">反向!E4/$C$50</f>
        <v>7.18247895944912</v>
      </c>
      <c r="F57" s="15" t="n">
        <f aca="false">反向!F4/$C$50</f>
        <v>13.5328997704667</v>
      </c>
      <c r="G57" s="15" t="n">
        <f aca="false">反向!G4/$C$50</f>
        <v>22.7046671767406</v>
      </c>
      <c r="H57" s="15" t="n">
        <f aca="false">反向!H4/$C$50</f>
        <v>33.4736036725325</v>
      </c>
    </row>
    <row r="58" customFormat="false" ht="17.15" hidden="false" customHeight="false" outlineLevel="0" collapsed="false">
      <c r="A58" s="2" t="s">
        <v>668</v>
      </c>
      <c r="B58" s="38" t="s">
        <v>28</v>
      </c>
      <c r="C58" s="11" t="n">
        <f aca="false">輸入!$C$150/輸入!$C$149</f>
        <v>10.5263157894737</v>
      </c>
    </row>
    <row r="60" customFormat="false" ht="17.15" hidden="false" customHeight="false" outlineLevel="0" collapsed="false">
      <c r="A60" s="6" t="s">
        <v>669</v>
      </c>
      <c r="B60" s="7"/>
      <c r="C60" s="7"/>
      <c r="D60" s="7"/>
      <c r="E60" s="7"/>
      <c r="F60" s="7"/>
      <c r="G60" s="7"/>
      <c r="H60" s="7"/>
      <c r="I60" s="7"/>
      <c r="J60" s="7"/>
    </row>
    <row r="61" customFormat="false" ht="17.15" hidden="false" customHeight="false" outlineLevel="0" collapsed="false">
      <c r="A61" s="9" t="s">
        <v>670</v>
      </c>
      <c r="B61" s="9" t="s">
        <v>28</v>
      </c>
      <c r="C61" s="10" t="n">
        <f aca="false">IFERROR(支出!C5/C5,0)</f>
        <v>12</v>
      </c>
      <c r="D61" s="10" t="n">
        <f aca="false">IFERROR(支出!D5/D5,0)</f>
        <v>12</v>
      </c>
      <c r="E61" s="10" t="n">
        <f aca="false">IFERROR(支出!E5/E5,0)</f>
        <v>12</v>
      </c>
      <c r="F61" s="10" t="n">
        <f aca="false">IFERROR(支出!F5/F5,0)</f>
        <v>12</v>
      </c>
      <c r="G61" s="10" t="n">
        <f aca="false">IFERROR(支出!G5/G5,0)</f>
        <v>12</v>
      </c>
      <c r="H61" s="10" t="n">
        <f aca="false">IFERROR(支出!H5/H5,0)</f>
        <v>12</v>
      </c>
      <c r="J61" s="9" t="s">
        <v>671</v>
      </c>
    </row>
    <row r="62" customFormat="false" ht="17.15" hidden="false" customHeight="false" outlineLevel="0" collapsed="false">
      <c r="A62" s="9" t="s">
        <v>672</v>
      </c>
      <c r="B62" s="9" t="s">
        <v>28</v>
      </c>
      <c r="C62" s="10" t="n">
        <f aca="false">IFERROR(支出!C6/C6,0)</f>
        <v>0</v>
      </c>
      <c r="D62" s="10" t="n">
        <f aca="false">IFERROR(支出!D6/D6,0)</f>
        <v>0</v>
      </c>
      <c r="E62" s="10" t="n">
        <f aca="false">IFERROR(支出!E6/E6,0)</f>
        <v>13.3333333333333</v>
      </c>
      <c r="F62" s="10" t="n">
        <f aca="false">IFERROR(支出!F6/F6,0)</f>
        <v>13.3333333333333</v>
      </c>
      <c r="G62" s="10" t="n">
        <f aca="false">IFERROR(支出!G6/G6,0)</f>
        <v>13.3333333333333</v>
      </c>
      <c r="H62" s="10" t="n">
        <f aca="false">IFERROR(支出!H6/H6,0)</f>
        <v>13.3333333333333</v>
      </c>
      <c r="J62" s="9" t="s">
        <v>673</v>
      </c>
    </row>
    <row r="63" customFormat="false" ht="17.15" hidden="false" customHeight="false" outlineLevel="0" collapsed="false">
      <c r="A63" s="9" t="s">
        <v>674</v>
      </c>
      <c r="B63" s="9" t="s">
        <v>28</v>
      </c>
      <c r="C63" s="10" t="n">
        <f aca="false">IFERROR(支出!C7/C7,0)</f>
        <v>12</v>
      </c>
      <c r="D63" s="10" t="n">
        <f aca="false">IFERROR(支出!D7/D7,0)</f>
        <v>12</v>
      </c>
      <c r="E63" s="10" t="n">
        <f aca="false">IFERROR(支出!E7/E7,0)</f>
        <v>12</v>
      </c>
      <c r="F63" s="10" t="n">
        <f aca="false">IFERROR(支出!F7/F7,0)</f>
        <v>12</v>
      </c>
      <c r="G63" s="10" t="n">
        <f aca="false">IFERROR(支出!G7/G7,0)</f>
        <v>12</v>
      </c>
      <c r="H63" s="10" t="n">
        <f aca="false">IFERROR(支出!H7/H7,0)</f>
        <v>12</v>
      </c>
      <c r="J63" s="9" t="s">
        <v>675</v>
      </c>
    </row>
    <row r="64" customFormat="false" ht="17.15" hidden="false" customHeight="false" outlineLevel="0" collapsed="false">
      <c r="A64" s="9" t="s">
        <v>676</v>
      </c>
      <c r="B64" s="9" t="s">
        <v>28</v>
      </c>
      <c r="C64" s="10" t="n">
        <f aca="false">IFERROR(支出!C8/C8,0)</f>
        <v>0</v>
      </c>
      <c r="D64" s="10" t="n">
        <f aca="false">IFERROR(支出!D8/D8,0)</f>
        <v>11.1111111111111</v>
      </c>
      <c r="E64" s="10" t="n">
        <f aca="false">IFERROR(支出!E8/E8,0)</f>
        <v>11.1111111111111</v>
      </c>
      <c r="F64" s="10" t="n">
        <f aca="false">IFERROR(支出!F8/F8,0)</f>
        <v>11.1111111111111</v>
      </c>
      <c r="G64" s="10" t="n">
        <f aca="false">IFERROR(支出!G8/G8,0)</f>
        <v>11.1111111111111</v>
      </c>
      <c r="H64" s="10" t="n">
        <f aca="false">IFERROR(支出!H8/H8,0)</f>
        <v>11.1111111111111</v>
      </c>
      <c r="J64" s="9" t="s">
        <v>677</v>
      </c>
    </row>
    <row r="65" customFormat="false" ht="17.15" hidden="false" customHeight="false" outlineLevel="0" collapsed="false">
      <c r="A65" s="9" t="s">
        <v>678</v>
      </c>
      <c r="B65" s="9" t="s">
        <v>28</v>
      </c>
      <c r="C65" s="10" t="n">
        <f aca="false">IFERROR(支出!C9/C9,0)</f>
        <v>12</v>
      </c>
      <c r="D65" s="10" t="n">
        <f aca="false">IFERROR(支出!D9/D9,0)</f>
        <v>12</v>
      </c>
      <c r="E65" s="10" t="n">
        <f aca="false">IFERROR(支出!E9/E9,0)</f>
        <v>12</v>
      </c>
      <c r="F65" s="10" t="n">
        <f aca="false">IFERROR(支出!F9/F9,0)</f>
        <v>12</v>
      </c>
      <c r="G65" s="10" t="n">
        <f aca="false">IFERROR(支出!G9/G9,0)</f>
        <v>12</v>
      </c>
      <c r="H65" s="10" t="n">
        <f aca="false">IFERROR(支出!H9/H9,0)</f>
        <v>0</v>
      </c>
      <c r="J65" s="9" t="s">
        <v>679</v>
      </c>
    </row>
    <row r="66" customFormat="false" ht="17.15" hidden="false" customHeight="false" outlineLevel="0" collapsed="false">
      <c r="A66" s="9" t="s">
        <v>680</v>
      </c>
      <c r="B66" s="9" t="s">
        <v>28</v>
      </c>
      <c r="C66" s="10" t="n">
        <f aca="false">IFERROR(支出!C10/C10,0)</f>
        <v>0</v>
      </c>
      <c r="D66" s="10" t="n">
        <f aca="false">IFERROR(支出!D10/D10,0)</f>
        <v>7.61904761904762</v>
      </c>
      <c r="E66" s="10" t="n">
        <f aca="false">IFERROR(支出!E10/E10,0)</f>
        <v>7.61904761904762</v>
      </c>
      <c r="F66" s="10" t="n">
        <f aca="false">IFERROR(支出!F10/F10,0)</f>
        <v>7.61904761904762</v>
      </c>
      <c r="G66" s="10" t="n">
        <f aca="false">IFERROR(支出!G10/G10,0)</f>
        <v>7.61904761904762</v>
      </c>
      <c r="H66" s="10" t="n">
        <f aca="false">IFERROR(支出!H10/H10,0)</f>
        <v>7.61904761904762</v>
      </c>
      <c r="J66" s="9" t="s">
        <v>681</v>
      </c>
    </row>
    <row r="67" customFormat="false" ht="17.15" hidden="false" customHeight="false" outlineLevel="0" collapsed="false">
      <c r="A67" s="8" t="s">
        <v>682</v>
      </c>
      <c r="B67" s="9" t="s">
        <v>28</v>
      </c>
      <c r="C67" s="10" t="n">
        <f aca="false">輸入!$C$76*輸入!$C$136/1000</f>
        <v>9.2981421</v>
      </c>
      <c r="D67" s="10" t="n">
        <f aca="false">輸入!$C$76*輸入!$C$136/1000</f>
        <v>9.2981421</v>
      </c>
      <c r="E67" s="10" t="n">
        <f aca="false">輸入!$C$76*輸入!$C$136/1000</f>
        <v>9.2981421</v>
      </c>
      <c r="F67" s="10" t="n">
        <f aca="false">輸入!$C$76*輸入!$C$136/1000</f>
        <v>9.2981421</v>
      </c>
      <c r="G67" s="10" t="n">
        <f aca="false">輸入!$C$76*輸入!$C$136/1000</f>
        <v>9.2981421</v>
      </c>
      <c r="H67" s="10" t="n">
        <f aca="false">輸入!$C$76*輸入!$C$136/1000</f>
        <v>9.2981421</v>
      </c>
      <c r="J67" s="8" t="s">
        <v>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70"/>
  </cols>
  <sheetData>
    <row r="1" customFormat="false" ht="20.1" hidden="false" customHeight="false" outlineLevel="0" collapsed="false">
      <c r="A1" s="37" t="s">
        <v>684</v>
      </c>
    </row>
    <row r="3" customFormat="false" ht="15" hidden="false" customHeight="false" outlineLevel="0" collapsed="false">
      <c r="A3" s="3" t="s">
        <v>1</v>
      </c>
      <c r="B3" s="3" t="s">
        <v>2</v>
      </c>
      <c r="C3" s="4" t="n">
        <v>2025</v>
      </c>
      <c r="D3" s="4" t="n">
        <v>2026</v>
      </c>
      <c r="E3" s="4" t="n">
        <v>2027</v>
      </c>
      <c r="F3" s="4" t="n">
        <v>2028</v>
      </c>
      <c r="G3" s="4" t="n">
        <v>2029</v>
      </c>
      <c r="H3" s="4" t="n">
        <v>2030</v>
      </c>
      <c r="I3" s="3"/>
      <c r="J3" s="3" t="s">
        <v>4</v>
      </c>
    </row>
    <row r="4" customFormat="false" ht="17.15" hidden="false" customHeight="false" outlineLevel="0" collapsed="false">
      <c r="A4" s="6" t="s">
        <v>685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17.15" hidden="false" customHeight="false" outlineLevel="0" collapsed="false">
      <c r="A5" s="8" t="s">
        <v>686</v>
      </c>
      <c r="B5" s="9" t="s">
        <v>17</v>
      </c>
      <c r="D5" s="14" t="n">
        <f aca="false">輸入!$F$35*(1-輸入!$C$55/輸入!$D$51)</f>
        <v>0.241304347826087</v>
      </c>
      <c r="E5" s="14" t="n">
        <f aca="false">輸入!$F$35*(1-輸入!$C$55/輸入!$D$51)</f>
        <v>0.241304347826087</v>
      </c>
      <c r="F5" s="14" t="n">
        <f aca="false">輸入!$F$35*(1-輸入!$C$55/輸入!$D$51)</f>
        <v>0.241304347826087</v>
      </c>
      <c r="G5" s="14" t="n">
        <f aca="false">輸入!$F$35*(1-輸入!$C$55/輸入!$D$51)</f>
        <v>0.241304347826087</v>
      </c>
      <c r="H5" s="14" t="n">
        <f aca="false">輸入!$F$35*(1-輸入!$C$55/輸入!$D$51)</f>
        <v>0.241304347826087</v>
      </c>
      <c r="J5" s="8" t="s">
        <v>687</v>
      </c>
    </row>
    <row r="6" customFormat="false" ht="17.15" hidden="false" customHeight="false" outlineLevel="0" collapsed="false">
      <c r="A6" s="9" t="s">
        <v>688</v>
      </c>
      <c r="B6" s="9" t="s">
        <v>26</v>
      </c>
      <c r="D6" s="15" t="n">
        <f aca="false">輸入!$F$35*((輸入!$C$54-輸入!$D$51*(1-輸入!$C$55/輸入!$D$51))/輸入!$D$50-1)</f>
        <v>1.95</v>
      </c>
      <c r="E6" s="15" t="n">
        <f aca="false">輸入!$F$35*((輸入!$C$54-輸入!$D$51*(1-輸入!$C$55/輸入!$D$51))/輸入!$D$50-1)</f>
        <v>1.95</v>
      </c>
      <c r="F6" s="15" t="n">
        <f aca="false">輸入!$F$35*((輸入!$C$54-輸入!$D$51*(1-輸入!$C$55/輸入!$D$51))/輸入!$D$50-1)</f>
        <v>1.95</v>
      </c>
      <c r="G6" s="15" t="n">
        <f aca="false">輸入!$F$35*((輸入!$C$54-輸入!$D$51*(1-輸入!$C$55/輸入!$D$51))/輸入!$D$50-1)</f>
        <v>1.95</v>
      </c>
      <c r="H6" s="15" t="n">
        <f aca="false">輸入!$F$35*((輸入!$C$54-輸入!$D$51*(1-輸入!$C$55/輸入!$D$51))/輸入!$D$50-1)</f>
        <v>1.95</v>
      </c>
      <c r="J6" s="8" t="s">
        <v>689</v>
      </c>
    </row>
    <row r="7" customFormat="false" ht="17.15" hidden="false" customHeight="false" outlineLevel="0" collapsed="false">
      <c r="A7" s="9" t="s">
        <v>148</v>
      </c>
      <c r="B7" s="9" t="s">
        <v>149</v>
      </c>
      <c r="C7" s="49" t="n">
        <f aca="false">輸入!C$49</f>
        <v>600</v>
      </c>
      <c r="D7" s="49" t="n">
        <f aca="false">輸入!D$49</f>
        <v>950</v>
      </c>
      <c r="E7" s="49" t="n">
        <f aca="false">輸入!E$49</f>
        <v>1250</v>
      </c>
      <c r="F7" s="49" t="n">
        <f aca="false">輸入!F$49</f>
        <v>1500</v>
      </c>
      <c r="G7" s="49" t="n">
        <f aca="false">輸入!G$49</f>
        <v>1700</v>
      </c>
      <c r="H7" s="49" t="n">
        <f aca="false">輸入!H$49</f>
        <v>1850</v>
      </c>
    </row>
    <row r="8" customFormat="false" ht="17.15" hidden="false" customHeight="false" outlineLevel="0" collapsed="false">
      <c r="A8" s="28" t="s">
        <v>690</v>
      </c>
      <c r="B8" s="9" t="s">
        <v>149</v>
      </c>
      <c r="C8" s="49" t="n">
        <f aca="false">輸入!C$50</f>
        <v>2</v>
      </c>
      <c r="D8" s="13" t="n">
        <f aca="false">輸入!D$50*(1+D6)+輸入!D$51*D5</f>
        <v>40.6</v>
      </c>
      <c r="E8" s="13" t="n">
        <f aca="false">輸入!E$50*(1+E6)+輸入!E$51*E5</f>
        <v>77.4478260869565</v>
      </c>
      <c r="F8" s="13" t="n">
        <f aca="false">輸入!F$50*(1+F6)+輸入!F$51*F5</f>
        <v>117.004347826087</v>
      </c>
      <c r="G8" s="13" t="n">
        <f aca="false">輸入!G$50*(1+G6)+輸入!G$51*G5</f>
        <v>147.469565217391</v>
      </c>
      <c r="H8" s="13" t="n">
        <f aca="false">輸入!H$50*(1+H6)+輸入!H$51*H5</f>
        <v>177.69347826087</v>
      </c>
    </row>
    <row r="9" customFormat="false" ht="17.15" hidden="false" customHeight="false" outlineLevel="0" collapsed="false">
      <c r="A9" s="28" t="s">
        <v>691</v>
      </c>
      <c r="B9" s="9" t="s">
        <v>149</v>
      </c>
      <c r="C9" s="49" t="n">
        <f aca="false">輸入!C$51</f>
        <v>30</v>
      </c>
      <c r="D9" s="49" t="n">
        <f aca="false">輸入!D$51*(1-D5)</f>
        <v>34.9</v>
      </c>
      <c r="E9" s="49" t="n">
        <f aca="false">輸入!E$51*(1-E5)</f>
        <v>39.4521739130435</v>
      </c>
      <c r="F9" s="49" t="n">
        <f aca="false">輸入!F$51*(1-F5)</f>
        <v>43.245652173913</v>
      </c>
      <c r="G9" s="49" t="n">
        <f aca="false">輸入!G$51*(1-G5)</f>
        <v>46.2804347826087</v>
      </c>
      <c r="H9" s="49" t="n">
        <f aca="false">輸入!H$51*(1-H5)</f>
        <v>48.5565217391304</v>
      </c>
    </row>
    <row r="10" customFormat="false" ht="17.15" hidden="false" customHeight="false" outlineLevel="0" collapsed="false">
      <c r="A10" s="9" t="s">
        <v>155</v>
      </c>
      <c r="B10" s="9" t="s">
        <v>149</v>
      </c>
      <c r="C10" s="49" t="n">
        <f aca="false">輸入!C$52</f>
        <v>0.5</v>
      </c>
      <c r="D10" s="49" t="n">
        <f aca="false">輸入!D$52</f>
        <v>1</v>
      </c>
      <c r="E10" s="49" t="n">
        <f aca="false">輸入!E$52</f>
        <v>1.5</v>
      </c>
      <c r="F10" s="49" t="n">
        <f aca="false">輸入!F$52</f>
        <v>2</v>
      </c>
      <c r="G10" s="49" t="n">
        <f aca="false">輸入!G$52</f>
        <v>2.5</v>
      </c>
      <c r="H10" s="49" t="n">
        <f aca="false">輸入!H$52</f>
        <v>3</v>
      </c>
    </row>
    <row r="11" customFormat="false" ht="15" hidden="false" customHeight="false" outlineLevel="0" collapsed="false">
      <c r="A11" s="8" t="s">
        <v>157</v>
      </c>
      <c r="B11" s="9" t="s">
        <v>149</v>
      </c>
      <c r="C11" s="49" t="n">
        <f aca="false">輸入!C$53</f>
        <v>3</v>
      </c>
      <c r="D11" s="49" t="n">
        <f aca="false">輸入!D$53</f>
        <v>14</v>
      </c>
      <c r="E11" s="49" t="n">
        <f aca="false">輸入!E$53</f>
        <v>26</v>
      </c>
      <c r="F11" s="49" t="n">
        <f aca="false">輸入!F$53</f>
        <v>38</v>
      </c>
      <c r="G11" s="49" t="n">
        <f aca="false">輸入!G$53</f>
        <v>48</v>
      </c>
      <c r="H11" s="49" t="n">
        <f aca="false">輸入!H$53</f>
        <v>56</v>
      </c>
    </row>
    <row r="12" customFormat="false" ht="17.15" hidden="false" customHeight="false" outlineLevel="0" collapsed="false">
      <c r="A12" s="8" t="s">
        <v>692</v>
      </c>
      <c r="B12" s="9" t="s">
        <v>149</v>
      </c>
      <c r="C12" s="10" t="n">
        <f aca="false">C8+C9+C10</f>
        <v>32.5</v>
      </c>
      <c r="D12" s="10" t="n">
        <f aca="false">D8+D9+D10</f>
        <v>76.5</v>
      </c>
      <c r="E12" s="10" t="n">
        <f aca="false">E8+E9+E10</f>
        <v>118.4</v>
      </c>
      <c r="F12" s="10" t="n">
        <f aca="false">F8+F9+F10</f>
        <v>162.25</v>
      </c>
      <c r="G12" s="10" t="n">
        <f aca="false">G8+G9+G10</f>
        <v>196.25</v>
      </c>
      <c r="H12" s="10" t="n">
        <f aca="false">H8+H9+H10</f>
        <v>229.25</v>
      </c>
    </row>
    <row r="13" customFormat="false" ht="17.15" hidden="false" customHeight="false" outlineLevel="0" collapsed="false">
      <c r="A13" s="6" t="s">
        <v>693</v>
      </c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7.15" hidden="false" customHeight="false" outlineLevel="0" collapsed="false">
      <c r="A14" s="9" t="s">
        <v>694</v>
      </c>
      <c r="B14" s="9" t="s">
        <v>7</v>
      </c>
      <c r="C14" s="10" t="n">
        <f aca="false">C8*輸入!C$56*12/1000</f>
        <v>0.144</v>
      </c>
      <c r="D14" s="10" t="n">
        <f aca="false">D8*輸入!D$56*12/1000</f>
        <v>2.9232</v>
      </c>
      <c r="E14" s="10" t="n">
        <f aca="false">E8*輸入!E$56*12/1000</f>
        <v>5.57624347826087</v>
      </c>
      <c r="F14" s="10" t="n">
        <f aca="false">F8*輸入!F$56*12/1000</f>
        <v>8.42431304347826</v>
      </c>
      <c r="G14" s="10" t="n">
        <f aca="false">G8*輸入!G$56*12/1000</f>
        <v>10.6178086956522</v>
      </c>
      <c r="H14" s="10" t="n">
        <f aca="false">H8*輸入!H$56*12/1000</f>
        <v>12.7939304347826</v>
      </c>
    </row>
    <row r="15" customFormat="false" ht="17.15" hidden="false" customHeight="false" outlineLevel="0" collapsed="false">
      <c r="A15" s="9" t="s">
        <v>695</v>
      </c>
      <c r="B15" s="9" t="s">
        <v>7</v>
      </c>
      <c r="C15" s="10" t="n">
        <f aca="false">C9*輸入!C$57*12/1000</f>
        <v>7.02</v>
      </c>
      <c r="D15" s="10" t="n">
        <f aca="false">D9*輸入!D$57*12/1000</f>
        <v>7.9572</v>
      </c>
      <c r="E15" s="10" t="n">
        <f aca="false">E9*輸入!E$57*12/1000</f>
        <v>8.99509565217391</v>
      </c>
      <c r="F15" s="10" t="n">
        <f aca="false">F9*輸入!F$57*12/1000</f>
        <v>9.86000869565217</v>
      </c>
      <c r="G15" s="10" t="n">
        <f aca="false">G9*輸入!G$57*12/1000</f>
        <v>10.5519391304348</v>
      </c>
      <c r="H15" s="10" t="n">
        <f aca="false">H9*輸入!H$57*12/1000</f>
        <v>11.0708869565217</v>
      </c>
    </row>
    <row r="16" customFormat="false" ht="17.15" hidden="false" customHeight="false" outlineLevel="0" collapsed="false">
      <c r="A16" s="9" t="s">
        <v>696</v>
      </c>
      <c r="B16" s="9" t="s">
        <v>7</v>
      </c>
      <c r="C16" s="10" t="n">
        <f aca="false">C10*輸入!C$58*12/1000</f>
        <v>1.2</v>
      </c>
      <c r="D16" s="10" t="n">
        <f aca="false">D10*輸入!D$58*12/1000</f>
        <v>1.8</v>
      </c>
      <c r="E16" s="10" t="n">
        <f aca="false">E10*輸入!E$58*12/1000</f>
        <v>2.7</v>
      </c>
      <c r="F16" s="10" t="n">
        <f aca="false">F10*輸入!F$58*12/1000</f>
        <v>3.6</v>
      </c>
      <c r="G16" s="10" t="n">
        <f aca="false">G10*輸入!G$58*12/1000</f>
        <v>4.5</v>
      </c>
      <c r="H16" s="10" t="n">
        <f aca="false">H10*輸入!H$58*12/1000</f>
        <v>5.4</v>
      </c>
    </row>
    <row r="17" customFormat="false" ht="15" hidden="false" customHeight="false" outlineLevel="0" collapsed="false">
      <c r="A17" s="8" t="s">
        <v>697</v>
      </c>
      <c r="B17" s="9" t="s">
        <v>7</v>
      </c>
      <c r="C17" s="10" t="n">
        <f aca="false">C11*輸入!C$59*12/1000</f>
        <v>1.08</v>
      </c>
      <c r="D17" s="10" t="n">
        <f aca="false">D11*輸入!D$59*12/1000</f>
        <v>5.04</v>
      </c>
      <c r="E17" s="10" t="n">
        <f aca="false">E11*輸入!E$59*12/1000</f>
        <v>9.36</v>
      </c>
      <c r="F17" s="10" t="n">
        <f aca="false">F11*輸入!F$59*12/1000</f>
        <v>13.68</v>
      </c>
      <c r="G17" s="10" t="n">
        <f aca="false">G11*輸入!G$59*12/1000</f>
        <v>17.28</v>
      </c>
      <c r="H17" s="10" t="n">
        <f aca="false">H11*輸入!H$59*12/1000</f>
        <v>20.16</v>
      </c>
    </row>
    <row r="18" customFormat="false" ht="17.15" hidden="false" customHeight="false" outlineLevel="0" collapsed="false">
      <c r="A18" s="8" t="s">
        <v>698</v>
      </c>
      <c r="B18" s="9" t="s">
        <v>7</v>
      </c>
      <c r="C18" s="10" t="n">
        <f aca="false">C14+C15+C16</f>
        <v>8.364</v>
      </c>
      <c r="D18" s="10" t="n">
        <f aca="false">D14+D15+D16</f>
        <v>12.6804</v>
      </c>
      <c r="E18" s="10" t="n">
        <f aca="false">E14+E15+E16</f>
        <v>17.2713391304348</v>
      </c>
      <c r="F18" s="10" t="n">
        <f aca="false">F14+F15+F16</f>
        <v>21.8843217391304</v>
      </c>
      <c r="G18" s="10" t="n">
        <f aca="false">G14+G15+G16</f>
        <v>25.669747826087</v>
      </c>
      <c r="H18" s="10" t="n">
        <f aca="false">H14+H15+H16</f>
        <v>29.2648173913043</v>
      </c>
    </row>
    <row r="19" customFormat="false" ht="15" hidden="false" customHeight="false" outlineLevel="0" collapsed="false">
      <c r="A19" s="12" t="s">
        <v>699</v>
      </c>
      <c r="B19" s="9" t="s">
        <v>7</v>
      </c>
      <c r="C19" s="13" t="n">
        <f aca="false">C18+C17</f>
        <v>9.444</v>
      </c>
      <c r="D19" s="13" t="n">
        <f aca="false">D18+D17</f>
        <v>17.7204</v>
      </c>
      <c r="E19" s="13" t="n">
        <f aca="false">E18+E17</f>
        <v>26.6313391304348</v>
      </c>
      <c r="F19" s="13" t="n">
        <f aca="false">F18+F17</f>
        <v>35.5643217391304</v>
      </c>
      <c r="G19" s="13" t="n">
        <f aca="false">G18+G17</f>
        <v>42.949747826087</v>
      </c>
      <c r="H19" s="13" t="n">
        <f aca="false">H18+H17</f>
        <v>49.4248173913043</v>
      </c>
    </row>
    <row r="20" customFormat="false" ht="17.15" hidden="false" customHeight="false" outlineLevel="0" collapsed="false">
      <c r="A20" s="6" t="s">
        <v>700</v>
      </c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7.15" hidden="false" customHeight="false" outlineLevel="0" collapsed="false">
      <c r="A21" s="9" t="s">
        <v>701</v>
      </c>
      <c r="B21" s="8" t="s">
        <v>171</v>
      </c>
      <c r="C21" s="49" t="n">
        <f aca="false">輸入!C$60</f>
        <v>1.7</v>
      </c>
      <c r="D21" s="49" t="n">
        <f aca="false">輸入!D$60</f>
        <v>1.7</v>
      </c>
      <c r="E21" s="10" t="n">
        <f aca="false">D21*(1+輸入!$C$70)</f>
        <v>1.87</v>
      </c>
      <c r="F21" s="10" t="n">
        <f aca="false">E21*(1+輸入!$C$70)</f>
        <v>2.057</v>
      </c>
      <c r="G21" s="10" t="n">
        <f aca="false">F21*(1+輸入!$C$70)</f>
        <v>2.2627</v>
      </c>
      <c r="H21" s="10" t="n">
        <f aca="false">G21*(1+輸入!$C$70)</f>
        <v>2.48897</v>
      </c>
    </row>
    <row r="22" customFormat="false" ht="17.15" hidden="false" customHeight="false" outlineLevel="0" collapsed="false">
      <c r="A22" s="9" t="s">
        <v>702</v>
      </c>
      <c r="B22" s="8" t="s">
        <v>171</v>
      </c>
      <c r="C22" s="49" t="n">
        <f aca="false">輸入!C$61</f>
        <v>5.3</v>
      </c>
      <c r="D22" s="49" t="n">
        <f aca="false">輸入!D$61</f>
        <v>5.7</v>
      </c>
      <c r="E22" s="10" t="n">
        <f aca="false">D22*(1+輸入!$C$70)</f>
        <v>6.27</v>
      </c>
      <c r="F22" s="10" t="n">
        <f aca="false">E22*(1+輸入!$C$70)</f>
        <v>6.897</v>
      </c>
      <c r="G22" s="10" t="n">
        <f aca="false">F22*(1+輸入!$C$70)</f>
        <v>7.5867</v>
      </c>
      <c r="H22" s="10" t="n">
        <f aca="false">G22*(1+輸入!$C$70)</f>
        <v>8.34537</v>
      </c>
    </row>
    <row r="23" customFormat="false" ht="17.15" hidden="false" customHeight="false" outlineLevel="0" collapsed="false">
      <c r="A23" s="9" t="s">
        <v>703</v>
      </c>
      <c r="B23" s="8" t="s">
        <v>171</v>
      </c>
      <c r="C23" s="49" t="n">
        <f aca="false">輸入!C$62</f>
        <v>13.4</v>
      </c>
      <c r="D23" s="49" t="n">
        <f aca="false">輸入!D$62</f>
        <v>17.9</v>
      </c>
      <c r="E23" s="10" t="n">
        <f aca="false">D23*(1+輸入!$C$70)</f>
        <v>19.69</v>
      </c>
      <c r="F23" s="10" t="n">
        <f aca="false">E23*(1+輸入!$C$70)</f>
        <v>21.659</v>
      </c>
      <c r="G23" s="10" t="n">
        <f aca="false">F23*(1+輸入!$C$70)</f>
        <v>23.8249</v>
      </c>
      <c r="H23" s="10" t="n">
        <f aca="false">G23*(1+輸入!$C$70)</f>
        <v>26.20739</v>
      </c>
    </row>
    <row r="24" customFormat="false" ht="17.15" hidden="false" customHeight="false" outlineLevel="0" collapsed="false">
      <c r="A24" s="9" t="s">
        <v>704</v>
      </c>
      <c r="B24" s="8" t="s">
        <v>171</v>
      </c>
      <c r="C24" s="49" t="n">
        <f aca="false">輸入!C$63</f>
        <v>41</v>
      </c>
      <c r="D24" s="49" t="n">
        <f aca="false">輸入!D$63</f>
        <v>51.4</v>
      </c>
      <c r="E24" s="10" t="n">
        <f aca="false">D24*(1+輸入!$C$70)</f>
        <v>56.54</v>
      </c>
      <c r="F24" s="10" t="n">
        <f aca="false">E24*(1+輸入!$C$70)</f>
        <v>62.194</v>
      </c>
      <c r="G24" s="10" t="n">
        <f aca="false">F24*(1+輸入!$C$70)</f>
        <v>68.4134</v>
      </c>
      <c r="H24" s="10" t="n">
        <f aca="false">G24*(1+輸入!$C$70)</f>
        <v>75.25474</v>
      </c>
    </row>
    <row r="25" customFormat="false" ht="17.15" hidden="false" customHeight="false" outlineLevel="0" collapsed="false">
      <c r="A25" s="8" t="s">
        <v>705</v>
      </c>
      <c r="B25" s="8" t="s">
        <v>171</v>
      </c>
      <c r="C25" s="49" t="n">
        <f aca="false">輸入!C$64</f>
        <v>10.7</v>
      </c>
      <c r="D25" s="49" t="n">
        <f aca="false">輸入!D$64</f>
        <v>14.3</v>
      </c>
      <c r="E25" s="10" t="n">
        <f aca="false">D25*(1+輸入!$C$70)</f>
        <v>15.73</v>
      </c>
      <c r="F25" s="10" t="n">
        <f aca="false">E25*(1+輸入!$C$70)</f>
        <v>17.303</v>
      </c>
      <c r="G25" s="10" t="n">
        <f aca="false">F25*(1+輸入!$C$70)</f>
        <v>19.0333</v>
      </c>
      <c r="H25" s="10" t="n">
        <f aca="false">G25*(1+輸入!$C$70)</f>
        <v>20.93663</v>
      </c>
    </row>
    <row r="26" customFormat="false" ht="17.15" hidden="false" customHeight="false" outlineLevel="0" collapsed="false">
      <c r="A26" s="9" t="s">
        <v>706</v>
      </c>
      <c r="B26" s="9" t="s">
        <v>707</v>
      </c>
      <c r="C26" s="50" t="n">
        <f aca="false">輸入!C$65</f>
        <v>2</v>
      </c>
      <c r="D26" s="50" t="n">
        <f aca="false">輸入!D$65</f>
        <v>2.94</v>
      </c>
      <c r="E26" s="15" t="n">
        <f aca="false">D26*(1+輸入!$F$36)</f>
        <v>3.381</v>
      </c>
      <c r="F26" s="15" t="n">
        <f aca="false">E26*(1+輸入!$F$36)</f>
        <v>3.88815</v>
      </c>
      <c r="G26" s="15" t="n">
        <f aca="false">F26*(1+輸入!$F$36)</f>
        <v>4.4713725</v>
      </c>
      <c r="H26" s="15" t="n">
        <f aca="false">G26*(1+輸入!$F$36)</f>
        <v>5.142078375</v>
      </c>
    </row>
    <row r="27" customFormat="false" ht="17.15" hidden="false" customHeight="false" outlineLevel="0" collapsed="false">
      <c r="A27" s="9" t="s">
        <v>708</v>
      </c>
      <c r="B27" s="9" t="s">
        <v>707</v>
      </c>
      <c r="C27" s="50" t="n">
        <f aca="false">輸入!C$66</f>
        <v>3</v>
      </c>
      <c r="D27" s="50" t="n">
        <f aca="false">輸入!D$66</f>
        <v>4.39</v>
      </c>
      <c r="E27" s="15" t="n">
        <f aca="false">D27*(1+輸入!$F$36)</f>
        <v>5.0485</v>
      </c>
      <c r="F27" s="15" t="n">
        <f aca="false">E27*(1+輸入!$F$36)</f>
        <v>5.805775</v>
      </c>
      <c r="G27" s="15" t="n">
        <f aca="false">F27*(1+輸入!$F$36)</f>
        <v>6.67664125</v>
      </c>
      <c r="H27" s="15" t="n">
        <f aca="false">G27*(1+輸入!$F$36)</f>
        <v>7.6781374375</v>
      </c>
    </row>
    <row r="28" customFormat="false" ht="17.15" hidden="false" customHeight="false" outlineLevel="0" collapsed="false">
      <c r="A28" s="9" t="s">
        <v>709</v>
      </c>
      <c r="B28" s="9" t="s">
        <v>707</v>
      </c>
      <c r="C28" s="50" t="n">
        <f aca="false">輸入!C$67</f>
        <v>4</v>
      </c>
      <c r="D28" s="50" t="n">
        <f aca="false">輸入!D$67</f>
        <v>6.15</v>
      </c>
      <c r="E28" s="15" t="n">
        <f aca="false">D28*(1+輸入!$F$36)</f>
        <v>7.0725</v>
      </c>
      <c r="F28" s="15" t="n">
        <f aca="false">E28*(1+輸入!$F$36)</f>
        <v>8.133375</v>
      </c>
      <c r="G28" s="15" t="n">
        <f aca="false">F28*(1+輸入!$F$36)</f>
        <v>9.35338125</v>
      </c>
      <c r="H28" s="15" t="n">
        <f aca="false">G28*(1+輸入!$F$36)</f>
        <v>10.7563884375</v>
      </c>
    </row>
    <row r="29" customFormat="false" ht="17.15" hidden="false" customHeight="false" outlineLevel="0" collapsed="false">
      <c r="A29" s="9" t="s">
        <v>710</v>
      </c>
      <c r="B29" s="9" t="s">
        <v>707</v>
      </c>
      <c r="C29" s="50" t="n">
        <f aca="false">輸入!C$68</f>
        <v>10</v>
      </c>
      <c r="D29" s="50" t="n">
        <f aca="false">輸入!D$68</f>
        <v>15.6</v>
      </c>
      <c r="E29" s="15" t="n">
        <f aca="false">D29*(1+輸入!$F$36)</f>
        <v>17.94</v>
      </c>
      <c r="F29" s="15" t="n">
        <f aca="false">E29*(1+輸入!$F$36)</f>
        <v>20.631</v>
      </c>
      <c r="G29" s="15" t="n">
        <f aca="false">F29*(1+輸入!$F$36)</f>
        <v>23.72565</v>
      </c>
      <c r="H29" s="15" t="n">
        <f aca="false">G29*(1+輸入!$F$36)</f>
        <v>27.2844975</v>
      </c>
    </row>
    <row r="30" customFormat="false" ht="17.15" hidden="false" customHeight="false" outlineLevel="0" collapsed="false">
      <c r="A30" s="8" t="s">
        <v>711</v>
      </c>
      <c r="B30" s="9" t="s">
        <v>707</v>
      </c>
      <c r="C30" s="50" t="n">
        <f aca="false">輸入!C$69</f>
        <v>4</v>
      </c>
      <c r="D30" s="50" t="n">
        <f aca="false">輸入!D$69</f>
        <v>5.94</v>
      </c>
      <c r="E30" s="15" t="n">
        <f aca="false">D30*(1+輸入!$F$36)</f>
        <v>6.831</v>
      </c>
      <c r="F30" s="15" t="n">
        <f aca="false">E30*(1+輸入!$F$36)</f>
        <v>7.85565</v>
      </c>
      <c r="G30" s="15" t="n">
        <f aca="false">F30*(1+輸入!$F$36)</f>
        <v>9.0339975</v>
      </c>
      <c r="H30" s="15" t="n">
        <f aca="false">G30*(1+輸入!$F$36)</f>
        <v>10.389097125</v>
      </c>
    </row>
    <row r="31" customFormat="false" ht="15" hidden="false" customHeight="false" outlineLevel="0" collapsed="false">
      <c r="A31" s="9" t="s">
        <v>712</v>
      </c>
      <c r="B31" s="9" t="s">
        <v>77</v>
      </c>
      <c r="C31" s="51" t="n">
        <f aca="false">C7*C21*C26*365/1000</f>
        <v>744.6</v>
      </c>
      <c r="D31" s="51" t="n">
        <f aca="false">D7*D21*D26*365/1000</f>
        <v>1733.0565</v>
      </c>
      <c r="E31" s="51" t="n">
        <f aca="false">E7*E21*E26*365/1000</f>
        <v>2884.6269375</v>
      </c>
      <c r="F31" s="51" t="n">
        <f aca="false">F7*F21*F26*365/1000</f>
        <v>4378.863691125</v>
      </c>
      <c r="G31" s="51" t="n">
        <f aca="false">G7*G21*G26*365/1000</f>
        <v>6277.83091184288</v>
      </c>
      <c r="H31" s="51" t="n">
        <f aca="false">H7*H21*H26*365/1000</f>
        <v>8642.17281849429</v>
      </c>
    </row>
    <row r="32" customFormat="false" ht="15" hidden="false" customHeight="false" outlineLevel="0" collapsed="false">
      <c r="A32" s="9" t="s">
        <v>713</v>
      </c>
      <c r="B32" s="9" t="s">
        <v>77</v>
      </c>
      <c r="C32" s="51" t="n">
        <f aca="false">C8*C22*C27*365/1000</f>
        <v>11.607</v>
      </c>
      <c r="D32" s="51" t="n">
        <f aca="false">D8*D22*D27*365/1000</f>
        <v>370.815837</v>
      </c>
      <c r="E32" s="51" t="n">
        <f aca="false">E8*E22*E27*365/1000</f>
        <v>894.8124082425</v>
      </c>
      <c r="F32" s="51" t="n">
        <f aca="false">F8*F22*F27*365/1000</f>
        <v>1710.07552621909</v>
      </c>
      <c r="G32" s="51" t="n">
        <f aca="false">G8*G22*G27*365/1000</f>
        <v>2726.50448695137</v>
      </c>
      <c r="H32" s="51" t="n">
        <f aca="false">H8*H22*H27*365/1000</f>
        <v>4155.90710061812</v>
      </c>
    </row>
    <row r="33" customFormat="false" ht="15" hidden="false" customHeight="false" outlineLevel="0" collapsed="false">
      <c r="A33" s="9" t="s">
        <v>714</v>
      </c>
      <c r="B33" s="9" t="s">
        <v>77</v>
      </c>
      <c r="C33" s="51" t="n">
        <f aca="false">C9*C23*C28*365/1000</f>
        <v>586.92</v>
      </c>
      <c r="D33" s="51" t="n">
        <f aca="false">D9*D23*D28*365/1000</f>
        <v>1402.3177725</v>
      </c>
      <c r="E33" s="51" t="n">
        <f aca="false">E9*E23*E28*365/1000</f>
        <v>2005.314414675</v>
      </c>
      <c r="F33" s="51" t="n">
        <f aca="false">F9*F23*F28*365/1000</f>
        <v>2780.63838211809</v>
      </c>
      <c r="G33" s="51" t="n">
        <f aca="false">G9*G23*G28*365/1000</f>
        <v>3764.35018870426</v>
      </c>
      <c r="H33" s="51" t="n">
        <f aca="false">H9*H23*H28*365/1000</f>
        <v>4996.09493897536</v>
      </c>
    </row>
    <row r="34" customFormat="false" ht="15" hidden="false" customHeight="false" outlineLevel="0" collapsed="false">
      <c r="A34" s="9" t="s">
        <v>715</v>
      </c>
      <c r="B34" s="9" t="s">
        <v>77</v>
      </c>
      <c r="C34" s="51" t="n">
        <f aca="false">C10*C24*C29*365/1000</f>
        <v>74.825</v>
      </c>
      <c r="D34" s="51" t="n">
        <f aca="false">D10*D24*D29*365/1000</f>
        <v>292.6716</v>
      </c>
      <c r="E34" s="51" t="n">
        <f aca="false">E10*E24*E29*365/1000</f>
        <v>555.344361</v>
      </c>
      <c r="F34" s="51" t="n">
        <f aca="false">F10*F24*F29*365/1000</f>
        <v>936.68082222</v>
      </c>
      <c r="G34" s="51" t="n">
        <f aca="false">G10*G24*G29*365/1000</f>
        <v>1481.12655013538</v>
      </c>
      <c r="H34" s="51" t="n">
        <f aca="false">H10*H24*H29*365/1000</f>
        <v>2248.3501031055</v>
      </c>
    </row>
    <row r="35" customFormat="false" ht="17.15" hidden="false" customHeight="false" outlineLevel="0" collapsed="false">
      <c r="A35" s="8" t="s">
        <v>716</v>
      </c>
      <c r="B35" s="9" t="s">
        <v>77</v>
      </c>
      <c r="C35" s="51" t="n">
        <f aca="false">C11*C25*C30*365/1000</f>
        <v>46.866</v>
      </c>
      <c r="D35" s="51" t="n">
        <f aca="false">D11*D25*D30*365/1000</f>
        <v>434.05362</v>
      </c>
      <c r="E35" s="51" t="n">
        <f aca="false">E11*E25*E30*365/1000</f>
        <v>1019.7159687</v>
      </c>
      <c r="F35" s="51" t="n">
        <f aca="false">F11*F25*F30*365/1000</f>
        <v>1885.2979467465</v>
      </c>
      <c r="G35" s="51" t="n">
        <f aca="false">G11*G25*G30*365/1000</f>
        <v>3012.50766648546</v>
      </c>
      <c r="H35" s="51" t="n">
        <f aca="false">H11*H25*H30*365/1000</f>
        <v>4445.95923112146</v>
      </c>
    </row>
    <row r="36" customFormat="false" ht="17.15" hidden="false" customHeight="false" outlineLevel="0" collapsed="false">
      <c r="A36" s="12" t="s">
        <v>717</v>
      </c>
      <c r="B36" s="9" t="s">
        <v>77</v>
      </c>
      <c r="C36" s="52" t="n">
        <f aca="false">C31+C32+C33+C34+C35</f>
        <v>1464.818</v>
      </c>
      <c r="D36" s="52" t="n">
        <f aca="false">D31+D32+D33+D34+D35</f>
        <v>4232.9153295</v>
      </c>
      <c r="E36" s="52" t="n">
        <f aca="false">E31+E32+E33+E34+E35</f>
        <v>7359.8140901175</v>
      </c>
      <c r="F36" s="52" t="n">
        <f aca="false">F31+F32+F33+F34+F35</f>
        <v>11691.5563684287</v>
      </c>
      <c r="G36" s="52" t="n">
        <f aca="false">G31+G32+G33+G34+G35</f>
        <v>17262.3198041193</v>
      </c>
      <c r="H36" s="52" t="n">
        <f aca="false">H31+H32+H33+H34+H35</f>
        <v>24488.4841923147</v>
      </c>
    </row>
    <row r="37" customFormat="false" ht="15" hidden="false" customHeight="false" outlineLevel="0" collapsed="false">
      <c r="A37" s="6" t="s">
        <v>718</v>
      </c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7.15" hidden="false" customHeight="false" outlineLevel="0" collapsed="false">
      <c r="A38" s="9" t="s">
        <v>719</v>
      </c>
      <c r="B38" s="9" t="s">
        <v>99</v>
      </c>
      <c r="C38" s="15" t="n">
        <f aca="false">IFERROR(C14/C32*1000,0)</f>
        <v>12.4063065391574</v>
      </c>
      <c r="D38" s="15" t="n">
        <f aca="false">IFERROR(D14/D32*1000,0)</f>
        <v>7.88315845312724</v>
      </c>
      <c r="E38" s="15" t="n">
        <f aca="false">IFERROR(E14/E32*1000,0)</f>
        <v>6.2317458127488</v>
      </c>
      <c r="F38" s="15" t="n">
        <f aca="false">IFERROR(F14/F32*1000,0)</f>
        <v>4.92628127490024</v>
      </c>
      <c r="G38" s="15" t="n">
        <f aca="false">IFERROR(G14/G32*1000,0)</f>
        <v>3.89429349794485</v>
      </c>
      <c r="H38" s="15" t="n">
        <f aca="false">IFERROR(H14/H32*1000,0)</f>
        <v>3.07849288375087</v>
      </c>
    </row>
    <row r="39" customFormat="false" ht="17.15" hidden="false" customHeight="false" outlineLevel="0" collapsed="false">
      <c r="A39" s="9" t="s">
        <v>720</v>
      </c>
      <c r="B39" s="9" t="s">
        <v>99</v>
      </c>
      <c r="C39" s="15" t="n">
        <f aca="false">API!C14*(1-輸入!$C$43)</f>
        <v>0.22464</v>
      </c>
      <c r="D39" s="15" t="n">
        <f aca="false">API!D14*(1-輸入!$C$43)</f>
        <v>0.819648</v>
      </c>
      <c r="E39" s="15" t="n">
        <f aca="false">API!E14*(1-輸入!$C$43)</f>
        <v>0.4917888</v>
      </c>
      <c r="F39" s="15" t="n">
        <f aca="false">API!F14*(1-輸入!$C$43)</f>
        <v>0.29507328</v>
      </c>
      <c r="G39" s="15" t="n">
        <f aca="false">API!G14*(1-輸入!$C$43)</f>
        <v>0.177043968</v>
      </c>
      <c r="H39" s="15" t="n">
        <f aca="false">API!H14*(1-輸入!$C$43)</f>
        <v>0.1062263808</v>
      </c>
    </row>
    <row r="40" customFormat="false" ht="17.15" hidden="false" customHeight="false" outlineLevel="0" collapsed="false">
      <c r="A40" s="9" t="s">
        <v>721</v>
      </c>
      <c r="B40" s="9" t="s">
        <v>99</v>
      </c>
      <c r="C40" s="15" t="n">
        <f aca="false">IFERROR(C15/C33*1000,0)</f>
        <v>11.9607442240851</v>
      </c>
      <c r="D40" s="15" t="n">
        <f aca="false">IFERROR(D15/D33*1000,0)</f>
        <v>5.67432015484921</v>
      </c>
      <c r="E40" s="15" t="n">
        <f aca="false">IFERROR(E15/E33*1000,0)</f>
        <v>4.48562858090847</v>
      </c>
      <c r="F40" s="15" t="n">
        <f aca="false">IFERROR(F15/F33*1000,0)</f>
        <v>3.54595144735847</v>
      </c>
      <c r="G40" s="15" t="n">
        <f aca="false">IFERROR(G15/G33*1000,0)</f>
        <v>2.80312367380116</v>
      </c>
      <c r="H40" s="15" t="n">
        <f aca="false">IFERROR(H15/H33*1000,0)</f>
        <v>2.21590804253056</v>
      </c>
    </row>
    <row r="41" customFormat="false" ht="17.15" hidden="false" customHeight="false" outlineLevel="0" collapsed="false">
      <c r="A41" s="9" t="s">
        <v>722</v>
      </c>
      <c r="B41" s="9" t="s">
        <v>99</v>
      </c>
      <c r="C41" s="15" t="n">
        <f aca="false">API!C13*(1-輸入!$C$43)</f>
        <v>1.7648</v>
      </c>
      <c r="D41" s="15" t="n">
        <f aca="false">API!D13*(1-輸入!$C$43)</f>
        <v>2.860128</v>
      </c>
      <c r="E41" s="15" t="n">
        <f aca="false">API!E13*(1-輸入!$C$43)</f>
        <v>1.7160768</v>
      </c>
      <c r="F41" s="15" t="n">
        <f aca="false">API!F13*(1-輸入!$C$43)</f>
        <v>1.02964608</v>
      </c>
      <c r="G41" s="15" t="n">
        <f aca="false">API!G13*(1-輸入!$C$43)</f>
        <v>0.617787648</v>
      </c>
      <c r="H41" s="15" t="n">
        <f aca="false">API!H13*(1-輸入!$C$43)</f>
        <v>0.3706725888</v>
      </c>
    </row>
    <row r="42" customFormat="false" ht="17.15" hidden="false" customHeight="false" outlineLevel="0" collapsed="false">
      <c r="A42" s="9" t="s">
        <v>723</v>
      </c>
      <c r="B42" s="9" t="s">
        <v>99</v>
      </c>
      <c r="C42" s="15" t="n">
        <f aca="false">IFERROR(C16/C34*1000,0)</f>
        <v>16.0374206481791</v>
      </c>
      <c r="D42" s="15" t="n">
        <f aca="false">IFERROR(D16/D34*1000,0)</f>
        <v>6.15023801421115</v>
      </c>
      <c r="E42" s="15" t="n">
        <f aca="false">IFERROR(E16/E34*1000,0)</f>
        <v>4.86184823257799</v>
      </c>
      <c r="F42" s="15" t="n">
        <f aca="false">IFERROR(F16/F34*1000,0)</f>
        <v>3.84335828662291</v>
      </c>
      <c r="G42" s="15" t="n">
        <f aca="false">IFERROR(G16/G34*1000,0)</f>
        <v>3.03822789456357</v>
      </c>
      <c r="H42" s="15" t="n">
        <f aca="false">IFERROR(H16/H34*1000,0)</f>
        <v>2.40176118147318</v>
      </c>
    </row>
    <row r="43" customFormat="false" ht="17.15" hidden="false" customHeight="false" outlineLevel="0" collapsed="false">
      <c r="A43" s="9" t="s">
        <v>724</v>
      </c>
      <c r="B43" s="9" t="s">
        <v>99</v>
      </c>
      <c r="C43" s="15" t="n">
        <f aca="false">API!C12*(1-輸入!$C$43)</f>
        <v>3.048</v>
      </c>
      <c r="D43" s="15" t="n">
        <f aca="false">API!D12*(1-輸入!$C$43)</f>
        <v>7.86112</v>
      </c>
      <c r="E43" s="15" t="n">
        <f aca="false">API!E12*(1-輸入!$C$43)</f>
        <v>5.502784</v>
      </c>
      <c r="F43" s="15" t="n">
        <f aca="false">API!F12*(1-輸入!$C$43)</f>
        <v>3.8519488</v>
      </c>
      <c r="G43" s="15" t="n">
        <f aca="false">API!G12*(1-輸入!$C$43)</f>
        <v>2.69636416</v>
      </c>
      <c r="H43" s="15" t="n">
        <f aca="false">API!H12*(1-輸入!$C$43)</f>
        <v>1.887454912</v>
      </c>
    </row>
    <row r="44" customFormat="false" ht="17.15" hidden="false" customHeight="false" outlineLevel="0" collapsed="false">
      <c r="A44" s="8" t="s">
        <v>725</v>
      </c>
      <c r="B44" s="9" t="s">
        <v>99</v>
      </c>
      <c r="C44" s="15" t="n">
        <f aca="false">IFERROR(C17/C35*1000,0)</f>
        <v>23.0444245295097</v>
      </c>
      <c r="D44" s="15" t="n">
        <f aca="false">IFERROR(D17/D35*1000,0)</f>
        <v>11.6114686475832</v>
      </c>
      <c r="E44" s="15" t="n">
        <f aca="false">IFERROR(E17/E35*1000,0)</f>
        <v>9.17902659888001</v>
      </c>
      <c r="F44" s="15" t="n">
        <f aca="false">IFERROR(F17/F35*1000,0)</f>
        <v>7.25614750899606</v>
      </c>
      <c r="G44" s="15" t="n">
        <f aca="false">IFERROR(G17/G35*1000,0)</f>
        <v>5.73608498734866</v>
      </c>
      <c r="H44" s="15" t="n">
        <f aca="false">IFERROR(H17/H35*1000,0)</f>
        <v>4.53445453545349</v>
      </c>
    </row>
    <row r="45" customFormat="false" ht="17.15" hidden="false" customHeight="false" outlineLevel="0" collapsed="false">
      <c r="A45" s="8" t="s">
        <v>726</v>
      </c>
      <c r="B45" s="9" t="s">
        <v>99</v>
      </c>
      <c r="C45" s="15" t="n">
        <f aca="false">API!C13*(1-輸入!$C$43)</f>
        <v>1.7648</v>
      </c>
      <c r="D45" s="15" t="n">
        <f aca="false">API!D13*(1-輸入!$C$43)</f>
        <v>2.860128</v>
      </c>
      <c r="E45" s="15" t="n">
        <f aca="false">API!E13*(1-輸入!$C$43)</f>
        <v>1.7160768</v>
      </c>
      <c r="F45" s="15" t="n">
        <f aca="false">API!F13*(1-輸入!$C$43)</f>
        <v>1.02964608</v>
      </c>
      <c r="G45" s="15" t="n">
        <f aca="false">API!G13*(1-輸入!$C$43)</f>
        <v>0.617787648</v>
      </c>
      <c r="H45" s="15" t="n">
        <f aca="false">API!H13*(1-輸入!$C$43)</f>
        <v>0.3706725888</v>
      </c>
    </row>
    <row r="46" customFormat="false" ht="15" hidden="false" customHeight="false" outlineLevel="0" collapsed="false">
      <c r="A46" s="6" t="s">
        <v>727</v>
      </c>
      <c r="B46" s="7"/>
      <c r="C46" s="7"/>
      <c r="D46" s="7"/>
      <c r="E46" s="7"/>
      <c r="F46" s="7"/>
      <c r="G46" s="7"/>
      <c r="H46" s="7"/>
      <c r="I46" s="7"/>
      <c r="J46" s="7"/>
    </row>
    <row r="47" customFormat="false" ht="15" hidden="false" customHeight="false" outlineLevel="0" collapsed="false">
      <c r="A47" s="8" t="s">
        <v>728</v>
      </c>
      <c r="B47" s="9" t="s">
        <v>149</v>
      </c>
      <c r="C47" s="51" t="n">
        <f aca="false">(C7+C8)*輸入!C$155</f>
        <v>0</v>
      </c>
      <c r="D47" s="51" t="n">
        <f aca="false">(D7+D8)*輸入!D$155</f>
        <v>247.65</v>
      </c>
      <c r="E47" s="51" t="n">
        <f aca="false">(E7+E8)*輸入!E$155</f>
        <v>464.606739130435</v>
      </c>
      <c r="F47" s="51" t="n">
        <f aca="false">(F7+F8)*輸入!F$155</f>
        <v>646.801739130435</v>
      </c>
      <c r="G47" s="51" t="n">
        <f aca="false">(G7+G8)*輸入!G$155</f>
        <v>831.361304347826</v>
      </c>
      <c r="H47" s="51" t="n">
        <f aca="false">(H7+H8)*輸入!H$155</f>
        <v>1013.84673913043</v>
      </c>
    </row>
    <row r="48" customFormat="false" ht="15" hidden="false" customHeight="false" outlineLevel="0" collapsed="false">
      <c r="A48" s="12" t="s">
        <v>729</v>
      </c>
      <c r="B48" s="9" t="s">
        <v>7</v>
      </c>
      <c r="C48" s="13" t="n">
        <f aca="false">C47*輸入!C$156/1000</f>
        <v>0</v>
      </c>
      <c r="D48" s="13" t="n">
        <f aca="false">D47*輸入!D$156/1000</f>
        <v>0.74295</v>
      </c>
      <c r="E48" s="13" t="n">
        <f aca="false">E47*輸入!E$156/1000</f>
        <v>1.85842695652174</v>
      </c>
      <c r="F48" s="13" t="n">
        <f aca="false">F47*輸入!F$156/1000</f>
        <v>2.91060782608696</v>
      </c>
      <c r="G48" s="13" t="n">
        <f aca="false">G47*輸入!G$156/1000</f>
        <v>4.15680652173913</v>
      </c>
      <c r="H48" s="13" t="n">
        <f aca="false">H47*輸入!H$156/1000</f>
        <v>5.57615706521739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70"/>
  </cols>
  <sheetData>
    <row r="1" customFormat="false" ht="20.1" hidden="false" customHeight="false" outlineLevel="0" collapsed="false">
      <c r="A1" s="1" t="s">
        <v>730</v>
      </c>
    </row>
    <row r="3" customFormat="false" ht="15" hidden="false" customHeight="false" outlineLevel="0" collapsed="false">
      <c r="A3" s="3" t="s">
        <v>1</v>
      </c>
      <c r="B3" s="3" t="s">
        <v>2</v>
      </c>
      <c r="C3" s="4" t="n">
        <v>2025</v>
      </c>
      <c r="D3" s="4" t="n">
        <v>2026</v>
      </c>
      <c r="E3" s="4" t="n">
        <v>2027</v>
      </c>
      <c r="F3" s="4" t="n">
        <v>2028</v>
      </c>
      <c r="G3" s="4" t="n">
        <v>2029</v>
      </c>
      <c r="H3" s="4" t="n">
        <v>2030</v>
      </c>
      <c r="I3" s="3"/>
      <c r="J3" s="3" t="s">
        <v>4</v>
      </c>
    </row>
    <row r="4" customFormat="false" ht="17.15" hidden="false" customHeight="false" outlineLevel="0" collapsed="false">
      <c r="A4" s="6" t="s">
        <v>731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8" t="s">
        <v>732</v>
      </c>
      <c r="B5" s="9" t="s">
        <v>99</v>
      </c>
      <c r="C5" s="50" t="n">
        <f aca="false">輸入!C$22</f>
        <v>2.5</v>
      </c>
      <c r="D5" s="50" t="n">
        <f aca="false">輸入!D$22</f>
        <v>6.6</v>
      </c>
      <c r="E5" s="15" t="n">
        <f aca="false">D5*(1+輸入!$F$30)</f>
        <v>4.62</v>
      </c>
      <c r="F5" s="15" t="n">
        <f aca="false">E5*(1+輸入!$F$30)</f>
        <v>3.234</v>
      </c>
      <c r="G5" s="15" t="n">
        <f aca="false">F5*(1+輸入!$F$30)</f>
        <v>2.2638</v>
      </c>
      <c r="H5" s="15" t="n">
        <f aca="false">G5*(1+輸入!$F$30)</f>
        <v>1.58466</v>
      </c>
    </row>
    <row r="6" customFormat="false" ht="15" hidden="false" customHeight="false" outlineLevel="0" collapsed="false">
      <c r="A6" s="8" t="s">
        <v>733</v>
      </c>
      <c r="B6" s="9" t="s">
        <v>99</v>
      </c>
      <c r="C6" s="50" t="n">
        <f aca="false">輸入!C$23</f>
        <v>14</v>
      </c>
      <c r="D6" s="50" t="n">
        <f aca="false">輸入!D$23</f>
        <v>35.8</v>
      </c>
      <c r="E6" s="15" t="n">
        <f aca="false">D6*(1+輸入!$F$30)</f>
        <v>25.06</v>
      </c>
      <c r="F6" s="15" t="n">
        <f aca="false">E6*(1+輸入!$F$30)</f>
        <v>17.542</v>
      </c>
      <c r="G6" s="15" t="n">
        <f aca="false">F6*(1+輸入!$F$30)</f>
        <v>12.2794</v>
      </c>
      <c r="H6" s="15" t="n">
        <f aca="false">G6*(1+輸入!$F$30)</f>
        <v>8.59558</v>
      </c>
    </row>
    <row r="7" customFormat="false" ht="15" hidden="false" customHeight="false" outlineLevel="0" collapsed="false">
      <c r="A7" s="8" t="s">
        <v>734</v>
      </c>
      <c r="B7" s="9" t="s">
        <v>99</v>
      </c>
      <c r="C7" s="50" t="n">
        <f aca="false">輸入!C$24</f>
        <v>1.5</v>
      </c>
      <c r="D7" s="50" t="n">
        <f aca="false">輸入!D$24</f>
        <v>2.29</v>
      </c>
      <c r="E7" s="15" t="n">
        <f aca="false">D7*(1+輸入!$F$31)</f>
        <v>1.374</v>
      </c>
      <c r="F7" s="15" t="n">
        <f aca="false">E7*(1+輸入!$F$31)</f>
        <v>0.8244</v>
      </c>
      <c r="G7" s="15" t="n">
        <f aca="false">F7*(1+輸入!$F$31)</f>
        <v>0.49464</v>
      </c>
      <c r="H7" s="15" t="n">
        <f aca="false">G7*(1+輸入!$F$31)</f>
        <v>0.296784</v>
      </c>
    </row>
    <row r="8" customFormat="false" ht="15" hidden="false" customHeight="false" outlineLevel="0" collapsed="false">
      <c r="A8" s="8" t="s">
        <v>735</v>
      </c>
      <c r="B8" s="9" t="s">
        <v>99</v>
      </c>
      <c r="C8" s="50" t="n">
        <f aca="false">輸入!C$25</f>
        <v>8</v>
      </c>
      <c r="D8" s="50" t="n">
        <f aca="false">輸入!D$25</f>
        <v>13.25</v>
      </c>
      <c r="E8" s="15" t="n">
        <f aca="false">D8*(1+輸入!$F$31)</f>
        <v>7.95</v>
      </c>
      <c r="F8" s="15" t="n">
        <f aca="false">E8*(1+輸入!$F$31)</f>
        <v>4.77</v>
      </c>
      <c r="G8" s="15" t="n">
        <f aca="false">F8*(1+輸入!$F$31)</f>
        <v>2.862</v>
      </c>
      <c r="H8" s="15" t="n">
        <f aca="false">G8*(1+輸入!$F$31)</f>
        <v>1.7172</v>
      </c>
    </row>
    <row r="9" customFormat="false" ht="15" hidden="false" customHeight="false" outlineLevel="0" collapsed="false">
      <c r="A9" s="8" t="s">
        <v>736</v>
      </c>
      <c r="B9" s="9" t="s">
        <v>99</v>
      </c>
      <c r="C9" s="50" t="n">
        <f aca="false">輸入!C$26</f>
        <v>0.2</v>
      </c>
      <c r="D9" s="50" t="n">
        <f aca="false">輸入!D$26</f>
        <v>0.64</v>
      </c>
      <c r="E9" s="15" t="n">
        <f aca="false">D9*(1+輸入!$F$32)</f>
        <v>0.384</v>
      </c>
      <c r="F9" s="15" t="n">
        <f aca="false">E9*(1+輸入!$F$32)</f>
        <v>0.2304</v>
      </c>
      <c r="G9" s="15" t="n">
        <f aca="false">F9*(1+輸入!$F$32)</f>
        <v>0.13824</v>
      </c>
      <c r="H9" s="15" t="n">
        <f aca="false">G9*(1+輸入!$F$32)</f>
        <v>0.082944</v>
      </c>
    </row>
    <row r="10" customFormat="false" ht="15" hidden="false" customHeight="false" outlineLevel="0" collapsed="false">
      <c r="A10" s="8" t="s">
        <v>737</v>
      </c>
      <c r="B10" s="9" t="s">
        <v>99</v>
      </c>
      <c r="C10" s="50" t="n">
        <f aca="false">輸入!C$27</f>
        <v>1</v>
      </c>
      <c r="D10" s="50" t="n">
        <f aca="false">輸入!D$27</f>
        <v>3.83</v>
      </c>
      <c r="E10" s="15" t="n">
        <f aca="false">D10*(1+輸入!$F$32)</f>
        <v>2.298</v>
      </c>
      <c r="F10" s="15" t="n">
        <f aca="false">E10*(1+輸入!$F$32)</f>
        <v>1.3788</v>
      </c>
      <c r="G10" s="15" t="n">
        <f aca="false">F10*(1+輸入!$F$32)</f>
        <v>0.82728</v>
      </c>
      <c r="H10" s="15" t="n">
        <f aca="false">G10*(1+輸入!$F$32)</f>
        <v>0.496368</v>
      </c>
    </row>
    <row r="11" customFormat="false" ht="17.15" hidden="false" customHeight="false" outlineLevel="0" collapsed="false">
      <c r="A11" s="6" t="s">
        <v>738</v>
      </c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7.15" hidden="false" customHeight="false" outlineLevel="0" collapsed="false">
      <c r="A12" s="8" t="s">
        <v>739</v>
      </c>
      <c r="B12" s="9" t="s">
        <v>99</v>
      </c>
      <c r="C12" s="15" t="n">
        <f aca="false">(1-輸入!$C$40)*(輸入!$C$41*輸入!$C$42+(1-輸入!$C$41))*C5+輸入!$C$40*C6</f>
        <v>3.81</v>
      </c>
      <c r="D12" s="15" t="n">
        <f aca="false">(1-輸入!$C$40)*(輸入!$C$41*輸入!$C$42+(1-輸入!$C$41))*D5+輸入!$C$40*D6</f>
        <v>9.8264</v>
      </c>
      <c r="E12" s="15" t="n">
        <f aca="false">(1-輸入!$C$40)*(輸入!$C$41*輸入!$C$42+(1-輸入!$C$41))*E5+輸入!$C$40*E6</f>
        <v>6.87848</v>
      </c>
      <c r="F12" s="15" t="n">
        <f aca="false">(1-輸入!$C$40)*(輸入!$C$41*輸入!$C$42+(1-輸入!$C$41))*F5+輸入!$C$40*F6</f>
        <v>4.814936</v>
      </c>
      <c r="G12" s="15" t="n">
        <f aca="false">(1-輸入!$C$40)*(輸入!$C$41*輸入!$C$42+(1-輸入!$C$41))*G5+輸入!$C$40*G6</f>
        <v>3.3704552</v>
      </c>
      <c r="H12" s="15" t="n">
        <f aca="false">(1-輸入!$C$40)*(輸入!$C$41*輸入!$C$42+(1-輸入!$C$41))*H5+輸入!$C$40*H6</f>
        <v>2.35931864</v>
      </c>
    </row>
    <row r="13" customFormat="false" ht="17.15" hidden="false" customHeight="false" outlineLevel="0" collapsed="false">
      <c r="A13" s="8" t="s">
        <v>740</v>
      </c>
      <c r="B13" s="9" t="s">
        <v>99</v>
      </c>
      <c r="C13" s="15" t="n">
        <f aca="false">(1-輸入!$C$40)*(輸入!$C$41*輸入!$C$42+(1-輸入!$C$41))*C7+輸入!$C$40*C8</f>
        <v>2.206</v>
      </c>
      <c r="D13" s="15" t="n">
        <f aca="false">(1-輸入!$C$40)*(輸入!$C$41*輸入!$C$42+(1-輸入!$C$41))*D7+輸入!$C$40*D8</f>
        <v>3.57516</v>
      </c>
      <c r="E13" s="15" t="n">
        <f aca="false">(1-輸入!$C$40)*(輸入!$C$41*輸入!$C$42+(1-輸入!$C$41))*E7+輸入!$C$40*E8</f>
        <v>2.145096</v>
      </c>
      <c r="F13" s="15" t="n">
        <f aca="false">(1-輸入!$C$40)*(輸入!$C$41*輸入!$C$42+(1-輸入!$C$41))*F7+輸入!$C$40*F8</f>
        <v>1.2870576</v>
      </c>
      <c r="G13" s="15" t="n">
        <f aca="false">(1-輸入!$C$40)*(輸入!$C$41*輸入!$C$42+(1-輸入!$C$41))*G7+輸入!$C$40*G8</f>
        <v>0.77223456</v>
      </c>
      <c r="H13" s="15" t="n">
        <f aca="false">(1-輸入!$C$40)*(輸入!$C$41*輸入!$C$42+(1-輸入!$C$41))*H7+輸入!$C$40*H8</f>
        <v>0.463340736</v>
      </c>
    </row>
    <row r="14" customFormat="false" ht="17.15" hidden="false" customHeight="false" outlineLevel="0" collapsed="false">
      <c r="A14" s="8" t="s">
        <v>741</v>
      </c>
      <c r="B14" s="9" t="s">
        <v>99</v>
      </c>
      <c r="C14" s="15" t="n">
        <f aca="false">(1-輸入!$C$40)*(輸入!$C$41*輸入!$C$42+(1-輸入!$C$41))*C9+輸入!$C$40*C10</f>
        <v>0.2808</v>
      </c>
      <c r="D14" s="15" t="n">
        <f aca="false">(1-輸入!$C$40)*(輸入!$C$41*輸入!$C$42+(1-輸入!$C$41))*D9+輸入!$C$40*D10</f>
        <v>1.02456</v>
      </c>
      <c r="E14" s="15" t="n">
        <f aca="false">(1-輸入!$C$40)*(輸入!$C$41*輸入!$C$42+(1-輸入!$C$41))*E9+輸入!$C$40*E10</f>
        <v>0.614736</v>
      </c>
      <c r="F14" s="15" t="n">
        <f aca="false">(1-輸入!$C$40)*(輸入!$C$41*輸入!$C$42+(1-輸入!$C$41))*F9+輸入!$C$40*F10</f>
        <v>0.3688416</v>
      </c>
      <c r="G14" s="15" t="n">
        <f aca="false">(1-輸入!$C$40)*(輸入!$C$41*輸入!$C$42+(1-輸入!$C$41))*G9+輸入!$C$40*G10</f>
        <v>0.22130496</v>
      </c>
      <c r="H14" s="15" t="n">
        <f aca="false">(1-輸入!$C$40)*(輸入!$C$41*輸入!$C$42+(1-輸入!$C$41))*H9+輸入!$C$40*H10</f>
        <v>0.132782976</v>
      </c>
    </row>
    <row r="15" customFormat="false" ht="17.15" hidden="false" customHeight="false" outlineLevel="0" collapsed="false">
      <c r="A15" s="9" t="s">
        <v>742</v>
      </c>
      <c r="B15" s="9" t="s">
        <v>17</v>
      </c>
      <c r="C15" s="47" t="n">
        <f aca="false">輸入!C$38</f>
        <v>0.4</v>
      </c>
      <c r="D15" s="47" t="n">
        <f aca="false">輸入!D$38</f>
        <v>0.15</v>
      </c>
      <c r="E15" s="47" t="n">
        <f aca="false">輸入!E$38</f>
        <v>0.15</v>
      </c>
      <c r="F15" s="47" t="n">
        <f aca="false">輸入!F$38</f>
        <v>0.15</v>
      </c>
      <c r="G15" s="47" t="n">
        <f aca="false">輸入!G$38</f>
        <v>0.15</v>
      </c>
      <c r="H15" s="47" t="n">
        <f aca="false">輸入!H$38</f>
        <v>0.15</v>
      </c>
    </row>
    <row r="16" customFormat="false" ht="17.15" hidden="false" customHeight="false" outlineLevel="0" collapsed="false">
      <c r="A16" s="9" t="s">
        <v>743</v>
      </c>
      <c r="B16" s="9" t="s">
        <v>17</v>
      </c>
      <c r="C16" s="47" t="n">
        <f aca="false">輸入!C$39</f>
        <v>0.4</v>
      </c>
      <c r="D16" s="47" t="n">
        <f aca="false">輸入!D$39</f>
        <v>0.45</v>
      </c>
      <c r="E16" s="47" t="n">
        <f aca="false">輸入!E$39</f>
        <v>0.45</v>
      </c>
      <c r="F16" s="47" t="n">
        <f aca="false">輸入!F$39</f>
        <v>0.45</v>
      </c>
      <c r="G16" s="47" t="n">
        <f aca="false">輸入!G$39</f>
        <v>0.45</v>
      </c>
      <c r="H16" s="47" t="n">
        <f aca="false">輸入!H$39</f>
        <v>0.45</v>
      </c>
    </row>
    <row r="17" customFormat="false" ht="17.15" hidden="false" customHeight="false" outlineLevel="0" collapsed="false">
      <c r="A17" s="9" t="s">
        <v>744</v>
      </c>
      <c r="B17" s="9" t="s">
        <v>17</v>
      </c>
      <c r="C17" s="14" t="n">
        <f aca="false">1-C15-C16</f>
        <v>0.2</v>
      </c>
      <c r="D17" s="14" t="n">
        <f aca="false">1-D15-D16</f>
        <v>0.4</v>
      </c>
      <c r="E17" s="14" t="n">
        <f aca="false">1-E15-E16</f>
        <v>0.4</v>
      </c>
      <c r="F17" s="14" t="n">
        <f aca="false">1-F15-F16</f>
        <v>0.4</v>
      </c>
      <c r="G17" s="14" t="n">
        <f aca="false">1-G15-G16</f>
        <v>0.4</v>
      </c>
      <c r="H17" s="14" t="n">
        <f aca="false">1-H15-H16</f>
        <v>0.4</v>
      </c>
    </row>
    <row r="18" customFormat="false" ht="15" hidden="false" customHeight="false" outlineLevel="0" collapsed="false">
      <c r="A18" s="12" t="s">
        <v>745</v>
      </c>
      <c r="B18" s="9" t="s">
        <v>99</v>
      </c>
      <c r="C18" s="46" t="n">
        <f aca="false">(C15*C12+C16*C13+C17*C14)*(1-輸入!$C$43)</f>
        <v>1.970048</v>
      </c>
      <c r="D18" s="46" t="n">
        <f aca="false">(D15*D12+D16*D13+D17*D14)*(1-輸入!$C$43)</f>
        <v>2.7940848</v>
      </c>
      <c r="E18" s="46" t="n">
        <f aca="false">(E15*E12+E16*E13+E17*E14)*(1-輸入!$C$43)</f>
        <v>1.79436768</v>
      </c>
      <c r="F18" s="46" t="n">
        <f aca="false">(F15*F12+F16*F13+F17*F14)*(1-輸入!$C$43)</f>
        <v>1.159162368</v>
      </c>
      <c r="G18" s="46" t="n">
        <f aca="false">(G15*G12+G16*G13+G17*G14)*(1-輸入!$C$43)</f>
        <v>0.7532766528</v>
      </c>
      <c r="H18" s="46" t="n">
        <f aca="false">(H15*H12+H16*H13+H17*H14)*(1-輸入!$C$43)</f>
        <v>0.49241145408</v>
      </c>
    </row>
    <row r="19" customFormat="false" ht="15" hidden="false" customHeight="false" outlineLevel="0" collapsed="false">
      <c r="A19" s="8" t="s">
        <v>746</v>
      </c>
      <c r="B19" s="9" t="s">
        <v>99</v>
      </c>
      <c r="D19" s="15" t="n">
        <f aca="false">(C15*D12+C16*D13+C17*D14)*(1-輸入!$C$43)</f>
        <v>4.4524288</v>
      </c>
      <c r="E19" s="15" t="n">
        <f aca="false">(D15*E12+D16*E13+D17*E14)*(1-輸入!$C$43)</f>
        <v>1.79436768</v>
      </c>
      <c r="F19" s="15" t="n">
        <f aca="false">(E15*F12+E16*F13+E17*F14)*(1-輸入!$C$43)</f>
        <v>1.159162368</v>
      </c>
      <c r="G19" s="15" t="n">
        <f aca="false">(F15*G12+F16*G13+F17*G14)*(1-輸入!$C$43)</f>
        <v>0.7532766528</v>
      </c>
      <c r="H19" s="15" t="n">
        <f aca="false">(G15*H12+G16*H13+G17*H14)*(1-輸入!$C$43)</f>
        <v>0.49241145408</v>
      </c>
    </row>
    <row r="20" customFormat="false" ht="15" hidden="false" customHeight="false" outlineLevel="0" collapsed="false">
      <c r="A20" s="6" t="s">
        <v>747</v>
      </c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7.15" hidden="false" customHeight="false" outlineLevel="0" collapsed="false">
      <c r="A21" s="8" t="s">
        <v>748</v>
      </c>
      <c r="B21" s="9" t="s">
        <v>26</v>
      </c>
      <c r="D21" s="15" t="n">
        <f aca="false">IF(D$3&gt;=輸入!$C$47,D18/C18,1)</f>
        <v>1</v>
      </c>
      <c r="E21" s="15" t="n">
        <f aca="false">IF(E$3&gt;=輸入!$C$47,E18/D18,1)</f>
        <v>0.642202298226596</v>
      </c>
      <c r="F21" s="15" t="n">
        <f aca="false">IF(F$3&gt;=輸入!$C$47,F18/E18,1)</f>
        <v>0.646000471876533</v>
      </c>
      <c r="G21" s="15" t="n">
        <f aca="false">IF(G$3&gt;=輸入!$C$47,G18/F18,1)</f>
        <v>0.649845676149487</v>
      </c>
      <c r="H21" s="15" t="n">
        <f aca="false">IF(H$3&gt;=輸入!$C$47,H18/G18,1)</f>
        <v>0.653692706722902</v>
      </c>
      <c r="J21" s="9" t="s">
        <v>749</v>
      </c>
    </row>
    <row r="22" customFormat="false" ht="17.15" hidden="false" customHeight="false" outlineLevel="0" collapsed="false">
      <c r="A22" s="8" t="s">
        <v>750</v>
      </c>
      <c r="B22" s="9" t="s">
        <v>707</v>
      </c>
      <c r="C22" s="15" t="n">
        <f aca="false">輸入!$C$44</f>
        <v>10</v>
      </c>
      <c r="D22" s="15" t="n">
        <f aca="false">C22*(1+輸入!D$46)*D21^輸入!$F$34</f>
        <v>12</v>
      </c>
      <c r="E22" s="15" t="n">
        <f aca="false">D22*(1+輸入!E$46)*E21^輸入!$F$34</f>
        <v>15.7607735722679</v>
      </c>
      <c r="F22" s="15" t="n">
        <f aca="false">E22*(1+輸入!F$46)*F21^輸入!$F$34</f>
        <v>20.1245279371246</v>
      </c>
      <c r="G22" s="15" t="n">
        <f aca="false">F22*(1+輸入!G$46)*G21^輸入!$F$34</f>
        <v>25.1927349160684</v>
      </c>
      <c r="H22" s="15" t="n">
        <f aca="false">G22*(1+輸入!H$46)*H21^輸入!$F$34</f>
        <v>30.9091441932479</v>
      </c>
      <c r="J22" s="8" t="s">
        <v>751</v>
      </c>
    </row>
    <row r="23" customFormat="false" ht="15" hidden="false" customHeight="false" outlineLevel="0" collapsed="false">
      <c r="A23" s="8" t="s">
        <v>752</v>
      </c>
      <c r="B23" s="8" t="s">
        <v>753</v>
      </c>
      <c r="C23" s="10" t="n">
        <f aca="false">C24/C22</f>
        <v>184.056429081931</v>
      </c>
      <c r="D23" s="10" t="n">
        <f aca="false">C23*(1+輸入!D$45)*D21^輸入!$F$33</f>
        <v>430.692044051719</v>
      </c>
      <c r="E23" s="10" t="n">
        <f aca="false">D23*(1+輸入!E$45)*E21^輸入!$F$33</f>
        <v>851.460592762892</v>
      </c>
      <c r="F23" s="10" t="n">
        <f aca="false">E23*(1+輸入!F$45)*F21^輸入!$F$33</f>
        <v>1560.75716241308</v>
      </c>
      <c r="G23" s="10" t="n">
        <f aca="false">F23*(1+輸入!G$45)*G21^輸入!$F$33</f>
        <v>2638.02062123507</v>
      </c>
      <c r="H23" s="10" t="n">
        <f aca="false">G23*(1+輸入!H$45)*H21^輸入!$F$33</f>
        <v>4262.82873320222</v>
      </c>
    </row>
    <row r="24" customFormat="false" ht="17.15" hidden="false" customHeight="false" outlineLevel="0" collapsed="false">
      <c r="A24" s="9" t="s">
        <v>754</v>
      </c>
      <c r="B24" s="9" t="s">
        <v>77</v>
      </c>
      <c r="C24" s="51" t="n">
        <f aca="false">(輸入!$C$9-訂閱與廣告!C19-訂閱與廣告!C48)/C18*1000</f>
        <v>1840.56429081931</v>
      </c>
      <c r="D24" s="51" t="n">
        <f aca="false">D23*D22</f>
        <v>5168.30452862062</v>
      </c>
      <c r="E24" s="51" t="n">
        <f aca="false">E23*E22</f>
        <v>13419.6776082449</v>
      </c>
      <c r="F24" s="51" t="n">
        <f aca="false">F23*F22</f>
        <v>31409.5011180493</v>
      </c>
      <c r="G24" s="51" t="n">
        <f aca="false">G23*G22</f>
        <v>66458.9542138972</v>
      </c>
      <c r="H24" s="51" t="n">
        <f aca="false">H23*H22</f>
        <v>131760.387985667</v>
      </c>
      <c r="J24" s="9" t="s">
        <v>755</v>
      </c>
    </row>
    <row r="25" customFormat="false" ht="17.15" hidden="false" customHeight="false" outlineLevel="0" collapsed="false">
      <c r="A25" s="28" t="s">
        <v>756</v>
      </c>
      <c r="B25" s="9" t="s">
        <v>7</v>
      </c>
      <c r="C25" s="13" t="n">
        <f aca="false">C24*C18/1000</f>
        <v>3.626</v>
      </c>
      <c r="D25" s="13" t="n">
        <f aca="false">D24*D18/1000</f>
        <v>14.44068112519</v>
      </c>
      <c r="E25" s="13" t="n">
        <f aca="false">E24*E18/1000</f>
        <v>24.0798357762544</v>
      </c>
      <c r="F25" s="13" t="n">
        <f aca="false">F24*F18/1000</f>
        <v>36.4087116936967</v>
      </c>
      <c r="G25" s="13" t="n">
        <f aca="false">G24*G18/1000</f>
        <v>50.0619785788329</v>
      </c>
      <c r="H25" s="13" t="n">
        <f aca="false">H24*H18/1000</f>
        <v>64.8803242381675</v>
      </c>
    </row>
    <row r="26" customFormat="false" ht="17.15" hidden="false" customHeight="false" outlineLevel="0" collapsed="false">
      <c r="A26" s="26" t="s">
        <v>757</v>
      </c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7.15" hidden="false" customHeight="false" outlineLevel="0" collapsed="false">
      <c r="A27" s="9" t="s">
        <v>758</v>
      </c>
      <c r="B27" s="9" t="s">
        <v>7</v>
      </c>
      <c r="C27" s="10" t="n">
        <f aca="false">C24*C15*C12*(1-輸入!$C$43)/1000</f>
        <v>2.2440159833669</v>
      </c>
      <c r="D27" s="10" t="n">
        <f aca="false">D24*D15*D12*(1-輸入!$C$43)/1000</f>
        <v>6.09429931440452</v>
      </c>
      <c r="E27" s="10" t="n">
        <f aca="false">E24*E15*E12*(1-輸入!$C$43)/1000</f>
        <v>11.0768380841713</v>
      </c>
      <c r="F27" s="10" t="n">
        <f aca="false">F24*F15*F12*(1-輸入!$C$43)/1000</f>
        <v>18.1481685210403</v>
      </c>
      <c r="G27" s="10" t="n">
        <f aca="false">G24*G15*G12*(1-輸入!$C$43)/1000</f>
        <v>26.879631338015</v>
      </c>
      <c r="H27" s="10" t="n">
        <f aca="false">H24*H15*H12*(1-輸入!$C$43)/1000</f>
        <v>37.3037687265861</v>
      </c>
    </row>
    <row r="28" customFormat="false" ht="17.15" hidden="false" customHeight="false" outlineLevel="0" collapsed="false">
      <c r="A28" s="9" t="s">
        <v>759</v>
      </c>
      <c r="B28" s="9" t="s">
        <v>77</v>
      </c>
      <c r="C28" s="51" t="n">
        <f aca="false">C24*C15</f>
        <v>736.225716327724</v>
      </c>
      <c r="D28" s="51" t="n">
        <f aca="false">D24*D15</f>
        <v>775.245679293093</v>
      </c>
      <c r="E28" s="51" t="n">
        <f aca="false">E24*E15</f>
        <v>2012.95164123674</v>
      </c>
      <c r="F28" s="51" t="n">
        <f aca="false">F24*F15</f>
        <v>4711.42516770739</v>
      </c>
      <c r="G28" s="51" t="n">
        <f aca="false">G24*G15</f>
        <v>9968.84313208457</v>
      </c>
      <c r="H28" s="51" t="n">
        <f aca="false">H24*H15</f>
        <v>19764.0581978501</v>
      </c>
    </row>
    <row r="29" customFormat="false" ht="17.15" hidden="false" customHeight="false" outlineLevel="0" collapsed="false">
      <c r="A29" s="9" t="s">
        <v>760</v>
      </c>
      <c r="B29" s="9" t="s">
        <v>7</v>
      </c>
      <c r="C29" s="10" t="n">
        <f aca="false">C24*C16*C13*(1-輸入!$C$43)/1000</f>
        <v>1.29929114417517</v>
      </c>
      <c r="D29" s="10" t="n">
        <f aca="false">D24*D16*D13*(1-輸入!$C$43)/1000</f>
        <v>6.65190562267559</v>
      </c>
      <c r="E29" s="10" t="n">
        <f aca="false">E24*E16*E13*(1-輸入!$C$43)/1000</f>
        <v>10.3631388331449</v>
      </c>
      <c r="F29" s="10" t="n">
        <f aca="false">F24*F16*F13*(1-輸入!$C$43)/1000</f>
        <v>14.5533013654298</v>
      </c>
      <c r="G29" s="10" t="n">
        <f aca="false">G24*G16*G13*(1-輸入!$C$43)/1000</f>
        <v>18.4758844555544</v>
      </c>
      <c r="H29" s="10" t="n">
        <f aca="false">H24*H16*H13*(1-輸入!$C$43)/1000</f>
        <v>21.9779838521729</v>
      </c>
    </row>
    <row r="30" customFormat="false" ht="17.15" hidden="false" customHeight="false" outlineLevel="0" collapsed="false">
      <c r="A30" s="9" t="s">
        <v>761</v>
      </c>
      <c r="B30" s="9" t="s">
        <v>77</v>
      </c>
      <c r="C30" s="51" t="n">
        <f aca="false">C24*C16</f>
        <v>736.225716327724</v>
      </c>
      <c r="D30" s="51" t="n">
        <f aca="false">D24*D16</f>
        <v>2325.73703787928</v>
      </c>
      <c r="E30" s="51" t="n">
        <f aca="false">E24*E16</f>
        <v>6038.85492371022</v>
      </c>
      <c r="F30" s="51" t="n">
        <f aca="false">F24*F16</f>
        <v>14134.2755031222</v>
      </c>
      <c r="G30" s="51" t="n">
        <f aca="false">G24*G16</f>
        <v>29906.5293962537</v>
      </c>
      <c r="H30" s="51" t="n">
        <f aca="false">H24*H16</f>
        <v>59292.1745935504</v>
      </c>
    </row>
    <row r="31" customFormat="false" ht="17.15" hidden="false" customHeight="false" outlineLevel="0" collapsed="false">
      <c r="A31" s="9" t="s">
        <v>762</v>
      </c>
      <c r="B31" s="9" t="s">
        <v>7</v>
      </c>
      <c r="C31" s="10" t="n">
        <f aca="false">C24*C17*C14*(1-輸入!$C$43)/1000</f>
        <v>0.08269287245793</v>
      </c>
      <c r="D31" s="10" t="n">
        <f aca="false">D24*D17*D14*(1-輸入!$C$43)/1000</f>
        <v>1.69447618810993</v>
      </c>
      <c r="E31" s="10" t="n">
        <f aca="false">E24*E17*E14*(1-輸入!$C$43)/1000</f>
        <v>2.63985885893826</v>
      </c>
      <c r="F31" s="10" t="n">
        <f aca="false">F24*F17*F14*(1-輸入!$C$43)/1000</f>
        <v>3.70724180722659</v>
      </c>
      <c r="G31" s="10" t="n">
        <f aca="false">G24*G17*G14*(1-輸入!$C$43)/1000</f>
        <v>4.70646278526347</v>
      </c>
      <c r="H31" s="10" t="n">
        <f aca="false">H24*H17*H14*(1-輸入!$C$43)/1000</f>
        <v>5.5985716594085</v>
      </c>
    </row>
    <row r="32" customFormat="false" ht="17.15" hidden="false" customHeight="false" outlineLevel="0" collapsed="false">
      <c r="A32" s="9" t="s">
        <v>763</v>
      </c>
      <c r="B32" s="9" t="s">
        <v>77</v>
      </c>
      <c r="C32" s="51" t="n">
        <f aca="false">C24*C17</f>
        <v>368.112858163862</v>
      </c>
      <c r="D32" s="51" t="n">
        <f aca="false">D24*D17</f>
        <v>2067.32181144825</v>
      </c>
      <c r="E32" s="51" t="n">
        <f aca="false">E24*E17</f>
        <v>5367.87104329797</v>
      </c>
      <c r="F32" s="51" t="n">
        <f aca="false">F24*F17</f>
        <v>12563.8004472197</v>
      </c>
      <c r="G32" s="51" t="n">
        <f aca="false">G24*G17</f>
        <v>26583.5816855589</v>
      </c>
      <c r="H32" s="51" t="n">
        <f aca="false">H24*H17</f>
        <v>52704.155194267</v>
      </c>
    </row>
    <row r="33" customFormat="false" ht="17.15" hidden="false" customHeight="false" outlineLevel="0" collapsed="false">
      <c r="A33" s="6" t="s">
        <v>764</v>
      </c>
      <c r="B33" s="7"/>
      <c r="C33" s="7"/>
      <c r="D33" s="7"/>
      <c r="E33" s="7"/>
      <c r="F33" s="7"/>
      <c r="G33" s="7"/>
      <c r="H33" s="7"/>
      <c r="I33" s="7"/>
      <c r="J33" s="7"/>
    </row>
    <row r="34" customFormat="false" ht="17.15" hidden="false" customHeight="false" outlineLevel="0" collapsed="false">
      <c r="A34" s="8" t="s">
        <v>765</v>
      </c>
      <c r="B34" s="9" t="s">
        <v>766</v>
      </c>
      <c r="D34" s="53" t="n">
        <f aca="false">LN(1+輸入!D$45)+LN(1+輸入!D$46)</f>
        <v>1.03247248616356</v>
      </c>
      <c r="E34" s="53" t="n">
        <f aca="false">LN(1+輸入!E$45)+LN(1+輸入!E$46)</f>
        <v>0.511325498807642</v>
      </c>
      <c r="F34" s="53" t="n">
        <f aca="false">LN(1+輸入!F$45)+LN(1+輸入!F$46)</f>
        <v>0.413433277757341</v>
      </c>
      <c r="G34" s="53" t="n">
        <f aca="false">LN(1+輸入!G$45)+LN(1+輸入!G$46)</f>
        <v>0.318453731118535</v>
      </c>
      <c r="H34" s="53" t="n">
        <f aca="false">LN(1+輸入!H$45)+LN(1+輸入!H$46)</f>
        <v>0.259282597930083</v>
      </c>
    </row>
    <row r="35" customFormat="false" ht="17.15" hidden="false" customHeight="false" outlineLevel="0" collapsed="false">
      <c r="A35" s="8" t="s">
        <v>767</v>
      </c>
      <c r="B35" s="9" t="s">
        <v>766</v>
      </c>
      <c r="D35" s="53" t="n">
        <f aca="false">LN(D19/C18)</f>
        <v>0.815391837102241</v>
      </c>
      <c r="E35" s="53" t="n">
        <f aca="false">LN(E19/D18)</f>
        <v>-0.442851918655774</v>
      </c>
      <c r="F35" s="53" t="n">
        <f aca="false">LN(F19/E18)</f>
        <v>-0.436955044740772</v>
      </c>
      <c r="G35" s="53" t="n">
        <f aca="false">LN(G19/F18)</f>
        <v>-0.431020365589837</v>
      </c>
      <c r="H35" s="53" t="n">
        <f aca="false">LN(H19/G18)</f>
        <v>-0.425117905343388</v>
      </c>
    </row>
    <row r="36" customFormat="false" ht="17.15" hidden="false" customHeight="false" outlineLevel="0" collapsed="false">
      <c r="A36" s="8" t="s">
        <v>768</v>
      </c>
      <c r="B36" s="9" t="s">
        <v>766</v>
      </c>
      <c r="D36" s="53" t="n">
        <f aca="false">LN(D18/D19)</f>
        <v>-0.465945133911733</v>
      </c>
      <c r="E36" s="53" t="n">
        <f aca="false">LN(E18/E19)</f>
        <v>0</v>
      </c>
      <c r="F36" s="53" t="n">
        <f aca="false">LN(F18/F19)</f>
        <v>0</v>
      </c>
      <c r="G36" s="53" t="n">
        <f aca="false">LN(G18/G19)</f>
        <v>0</v>
      </c>
      <c r="H36" s="53" t="n">
        <f aca="false">LN(H18/H19)</f>
        <v>0</v>
      </c>
    </row>
    <row r="37" customFormat="false" ht="17.15" hidden="false" customHeight="false" outlineLevel="0" collapsed="false">
      <c r="A37" s="8" t="s">
        <v>769</v>
      </c>
      <c r="B37" s="9" t="s">
        <v>766</v>
      </c>
      <c r="D37" s="53" t="n">
        <f aca="false">(輸入!$F$33+輸入!$F$34)*LN(D21)</f>
        <v>-0</v>
      </c>
      <c r="E37" s="53" t="n">
        <f aca="false">(輸入!$F$33+輸入!$F$34)*LN(E21)</f>
        <v>0.442851918655774</v>
      </c>
      <c r="F37" s="53" t="n">
        <f aca="false">(輸入!$F$33+輸入!$F$34)*LN(F21)</f>
        <v>0.436955044740772</v>
      </c>
      <c r="G37" s="53" t="n">
        <f aca="false">(輸入!$F$33+輸入!$F$34)*LN(G21)</f>
        <v>0.431020365589837</v>
      </c>
      <c r="H37" s="53" t="n">
        <f aca="false">(輸入!$F$33+輸入!$F$34)*LN(H21)</f>
        <v>0.425117905343388</v>
      </c>
    </row>
    <row r="38" customFormat="false" ht="15" hidden="false" customHeight="false" outlineLevel="0" collapsed="false">
      <c r="A38" s="12" t="s">
        <v>770</v>
      </c>
      <c r="B38" s="9" t="s">
        <v>766</v>
      </c>
      <c r="D38" s="54" t="n">
        <f aca="false">D34+D35+D36+D37</f>
        <v>1.38191918935407</v>
      </c>
      <c r="E38" s="54" t="n">
        <f aca="false">E34+E35+E36+E37</f>
        <v>0.511325498807642</v>
      </c>
      <c r="F38" s="54" t="n">
        <f aca="false">F34+F35+F36+F37</f>
        <v>0.413433277757341</v>
      </c>
      <c r="G38" s="54" t="n">
        <f aca="false">G34+G35+G36+G37</f>
        <v>0.318453731118535</v>
      </c>
      <c r="H38" s="54" t="n">
        <f aca="false">H34+H35+H36+H37</f>
        <v>0.259282597930083</v>
      </c>
    </row>
    <row r="39" customFormat="false" ht="17.15" hidden="false" customHeight="false" outlineLevel="0" collapsed="false">
      <c r="A39" s="8" t="s">
        <v>771</v>
      </c>
      <c r="B39" s="9" t="s">
        <v>766</v>
      </c>
      <c r="D39" s="55" t="n">
        <f aca="false">D38-LN(D25/C25)</f>
        <v>0</v>
      </c>
      <c r="E39" s="55" t="n">
        <f aca="false">E38-LN(E25/D25)</f>
        <v>0</v>
      </c>
      <c r="F39" s="55" t="n">
        <f aca="false">F38-LN(F25/E25)</f>
        <v>0</v>
      </c>
      <c r="G39" s="55" t="n">
        <f aca="false">G38-LN(G25/F25)</f>
        <v>0</v>
      </c>
      <c r="H39" s="55" t="n">
        <f aca="false">H38-LN(H25/G25)</f>
        <v>0</v>
      </c>
    </row>
    <row r="40" customFormat="false" ht="17.15" hidden="false" customHeight="false" outlineLevel="0" collapsed="false">
      <c r="A40" s="6" t="s">
        <v>772</v>
      </c>
      <c r="B40" s="7"/>
      <c r="C40" s="7"/>
      <c r="D40" s="7"/>
      <c r="E40" s="7"/>
      <c r="F40" s="7"/>
      <c r="G40" s="7"/>
      <c r="H40" s="7"/>
      <c r="I40" s="7"/>
      <c r="J40" s="7"/>
    </row>
    <row r="41" customFormat="false" ht="17.15" hidden="false" customHeight="false" outlineLevel="0" collapsed="false">
      <c r="A41" s="38" t="s">
        <v>773</v>
      </c>
      <c r="C41" s="43" t="n">
        <f aca="false">C24/輸入!$C$13</f>
        <v>0.700366929535506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70"/>
  </cols>
  <sheetData>
    <row r="1" customFormat="false" ht="20.1" hidden="false" customHeight="false" outlineLevel="0" collapsed="false">
      <c r="A1" s="37" t="s">
        <v>774</v>
      </c>
    </row>
    <row r="3" customFormat="false" ht="15" hidden="false" customHeight="false" outlineLevel="0" collapsed="false">
      <c r="A3" s="3" t="s">
        <v>1</v>
      </c>
      <c r="B3" s="3" t="s">
        <v>2</v>
      </c>
      <c r="C3" s="4" t="n">
        <v>2025</v>
      </c>
      <c r="D3" s="4" t="n">
        <v>2026</v>
      </c>
      <c r="E3" s="4" t="n">
        <v>2027</v>
      </c>
      <c r="F3" s="4" t="n">
        <v>2028</v>
      </c>
      <c r="G3" s="4" t="n">
        <v>2029</v>
      </c>
      <c r="H3" s="4" t="n">
        <v>2030</v>
      </c>
      <c r="I3" s="3"/>
      <c r="J3" s="3" t="s">
        <v>4</v>
      </c>
    </row>
    <row r="4" customFormat="false" ht="17.15" hidden="false" customHeight="false" outlineLevel="0" collapsed="false">
      <c r="A4" s="12" t="s">
        <v>775</v>
      </c>
      <c r="B4" s="9" t="s">
        <v>26</v>
      </c>
      <c r="C4" s="46" t="n">
        <f aca="false">算力MW!C32</f>
        <v>1</v>
      </c>
      <c r="D4" s="46" t="n">
        <f aca="false">算力MW!D32</f>
        <v>1</v>
      </c>
      <c r="E4" s="46" t="n">
        <f aca="false">算力MW!E32</f>
        <v>1</v>
      </c>
      <c r="F4" s="46" t="n">
        <f aca="false">算力MW!F32</f>
        <v>1</v>
      </c>
      <c r="G4" s="46" t="n">
        <f aca="false">算力MW!G32</f>
        <v>1</v>
      </c>
      <c r="H4" s="46" t="n">
        <f aca="false">算力MW!H32</f>
        <v>1</v>
      </c>
    </row>
    <row r="5" customFormat="false" ht="17.15" hidden="false" customHeight="false" outlineLevel="0" collapsed="false">
      <c r="A5" s="6" t="s">
        <v>776</v>
      </c>
      <c r="B5" s="7"/>
      <c r="C5" s="7"/>
      <c r="D5" s="7"/>
      <c r="E5" s="7"/>
      <c r="F5" s="7"/>
      <c r="G5" s="7"/>
      <c r="H5" s="7"/>
      <c r="I5" s="7"/>
      <c r="J5" s="7"/>
    </row>
    <row r="6" customFormat="false" ht="15" hidden="false" customHeight="false" outlineLevel="0" collapsed="false">
      <c r="A6" s="9" t="s">
        <v>777</v>
      </c>
      <c r="B6" s="9" t="s">
        <v>7</v>
      </c>
      <c r="C6" s="10" t="n">
        <f aca="false">訂閱與廣告!C14*C$4</f>
        <v>0.144</v>
      </c>
      <c r="D6" s="10" t="n">
        <f aca="false">訂閱與廣告!D14*D$4</f>
        <v>2.9232</v>
      </c>
      <c r="E6" s="10" t="n">
        <f aca="false">訂閱與廣告!E14*E$4</f>
        <v>5.57624347826087</v>
      </c>
      <c r="F6" s="10" t="n">
        <f aca="false">訂閱與廣告!F14*F$4</f>
        <v>8.42431304347826</v>
      </c>
      <c r="G6" s="10" t="n">
        <f aca="false">訂閱與廣告!G14*G$4</f>
        <v>10.6178086956522</v>
      </c>
      <c r="H6" s="10" t="n">
        <f aca="false">訂閱與廣告!H14*H$4</f>
        <v>12.7939304347826</v>
      </c>
    </row>
    <row r="7" customFormat="false" ht="15" hidden="false" customHeight="false" outlineLevel="0" collapsed="false">
      <c r="A7" s="9" t="s">
        <v>778</v>
      </c>
      <c r="B7" s="9" t="s">
        <v>7</v>
      </c>
      <c r="C7" s="10" t="n">
        <f aca="false">訂閱與廣告!C15*C$4</f>
        <v>7.02</v>
      </c>
      <c r="D7" s="10" t="n">
        <f aca="false">訂閱與廣告!D15*D$4</f>
        <v>7.9572</v>
      </c>
      <c r="E7" s="10" t="n">
        <f aca="false">訂閱與廣告!E15*E$4</f>
        <v>8.99509565217391</v>
      </c>
      <c r="F7" s="10" t="n">
        <f aca="false">訂閱與廣告!F15*F$4</f>
        <v>9.86000869565217</v>
      </c>
      <c r="G7" s="10" t="n">
        <f aca="false">訂閱與廣告!G15*G$4</f>
        <v>10.5519391304348</v>
      </c>
      <c r="H7" s="10" t="n">
        <f aca="false">訂閱與廣告!H15*H$4</f>
        <v>11.0708869565217</v>
      </c>
    </row>
    <row r="8" customFormat="false" ht="15" hidden="false" customHeight="false" outlineLevel="0" collapsed="false">
      <c r="A8" s="9" t="s">
        <v>779</v>
      </c>
      <c r="B8" s="9" t="s">
        <v>7</v>
      </c>
      <c r="C8" s="10" t="n">
        <f aca="false">訂閱與廣告!C16*C$4</f>
        <v>1.2</v>
      </c>
      <c r="D8" s="10" t="n">
        <f aca="false">訂閱與廣告!D16*D$4</f>
        <v>1.8</v>
      </c>
      <c r="E8" s="10" t="n">
        <f aca="false">訂閱與廣告!E16*E$4</f>
        <v>2.7</v>
      </c>
      <c r="F8" s="10" t="n">
        <f aca="false">訂閱與廣告!F16*F$4</f>
        <v>3.6</v>
      </c>
      <c r="G8" s="10" t="n">
        <f aca="false">訂閱與廣告!G16*G$4</f>
        <v>4.5</v>
      </c>
      <c r="H8" s="10" t="n">
        <f aca="false">訂閱與廣告!H16*H$4</f>
        <v>5.4</v>
      </c>
    </row>
    <row r="9" customFormat="false" ht="17.15" hidden="false" customHeight="false" outlineLevel="0" collapsed="false">
      <c r="A9" s="8" t="s">
        <v>780</v>
      </c>
      <c r="B9" s="9" t="s">
        <v>7</v>
      </c>
      <c r="C9" s="10" t="n">
        <f aca="false">訂閱與廣告!C48*C$4</f>
        <v>0</v>
      </c>
      <c r="D9" s="10" t="n">
        <f aca="false">訂閱與廣告!D48*D$4</f>
        <v>0.74295</v>
      </c>
      <c r="E9" s="10" t="n">
        <f aca="false">訂閱與廣告!E48*E$4</f>
        <v>1.85842695652174</v>
      </c>
      <c r="F9" s="10" t="n">
        <f aca="false">訂閱與廣告!F48*F$4</f>
        <v>2.91060782608696</v>
      </c>
      <c r="G9" s="10" t="n">
        <f aca="false">訂閱與廣告!G48*G$4</f>
        <v>4.15680652173913</v>
      </c>
      <c r="H9" s="10" t="n">
        <f aca="false">訂閱與廣告!H48*H$4</f>
        <v>5.57615706521739</v>
      </c>
    </row>
    <row r="10" customFormat="false" ht="15" hidden="false" customHeight="false" outlineLevel="0" collapsed="false">
      <c r="A10" s="12" t="s">
        <v>781</v>
      </c>
      <c r="B10" s="9" t="s">
        <v>7</v>
      </c>
      <c r="C10" s="13" t="n">
        <f aca="false">SUM(C6:C9)</f>
        <v>8.364</v>
      </c>
      <c r="D10" s="13" t="n">
        <f aca="false">SUM(D6:D9)</f>
        <v>13.42335</v>
      </c>
      <c r="E10" s="13" t="n">
        <f aca="false">SUM(E6:E9)</f>
        <v>19.1297660869565</v>
      </c>
      <c r="F10" s="13" t="n">
        <f aca="false">SUM(F6:F9)</f>
        <v>24.7949295652174</v>
      </c>
      <c r="G10" s="13" t="n">
        <f aca="false">SUM(G6:G9)</f>
        <v>29.8265543478261</v>
      </c>
      <c r="H10" s="13" t="n">
        <f aca="false">SUM(H6:H9)</f>
        <v>34.8409744565217</v>
      </c>
    </row>
    <row r="11" customFormat="false" ht="17.15" hidden="false" customHeight="false" outlineLevel="0" collapsed="false">
      <c r="A11" s="8" t="s">
        <v>782</v>
      </c>
      <c r="B11" s="9" t="s">
        <v>7</v>
      </c>
      <c r="C11" s="10" t="n">
        <f aca="false">訂閱與廣告!C17*C$4</f>
        <v>1.08</v>
      </c>
      <c r="D11" s="10" t="n">
        <f aca="false">訂閱與廣告!D17*D$4</f>
        <v>5.04</v>
      </c>
      <c r="E11" s="10" t="n">
        <f aca="false">訂閱與廣告!E17*E$4</f>
        <v>9.36</v>
      </c>
      <c r="F11" s="10" t="n">
        <f aca="false">訂閱與廣告!F17*F$4</f>
        <v>13.68</v>
      </c>
      <c r="G11" s="10" t="n">
        <f aca="false">訂閱與廣告!G17*G$4</f>
        <v>17.28</v>
      </c>
      <c r="H11" s="10" t="n">
        <f aca="false">訂閱與廣告!H17*H$4</f>
        <v>20.16</v>
      </c>
    </row>
    <row r="12" customFormat="false" ht="17.15" hidden="false" customHeight="false" outlineLevel="0" collapsed="false">
      <c r="A12" s="9" t="s">
        <v>783</v>
      </c>
      <c r="B12" s="9" t="s">
        <v>7</v>
      </c>
      <c r="C12" s="10" t="n">
        <f aca="false">API!C27*C$4</f>
        <v>2.2440159833669</v>
      </c>
      <c r="D12" s="10" t="n">
        <f aca="false">API!D27*D$4</f>
        <v>6.09429931440452</v>
      </c>
      <c r="E12" s="10" t="n">
        <f aca="false">API!E27*E$4</f>
        <v>11.0768380841713</v>
      </c>
      <c r="F12" s="10" t="n">
        <f aca="false">API!F27*F$4</f>
        <v>18.1481685210403</v>
      </c>
      <c r="G12" s="10" t="n">
        <f aca="false">API!G27*G$4</f>
        <v>26.879631338015</v>
      </c>
      <c r="H12" s="10" t="n">
        <f aca="false">API!H27*H$4</f>
        <v>37.3037687265861</v>
      </c>
    </row>
    <row r="13" customFormat="false" ht="17.15" hidden="false" customHeight="false" outlineLevel="0" collapsed="false">
      <c r="A13" s="9" t="s">
        <v>784</v>
      </c>
      <c r="B13" s="9" t="s">
        <v>7</v>
      </c>
      <c r="C13" s="10" t="n">
        <f aca="false">API!C29*C$4</f>
        <v>1.29929114417517</v>
      </c>
      <c r="D13" s="10" t="n">
        <f aca="false">API!D29*D$4</f>
        <v>6.65190562267559</v>
      </c>
      <c r="E13" s="10" t="n">
        <f aca="false">API!E29*E$4</f>
        <v>10.3631388331449</v>
      </c>
      <c r="F13" s="10" t="n">
        <f aca="false">API!F29*F$4</f>
        <v>14.5533013654298</v>
      </c>
      <c r="G13" s="10" t="n">
        <f aca="false">API!G29*G$4</f>
        <v>18.4758844555544</v>
      </c>
      <c r="H13" s="10" t="n">
        <f aca="false">API!H29*H$4</f>
        <v>21.9779838521729</v>
      </c>
    </row>
    <row r="14" customFormat="false" ht="17.15" hidden="false" customHeight="false" outlineLevel="0" collapsed="false">
      <c r="A14" s="9" t="s">
        <v>785</v>
      </c>
      <c r="B14" s="9" t="s">
        <v>7</v>
      </c>
      <c r="C14" s="10" t="n">
        <f aca="false">API!C31*C$4</f>
        <v>0.08269287245793</v>
      </c>
      <c r="D14" s="10" t="n">
        <f aca="false">API!D31*D$4</f>
        <v>1.69447618810993</v>
      </c>
      <c r="E14" s="10" t="n">
        <f aca="false">API!E31*E$4</f>
        <v>2.63985885893826</v>
      </c>
      <c r="F14" s="10" t="n">
        <f aca="false">API!F31*F$4</f>
        <v>3.70724180722659</v>
      </c>
      <c r="G14" s="10" t="n">
        <f aca="false">API!G31*G$4</f>
        <v>4.70646278526347</v>
      </c>
      <c r="H14" s="10" t="n">
        <f aca="false">API!H31*H$4</f>
        <v>5.5985716594085</v>
      </c>
    </row>
    <row r="15" customFormat="false" ht="15" hidden="false" customHeight="false" outlineLevel="0" collapsed="false">
      <c r="A15" s="12" t="s">
        <v>786</v>
      </c>
      <c r="B15" s="9" t="s">
        <v>7</v>
      </c>
      <c r="C15" s="13" t="n">
        <f aca="false">SUM(C11:C14)</f>
        <v>4.706</v>
      </c>
      <c r="D15" s="13" t="n">
        <f aca="false">SUM(D11:D14)</f>
        <v>19.48068112519</v>
      </c>
      <c r="E15" s="13" t="n">
        <f aca="false">SUM(E11:E14)</f>
        <v>33.4398357762544</v>
      </c>
      <c r="F15" s="13" t="n">
        <f aca="false">SUM(F11:F14)</f>
        <v>50.0887116936967</v>
      </c>
      <c r="G15" s="13" t="n">
        <f aca="false">SUM(G11:G14)</f>
        <v>67.3419785788329</v>
      </c>
      <c r="H15" s="13" t="n">
        <f aca="false">SUM(H11:H14)</f>
        <v>85.0403242381675</v>
      </c>
    </row>
    <row r="16" customFormat="false" ht="17.15" hidden="false" customHeight="false" outlineLevel="0" collapsed="false">
      <c r="A16" s="8" t="s">
        <v>787</v>
      </c>
      <c r="B16" s="9" t="s">
        <v>17</v>
      </c>
      <c r="C16" s="14" t="n">
        <f aca="false">C15/(C10+C15)</f>
        <v>0.360061208875287</v>
      </c>
      <c r="D16" s="14" t="n">
        <f aca="false">D15/(D10+D15)</f>
        <v>0.592045426017009</v>
      </c>
      <c r="E16" s="14" t="n">
        <f aca="false">E15/(E10+E15)</f>
        <v>0.636105935579781</v>
      </c>
      <c r="F16" s="14" t="n">
        <f aca="false">F15/(F10+F15)</f>
        <v>0.668887234269396</v>
      </c>
      <c r="G16" s="14" t="n">
        <f aca="false">G15/(G10+G15)</f>
        <v>0.693043072181211</v>
      </c>
      <c r="H16" s="14" t="n">
        <f aca="false">H15/(H10+H15)</f>
        <v>0.709371062577042</v>
      </c>
      <c r="J16" s="9" t="s">
        <v>788</v>
      </c>
    </row>
    <row r="17" customFormat="false" ht="15" hidden="false" customHeight="false" outlineLevel="0" collapsed="false">
      <c r="A17" s="6" t="s">
        <v>789</v>
      </c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8" t="s">
        <v>6</v>
      </c>
      <c r="B18" s="9" t="s">
        <v>7</v>
      </c>
      <c r="C18" s="10" t="n">
        <f aca="false">訂閱與廣告!C19*C$4</f>
        <v>9.444</v>
      </c>
      <c r="D18" s="10" t="n">
        <f aca="false">訂閱與廣告!D19*D$4</f>
        <v>17.7204</v>
      </c>
      <c r="E18" s="10" t="n">
        <f aca="false">訂閱與廣告!E19*E$4</f>
        <v>26.6313391304348</v>
      </c>
      <c r="F18" s="10" t="n">
        <f aca="false">訂閱與廣告!F19*F$4</f>
        <v>35.5643217391304</v>
      </c>
      <c r="G18" s="10" t="n">
        <f aca="false">訂閱與廣告!G19*G$4</f>
        <v>42.949747826087</v>
      </c>
      <c r="H18" s="10" t="n">
        <f aca="false">訂閱與廣告!H19*H$4</f>
        <v>49.4248173913043</v>
      </c>
    </row>
    <row r="19" customFormat="false" ht="15" hidden="false" customHeight="false" outlineLevel="0" collapsed="false">
      <c r="A19" s="9" t="s">
        <v>8</v>
      </c>
      <c r="B19" s="9" t="s">
        <v>7</v>
      </c>
      <c r="C19" s="10" t="n">
        <f aca="false">API!C25*C$4</f>
        <v>3.626</v>
      </c>
      <c r="D19" s="10" t="n">
        <f aca="false">API!D25*D$4</f>
        <v>14.44068112519</v>
      </c>
      <c r="E19" s="10" t="n">
        <f aca="false">API!E25*E$4</f>
        <v>24.0798357762544</v>
      </c>
      <c r="F19" s="10" t="n">
        <f aca="false">API!F25*F$4</f>
        <v>36.4087116936967</v>
      </c>
      <c r="G19" s="10" t="n">
        <f aca="false">API!G25*G$4</f>
        <v>50.0619785788329</v>
      </c>
      <c r="H19" s="10" t="n">
        <f aca="false">API!H25*H$4</f>
        <v>64.8803242381675</v>
      </c>
    </row>
    <row r="20" customFormat="false" ht="17.15" hidden="false" customHeight="false" outlineLevel="0" collapsed="false">
      <c r="A20" s="12" t="s">
        <v>790</v>
      </c>
      <c r="B20" s="9" t="s">
        <v>7</v>
      </c>
      <c r="C20" s="13" t="n">
        <f aca="false">C18+C19</f>
        <v>13.07</v>
      </c>
      <c r="D20" s="13" t="n">
        <f aca="false">D18+D19</f>
        <v>32.1610811251901</v>
      </c>
      <c r="E20" s="13" t="n">
        <f aca="false">E18+E19</f>
        <v>50.7111749066892</v>
      </c>
      <c r="F20" s="13" t="n">
        <f aca="false">F18+F19</f>
        <v>71.9730334328271</v>
      </c>
      <c r="G20" s="13" t="n">
        <f aca="false">G18+G19</f>
        <v>93.0117264049199</v>
      </c>
      <c r="H20" s="13" t="n">
        <f aca="false">H18+H19</f>
        <v>114.305141629472</v>
      </c>
    </row>
    <row r="21" customFormat="false" ht="15" hidden="false" customHeight="false" outlineLevel="0" collapsed="false">
      <c r="A21" s="8" t="s">
        <v>791</v>
      </c>
      <c r="B21" s="9" t="s">
        <v>7</v>
      </c>
      <c r="C21" s="10" t="n">
        <f aca="false">訂閱與廣告!C48*C$4</f>
        <v>0</v>
      </c>
      <c r="D21" s="10" t="n">
        <f aca="false">訂閱與廣告!D48*D$4</f>
        <v>0.74295</v>
      </c>
      <c r="E21" s="10" t="n">
        <f aca="false">訂閱與廣告!E48*E$4</f>
        <v>1.85842695652174</v>
      </c>
      <c r="F21" s="10" t="n">
        <f aca="false">訂閱與廣告!F48*F$4</f>
        <v>2.91060782608696</v>
      </c>
      <c r="G21" s="10" t="n">
        <f aca="false">訂閱與廣告!G48*G$4</f>
        <v>4.15680652173913</v>
      </c>
      <c r="H21" s="10" t="n">
        <f aca="false">訂閱與廣告!H48*H$4</f>
        <v>5.57615706521739</v>
      </c>
    </row>
    <row r="22" customFormat="false" ht="15" hidden="false" customHeight="false" outlineLevel="0" collapsed="false">
      <c r="A22" s="12" t="s">
        <v>11</v>
      </c>
      <c r="B22" s="9" t="s">
        <v>7</v>
      </c>
      <c r="C22" s="13" t="n">
        <f aca="false">C20+C21</f>
        <v>13.07</v>
      </c>
      <c r="D22" s="13" t="n">
        <f aca="false">D20+D21</f>
        <v>32.9040311251901</v>
      </c>
      <c r="E22" s="13" t="n">
        <f aca="false">E20+E21</f>
        <v>52.5696018632109</v>
      </c>
      <c r="F22" s="13" t="n">
        <f aca="false">F20+F21</f>
        <v>74.8836412589141</v>
      </c>
      <c r="G22" s="13" t="n">
        <f aca="false">G20+G21</f>
        <v>97.168532926659</v>
      </c>
      <c r="H22" s="13" t="n">
        <f aca="false">H20+H21</f>
        <v>119.881298694689</v>
      </c>
    </row>
    <row r="23" customFormat="false" ht="17.15" hidden="false" customHeight="false" outlineLevel="0" collapsed="false">
      <c r="A23" s="9" t="s">
        <v>12</v>
      </c>
      <c r="B23" s="9" t="s">
        <v>7</v>
      </c>
      <c r="C23" s="10" t="n">
        <f aca="false">輸入!$C$17*C22</f>
        <v>2.614</v>
      </c>
      <c r="D23" s="10" t="n">
        <f aca="false">IF(D$3&lt;輸入!$C$19,輸入!$C$17*D22,IF(D$3&gt;輸入!$C$20,0,MIN(輸入!$C$17*D22,輸入!$C$18-C24)))</f>
        <v>6.58080622503801</v>
      </c>
      <c r="E23" s="10" t="n">
        <f aca="false">IF(E$3&lt;輸入!$C$19,輸入!$C$17*E22,IF(E$3&gt;輸入!$C$20,0,MIN(輸入!$C$17*E22,輸入!$C$18-D24)))</f>
        <v>10.5139203726422</v>
      </c>
      <c r="F23" s="10" t="n">
        <f aca="false">IF(F$3&lt;輸入!$C$19,輸入!$C$17*F22,IF(F$3&gt;輸入!$C$20,0,MIN(輸入!$C$17*F22,輸入!$C$18-E24)))</f>
        <v>14.9767282517828</v>
      </c>
      <c r="G23" s="10" t="n">
        <f aca="false">IF(G$3&lt;輸入!$C$19,輸入!$C$17*G22,IF(G$3&gt;輸入!$C$20,0,MIN(輸入!$C$17*G22,輸入!$C$18-F24)))</f>
        <v>5.928545150537</v>
      </c>
      <c r="H23" s="10" t="n">
        <f aca="false">IF(H$3&lt;輸入!$C$19,輸入!$C$17*H22,IF(H$3&gt;輸入!$C$20,0,MIN(輸入!$C$17*H22,輸入!$C$18-G24)))</f>
        <v>0</v>
      </c>
    </row>
    <row r="24" customFormat="false" ht="15" hidden="false" customHeight="false" outlineLevel="0" collapsed="false">
      <c r="A24" s="8" t="s">
        <v>792</v>
      </c>
      <c r="B24" s="9" t="s">
        <v>7</v>
      </c>
      <c r="C24" s="10" t="n">
        <f aca="false">0</f>
        <v>0</v>
      </c>
      <c r="D24" s="10" t="n">
        <f aca="false">C24+IF(D$3&gt;=輸入!$C$19,D23,0)</f>
        <v>6.58080622503801</v>
      </c>
      <c r="E24" s="10" t="n">
        <f aca="false">D24+IF(E$3&gt;=輸入!$C$19,E23,0)</f>
        <v>17.0947265976802</v>
      </c>
      <c r="F24" s="10" t="n">
        <f aca="false">E24+IF(F$3&gt;=輸入!$C$19,F23,0)</f>
        <v>32.071454849463</v>
      </c>
      <c r="G24" s="10" t="n">
        <f aca="false">F24+IF(G$3&gt;=輸入!$C$19,G23,0)</f>
        <v>38</v>
      </c>
      <c r="H24" s="10" t="n">
        <f aca="false">G24+IF(H$3&gt;=輸入!$C$19,H23,0)</f>
        <v>38</v>
      </c>
    </row>
    <row r="25" customFormat="false" ht="15" hidden="false" customHeight="false" outlineLevel="0" collapsed="false">
      <c r="A25" s="12" t="s">
        <v>793</v>
      </c>
      <c r="B25" s="9" t="s">
        <v>7</v>
      </c>
      <c r="C25" s="13" t="n">
        <f aca="false">C22-C23</f>
        <v>10.456</v>
      </c>
      <c r="D25" s="13" t="n">
        <f aca="false">D22-D23</f>
        <v>26.323224900152</v>
      </c>
      <c r="E25" s="13" t="n">
        <f aca="false">E22-E23</f>
        <v>42.0556814905687</v>
      </c>
      <c r="F25" s="13" t="n">
        <f aca="false">F22-F23</f>
        <v>59.9069130071312</v>
      </c>
      <c r="G25" s="13" t="n">
        <f aca="false">G22-G23</f>
        <v>91.239987776122</v>
      </c>
      <c r="H25" s="13" t="n">
        <f aca="false">H22-H23</f>
        <v>119.881298694689</v>
      </c>
    </row>
    <row r="26" customFormat="false" ht="15" hidden="false" customHeight="false" outlineLevel="0" collapsed="false">
      <c r="A26" s="6" t="s">
        <v>794</v>
      </c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false" outlineLevel="0" collapsed="false">
      <c r="A27" s="8" t="s">
        <v>795</v>
      </c>
      <c r="B27" s="9" t="s">
        <v>17</v>
      </c>
      <c r="D27" s="14" t="n">
        <f aca="false">D22/C22-1</f>
        <v>1.51752342197323</v>
      </c>
      <c r="E27" s="14" t="n">
        <f aca="false">E22/D22-1</f>
        <v>0.597664482603947</v>
      </c>
      <c r="F27" s="14" t="n">
        <f aca="false">F22/E22-1</f>
        <v>0.424466585342714</v>
      </c>
      <c r="G27" s="14" t="n">
        <f aca="false">G22/F22-1</f>
        <v>0.29759359044379</v>
      </c>
      <c r="H27" s="14" t="n">
        <f aca="false">H22/G22-1</f>
        <v>0.233746101581809</v>
      </c>
    </row>
    <row r="28" customFormat="false" ht="17.15" hidden="false" customHeight="false" outlineLevel="0" collapsed="false">
      <c r="A28" s="8" t="s">
        <v>796</v>
      </c>
      <c r="B28" s="9" t="s">
        <v>7</v>
      </c>
      <c r="C28" s="53" t="n">
        <f aca="false">C10+C15-C22</f>
        <v>0</v>
      </c>
      <c r="D28" s="53" t="n">
        <f aca="false">D10+D15-D22</f>
        <v>0</v>
      </c>
      <c r="E28" s="53" t="n">
        <f aca="false">E10+E15-E22</f>
        <v>0</v>
      </c>
      <c r="F28" s="53" t="n">
        <f aca="false">F10+F15-F22</f>
        <v>0</v>
      </c>
      <c r="G28" s="53" t="n">
        <f aca="false">G10+G15-G22</f>
        <v>0</v>
      </c>
      <c r="H28" s="53" t="n">
        <f aca="false">H10+H15-H22</f>
        <v>0</v>
      </c>
    </row>
    <row r="29" customFormat="false" ht="15" hidden="false" customHeight="false" outlineLevel="0" collapsed="false">
      <c r="A29" s="8" t="s">
        <v>797</v>
      </c>
      <c r="B29" s="9" t="s">
        <v>17</v>
      </c>
      <c r="C29" s="14" t="n">
        <f aca="false">C21/C22</f>
        <v>0</v>
      </c>
      <c r="D29" s="14" t="n">
        <f aca="false">D21/D22</f>
        <v>0.0225793003043699</v>
      </c>
      <c r="E29" s="14" t="n">
        <f aca="false">E21/E22</f>
        <v>0.0353517411327838</v>
      </c>
      <c r="F29" s="14" t="n">
        <f aca="false">F21/F22</f>
        <v>0.0388684067328321</v>
      </c>
      <c r="G29" s="14" t="n">
        <f aca="false">G21/G22</f>
        <v>0.0427793483809888</v>
      </c>
      <c r="H29" s="14" t="n">
        <f aca="false">H21/H22</f>
        <v>0.046513986134056</v>
      </c>
    </row>
    <row r="30" customFormat="false" ht="17.15" hidden="false" customHeight="false" outlineLevel="0" collapsed="false">
      <c r="A30" s="38" t="s">
        <v>798</v>
      </c>
      <c r="B30" s="38" t="s">
        <v>7</v>
      </c>
      <c r="D30" s="11" t="n">
        <f aca="false">D22-輸入!$C$10-輸入!$C$11</f>
        <v>20.5040311251901</v>
      </c>
    </row>
    <row r="31" customFormat="false" ht="17.15" hidden="false" customHeight="false" outlineLevel="0" collapsed="false">
      <c r="A31" s="38" t="s">
        <v>799</v>
      </c>
      <c r="D31" s="56" t="n">
        <f aca="false">D30/(輸入!$C$10+輸入!$C$11)</f>
        <v>1.65355089719275</v>
      </c>
    </row>
    <row r="32" customFormat="false" ht="17.15" hidden="false" customHeight="false" outlineLevel="0" collapsed="false">
      <c r="A32" s="38" t="s">
        <v>800</v>
      </c>
      <c r="B32" s="38" t="s">
        <v>801</v>
      </c>
      <c r="D32" s="40" t="n">
        <f aca="false">D30/6</f>
        <v>3.41733852086501</v>
      </c>
    </row>
    <row r="34" customFormat="false" ht="17.15" hidden="false" customHeight="false" outlineLevel="0" collapsed="false">
      <c r="A34" s="6" t="s">
        <v>802</v>
      </c>
      <c r="B34" s="7"/>
      <c r="C34" s="7"/>
      <c r="D34" s="7"/>
      <c r="E34" s="7"/>
      <c r="F34" s="7"/>
      <c r="G34" s="7"/>
      <c r="H34" s="7"/>
      <c r="I34" s="7"/>
      <c r="J34" s="7"/>
    </row>
    <row r="35" customFormat="false" ht="17.15" hidden="false" customHeight="false" outlineLevel="0" collapsed="false">
      <c r="A35" s="28" t="s">
        <v>803</v>
      </c>
      <c r="C35" s="12" t="s">
        <v>804</v>
      </c>
      <c r="D35" s="12" t="s">
        <v>805</v>
      </c>
      <c r="E35" s="12" t="s">
        <v>806</v>
      </c>
    </row>
    <row r="36" customFormat="false" ht="15" hidden="false" customHeight="false" outlineLevel="0" collapsed="false">
      <c r="A36" s="57" t="n">
        <v>-0.5</v>
      </c>
      <c r="C36" s="11" t="n">
        <f aca="false">H18+API!D24*(1+輸入!E$45)*(1+輸入!E$46)*(1+輸入!F$45)*(1+輸入!F$46)*(1+輸入!G$45)*(1+輸入!G$46)*(1+輸入!H$45)*(1+輸入!H$46)*(((API!H15*API!D12*(1+-0.15)^4+API!H16*API!D13*(1+-0.2)^4+API!H17*API!D14*(1+-0.2)^4)*(1-輸入!$C$43))/API!D18)^A36*((API!H15*API!D12*(1+-0.15)^4+API!H16*API!D13*(1+-0.2)^4+API!H17*API!D14*(1+-0.2)^4)*(1-輸入!$C$43))/1000</f>
        <v>93.2868927570424</v>
      </c>
      <c r="D36" s="11" t="n">
        <f aca="false">H18+API!D24*(1+輸入!E$45)*(1+輸入!E$46)*(1+輸入!F$45)*(1+輸入!F$46)*(1+輸入!G$45)*(1+輸入!G$46)*(1+輸入!H$45)*(1+輸入!H$46)*(((API!H15*API!D12*(1+-0.3)^4+API!H16*API!D13*(1+-0.4)^4+API!H17*API!D14*(1+-0.4)^4)*(1-輸入!$C$43))/API!D18)^A36*((API!H15*API!D12*(1+-0.3)^4+API!H16*API!D13*(1+-0.4)^4+API!H17*API!D14*(1+-0.4)^4)*(1-輸入!$C$43))/1000</f>
        <v>76.6616933836425</v>
      </c>
      <c r="E36" s="11" t="n">
        <f aca="false">H18+API!D24*(1+輸入!E$45)*(1+輸入!E$46)*(1+輸入!F$45)*(1+輸入!F$46)*(1+輸入!G$45)*(1+輸入!G$46)*(1+輸入!H$45)*(1+輸入!H$46)*(((API!H15*API!D12*(1+-0.45)^4+API!H16*API!D13*(1+-0.6)^4+API!H17*API!D14*(1+-0.6)^4)*(1-輸入!$C$43))/API!D18)^A36*((API!H15*API!D12*(1+-0.45)^4+API!H16*API!D13*(1+-0.6)^4+API!H17*API!D14*(1+-0.6)^4)*(1-輸入!$C$43))/1000</f>
        <v>64.4196067110902</v>
      </c>
    </row>
    <row r="37" customFormat="false" ht="15" hidden="false" customHeight="false" outlineLevel="0" collapsed="false">
      <c r="A37" s="57" t="n">
        <v>-1</v>
      </c>
      <c r="C37" s="11" t="n">
        <f aca="false">H18+API!D24*(1+輸入!E$45)*(1+輸入!E$46)*(1+輸入!F$45)*(1+輸入!F$46)*(1+輸入!G$45)*(1+輸入!G$46)*(1+輸入!H$45)*(1+輸入!H$46)*(((API!H15*API!D12*(1+-0.15)^4+API!H16*API!D13*(1+-0.2)^4+API!H17*API!D14*(1+-0.2)^4)*(1-輸入!$C$43))/API!D18)^A37*((API!H15*API!D12*(1+-0.15)^4+API!H16*API!D13*(1+-0.2)^4+API!H17*API!D14*(1+-0.2)^4)*(1-輸入!$C$43))/1000</f>
        <v>114.305141629472</v>
      </c>
      <c r="D37" s="11" t="n">
        <f aca="false">H18+API!D24*(1+輸入!E$45)*(1+輸入!E$46)*(1+輸入!F$45)*(1+輸入!F$46)*(1+輸入!G$45)*(1+輸入!G$46)*(1+輸入!H$45)*(1+輸入!H$46)*(((API!H15*API!D12*(1+-0.3)^4+API!H16*API!D13*(1+-0.4)^4+API!H17*API!D14*(1+-0.4)^4)*(1-輸入!$C$43))/API!D18)^A37*((API!H15*API!D12*(1+-0.3)^4+API!H16*API!D13*(1+-0.4)^4+API!H17*API!D14*(1+-0.4)^4)*(1-輸入!$C$43))/1000</f>
        <v>114.305141629472</v>
      </c>
      <c r="E37" s="11" t="n">
        <f aca="false">H18+API!D24*(1+輸入!E$45)*(1+輸入!E$46)*(1+輸入!F$45)*(1+輸入!F$46)*(1+輸入!G$45)*(1+輸入!G$46)*(1+輸入!H$45)*(1+輸入!H$46)*(((API!H15*API!D12*(1+-0.45)^4+API!H16*API!D13*(1+-0.6)^4+API!H17*API!D14*(1+-0.6)^4)*(1-輸入!$C$43))/API!D18)^A37*((API!H15*API!D12*(1+-0.45)^4+API!H16*API!D13*(1+-0.6)^4+API!H17*API!D14*(1+-0.6)^4)*(1-輸入!$C$43))/1000</f>
        <v>114.305141629472</v>
      </c>
    </row>
    <row r="38" customFormat="false" ht="15" hidden="false" customHeight="false" outlineLevel="0" collapsed="false">
      <c r="A38" s="57" t="n">
        <v>-1.5</v>
      </c>
      <c r="C38" s="11" t="n">
        <f aca="false">H18+API!D24*(1+輸入!E$45)*(1+輸入!E$46)*(1+輸入!F$45)*(1+輸入!F$46)*(1+輸入!G$45)*(1+輸入!G$46)*(1+輸入!H$45)*(1+輸入!H$46)*(((API!H15*API!D12*(1+-0.15)^4+API!H16*API!D13*(1+-0.2)^4+API!H17*API!D14*(1+-0.2)^4)*(1-輸入!$C$43))/API!D18)^A38*((API!H15*API!D12*(1+-0.15)^4+API!H16*API!D13*(1+-0.2)^4+API!H17*API!D14*(1+-0.2)^4)*(1-輸入!$C$43))/1000</f>
        <v>145.395116063899</v>
      </c>
      <c r="D38" s="11" t="n">
        <f aca="false">H18+API!D24*(1+輸入!E$45)*(1+輸入!E$46)*(1+輸入!F$45)*(1+輸入!F$46)*(1+輸入!G$45)*(1+輸入!G$46)*(1+輸入!H$45)*(1+輸入!H$46)*(((API!H15*API!D12*(1+-0.3)^4+API!H16*API!D13*(1+-0.4)^4+API!H17*API!D14*(1+-0.4)^4)*(1-輸入!$C$43))/API!D18)^A38*((API!H15*API!D12*(1+-0.3)^4+API!H16*API!D13*(1+-0.4)^4+API!H17*API!D14*(1+-0.4)^4)*(1-輸入!$C$43))/1000</f>
        <v>203.974717843687</v>
      </c>
      <c r="E38" s="11" t="n">
        <f aca="false">H18+API!D24*(1+輸入!E$45)*(1+輸入!E$46)*(1+輸入!F$45)*(1+輸入!F$46)*(1+輸入!G$45)*(1+輸入!G$46)*(1+輸入!H$45)*(1+輸入!H$46)*(((API!H15*API!D12*(1+-0.45)^4+API!H16*API!D13*(1+-0.6)^4+API!H17*API!D14*(1+-0.6)^4)*(1-輸入!$C$43))/API!D18)^A38*((API!H15*API!D12*(1+-0.45)^4+API!H16*API!D13*(1+-0.6)^4+API!H17*API!D14*(1+-0.6)^4)*(1-輸入!$C$43))/1000</f>
        <v>330.15276784642</v>
      </c>
    </row>
    <row r="39" customFormat="false" ht="17.15" hidden="false" customHeight="false" outlineLevel="0" collapsed="false">
      <c r="A39" s="18" t="s">
        <v>807</v>
      </c>
    </row>
    <row r="42" customFormat="false" ht="15" hidden="false" customHeight="false" outlineLevel="0" collapsed="false">
      <c r="A42" s="6" t="s">
        <v>808</v>
      </c>
      <c r="B42" s="7"/>
      <c r="C42" s="7"/>
      <c r="D42" s="7"/>
      <c r="E42" s="7"/>
      <c r="F42" s="7"/>
      <c r="G42" s="7"/>
      <c r="H42" s="7"/>
      <c r="I42" s="7"/>
      <c r="J42" s="7"/>
    </row>
    <row r="43" customFormat="false" ht="15" hidden="false" customHeight="false" outlineLevel="0" collapsed="false">
      <c r="A43" s="8" t="s">
        <v>31</v>
      </c>
      <c r="B43" s="9" t="s">
        <v>7</v>
      </c>
      <c r="C43" s="10" t="n">
        <f aca="false">算力MW!C44</f>
        <v>8.4</v>
      </c>
      <c r="D43" s="10" t="n">
        <f aca="false">算力MW!D44</f>
        <v>9.33627564672609</v>
      </c>
      <c r="E43" s="10" t="n">
        <f aca="false">算力MW!E44</f>
        <v>11.7328832829104</v>
      </c>
      <c r="F43" s="10" t="n">
        <f aca="false">算力MW!F44</f>
        <v>15.0607321709784</v>
      </c>
      <c r="G43" s="10" t="n">
        <f aca="false">算力MW!G44</f>
        <v>21.3275646809241</v>
      </c>
      <c r="H43" s="10" t="n">
        <f aca="false">算力MW!H44</f>
        <v>30.532793577328</v>
      </c>
    </row>
    <row r="44" customFormat="false" ht="15" hidden="false" customHeight="false" outlineLevel="0" collapsed="false">
      <c r="A44" s="12" t="s">
        <v>809</v>
      </c>
      <c r="B44" s="9" t="s">
        <v>7</v>
      </c>
      <c r="C44" s="13" t="n">
        <f aca="false">C22-C43</f>
        <v>4.67</v>
      </c>
      <c r="D44" s="13" t="n">
        <f aca="false">D22-D43</f>
        <v>23.567755478464</v>
      </c>
      <c r="E44" s="13" t="n">
        <f aca="false">E22-E43</f>
        <v>40.8367185803006</v>
      </c>
      <c r="F44" s="13" t="n">
        <f aca="false">F22-F43</f>
        <v>59.8229090879356</v>
      </c>
      <c r="G44" s="13" t="n">
        <f aca="false">G22-G43</f>
        <v>75.8409682457349</v>
      </c>
      <c r="H44" s="13" t="n">
        <f aca="false">H22-H43</f>
        <v>89.3485051173612</v>
      </c>
    </row>
    <row r="45" customFormat="false" ht="17.15" hidden="false" customHeight="false" outlineLevel="0" collapsed="false">
      <c r="A45" s="8" t="s">
        <v>32</v>
      </c>
      <c r="B45" s="9" t="s">
        <v>17</v>
      </c>
      <c r="C45" s="14" t="n">
        <f aca="false">C44/C22</f>
        <v>0.357306809487376</v>
      </c>
      <c r="D45" s="14" t="n">
        <f aca="false">D44/D22</f>
        <v>0.716257390737191</v>
      </c>
      <c r="E45" s="14" t="n">
        <f aca="false">E44/E22</f>
        <v>0.776812399807783</v>
      </c>
      <c r="F45" s="14" t="n">
        <f aca="false">F44/F22</f>
        <v>0.798878207338968</v>
      </c>
      <c r="G45" s="14" t="n">
        <f aca="false">G44/G22</f>
        <v>0.780509553468079</v>
      </c>
      <c r="H45" s="14" t="n">
        <f aca="false">H44/H22</f>
        <v>0.745308118031919</v>
      </c>
      <c r="J45" s="9" t="s">
        <v>810</v>
      </c>
    </row>
    <row r="46" customFormat="false" ht="15" hidden="false" customHeight="false" outlineLevel="0" collapsed="false">
      <c r="A46" s="8" t="s">
        <v>33</v>
      </c>
      <c r="B46" s="9" t="s">
        <v>7</v>
      </c>
      <c r="C46" s="10" t="n">
        <f aca="false">算力MW!C45</f>
        <v>12</v>
      </c>
      <c r="D46" s="10" t="n">
        <f aca="false">算力MW!D45</f>
        <v>20.5802957818453</v>
      </c>
      <c r="E46" s="10" t="n">
        <f aca="false">算力MW!E45</f>
        <v>92.6947711635182</v>
      </c>
      <c r="F46" s="10" t="n">
        <f aca="false">算力MW!F45</f>
        <v>111.815118230807</v>
      </c>
      <c r="G46" s="10" t="n">
        <f aca="false">算力MW!G45</f>
        <v>130.902151082469</v>
      </c>
      <c r="H46" s="10" t="n">
        <f aca="false">算力MW!H45</f>
        <v>141.892456953922</v>
      </c>
    </row>
    <row r="47" customFormat="false" ht="15" hidden="false" customHeight="false" outlineLevel="0" collapsed="false">
      <c r="A47" s="8" t="s">
        <v>655</v>
      </c>
      <c r="B47" s="9" t="s">
        <v>7</v>
      </c>
      <c r="C47" s="10" t="n">
        <f aca="false">算力MW!C46</f>
        <v>0</v>
      </c>
      <c r="D47" s="10" t="n">
        <f aca="false">算力MW!D46</f>
        <v>3.32406349206349</v>
      </c>
      <c r="E47" s="10" t="n">
        <f aca="false">算力MW!E46</f>
        <v>11.6030727162698</v>
      </c>
      <c r="F47" s="10" t="n">
        <f aca="false">算力MW!F46</f>
        <v>14.0973167113095</v>
      </c>
      <c r="G47" s="10" t="n">
        <f aca="false">算力MW!G46</f>
        <v>16.9144128625992</v>
      </c>
      <c r="H47" s="10" t="n">
        <f aca="false">算力MW!H46</f>
        <v>19.1583611701389</v>
      </c>
    </row>
    <row r="48" customFormat="false" ht="15" hidden="false" customHeight="false" outlineLevel="0" collapsed="false">
      <c r="A48" s="12" t="s">
        <v>811</v>
      </c>
      <c r="B48" s="9" t="s">
        <v>7</v>
      </c>
      <c r="C48" s="13" t="n">
        <f aca="false">C44-C46-C47</f>
        <v>-7.33</v>
      </c>
      <c r="D48" s="13" t="n">
        <f aca="false">D44-D46-D47</f>
        <v>-0.336603795444867</v>
      </c>
      <c r="E48" s="13" t="n">
        <f aca="false">E44-E46-E47</f>
        <v>-63.4611252994875</v>
      </c>
      <c r="F48" s="13" t="n">
        <f aca="false">F44-F46-F47</f>
        <v>-66.0895258541812</v>
      </c>
      <c r="G48" s="13" t="n">
        <f aca="false">G44-G46-G47</f>
        <v>-71.9755956993331</v>
      </c>
      <c r="H48" s="13" t="n">
        <f aca="false">H44-H46-H47</f>
        <v>-71.7023130066997</v>
      </c>
    </row>
    <row r="49" customFormat="false" ht="15" hidden="false" customHeight="false" outlineLevel="0" collapsed="false">
      <c r="A49" s="8" t="s">
        <v>812</v>
      </c>
      <c r="B49" s="9" t="s">
        <v>17</v>
      </c>
      <c r="C49" s="14" t="n">
        <f aca="false">C48/C22</f>
        <v>-0.560826319816373</v>
      </c>
      <c r="D49" s="14" t="n">
        <f aca="false">D48/D22</f>
        <v>-0.0102298649719905</v>
      </c>
      <c r="E49" s="14" t="n">
        <f aca="false">E48/E22</f>
        <v>-1.20718291655731</v>
      </c>
      <c r="F49" s="14" t="n">
        <f aca="false">F48/F22</f>
        <v>-0.882562930208926</v>
      </c>
      <c r="G49" s="14" t="n">
        <f aca="false">G48/G22</f>
        <v>-0.740729467981769</v>
      </c>
      <c r="H49" s="14" t="n">
        <f aca="false">H48/H22</f>
        <v>-0.598110912939886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70"/>
  </cols>
  <sheetData>
    <row r="1" customFormat="false" ht="20.1" hidden="false" customHeight="false" outlineLevel="0" collapsed="false">
      <c r="A1" s="37" t="s">
        <v>813</v>
      </c>
    </row>
    <row r="3" customFormat="false" ht="15" hidden="false" customHeight="false" outlineLevel="0" collapsed="false">
      <c r="A3" s="3" t="s">
        <v>1</v>
      </c>
      <c r="B3" s="3" t="s">
        <v>2</v>
      </c>
      <c r="C3" s="4" t="n">
        <v>2025</v>
      </c>
      <c r="D3" s="4" t="n">
        <v>2026</v>
      </c>
      <c r="E3" s="4" t="n">
        <v>2027</v>
      </c>
      <c r="F3" s="4" t="n">
        <v>2028</v>
      </c>
      <c r="G3" s="4" t="n">
        <v>2029</v>
      </c>
      <c r="H3" s="4" t="n">
        <v>2030</v>
      </c>
      <c r="I3" s="3"/>
      <c r="J3" s="3" t="s">
        <v>4</v>
      </c>
    </row>
    <row r="4" customFormat="false" ht="17.15" hidden="false" customHeight="false" outlineLevel="0" collapsed="false">
      <c r="A4" s="6" t="s">
        <v>814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17.15" hidden="false" customHeight="false" outlineLevel="0" collapsed="false">
      <c r="A5" s="8" t="s">
        <v>815</v>
      </c>
      <c r="B5" s="9" t="s">
        <v>816</v>
      </c>
      <c r="C5" s="58" t="n">
        <f aca="false">輸入!$C$76*1000000/(8760*3600)/輸入!$C$78</f>
        <v>0.0933694824961948</v>
      </c>
      <c r="J5" s="9" t="s">
        <v>817</v>
      </c>
    </row>
    <row r="6" customFormat="false" ht="17.15" hidden="false" customHeight="false" outlineLevel="0" collapsed="false">
      <c r="A6" s="9" t="s">
        <v>818</v>
      </c>
      <c r="B6" s="9" t="s">
        <v>819</v>
      </c>
      <c r="C6" s="51" t="n">
        <f aca="false">輸入!$C$83*輸入!$C$86</f>
        <v>144.84</v>
      </c>
      <c r="J6" s="9" t="s">
        <v>820</v>
      </c>
    </row>
    <row r="7" customFormat="false" ht="17.15" hidden="false" customHeight="false" outlineLevel="0" collapsed="false">
      <c r="A7" s="9" t="s">
        <v>821</v>
      </c>
      <c r="B7" s="9" t="s">
        <v>822</v>
      </c>
      <c r="C7" s="10" t="n">
        <f aca="false">輸入!$C$80*1000*輸入!$C$85/1000000</f>
        <v>22.36</v>
      </c>
    </row>
    <row r="8" customFormat="false" ht="17.15" hidden="false" customHeight="false" outlineLevel="0" collapsed="false">
      <c r="A8" s="9" t="s">
        <v>823</v>
      </c>
      <c r="B8" s="8" t="s">
        <v>205</v>
      </c>
      <c r="C8" s="51" t="n">
        <f aca="false">MIN(輸入!$C$79,(輸入!$C$74*1000*0.9-C6)/(C7/1000))</f>
        <v>256</v>
      </c>
      <c r="J8" s="8" t="s">
        <v>824</v>
      </c>
    </row>
    <row r="9" customFormat="false" ht="17.15" hidden="false" customHeight="false" outlineLevel="0" collapsed="false">
      <c r="A9" s="9" t="s">
        <v>825</v>
      </c>
      <c r="B9" s="9" t="s">
        <v>826</v>
      </c>
      <c r="C9" s="53" t="n">
        <f aca="false">(C6+C8*C7/1000)/(輸入!$C$72*1000)*1000</f>
        <v>0.0952937721518987</v>
      </c>
    </row>
    <row r="10" customFormat="false" ht="17.15" hidden="false" customHeight="false" outlineLevel="0" collapsed="false">
      <c r="A10" s="9" t="s">
        <v>827</v>
      </c>
      <c r="B10" s="9" t="s">
        <v>826</v>
      </c>
      <c r="C10" s="53" t="n">
        <f aca="false">2*輸入!$C$84*1000000000*C8*輸入!$C$77/(輸入!$C$73*1000000000000000*輸入!$C$75)*1000</f>
        <v>0.0155306666666667</v>
      </c>
    </row>
    <row r="11" customFormat="false" ht="17.15" hidden="false" customHeight="false" outlineLevel="0" collapsed="false">
      <c r="A11" s="28" t="s">
        <v>828</v>
      </c>
      <c r="B11" s="9" t="s">
        <v>99</v>
      </c>
      <c r="C11" s="59" t="n">
        <f aca="false">MAX(C9,C10)/1000/(C8*輸入!$C$77)*C5*1000000</f>
        <v>0.0118217609892287</v>
      </c>
    </row>
    <row r="12" customFormat="false" ht="17.15" hidden="false" customHeight="false" outlineLevel="0" collapsed="false">
      <c r="A12" s="28" t="s">
        <v>829</v>
      </c>
      <c r="B12" s="9" t="s">
        <v>99</v>
      </c>
      <c r="C12" s="59" t="n">
        <f aca="false">2*輸入!$C$84*1000000000*輸入!$C$81/(輸入!$C$73*1000000000000000*輸入!$C$75)*C5*1000000</f>
        <v>0.00211933904713585</v>
      </c>
    </row>
    <row r="13" customFormat="false" ht="17.15" hidden="false" customHeight="false" outlineLevel="0" collapsed="false">
      <c r="A13" s="9" t="s">
        <v>830</v>
      </c>
      <c r="B13" s="9" t="s">
        <v>99</v>
      </c>
      <c r="C13" s="48" t="n">
        <f aca="false">C12*輸入!$C$82</f>
        <v>0.000211933904713585</v>
      </c>
    </row>
    <row r="14" customFormat="false" ht="17.15" hidden="false" customHeight="false" outlineLevel="0" collapsed="false">
      <c r="A14" s="9" t="s">
        <v>831</v>
      </c>
      <c r="B14" s="9" t="s">
        <v>819</v>
      </c>
      <c r="C14" s="51" t="n">
        <f aca="false">輸入!$C$87*輸入!$C$90</f>
        <v>811.2</v>
      </c>
      <c r="J14" s="9" t="s">
        <v>820</v>
      </c>
    </row>
    <row r="15" customFormat="false" ht="17.15" hidden="false" customHeight="false" outlineLevel="0" collapsed="false">
      <c r="A15" s="9" t="s">
        <v>832</v>
      </c>
      <c r="B15" s="9" t="s">
        <v>822</v>
      </c>
      <c r="C15" s="10" t="n">
        <f aca="false">輸入!$C$80*1000*輸入!$C$89/1000000</f>
        <v>31.72</v>
      </c>
    </row>
    <row r="16" customFormat="false" ht="17.15" hidden="false" customHeight="false" outlineLevel="0" collapsed="false">
      <c r="A16" s="9" t="s">
        <v>833</v>
      </c>
      <c r="B16" s="8" t="s">
        <v>205</v>
      </c>
      <c r="C16" s="51" t="n">
        <f aca="false">MIN(輸入!$C$79,(輸入!$C$74*1000*0.9-C14)/(C15/1000))</f>
        <v>256</v>
      </c>
      <c r="J16" s="8" t="s">
        <v>824</v>
      </c>
    </row>
    <row r="17" customFormat="false" ht="17.15" hidden="false" customHeight="false" outlineLevel="0" collapsed="false">
      <c r="A17" s="9" t="s">
        <v>834</v>
      </c>
      <c r="B17" s="9" t="s">
        <v>826</v>
      </c>
      <c r="C17" s="53" t="n">
        <f aca="false">(C14+C16*C15/1000)/(輸入!$C$72*1000)*1000</f>
        <v>0.518557164556962</v>
      </c>
    </row>
    <row r="18" customFormat="false" ht="17.15" hidden="false" customHeight="false" outlineLevel="0" collapsed="false">
      <c r="A18" s="9" t="s">
        <v>835</v>
      </c>
      <c r="B18" s="9" t="s">
        <v>826</v>
      </c>
      <c r="C18" s="53" t="n">
        <f aca="false">2*輸入!$C$88*1000000000*C16*輸入!$C$77/(輸入!$C$73*1000000000000000*輸入!$C$75)*1000</f>
        <v>0.0585386666666667</v>
      </c>
    </row>
    <row r="19" customFormat="false" ht="17.15" hidden="false" customHeight="false" outlineLevel="0" collapsed="false">
      <c r="A19" s="28" t="s">
        <v>836</v>
      </c>
      <c r="B19" s="9" t="s">
        <v>99</v>
      </c>
      <c r="C19" s="59" t="n">
        <f aca="false">MAX(C17,C18)/1000/(C16*輸入!$C$77)*C5*1000000</f>
        <v>0.0643301101447939</v>
      </c>
    </row>
    <row r="20" customFormat="false" ht="17.15" hidden="false" customHeight="false" outlineLevel="0" collapsed="false">
      <c r="A20" s="28" t="s">
        <v>837</v>
      </c>
      <c r="B20" s="9" t="s">
        <v>99</v>
      </c>
      <c r="C20" s="59" t="n">
        <f aca="false">2*輸入!$C$88*1000000000*輸入!$C$81/(輸入!$C$73*1000000000000000*輸入!$C$75)*C5*1000000</f>
        <v>0.00798827794689667</v>
      </c>
    </row>
    <row r="21" customFormat="false" ht="17.15" hidden="false" customHeight="false" outlineLevel="0" collapsed="false">
      <c r="A21" s="9" t="s">
        <v>838</v>
      </c>
      <c r="B21" s="9" t="s">
        <v>99</v>
      </c>
      <c r="C21" s="48" t="n">
        <f aca="false">C20*輸入!$C$82</f>
        <v>0.000798827794689667</v>
      </c>
    </row>
    <row r="22" customFormat="false" ht="17.15" hidden="false" customHeight="false" outlineLevel="0" collapsed="false">
      <c r="A22" s="9" t="s">
        <v>839</v>
      </c>
      <c r="B22" s="9" t="s">
        <v>819</v>
      </c>
      <c r="C22" s="51" t="n">
        <f aca="false">輸入!$C$91*輸入!$C$94</f>
        <v>2120</v>
      </c>
      <c r="J22" s="9" t="s">
        <v>820</v>
      </c>
    </row>
    <row r="23" customFormat="false" ht="17.15" hidden="false" customHeight="false" outlineLevel="0" collapsed="false">
      <c r="A23" s="9" t="s">
        <v>840</v>
      </c>
      <c r="B23" s="9" t="s">
        <v>822</v>
      </c>
      <c r="C23" s="10" t="n">
        <f aca="false">輸入!$C$80*1000*輸入!$C$93/1000000</f>
        <v>1638.4</v>
      </c>
    </row>
    <row r="24" customFormat="false" ht="17.15" hidden="false" customHeight="false" outlineLevel="0" collapsed="false">
      <c r="A24" s="9" t="s">
        <v>841</v>
      </c>
      <c r="B24" s="8" t="s">
        <v>205</v>
      </c>
      <c r="C24" s="51" t="n">
        <f aca="false">MIN(輸入!$C$79,(輸入!$C$74*1000*0.9-C22)/(C23/1000))</f>
        <v>256</v>
      </c>
      <c r="J24" s="8" t="s">
        <v>824</v>
      </c>
    </row>
    <row r="25" customFormat="false" ht="17.15" hidden="false" customHeight="false" outlineLevel="0" collapsed="false">
      <c r="A25" s="9" t="s">
        <v>842</v>
      </c>
      <c r="B25" s="9" t="s">
        <v>826</v>
      </c>
      <c r="C25" s="53" t="n">
        <f aca="false">(C22+C24*C23/1000)/(輸入!$C$72*1000)*1000</f>
        <v>1.60723443037975</v>
      </c>
    </row>
    <row r="26" customFormat="false" ht="17.15" hidden="false" customHeight="false" outlineLevel="0" collapsed="false">
      <c r="A26" s="9" t="s">
        <v>843</v>
      </c>
      <c r="B26" s="9" t="s">
        <v>826</v>
      </c>
      <c r="C26" s="53" t="n">
        <f aca="false">2*輸入!$C$92*1000000000*C24*輸入!$C$77/(輸入!$C$73*1000000000000000*輸入!$C$75)*1000</f>
        <v>0.21504</v>
      </c>
    </row>
    <row r="27" customFormat="false" ht="17.15" hidden="false" customHeight="false" outlineLevel="0" collapsed="false">
      <c r="A27" s="28" t="s">
        <v>844</v>
      </c>
      <c r="B27" s="9" t="s">
        <v>99</v>
      </c>
      <c r="C27" s="59" t="n">
        <f aca="false">MAX(C25,C26)/1000/(C24*輸入!$C$77)*C5*1000000</f>
        <v>0.199387020374447</v>
      </c>
    </row>
    <row r="28" customFormat="false" ht="17.15" hidden="false" customHeight="false" outlineLevel="0" collapsed="false">
      <c r="A28" s="28" t="s">
        <v>845</v>
      </c>
      <c r="B28" s="9" t="s">
        <v>99</v>
      </c>
      <c r="C28" s="59" t="n">
        <f aca="false">2*輸入!$C$92*1000000000*輸入!$C$81/(輸入!$C$73*1000000000000000*輸入!$C$75)*C5*1000000</f>
        <v>0.0293446944988041</v>
      </c>
    </row>
    <row r="29" customFormat="false" ht="17.15" hidden="false" customHeight="false" outlineLevel="0" collapsed="false">
      <c r="A29" s="9" t="s">
        <v>846</v>
      </c>
      <c r="B29" s="9" t="s">
        <v>99</v>
      </c>
      <c r="C29" s="48" t="n">
        <f aca="false">C28*輸入!$C$82</f>
        <v>0.00293446944988041</v>
      </c>
    </row>
    <row r="30" customFormat="false" ht="17.15" hidden="false" customHeight="false" outlineLevel="0" collapsed="false">
      <c r="A30" s="6" t="s">
        <v>847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17.15" hidden="false" customHeight="false" outlineLevel="0" collapsed="false">
      <c r="A31" s="9" t="s">
        <v>848</v>
      </c>
      <c r="B31" s="9" t="s">
        <v>26</v>
      </c>
      <c r="C31" s="15" t="n">
        <f aca="false">C11/C11</f>
        <v>1</v>
      </c>
    </row>
    <row r="32" customFormat="false" ht="17.15" hidden="false" customHeight="false" outlineLevel="0" collapsed="false">
      <c r="A32" s="9" t="s">
        <v>849</v>
      </c>
      <c r="B32" s="9" t="s">
        <v>26</v>
      </c>
      <c r="C32" s="15" t="n">
        <f aca="false">C12/C12</f>
        <v>1</v>
      </c>
    </row>
    <row r="33" customFormat="false" ht="17.15" hidden="false" customHeight="false" outlineLevel="0" collapsed="false">
      <c r="A33" s="9" t="s">
        <v>850</v>
      </c>
      <c r="B33" s="9" t="s">
        <v>26</v>
      </c>
      <c r="C33" s="15" t="n">
        <f aca="false">C11/C12</f>
        <v>5.57804142060471</v>
      </c>
    </row>
    <row r="34" customFormat="false" ht="17.15" hidden="false" customHeight="false" outlineLevel="0" collapsed="false">
      <c r="A34" s="9" t="s">
        <v>851</v>
      </c>
      <c r="B34" s="9" t="s">
        <v>26</v>
      </c>
      <c r="C34" s="15" t="n">
        <f aca="false">C19/C11</f>
        <v>5.44166898682927</v>
      </c>
    </row>
    <row r="35" customFormat="false" ht="17.15" hidden="false" customHeight="false" outlineLevel="0" collapsed="false">
      <c r="A35" s="9" t="s">
        <v>852</v>
      </c>
      <c r="B35" s="9" t="s">
        <v>26</v>
      </c>
      <c r="C35" s="15" t="n">
        <f aca="false">C20/C12</f>
        <v>3.76923076923077</v>
      </c>
    </row>
    <row r="36" customFormat="false" ht="17.15" hidden="false" customHeight="false" outlineLevel="0" collapsed="false">
      <c r="A36" s="9" t="s">
        <v>853</v>
      </c>
      <c r="B36" s="9" t="s">
        <v>26</v>
      </c>
      <c r="C36" s="15" t="n">
        <f aca="false">C19/C20</f>
        <v>8.05306357295507</v>
      </c>
    </row>
    <row r="37" customFormat="false" ht="17.15" hidden="false" customHeight="false" outlineLevel="0" collapsed="false">
      <c r="A37" s="9" t="s">
        <v>854</v>
      </c>
      <c r="B37" s="9" t="s">
        <v>26</v>
      </c>
      <c r="C37" s="15" t="n">
        <f aca="false">C27/C11</f>
        <v>16.8661014679722</v>
      </c>
    </row>
    <row r="38" customFormat="false" ht="17.15" hidden="false" customHeight="false" outlineLevel="0" collapsed="false">
      <c r="A38" s="9" t="s">
        <v>855</v>
      </c>
      <c r="B38" s="9" t="s">
        <v>26</v>
      </c>
      <c r="C38" s="15" t="n">
        <f aca="false">C28/C12</f>
        <v>13.8461538461538</v>
      </c>
    </row>
    <row r="39" customFormat="false" ht="17.15" hidden="false" customHeight="false" outlineLevel="0" collapsed="false">
      <c r="A39" s="9" t="s">
        <v>856</v>
      </c>
      <c r="B39" s="9" t="s">
        <v>26</v>
      </c>
      <c r="C39" s="15" t="n">
        <f aca="false">C27/C28</f>
        <v>6.79465313167845</v>
      </c>
    </row>
    <row r="40" customFormat="false" ht="17.15" hidden="false" customHeight="false" outlineLevel="0" collapsed="false">
      <c r="A40" s="9" t="s">
        <v>857</v>
      </c>
      <c r="B40" s="9" t="s">
        <v>26</v>
      </c>
      <c r="C40" s="15" t="n">
        <f aca="false">API!D10/API!D10</f>
        <v>1</v>
      </c>
      <c r="J40" s="8" t="s">
        <v>858</v>
      </c>
    </row>
    <row r="41" customFormat="false" ht="17.15" hidden="false" customHeight="false" outlineLevel="0" collapsed="false">
      <c r="A41" s="9" t="s">
        <v>859</v>
      </c>
      <c r="B41" s="9" t="s">
        <v>26</v>
      </c>
      <c r="C41" s="15" t="n">
        <f aca="false">API!D8/API!D10</f>
        <v>3.45953002610966</v>
      </c>
      <c r="J41" s="8" t="s">
        <v>858</v>
      </c>
    </row>
    <row r="42" customFormat="false" ht="17.15" hidden="false" customHeight="false" outlineLevel="0" collapsed="false">
      <c r="A42" s="9" t="s">
        <v>860</v>
      </c>
      <c r="B42" s="9" t="s">
        <v>26</v>
      </c>
      <c r="C42" s="15" t="n">
        <f aca="false">API!D6/API!D10</f>
        <v>9.34725848563969</v>
      </c>
      <c r="J42" s="8" t="s">
        <v>858</v>
      </c>
    </row>
    <row r="43" customFormat="false" ht="17.15" hidden="false" customHeight="false" outlineLevel="0" collapsed="false">
      <c r="A43" s="6" t="s">
        <v>861</v>
      </c>
      <c r="B43" s="7"/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false" outlineLevel="0" collapsed="false">
      <c r="A44" s="9" t="s">
        <v>862</v>
      </c>
      <c r="B44" s="9" t="s">
        <v>863</v>
      </c>
      <c r="C44" s="60" t="n">
        <f aca="false">(輸入!$C$96*((1-輸入!$C$99)*((1-輸入!$C$100)*$C$12+輸入!$C$100*$C$13)+輸入!$C$99*$C$11)+輸入!$C$97*((1-輸入!$C$99)*((1-輸入!$C$100)*$C$20+輸入!$C$100*$C$21)+輸入!$C$99*$C$19)+輸入!$C$98*((1-輸入!$C$99)*((1-輸入!$C$100)*$C$28+輸入!$C$100*$C$29)+輸入!$C$99*$C$27))/1000</f>
        <v>5.56714078601003E-006</v>
      </c>
      <c r="D44" s="60" t="n">
        <f aca="false">(輸入!$C$96*((1-輸入!$C$99)*((1-輸入!$C$100)*$C$12+輸入!$C$100*$C$13)+輸入!$C$99*$C$11)+輸入!$C$97*((1-輸入!$C$99)*((1-輸入!$C$100)*$C$20+輸入!$C$100*$C$21)+輸入!$C$99*$C$19)+輸入!$C$98*((1-輸入!$C$99)*((1-輸入!$C$100)*$C$28+輸入!$C$100*$C$29)+輸入!$C$99*$C$27))/1000</f>
        <v>5.56714078601003E-006</v>
      </c>
      <c r="E44" s="60" t="n">
        <f aca="false">(輸入!$C$96*((1-輸入!$C$99)*((1-輸入!$C$100)*$C$12+輸入!$C$100*$C$13)+輸入!$C$99*$C$11)+輸入!$C$97*((1-輸入!$C$99)*((1-輸入!$C$100)*$C$20+輸入!$C$100*$C$21)+輸入!$C$99*$C$19)+輸入!$C$98*((1-輸入!$C$99)*((1-輸入!$C$100)*$C$28+輸入!$C$100*$C$29)+輸入!$C$99*$C$27))/1000</f>
        <v>5.56714078601003E-006</v>
      </c>
      <c r="F44" s="60" t="n">
        <f aca="false">(輸入!$C$96*((1-輸入!$C$99)*((1-輸入!$C$100)*$C$12+輸入!$C$100*$C$13)+輸入!$C$99*$C$11)+輸入!$C$97*((1-輸入!$C$99)*((1-輸入!$C$100)*$C$20+輸入!$C$100*$C$21)+輸入!$C$99*$C$19)+輸入!$C$98*((1-輸入!$C$99)*((1-輸入!$C$100)*$C$28+輸入!$C$100*$C$29)+輸入!$C$99*$C$27))/1000</f>
        <v>5.56714078601003E-006</v>
      </c>
      <c r="G44" s="60" t="n">
        <f aca="false">(輸入!$C$96*((1-輸入!$C$99)*((1-輸入!$C$100)*$C$12+輸入!$C$100*$C$13)+輸入!$C$99*$C$11)+輸入!$C$97*((1-輸入!$C$99)*((1-輸入!$C$100)*$C$20+輸入!$C$100*$C$21)+輸入!$C$99*$C$19)+輸入!$C$98*((1-輸入!$C$99)*((1-輸入!$C$100)*$C$28+輸入!$C$100*$C$29)+輸入!$C$99*$C$27))/1000</f>
        <v>5.56714078601003E-006</v>
      </c>
      <c r="H44" s="60" t="n">
        <f aca="false">(輸入!$C$96*((1-輸入!$C$99)*((1-輸入!$C$100)*$C$12+輸入!$C$100*$C$13)+輸入!$C$99*$C$11)+輸入!$C$97*((1-輸入!$C$99)*((1-輸入!$C$100)*$C$20+輸入!$C$100*$C$21)+輸入!$C$99*$C$19)+輸入!$C$98*((1-輸入!$C$99)*((1-輸入!$C$100)*$C$28+輸入!$C$100*$C$29)+輸入!$C$99*$C$27))/1000</f>
        <v>5.56714078601003E-006</v>
      </c>
    </row>
    <row r="45" customFormat="false" ht="15" hidden="false" customHeight="false" outlineLevel="0" collapsed="false">
      <c r="A45" s="9" t="s">
        <v>864</v>
      </c>
      <c r="B45" s="9" t="s">
        <v>863</v>
      </c>
      <c r="C45" s="60" t="n">
        <f aca="false">(輸入!$C$101*((1-輸入!$C$104)*((1-輸入!$C$105)*$C$12+輸入!$C$105*$C$13)+輸入!$C$104*$C$11)+輸入!$C$102*((1-輸入!$C$104)*((1-輸入!$C$105)*$C$20+輸入!$C$105*$C$21)+輸入!$C$104*$C$19)+輸入!$C$103*((1-輸入!$C$104)*((1-輸入!$C$105)*$C$28+輸入!$C$105*$C$29)+輸入!$C$104*$C$27))/1000</f>
        <v>6.36434968404886E-006</v>
      </c>
      <c r="D45" s="60" t="n">
        <f aca="false">(輸入!$C$101*((1-輸入!$C$104)*((1-輸入!$C$105)*$C$12+輸入!$C$105*$C$13)+輸入!$C$104*$C$11)+輸入!$C$102*((1-輸入!$C$104)*((1-輸入!$C$105)*$C$20+輸入!$C$105*$C$21)+輸入!$C$104*$C$19)+輸入!$C$103*((1-輸入!$C$104)*((1-輸入!$C$105)*$C$28+輸入!$C$105*$C$29)+輸入!$C$104*$C$27))/1000</f>
        <v>6.36434968404886E-006</v>
      </c>
      <c r="E45" s="60" t="n">
        <f aca="false">(輸入!$C$101*((1-輸入!$C$104)*((1-輸入!$C$105)*$C$12+輸入!$C$105*$C$13)+輸入!$C$104*$C$11)+輸入!$C$102*((1-輸入!$C$104)*((1-輸入!$C$105)*$C$20+輸入!$C$105*$C$21)+輸入!$C$104*$C$19)+輸入!$C$103*((1-輸入!$C$104)*((1-輸入!$C$105)*$C$28+輸入!$C$105*$C$29)+輸入!$C$104*$C$27))/1000</f>
        <v>6.36434968404886E-006</v>
      </c>
      <c r="F45" s="60" t="n">
        <f aca="false">(輸入!$C$101*((1-輸入!$C$104)*((1-輸入!$C$105)*$C$12+輸入!$C$105*$C$13)+輸入!$C$104*$C$11)+輸入!$C$102*((1-輸入!$C$104)*((1-輸入!$C$105)*$C$20+輸入!$C$105*$C$21)+輸入!$C$104*$C$19)+輸入!$C$103*((1-輸入!$C$104)*((1-輸入!$C$105)*$C$28+輸入!$C$105*$C$29)+輸入!$C$104*$C$27))/1000</f>
        <v>6.36434968404886E-006</v>
      </c>
      <c r="G45" s="60" t="n">
        <f aca="false">(輸入!$C$101*((1-輸入!$C$104)*((1-輸入!$C$105)*$C$12+輸入!$C$105*$C$13)+輸入!$C$104*$C$11)+輸入!$C$102*((1-輸入!$C$104)*((1-輸入!$C$105)*$C$20+輸入!$C$105*$C$21)+輸入!$C$104*$C$19)+輸入!$C$103*((1-輸入!$C$104)*((1-輸入!$C$105)*$C$28+輸入!$C$105*$C$29)+輸入!$C$104*$C$27))/1000</f>
        <v>6.36434968404886E-006</v>
      </c>
      <c r="H45" s="60" t="n">
        <f aca="false">(輸入!$C$101*((1-輸入!$C$104)*((1-輸入!$C$105)*$C$12+輸入!$C$105*$C$13)+輸入!$C$104*$C$11)+輸入!$C$102*((1-輸入!$C$104)*((1-輸入!$C$105)*$C$20+輸入!$C$105*$C$21)+輸入!$C$104*$C$19)+輸入!$C$103*((1-輸入!$C$104)*((1-輸入!$C$105)*$C$28+輸入!$C$105*$C$29)+輸入!$C$104*$C$27))/1000</f>
        <v>6.36434968404886E-006</v>
      </c>
    </row>
    <row r="46" customFormat="false" ht="15" hidden="false" customHeight="false" outlineLevel="0" collapsed="false">
      <c r="A46" s="9" t="s">
        <v>865</v>
      </c>
      <c r="B46" s="9" t="s">
        <v>863</v>
      </c>
      <c r="C46" s="60" t="n">
        <f aca="false">(輸入!$C$106*((1-輸入!$C$109)*((1-輸入!$C$110)*$C$12+輸入!$C$110*$C$13)+輸入!$C$109*$C$11)+輸入!$C$107*((1-輸入!$C$109)*((1-輸入!$C$110)*$C$20+輸入!$C$110*$C$21)+輸入!$C$109*$C$19)+輸入!$C$108*((1-輸入!$C$109)*((1-輸入!$C$110)*$C$28+輸入!$C$110*$C$29)+輸入!$C$109*$C$27))/1000</f>
        <v>2.33926635333915E-005</v>
      </c>
      <c r="D46" s="60" t="n">
        <f aca="false">(輸入!$C$106*((1-輸入!$C$109)*((1-輸入!$C$110)*$C$12+輸入!$C$110*$C$13)+輸入!$C$109*$C$11)+輸入!$C$107*((1-輸入!$C$109)*((1-輸入!$C$110)*$C$20+輸入!$C$110*$C$21)+輸入!$C$109*$C$19)+輸入!$C$108*((1-輸入!$C$109)*((1-輸入!$C$110)*$C$28+輸入!$C$110*$C$29)+輸入!$C$109*$C$27))/1000</f>
        <v>2.33926635333915E-005</v>
      </c>
      <c r="E46" s="60" t="n">
        <f aca="false">(輸入!$C$106*((1-輸入!$C$109)*((1-輸入!$C$110)*$C$12+輸入!$C$110*$C$13)+輸入!$C$109*$C$11)+輸入!$C$107*((1-輸入!$C$109)*((1-輸入!$C$110)*$C$20+輸入!$C$110*$C$21)+輸入!$C$109*$C$19)+輸入!$C$108*((1-輸入!$C$109)*((1-輸入!$C$110)*$C$28+輸入!$C$110*$C$29)+輸入!$C$109*$C$27))/1000</f>
        <v>2.33926635333915E-005</v>
      </c>
      <c r="F46" s="60" t="n">
        <f aca="false">(輸入!$C$106*((1-輸入!$C$109)*((1-輸入!$C$110)*$C$12+輸入!$C$110*$C$13)+輸入!$C$109*$C$11)+輸入!$C$107*((1-輸入!$C$109)*((1-輸入!$C$110)*$C$20+輸入!$C$110*$C$21)+輸入!$C$109*$C$19)+輸入!$C$108*((1-輸入!$C$109)*((1-輸入!$C$110)*$C$28+輸入!$C$110*$C$29)+輸入!$C$109*$C$27))/1000</f>
        <v>2.33926635333915E-005</v>
      </c>
      <c r="G46" s="60" t="n">
        <f aca="false">(輸入!$C$106*((1-輸入!$C$109)*((1-輸入!$C$110)*$C$12+輸入!$C$110*$C$13)+輸入!$C$109*$C$11)+輸入!$C$107*((1-輸入!$C$109)*((1-輸入!$C$110)*$C$20+輸入!$C$110*$C$21)+輸入!$C$109*$C$19)+輸入!$C$108*((1-輸入!$C$109)*((1-輸入!$C$110)*$C$28+輸入!$C$110*$C$29)+輸入!$C$109*$C$27))/1000</f>
        <v>2.33926635333915E-005</v>
      </c>
      <c r="H46" s="60" t="n">
        <f aca="false">(輸入!$C$106*((1-輸入!$C$109)*((1-輸入!$C$110)*$C$12+輸入!$C$110*$C$13)+輸入!$C$109*$C$11)+輸入!$C$107*((1-輸入!$C$109)*((1-輸入!$C$110)*$C$20+輸入!$C$110*$C$21)+輸入!$C$109*$C$19)+輸入!$C$108*((1-輸入!$C$109)*((1-輸入!$C$110)*$C$28+輸入!$C$110*$C$29)+輸入!$C$109*$C$27))/1000</f>
        <v>2.33926635333915E-005</v>
      </c>
    </row>
    <row r="47" customFormat="false" ht="15" hidden="false" customHeight="false" outlineLevel="0" collapsed="false">
      <c r="A47" s="9" t="s">
        <v>866</v>
      </c>
      <c r="B47" s="9" t="s">
        <v>863</v>
      </c>
      <c r="C47" s="60" t="n">
        <f aca="false">(輸入!$C$111*((1-輸入!$C$114)*((1-輸入!$C$115)*$C$12+輸入!$C$115*$C$13)+輸入!$C$114*$C$11)+輸入!$C$112*((1-輸入!$C$114)*((1-輸入!$C$115)*$C$20+輸入!$C$115*$C$21)+輸入!$C$114*$C$19)+輸入!$C$113*((1-輸入!$C$114)*((1-輸入!$C$115)*$C$28+輸入!$C$115*$C$29)+輸入!$C$114*$C$27))/1000</f>
        <v>6.02181283164164E-005</v>
      </c>
      <c r="D47" s="60" t="n">
        <f aca="false">(輸入!$C$111*((1-輸入!$C$114)*((1-輸入!$C$115)*$C$12+輸入!$C$115*$C$13)+輸入!$C$114*$C$11)+輸入!$C$112*((1-輸入!$C$114)*((1-輸入!$C$115)*$C$20+輸入!$C$115*$C$21)+輸入!$C$114*$C$19)+輸入!$C$113*((1-輸入!$C$114)*((1-輸入!$C$115)*$C$28+輸入!$C$115*$C$29)+輸入!$C$114*$C$27))/1000</f>
        <v>6.02181283164164E-005</v>
      </c>
      <c r="E47" s="60" t="n">
        <f aca="false">(輸入!$C$111*((1-輸入!$C$114)*((1-輸入!$C$115)*$C$12+輸入!$C$115*$C$13)+輸入!$C$114*$C$11)+輸入!$C$112*((1-輸入!$C$114)*((1-輸入!$C$115)*$C$20+輸入!$C$115*$C$21)+輸入!$C$114*$C$19)+輸入!$C$113*((1-輸入!$C$114)*((1-輸入!$C$115)*$C$28+輸入!$C$115*$C$29)+輸入!$C$114*$C$27))/1000</f>
        <v>6.02181283164164E-005</v>
      </c>
      <c r="F47" s="60" t="n">
        <f aca="false">(輸入!$C$111*((1-輸入!$C$114)*((1-輸入!$C$115)*$C$12+輸入!$C$115*$C$13)+輸入!$C$114*$C$11)+輸入!$C$112*((1-輸入!$C$114)*((1-輸入!$C$115)*$C$20+輸入!$C$115*$C$21)+輸入!$C$114*$C$19)+輸入!$C$113*((1-輸入!$C$114)*((1-輸入!$C$115)*$C$28+輸入!$C$115*$C$29)+輸入!$C$114*$C$27))/1000</f>
        <v>6.02181283164164E-005</v>
      </c>
      <c r="G47" s="60" t="n">
        <f aca="false">(輸入!$C$111*((1-輸入!$C$114)*((1-輸入!$C$115)*$C$12+輸入!$C$115*$C$13)+輸入!$C$114*$C$11)+輸入!$C$112*((1-輸入!$C$114)*((1-輸入!$C$115)*$C$20+輸入!$C$115*$C$21)+輸入!$C$114*$C$19)+輸入!$C$113*((1-輸入!$C$114)*((1-輸入!$C$115)*$C$28+輸入!$C$115*$C$29)+輸入!$C$114*$C$27))/1000</f>
        <v>6.02181283164164E-005</v>
      </c>
      <c r="H47" s="60" t="n">
        <f aca="false">(輸入!$C$111*((1-輸入!$C$114)*((1-輸入!$C$115)*$C$12+輸入!$C$115*$C$13)+輸入!$C$114*$C$11)+輸入!$C$112*((1-輸入!$C$114)*((1-輸入!$C$115)*$C$20+輸入!$C$115*$C$21)+輸入!$C$114*$C$19)+輸入!$C$113*((1-輸入!$C$114)*((1-輸入!$C$115)*$C$28+輸入!$C$115*$C$29)+輸入!$C$114*$C$27))/1000</f>
        <v>6.02181283164164E-005</v>
      </c>
    </row>
    <row r="48" customFormat="false" ht="15" hidden="false" customHeight="false" outlineLevel="0" collapsed="false">
      <c r="A48" s="8" t="s">
        <v>867</v>
      </c>
      <c r="B48" s="9" t="s">
        <v>863</v>
      </c>
      <c r="C48" s="60" t="n">
        <f aca="false">(輸入!$C$116*((1-輸入!$C$119)*((1-輸入!$C$120)*$C$12+輸入!$C$120*$C$13)+輸入!$C$119*$C$11)+輸入!$C$117*((1-輸入!$C$119)*((1-輸入!$C$120)*$C$20+輸入!$C$120*$C$21)+輸入!$C$119*$C$19)+輸入!$C$118*((1-輸入!$C$119)*((1-輸入!$C$120)*$C$28+輸入!$C$120*$C$29)+輸入!$C$119*$C$27))/1000</f>
        <v>2.17603784829355E-005</v>
      </c>
      <c r="D48" s="60" t="n">
        <f aca="false">(輸入!$C$116*((1-輸入!$C$119)*((1-輸入!$C$120)*$C$12+輸入!$C$120*$C$13)+輸入!$C$119*$C$11)+輸入!$C$117*((1-輸入!$C$119)*((1-輸入!$C$120)*$C$20+輸入!$C$120*$C$21)+輸入!$C$119*$C$19)+輸入!$C$118*((1-輸入!$C$119)*((1-輸入!$C$120)*$C$28+輸入!$C$120*$C$29)+輸入!$C$119*$C$27))/1000</f>
        <v>2.17603784829355E-005</v>
      </c>
      <c r="E48" s="60" t="n">
        <f aca="false">(輸入!$C$116*((1-輸入!$C$119)*((1-輸入!$C$120)*$C$12+輸入!$C$120*$C$13)+輸入!$C$119*$C$11)+輸入!$C$117*((1-輸入!$C$119)*((1-輸入!$C$120)*$C$20+輸入!$C$120*$C$21)+輸入!$C$119*$C$19)+輸入!$C$118*((1-輸入!$C$119)*((1-輸入!$C$120)*$C$28+輸入!$C$120*$C$29)+輸入!$C$119*$C$27))/1000</f>
        <v>2.17603784829355E-005</v>
      </c>
      <c r="F48" s="60" t="n">
        <f aca="false">(輸入!$C$116*((1-輸入!$C$119)*((1-輸入!$C$120)*$C$12+輸入!$C$120*$C$13)+輸入!$C$119*$C$11)+輸入!$C$117*((1-輸入!$C$119)*((1-輸入!$C$120)*$C$20+輸入!$C$120*$C$21)+輸入!$C$119*$C$19)+輸入!$C$118*((1-輸入!$C$119)*((1-輸入!$C$120)*$C$28+輸入!$C$120*$C$29)+輸入!$C$119*$C$27))/1000</f>
        <v>2.17603784829355E-005</v>
      </c>
      <c r="G48" s="60" t="n">
        <f aca="false">(輸入!$C$116*((1-輸入!$C$119)*((1-輸入!$C$120)*$C$12+輸入!$C$120*$C$13)+輸入!$C$119*$C$11)+輸入!$C$117*((1-輸入!$C$119)*((1-輸入!$C$120)*$C$20+輸入!$C$120*$C$21)+輸入!$C$119*$C$19)+輸入!$C$118*((1-輸入!$C$119)*((1-輸入!$C$120)*$C$28+輸入!$C$120*$C$29)+輸入!$C$119*$C$27))/1000</f>
        <v>2.17603784829355E-005</v>
      </c>
      <c r="H48" s="60" t="n">
        <f aca="false">(輸入!$C$116*((1-輸入!$C$119)*((1-輸入!$C$120)*$C$12+輸入!$C$120*$C$13)+輸入!$C$119*$C$11)+輸入!$C$117*((1-輸入!$C$119)*((1-輸入!$C$120)*$C$20+輸入!$C$120*$C$21)+輸入!$C$119*$C$19)+輸入!$C$118*((1-輸入!$C$119)*((1-輸入!$C$120)*$C$28+輸入!$C$120*$C$29)+輸入!$C$119*$C$27))/1000</f>
        <v>2.17603784829355E-005</v>
      </c>
    </row>
    <row r="49" customFormat="false" ht="17.15" hidden="false" customHeight="false" outlineLevel="0" collapsed="false">
      <c r="A49" s="9" t="s">
        <v>868</v>
      </c>
      <c r="B49" s="9" t="s">
        <v>863</v>
      </c>
      <c r="C49" s="60" t="n">
        <f aca="false">((1-輸入!$C$40)*((1-輸入!$C$41)*$C$28+輸入!$C$41*$C$29)+輸入!$C$40*$C$27)/1000</f>
        <v>5.17326606524062E-005</v>
      </c>
      <c r="D49" s="60" t="n">
        <f aca="false">((1-輸入!$C$40)*((1-輸入!$C$41)*$C$28+輸入!$C$41*$C$29)+輸入!$C$40*$C$27)/1000</f>
        <v>5.17326606524062E-005</v>
      </c>
      <c r="E49" s="60" t="n">
        <f aca="false">((1-輸入!$C$40)*((1-輸入!$C$41)*$C$28+輸入!$C$41*$C$29)+輸入!$C$40*$C$27)/1000</f>
        <v>5.17326606524062E-005</v>
      </c>
      <c r="F49" s="60" t="n">
        <f aca="false">((1-輸入!$C$40)*((1-輸入!$C$41)*$C$28+輸入!$C$41*$C$29)+輸入!$C$40*$C$27)/1000</f>
        <v>5.17326606524062E-005</v>
      </c>
      <c r="G49" s="60" t="n">
        <f aca="false">((1-輸入!$C$40)*((1-輸入!$C$41)*$C$28+輸入!$C$41*$C$29)+輸入!$C$40*$C$27)/1000</f>
        <v>5.17326606524062E-005</v>
      </c>
      <c r="H49" s="60" t="n">
        <f aca="false">((1-輸入!$C$40)*((1-輸入!$C$41)*$C$28+輸入!$C$41*$C$29)+輸入!$C$40*$C$27)/1000</f>
        <v>5.17326606524062E-005</v>
      </c>
    </row>
    <row r="50" customFormat="false" ht="17.15" hidden="false" customHeight="false" outlineLevel="0" collapsed="false">
      <c r="A50" s="9" t="s">
        <v>869</v>
      </c>
      <c r="B50" s="9" t="s">
        <v>863</v>
      </c>
      <c r="C50" s="60" t="n">
        <f aca="false">((1-輸入!$C$40)*((1-輸入!$C$41)*$C$20+輸入!$C$41*$C$21)+輸入!$C$40*$C$19)/1000</f>
        <v>1.6093286319505E-005</v>
      </c>
      <c r="D50" s="60" t="n">
        <f aca="false">((1-輸入!$C$40)*((1-輸入!$C$41)*$C$20+輸入!$C$41*$C$21)+輸入!$C$40*$C$19)/1000</f>
        <v>1.6093286319505E-005</v>
      </c>
      <c r="E50" s="60" t="n">
        <f aca="false">((1-輸入!$C$40)*((1-輸入!$C$41)*$C$20+輸入!$C$41*$C$21)+輸入!$C$40*$C$19)/1000</f>
        <v>1.6093286319505E-005</v>
      </c>
      <c r="F50" s="60" t="n">
        <f aca="false">((1-輸入!$C$40)*((1-輸入!$C$41)*$C$20+輸入!$C$41*$C$21)+輸入!$C$40*$C$19)/1000</f>
        <v>1.6093286319505E-005</v>
      </c>
      <c r="G50" s="60" t="n">
        <f aca="false">((1-輸入!$C$40)*((1-輸入!$C$41)*$C$20+輸入!$C$41*$C$21)+輸入!$C$40*$C$19)/1000</f>
        <v>1.6093286319505E-005</v>
      </c>
      <c r="H50" s="60" t="n">
        <f aca="false">((1-輸入!$C$40)*((1-輸入!$C$41)*$C$20+輸入!$C$41*$C$21)+輸入!$C$40*$C$19)/1000</f>
        <v>1.6093286319505E-005</v>
      </c>
    </row>
    <row r="51" customFormat="false" ht="17.15" hidden="false" customHeight="false" outlineLevel="0" collapsed="false">
      <c r="A51" s="9" t="s">
        <v>870</v>
      </c>
      <c r="B51" s="9" t="s">
        <v>863</v>
      </c>
      <c r="C51" s="60" t="n">
        <f aca="false">((1-輸入!$C$40)*((1-輸入!$C$41)*$C$12+輸入!$C$41*$C$13)+輸入!$C$40*$C$11)/1000</f>
        <v>3.22056517288862E-006</v>
      </c>
      <c r="D51" s="60" t="n">
        <f aca="false">((1-輸入!$C$40)*((1-輸入!$C$41)*$C$12+輸入!$C$41*$C$13)+輸入!$C$40*$C$11)/1000</f>
        <v>3.22056517288862E-006</v>
      </c>
      <c r="E51" s="60" t="n">
        <f aca="false">((1-輸入!$C$40)*((1-輸入!$C$41)*$C$12+輸入!$C$41*$C$13)+輸入!$C$40*$C$11)/1000</f>
        <v>3.22056517288862E-006</v>
      </c>
      <c r="F51" s="60" t="n">
        <f aca="false">((1-輸入!$C$40)*((1-輸入!$C$41)*$C$12+輸入!$C$41*$C$13)+輸入!$C$40*$C$11)/1000</f>
        <v>3.22056517288862E-006</v>
      </c>
      <c r="G51" s="60" t="n">
        <f aca="false">((1-輸入!$C$40)*((1-輸入!$C$41)*$C$12+輸入!$C$41*$C$13)+輸入!$C$40*$C$11)/1000</f>
        <v>3.22056517288862E-006</v>
      </c>
      <c r="H51" s="60" t="n">
        <f aca="false">((1-輸入!$C$40)*((1-輸入!$C$41)*$C$12+輸入!$C$41*$C$13)+輸入!$C$40*$C$11)/1000</f>
        <v>3.22056517288862E-006</v>
      </c>
    </row>
    <row r="52" customFormat="false" ht="17.15" hidden="false" customHeight="false" outlineLevel="0" collapsed="false">
      <c r="A52" s="9" t="s">
        <v>871</v>
      </c>
      <c r="B52" s="9" t="s">
        <v>863</v>
      </c>
      <c r="C52" s="60" t="n">
        <f aca="false">API!C15*C49+API!C16*C50+API!C17*C51</f>
        <v>2.77744918233422E-005</v>
      </c>
      <c r="D52" s="60" t="n">
        <f aca="false">API!D15*D49+API!D16*D50+API!D17*D51</f>
        <v>1.62901040107936E-005</v>
      </c>
      <c r="E52" s="60" t="n">
        <f aca="false">API!E15*E49+API!E16*E50+API!E17*E51</f>
        <v>1.62901040107936E-005</v>
      </c>
      <c r="F52" s="60" t="n">
        <f aca="false">API!F15*F49+API!F16*F50+API!F17*F51</f>
        <v>1.62901040107936E-005</v>
      </c>
      <c r="G52" s="60" t="n">
        <f aca="false">API!G15*G49+API!G16*G50+API!G17*G51</f>
        <v>1.62901040107936E-005</v>
      </c>
      <c r="H52" s="60" t="n">
        <f aca="false">API!H15*H49+API!H16*H50+API!H17*H51</f>
        <v>1.62901040107936E-005</v>
      </c>
    </row>
    <row r="53" customFormat="false" ht="17.15" hidden="false" customHeight="false" outlineLevel="0" collapsed="false">
      <c r="A53" s="6" t="s">
        <v>872</v>
      </c>
      <c r="B53" s="7"/>
      <c r="C53" s="7"/>
      <c r="D53" s="7"/>
      <c r="E53" s="7"/>
      <c r="F53" s="7"/>
      <c r="G53" s="7"/>
      <c r="H53" s="7"/>
      <c r="I53" s="7"/>
      <c r="J53" s="7"/>
    </row>
    <row r="54" customFormat="false" ht="17.15" hidden="false" customHeight="false" outlineLevel="0" collapsed="false">
      <c r="A54" s="12" t="s">
        <v>873</v>
      </c>
      <c r="B54" s="9" t="s">
        <v>26</v>
      </c>
      <c r="C54" s="46" t="n">
        <f aca="false">(1-輸入!$C$125)*API!C25/(C52*API!C24)</f>
        <v>35.4650593164829</v>
      </c>
      <c r="J54" s="8" t="s">
        <v>874</v>
      </c>
    </row>
    <row r="55" customFormat="false" ht="15" hidden="false" customHeight="false" outlineLevel="0" collapsed="false">
      <c r="A55" s="8" t="s">
        <v>875</v>
      </c>
      <c r="B55" s="9" t="s">
        <v>7</v>
      </c>
      <c r="C55" s="15" t="n">
        <f aca="false">C45*訂閱與廣告!C32+C46*訂閱與廣告!C33+C47*訂閱與廣告!C34+C48*訂閱與廣告!C35</f>
        <v>0.019329136437058</v>
      </c>
    </row>
    <row r="56" customFormat="false" ht="17.15" hidden="false" customHeight="false" outlineLevel="0" collapsed="false">
      <c r="A56" s="28" t="s">
        <v>876</v>
      </c>
      <c r="B56" s="9" t="s">
        <v>26</v>
      </c>
      <c r="C56" s="46" t="n">
        <f aca="false">(輸入!$C$124-(1-輸入!$C$125)*API!C25)/(C54*C55)</f>
        <v>3.91971530134113</v>
      </c>
      <c r="J56" s="9" t="s">
        <v>877</v>
      </c>
    </row>
    <row r="57" customFormat="false" ht="17.15" hidden="false" customHeight="false" outlineLevel="0" collapsed="false">
      <c r="A57" s="9" t="s">
        <v>878</v>
      </c>
      <c r="B57" s="9" t="s">
        <v>7</v>
      </c>
      <c r="C57" s="15" t="n">
        <f aca="false">C54*C56*C44*訂閱與廣告!C31</f>
        <v>0.57624935319279</v>
      </c>
    </row>
    <row r="58" customFormat="false" ht="17.15" hidden="false" customHeight="false" outlineLevel="0" collapsed="false">
      <c r="A58" s="28" t="s">
        <v>879</v>
      </c>
      <c r="B58" s="9" t="s">
        <v>7</v>
      </c>
      <c r="C58" s="46" t="n">
        <f aca="false">輸入!$C$123-C57</f>
        <v>3.32375064680721</v>
      </c>
      <c r="J58" s="8" t="s">
        <v>880</v>
      </c>
    </row>
    <row r="59" customFormat="false" ht="17.15" hidden="false" customHeight="false" outlineLevel="0" collapsed="false">
      <c r="A59" s="8" t="s">
        <v>881</v>
      </c>
      <c r="B59" s="9" t="s">
        <v>7</v>
      </c>
      <c r="C59" s="15" t="n">
        <f aca="false">輸入!$C$122-輸入!$C$12</f>
        <v>0.9</v>
      </c>
      <c r="J59" s="9" t="s">
        <v>882</v>
      </c>
    </row>
    <row r="60" customFormat="false" ht="17.15" hidden="false" customHeight="false" outlineLevel="0" collapsed="false">
      <c r="A60" s="9" t="s">
        <v>883</v>
      </c>
      <c r="B60" s="9" t="s">
        <v>99</v>
      </c>
      <c r="C60" s="53" t="n">
        <f aca="false">C11*C54</f>
        <v>0.419259454708279</v>
      </c>
    </row>
    <row r="61" customFormat="false" ht="17.15" hidden="false" customHeight="false" outlineLevel="0" collapsed="false">
      <c r="A61" s="9" t="s">
        <v>884</v>
      </c>
      <c r="B61" s="9" t="s">
        <v>99</v>
      </c>
      <c r="C61" s="53" t="n">
        <f aca="false">C19*C54</f>
        <v>2.28147117212099</v>
      </c>
    </row>
    <row r="62" customFormat="false" ht="17.15" hidden="false" customHeight="false" outlineLevel="0" collapsed="false">
      <c r="A62" s="9" t="s">
        <v>885</v>
      </c>
      <c r="B62" s="9" t="s">
        <v>99</v>
      </c>
      <c r="C62" s="53" t="n">
        <f aca="false">C27*C54</f>
        <v>7.07127250451653</v>
      </c>
    </row>
    <row r="63" customFormat="false" ht="17.15" hidden="false" customHeight="false" outlineLevel="0" collapsed="false">
      <c r="A63" s="6" t="s">
        <v>886</v>
      </c>
      <c r="B63" s="7"/>
      <c r="C63" s="7"/>
      <c r="D63" s="7"/>
      <c r="E63" s="7"/>
      <c r="F63" s="7"/>
      <c r="G63" s="7"/>
      <c r="H63" s="7"/>
      <c r="I63" s="7"/>
      <c r="J63" s="7"/>
    </row>
    <row r="64" customFormat="false" ht="17.15" hidden="false" customHeight="false" outlineLevel="0" collapsed="false">
      <c r="A64" s="8" t="s">
        <v>887</v>
      </c>
      <c r="B64" s="9" t="s">
        <v>26</v>
      </c>
      <c r="C64" s="15" t="n">
        <f aca="false">算力MW!C42*算力MW!$C$29</f>
        <v>35.4650593164829</v>
      </c>
      <c r="D64" s="15" t="n">
        <f aca="false">算力MW!D42*算力MW!$C$29</f>
        <v>18.152115827353</v>
      </c>
      <c r="E64" s="15" t="n">
        <f aca="false">算力MW!E42*算力MW!$C$29</f>
        <v>13.0212526763263</v>
      </c>
      <c r="F64" s="15" t="n">
        <f aca="false">算力MW!F42*算力MW!$C$29</f>
        <v>9.90161885579678</v>
      </c>
      <c r="G64" s="15" t="n">
        <f aca="false">算力MW!G42*算力MW!$C$29</f>
        <v>8.51438959364029</v>
      </c>
      <c r="H64" s="15" t="n">
        <f aca="false">算力MW!H42*算力MW!$C$29</f>
        <v>7.45495939852512</v>
      </c>
      <c r="J64" s="9" t="s">
        <v>888</v>
      </c>
    </row>
    <row r="65" customFormat="false" ht="17.15" hidden="false" customHeight="false" outlineLevel="0" collapsed="false">
      <c r="A65" s="9" t="s">
        <v>889</v>
      </c>
      <c r="B65" s="9" t="s">
        <v>7</v>
      </c>
      <c r="C65" s="15" t="n">
        <f aca="false">C64*$C$56*C44*訂閱與廣告!C31</f>
        <v>0.57624935319279</v>
      </c>
      <c r="D65" s="15" t="n">
        <f aca="false">D64*$C$56*D44*訂閱與廣告!D31</f>
        <v>0.686478127131585</v>
      </c>
      <c r="E65" s="15" t="n">
        <f aca="false">E64*$C$56*E44*訂閱與廣告!E31</f>
        <v>0.819651333333437</v>
      </c>
      <c r="F65" s="15" t="n">
        <f aca="false">F64*$C$56*F44*訂閱與廣告!F31</f>
        <v>0.946137726066878</v>
      </c>
      <c r="G65" s="15" t="n">
        <f aca="false">G64*$C$56*G44*訂閱與廣告!G31</f>
        <v>1.16640631154687</v>
      </c>
      <c r="H65" s="15" t="n">
        <f aca="false">H64*$C$56*H44*訂閱與廣告!H31</f>
        <v>1.40590170529212</v>
      </c>
    </row>
    <row r="66" customFormat="false" ht="17.15" hidden="false" customHeight="false" outlineLevel="0" collapsed="false">
      <c r="A66" s="9" t="s">
        <v>890</v>
      </c>
      <c r="B66" s="9" t="s">
        <v>7</v>
      </c>
      <c r="C66" s="15" t="n">
        <f aca="false">C64*$C$56*C45*訂閱與廣告!C32</f>
        <v>0.0102690255134582</v>
      </c>
      <c r="D66" s="15" t="n">
        <f aca="false">D64*$C$56*D45*訂閱與廣告!D32</f>
        <v>0.167916775496815</v>
      </c>
      <c r="E66" s="15" t="n">
        <f aca="false">E64*$C$56*E45*訂閱與廣告!E32</f>
        <v>0.290665389578435</v>
      </c>
      <c r="F66" s="15" t="n">
        <f aca="false">F64*$C$56*F45*訂閱與廣告!F32</f>
        <v>0.422405976672585</v>
      </c>
      <c r="G66" s="15" t="n">
        <f aca="false">G64*$C$56*G45*訂閱與廣告!G32</f>
        <v>0.579119639063052</v>
      </c>
      <c r="H66" s="15" t="n">
        <f aca="false">H64*$C$56*H45*訂閱與廣告!H32</f>
        <v>0.77289352925119</v>
      </c>
    </row>
    <row r="67" customFormat="false" ht="17.15" hidden="false" customHeight="false" outlineLevel="0" collapsed="false">
      <c r="A67" s="9" t="s">
        <v>891</v>
      </c>
      <c r="B67" s="9" t="s">
        <v>7</v>
      </c>
      <c r="C67" s="15" t="n">
        <f aca="false">C64*$C$56*C46*訂閱與廣告!C33</f>
        <v>1.90859507106417</v>
      </c>
      <c r="D67" s="15" t="n">
        <f aca="false">D64*$C$56*D46*訂閱與廣告!D33</f>
        <v>2.33403782982114</v>
      </c>
      <c r="E67" s="15" t="n">
        <f aca="false">E64*$C$56*E46*訂閱與廣告!E33</f>
        <v>2.39424969391964</v>
      </c>
      <c r="F67" s="15" t="n">
        <f aca="false">F64*$C$56*F46*訂閱與廣告!F33</f>
        <v>2.52455546489377</v>
      </c>
      <c r="G67" s="15" t="n">
        <f aca="false">G64*$C$56*G46*訂閱與廣告!G33</f>
        <v>2.9388521302245</v>
      </c>
      <c r="H67" s="15" t="n">
        <f aca="false">H64*$C$56*H46*訂閱與廣告!H33</f>
        <v>3.41515298865352</v>
      </c>
    </row>
    <row r="68" customFormat="false" ht="17.15" hidden="false" customHeight="false" outlineLevel="0" collapsed="false">
      <c r="A68" s="9" t="s">
        <v>892</v>
      </c>
      <c r="B68" s="9" t="s">
        <v>7</v>
      </c>
      <c r="C68" s="15" t="n">
        <f aca="false">C64*$C$56*C47*訂閱與廣告!C34</f>
        <v>0.626367467527742</v>
      </c>
      <c r="D68" s="15" t="n">
        <f aca="false">D64*$C$56*D47*訂閱與廣告!D34</f>
        <v>1.25397712139418</v>
      </c>
      <c r="E68" s="15" t="n">
        <f aca="false">E64*$C$56*E47*訂閱與廣告!E34</f>
        <v>1.70685610501414</v>
      </c>
      <c r="F68" s="15" t="n">
        <f aca="false">F64*$C$56*F47*訂閱與廣告!F34</f>
        <v>2.18917061742682</v>
      </c>
      <c r="G68" s="15" t="n">
        <f aca="false">G64*$C$56*G47*訂閱與廣告!G34</f>
        <v>2.97664787456755</v>
      </c>
      <c r="H68" s="15" t="n">
        <f aca="false">H64*$C$56*H47*訂閱與廣告!H34</f>
        <v>3.95631623445405</v>
      </c>
    </row>
    <row r="69" customFormat="false" ht="15" hidden="false" customHeight="false" outlineLevel="0" collapsed="false">
      <c r="A69" s="8" t="s">
        <v>893</v>
      </c>
      <c r="B69" s="9" t="s">
        <v>7</v>
      </c>
      <c r="C69" s="15" t="n">
        <f aca="false">C64*$C$56*C48*訂閱與廣告!C35</f>
        <v>0.141768435894631</v>
      </c>
      <c r="D69" s="15" t="n">
        <f aca="false">D64*$C$56*D48*訂閱與廣告!D35</f>
        <v>0.672034557202879</v>
      </c>
      <c r="E69" s="15" t="n">
        <f aca="false">E64*$C$56*E48*訂閱與廣告!E35</f>
        <v>1.13253845159164</v>
      </c>
      <c r="F69" s="15" t="n">
        <f aca="false">F64*$C$56*F48*訂閱與廣告!F35</f>
        <v>1.59223500897674</v>
      </c>
      <c r="G69" s="15" t="n">
        <f aca="false">G64*$C$56*G48*訂閱與廣告!G35</f>
        <v>2.18777496485448</v>
      </c>
      <c r="H69" s="15" t="n">
        <f aca="false">H64*$C$56*H48*訂閱與廣告!H35</f>
        <v>2.82703853035727</v>
      </c>
    </row>
    <row r="70" customFormat="false" ht="17.15" hidden="false" customHeight="false" outlineLevel="0" collapsed="false">
      <c r="A70" s="9" t="s">
        <v>894</v>
      </c>
      <c r="B70" s="9" t="s">
        <v>7</v>
      </c>
      <c r="C70" s="15" t="n">
        <f aca="false">C64*算力MW!C26</f>
        <v>3.32375064680721</v>
      </c>
      <c r="D70" s="15" t="n">
        <f aca="false">D64*算力MW!D26</f>
        <v>2.69356433677908</v>
      </c>
      <c r="E70" s="15" t="n">
        <f aca="false">E64*算力MW!E26</f>
        <v>2.54237303321109</v>
      </c>
      <c r="F70" s="15" t="n">
        <f aca="false">F64*算力MW!F26</f>
        <v>2.31992506925664</v>
      </c>
      <c r="G70" s="15" t="n">
        <f aca="false">G64*算力MW!G26</f>
        <v>2.2608874006118</v>
      </c>
      <c r="H70" s="15" t="n">
        <f aca="false">H64*算力MW!H26</f>
        <v>2.15423711913444</v>
      </c>
    </row>
    <row r="71" customFormat="false" ht="15" hidden="false" customHeight="false" outlineLevel="0" collapsed="false">
      <c r="A71" s="9" t="s">
        <v>895</v>
      </c>
      <c r="B71" s="9" t="s">
        <v>7</v>
      </c>
      <c r="C71" s="15" t="n">
        <f aca="false">C64*C49*API!C28</f>
        <v>1.35075470484739</v>
      </c>
      <c r="D71" s="15" t="n">
        <f aca="false">D64*D49*API!D28</f>
        <v>0.728000074291127</v>
      </c>
      <c r="E71" s="15" t="n">
        <f aca="false">E64*E49*API!E28</f>
        <v>1.35597262891914</v>
      </c>
      <c r="F71" s="15" t="n">
        <f aca="false">F64*F49*API!F28</f>
        <v>2.41336670906745</v>
      </c>
      <c r="G71" s="15" t="n">
        <f aca="false">G64*G49*API!G28</f>
        <v>4.39099654632014</v>
      </c>
      <c r="H71" s="15" t="n">
        <f aca="false">H64*H49*API!H28</f>
        <v>7.62230322689551</v>
      </c>
    </row>
    <row r="72" customFormat="false" ht="15" hidden="false" customHeight="false" outlineLevel="0" collapsed="false">
      <c r="A72" s="9" t="s">
        <v>896</v>
      </c>
      <c r="B72" s="9" t="s">
        <v>7</v>
      </c>
      <c r="C72" s="15" t="n">
        <f aca="false">C64*C50*API!C30</f>
        <v>0.420200351932151</v>
      </c>
      <c r="D72" s="15" t="n">
        <f aca="false">D64*D50*API!D30</f>
        <v>0.679411042565995</v>
      </c>
      <c r="E72" s="15" t="n">
        <f aca="false">E64*E50*API!E30</f>
        <v>1.26547071908195</v>
      </c>
      <c r="F72" s="15" t="n">
        <f aca="false">F64*F50*API!F30</f>
        <v>2.25229096782465</v>
      </c>
      <c r="G72" s="15" t="n">
        <f aca="false">G64*G50*API!G30</f>
        <v>4.09792752335082</v>
      </c>
      <c r="H72" s="15" t="n">
        <f aca="false">H64*H50*API!H30</f>
        <v>7.11356655723126</v>
      </c>
    </row>
    <row r="73" customFormat="false" ht="15" hidden="false" customHeight="false" outlineLevel="0" collapsed="false">
      <c r="A73" s="9" t="s">
        <v>897</v>
      </c>
      <c r="B73" s="9" t="s">
        <v>7</v>
      </c>
      <c r="C73" s="15" t="n">
        <f aca="false">C64*C51*API!C32</f>
        <v>0.042044943220455</v>
      </c>
      <c r="D73" s="15" t="n">
        <f aca="false">D64*D51*API!D32</f>
        <v>0.120855782043281</v>
      </c>
      <c r="E73" s="15" t="n">
        <f aca="false">E64*E51*API!E32</f>
        <v>0.225105928260898</v>
      </c>
      <c r="F73" s="15" t="n">
        <f aca="false">F64*F51*API!F32</f>
        <v>0.400644630792891</v>
      </c>
      <c r="G73" s="15" t="n">
        <f aca="false">G64*G51*API!G32</f>
        <v>0.728952290384863</v>
      </c>
      <c r="H73" s="15" t="n">
        <f aca="false">H64*H51*API!H32</f>
        <v>1.26538368605866</v>
      </c>
    </row>
    <row r="74" customFormat="false" ht="17.15" hidden="false" customHeight="false" outlineLevel="0" collapsed="false">
      <c r="A74" s="9" t="s">
        <v>898</v>
      </c>
      <c r="B74" s="9" t="s">
        <v>7</v>
      </c>
      <c r="C74" s="15" t="n">
        <f aca="false">C71+C72+C73</f>
        <v>1.813</v>
      </c>
      <c r="D74" s="15" t="n">
        <f aca="false">D71+D72+D73</f>
        <v>1.5282668989004</v>
      </c>
      <c r="E74" s="15" t="n">
        <f aca="false">E71+E72+E73</f>
        <v>2.84654927626199</v>
      </c>
      <c r="F74" s="15" t="n">
        <f aca="false">F71+F72+F73</f>
        <v>5.06630230768499</v>
      </c>
      <c r="G74" s="15" t="n">
        <f aca="false">G71+G72+G73</f>
        <v>9.21787636005583</v>
      </c>
      <c r="H74" s="15" t="n">
        <f aca="false">H71+H72+H73</f>
        <v>16.0012534701854</v>
      </c>
    </row>
    <row r="75" customFormat="false" ht="17.15" hidden="false" customHeight="false" outlineLevel="0" collapsed="false">
      <c r="A75" s="8" t="s">
        <v>899</v>
      </c>
      <c r="B75" s="9" t="s">
        <v>7</v>
      </c>
      <c r="C75" s="15" t="n">
        <f aca="false">C65+C70</f>
        <v>3.9</v>
      </c>
      <c r="D75" s="15" t="n">
        <f aca="false">D65+D70</f>
        <v>3.38004246391067</v>
      </c>
      <c r="E75" s="15" t="n">
        <f aca="false">E65+E70</f>
        <v>3.36202436654452</v>
      </c>
      <c r="F75" s="15" t="n">
        <f aca="false">F65+F70</f>
        <v>3.26606279532352</v>
      </c>
      <c r="G75" s="15" t="n">
        <f aca="false">G65+G70</f>
        <v>3.42729371215867</v>
      </c>
      <c r="H75" s="15" t="n">
        <f aca="false">H65+H70</f>
        <v>3.56013882442656</v>
      </c>
    </row>
    <row r="76" customFormat="false" ht="15" hidden="false" customHeight="false" outlineLevel="0" collapsed="false">
      <c r="A76" s="8" t="s">
        <v>900</v>
      </c>
      <c r="B76" s="9" t="s">
        <v>7</v>
      </c>
      <c r="C76" s="15" t="n">
        <f aca="false">C66+C67+C68+C69+C74</f>
        <v>4.5</v>
      </c>
      <c r="D76" s="15" t="n">
        <f aca="false">D66+D67+D68+D69+D74</f>
        <v>5.95623318281543</v>
      </c>
      <c r="E76" s="15" t="n">
        <f aca="false">E66+E67+E68+E69+E74</f>
        <v>8.37085891636585</v>
      </c>
      <c r="F76" s="15" t="n">
        <f aca="false">F66+F67+F68+F69+F74</f>
        <v>11.7946693756549</v>
      </c>
      <c r="G76" s="15" t="n">
        <f aca="false">G66+G67+G68+G69+G74</f>
        <v>17.9002709687654</v>
      </c>
      <c r="H76" s="15" t="n">
        <f aca="false">H66+H67+H68+H69+H74</f>
        <v>26.9726547529014</v>
      </c>
    </row>
    <row r="77" customFormat="false" ht="15" hidden="false" customHeight="false" outlineLevel="0" collapsed="false">
      <c r="A77" s="8" t="s">
        <v>901</v>
      </c>
      <c r="B77" s="9" t="s">
        <v>7</v>
      </c>
      <c r="C77" s="15" t="n">
        <f aca="false">C75+C76</f>
        <v>8.4</v>
      </c>
      <c r="D77" s="15" t="n">
        <f aca="false">D75+D76</f>
        <v>9.33627564672609</v>
      </c>
      <c r="E77" s="15" t="n">
        <f aca="false">E75+E76</f>
        <v>11.7328832829104</v>
      </c>
      <c r="F77" s="15" t="n">
        <f aca="false">F75+F76</f>
        <v>15.0607321709784</v>
      </c>
      <c r="G77" s="15" t="n">
        <f aca="false">G75+G76</f>
        <v>21.3275646809241</v>
      </c>
      <c r="H77" s="15" t="n">
        <f aca="false">H75+H76</f>
        <v>30.532793577328</v>
      </c>
    </row>
    <row r="78" customFormat="false" ht="17.15" hidden="false" customHeight="false" outlineLevel="0" collapsed="false">
      <c r="A78" s="12" t="s">
        <v>902</v>
      </c>
      <c r="B78" s="9" t="s">
        <v>7</v>
      </c>
      <c r="C78" s="46" t="n">
        <f aca="false">算力MW!C44</f>
        <v>8.4</v>
      </c>
      <c r="D78" s="46" t="n">
        <f aca="false">算力MW!D44</f>
        <v>9.33627564672609</v>
      </c>
      <c r="E78" s="46" t="n">
        <f aca="false">算力MW!E44</f>
        <v>11.7328832829104</v>
      </c>
      <c r="F78" s="46" t="n">
        <f aca="false">算力MW!F44</f>
        <v>15.0607321709784</v>
      </c>
      <c r="G78" s="46" t="n">
        <f aca="false">算力MW!G44</f>
        <v>21.3275646809241</v>
      </c>
      <c r="H78" s="46" t="n">
        <f aca="false">算力MW!H44</f>
        <v>30.532793577328</v>
      </c>
    </row>
    <row r="79" customFormat="false" ht="17.15" hidden="false" customHeight="false" outlineLevel="0" collapsed="false">
      <c r="A79" s="8" t="s">
        <v>903</v>
      </c>
      <c r="B79" s="9" t="s">
        <v>17</v>
      </c>
      <c r="C79" s="14" t="n">
        <f aca="false">C76/C77</f>
        <v>0.535714285714286</v>
      </c>
      <c r="D79" s="14" t="n">
        <f aca="false">D76/D77</f>
        <v>0.637966723369406</v>
      </c>
      <c r="E79" s="14" t="n">
        <f aca="false">E76/E77</f>
        <v>0.713452841430588</v>
      </c>
      <c r="F79" s="14" t="n">
        <f aca="false">F76/F77</f>
        <v>0.783140503513028</v>
      </c>
      <c r="G79" s="14" t="n">
        <f aca="false">G76/G77</f>
        <v>0.839302153647944</v>
      </c>
      <c r="H79" s="14" t="n">
        <f aca="false">H76/H77</f>
        <v>0.883399505668878</v>
      </c>
      <c r="J79" s="9" t="s">
        <v>904</v>
      </c>
    </row>
    <row r="80" customFormat="false" ht="15" hidden="false" customHeight="false" outlineLevel="0" collapsed="false">
      <c r="A80" s="6" t="s">
        <v>905</v>
      </c>
      <c r="B80" s="7"/>
      <c r="C80" s="7"/>
      <c r="D80" s="7"/>
      <c r="E80" s="7"/>
      <c r="F80" s="7"/>
      <c r="G80" s="7"/>
      <c r="H80" s="7"/>
      <c r="I80" s="7"/>
      <c r="J80" s="7"/>
    </row>
    <row r="81" customFormat="false" ht="15" hidden="false" customHeight="false" outlineLevel="0" collapsed="false">
      <c r="A81" s="9" t="s">
        <v>864</v>
      </c>
      <c r="B81" s="9" t="s">
        <v>17</v>
      </c>
      <c r="C81" s="14" t="n">
        <f aca="false">IFERROR(1-C66/訂閱與廣告!C14,0)</f>
        <v>0.928687322823207</v>
      </c>
      <c r="D81" s="14" t="n">
        <f aca="false">IFERROR(1-D66/訂閱與廣告!D14,0)</f>
        <v>0.942557205973996</v>
      </c>
      <c r="E81" s="14" t="n">
        <f aca="false">IFERROR(1-E66/訂閱與廣告!E14,0)</f>
        <v>0.947874336780379</v>
      </c>
      <c r="F81" s="14" t="n">
        <f aca="false">IFERROR(1-F66/訂閱與廣告!F14,0)</f>
        <v>0.949858703672035</v>
      </c>
      <c r="G81" s="14" t="n">
        <f aca="false">IFERROR(1-G66/訂閱與廣告!G14,0)</f>
        <v>0.945457706419198</v>
      </c>
      <c r="H81" s="14" t="n">
        <f aca="false">IFERROR(1-H66/訂閱與廣告!H14,0)</f>
        <v>0.93958904707267</v>
      </c>
    </row>
    <row r="82" customFormat="false" ht="15" hidden="false" customHeight="false" outlineLevel="0" collapsed="false">
      <c r="A82" s="9" t="s">
        <v>865</v>
      </c>
      <c r="B82" s="9" t="s">
        <v>17</v>
      </c>
      <c r="C82" s="14" t="n">
        <f aca="false">IFERROR(1-C67/訂閱與廣告!C15,0)</f>
        <v>0.72812036024727</v>
      </c>
      <c r="D82" s="14" t="n">
        <f aca="false">IFERROR(1-D67/訂閱與廣告!D15,0)</f>
        <v>0.706675987807125</v>
      </c>
      <c r="E82" s="14" t="n">
        <f aca="false">IFERROR(1-E67/訂閱與廣告!E15,0)</f>
        <v>0.73382721134922</v>
      </c>
      <c r="F82" s="14" t="n">
        <f aca="false">IFERROR(1-F67/訂閱與廣告!F15,0)</f>
        <v>0.743960117803244</v>
      </c>
      <c r="G82" s="14" t="n">
        <f aca="false">IFERROR(1-G67/訂閱與廣告!G15,0)</f>
        <v>0.721487008795567</v>
      </c>
      <c r="H82" s="14" t="n">
        <f aca="false">IFERROR(1-H67/訂閱與廣告!H15,0)</f>
        <v>0.691519477882331</v>
      </c>
    </row>
    <row r="83" customFormat="false" ht="15" hidden="false" customHeight="false" outlineLevel="0" collapsed="false">
      <c r="A83" s="9" t="s">
        <v>866</v>
      </c>
      <c r="B83" s="9" t="s">
        <v>17</v>
      </c>
      <c r="C83" s="14" t="n">
        <f aca="false">IFERROR(1-C68/訂閱與廣告!C16,0)</f>
        <v>0.478027110393548</v>
      </c>
      <c r="D83" s="14" t="n">
        <f aca="false">IFERROR(1-D68/訂閱與廣告!D16,0)</f>
        <v>0.303346043669898</v>
      </c>
      <c r="E83" s="14" t="n">
        <f aca="false">IFERROR(1-E68/訂閱與廣告!E16,0)</f>
        <v>0.367831072216984</v>
      </c>
      <c r="F83" s="14" t="n">
        <f aca="false">IFERROR(1-F68/訂閱與廣告!F16,0)</f>
        <v>0.391897050714772</v>
      </c>
      <c r="G83" s="14" t="n">
        <f aca="false">IFERROR(1-G68/訂閱與廣告!G16,0)</f>
        <v>0.338522694540545</v>
      </c>
      <c r="H83" s="14" t="n">
        <f aca="false">IFERROR(1-H68/訂閱與廣告!H16,0)</f>
        <v>0.267348845471473</v>
      </c>
    </row>
    <row r="84" customFormat="false" ht="15" hidden="false" customHeight="false" outlineLevel="0" collapsed="false">
      <c r="A84" s="8" t="s">
        <v>867</v>
      </c>
      <c r="B84" s="9" t="s">
        <v>17</v>
      </c>
      <c r="C84" s="14" t="n">
        <f aca="false">IFERROR(1-C69/訂閱與廣告!C17,0)</f>
        <v>0.868732929727194</v>
      </c>
      <c r="D84" s="14" t="n">
        <f aca="false">IFERROR(1-D69/訂閱與廣告!D17,0)</f>
        <v>0.866659810078794</v>
      </c>
      <c r="E84" s="14" t="n">
        <f aca="false">IFERROR(1-E69/訂閱與廣告!E17,0)</f>
        <v>0.87900230218038</v>
      </c>
      <c r="F84" s="14" t="n">
        <f aca="false">IFERROR(1-F69/訂閱與廣告!F17,0)</f>
        <v>0.883608551975385</v>
      </c>
      <c r="G84" s="14" t="n">
        <f aca="false">IFERROR(1-G69/訂閱與廣告!G17,0)</f>
        <v>0.873392652496847</v>
      </c>
      <c r="H84" s="14" t="n">
        <f aca="false">IFERROR(1-H69/訂閱與廣告!H17,0)</f>
        <v>0.859769914168787</v>
      </c>
    </row>
    <row r="85" customFormat="false" ht="15" hidden="false" customHeight="false" outlineLevel="0" collapsed="false">
      <c r="A85" s="9" t="s">
        <v>895</v>
      </c>
      <c r="B85" s="9" t="s">
        <v>17</v>
      </c>
      <c r="C85" s="14" t="n">
        <f aca="false">IFERROR(1-C71/API!C27,0)</f>
        <v>0.398063688111199</v>
      </c>
      <c r="D85" s="14" t="n">
        <f aca="false">IFERROR(1-D71/API!D27,0)</f>
        <v>0.880544089363904</v>
      </c>
      <c r="E85" s="14" t="n">
        <f aca="false">IFERROR(1-E71/API!E27,0)</f>
        <v>0.877584865047651</v>
      </c>
      <c r="F85" s="14" t="n">
        <f aca="false">IFERROR(1-F71/API!F27,0)</f>
        <v>0.867018718375384</v>
      </c>
      <c r="G85" s="14" t="n">
        <f aca="false">IFERROR(1-G71/API!G27,0)</f>
        <v>0.836642233254513</v>
      </c>
      <c r="H85" s="14" t="n">
        <f aca="false">IFERROR(1-H71/API!H27,0)</f>
        <v>0.795669352264047</v>
      </c>
    </row>
    <row r="86" customFormat="false" ht="15" hidden="false" customHeight="false" outlineLevel="0" collapsed="false">
      <c r="A86" s="9" t="s">
        <v>896</v>
      </c>
      <c r="B86" s="9" t="s">
        <v>17</v>
      </c>
      <c r="C86" s="14" t="n">
        <f aca="false">IFERROR(1-C72/API!C29,0)</f>
        <v>0.676592614506806</v>
      </c>
      <c r="D86" s="14" t="n">
        <f aca="false">IFERROR(1-D72/API!D29,0)</f>
        <v>0.897862194519122</v>
      </c>
      <c r="E86" s="14" t="n">
        <f aca="false">IFERROR(1-E72/API!E29,0)</f>
        <v>0.877887313925146</v>
      </c>
      <c r="F86" s="14" t="n">
        <f aca="false">IFERROR(1-F72/API!F29,0)</f>
        <v>0.845238484982192</v>
      </c>
      <c r="G86" s="14" t="n">
        <f aca="false">IFERROR(1-G72/API!G29,0)</f>
        <v>0.778201279986959</v>
      </c>
      <c r="H86" s="14" t="n">
        <f aca="false">IFERROR(1-H72/API!H29,0)</f>
        <v>0.676332160170918</v>
      </c>
    </row>
    <row r="87" customFormat="false" ht="15" hidden="false" customHeight="false" outlineLevel="0" collapsed="false">
      <c r="A87" s="9" t="s">
        <v>897</v>
      </c>
      <c r="B87" s="9" t="s">
        <v>17</v>
      </c>
      <c r="C87" s="14" t="n">
        <f aca="false">IFERROR(1-C73/API!C31,0)</f>
        <v>0.491552996398264</v>
      </c>
      <c r="D87" s="14" t="n">
        <f aca="false">IFERROR(1-D73/API!D31,0)</f>
        <v>0.928676612341135</v>
      </c>
      <c r="E87" s="14" t="n">
        <f aca="false">IFERROR(1-E73/API!E31,0)</f>
        <v>0.91472804407754</v>
      </c>
      <c r="F87" s="14" t="n">
        <f aca="false">IFERROR(1-F73/API!F31,0)</f>
        <v>0.891929188430086</v>
      </c>
      <c r="G87" s="14" t="n">
        <f aca="false">IFERROR(1-G73/API!G31,0)</f>
        <v>0.84511674188367</v>
      </c>
      <c r="H87" s="14" t="n">
        <f aca="false">IFERROR(1-H73/API!H31,0)</f>
        <v>0.773980978892687</v>
      </c>
    </row>
    <row r="88" customFormat="false" ht="17.15" hidden="false" customHeight="false" outlineLevel="0" collapsed="false">
      <c r="A88" s="9" t="s">
        <v>898</v>
      </c>
      <c r="B88" s="9" t="s">
        <v>17</v>
      </c>
      <c r="C88" s="14" t="n">
        <f aca="false">1-C74/API!C25</f>
        <v>0.5</v>
      </c>
      <c r="D88" s="14" t="n">
        <f aca="false">1-D74/API!D25</f>
        <v>0.89416933414349</v>
      </c>
      <c r="E88" s="14" t="n">
        <f aca="false">1-E74/API!E25</f>
        <v>0.881787014549782</v>
      </c>
      <c r="F88" s="14" t="n">
        <f aca="false">1-F74/API!F25</f>
        <v>0.860849173947506</v>
      </c>
      <c r="G88" s="14" t="n">
        <f aca="false">1-G74/API!G25</f>
        <v>0.815870714227957</v>
      </c>
      <c r="H88" s="14" t="n">
        <f aca="false">1-H74/API!H25</f>
        <v>0.753372788159214</v>
      </c>
    </row>
    <row r="89" customFormat="false" ht="17.15" hidden="false" customHeight="false" outlineLevel="0" collapsed="false">
      <c r="A89" s="8" t="s">
        <v>906</v>
      </c>
      <c r="B89" s="9" t="s">
        <v>26</v>
      </c>
      <c r="C89" s="17" t="n">
        <f aca="false">IFERROR(訂閱與廣告!C48/C75,0)</f>
        <v>0</v>
      </c>
      <c r="D89" s="17" t="n">
        <f aca="false">IFERROR(訂閱與廣告!D48/D75,0)</f>
        <v>0.219804930835223</v>
      </c>
      <c r="E89" s="17" t="n">
        <f aca="false">IFERROR(訂閱與廣告!E48/E75,0)</f>
        <v>0.552770222314547</v>
      </c>
      <c r="F89" s="17" t="n">
        <f aca="false">IFERROR(訂閱與廣告!F48/F75,0)</f>
        <v>0.891167135627178</v>
      </c>
      <c r="G89" s="17" t="n">
        <f aca="false">IFERROR(訂閱與廣告!G48/G75,0)</f>
        <v>1.21285389314386</v>
      </c>
      <c r="H89" s="17" t="n">
        <f aca="false">IFERROR(訂閱與廣告!H48/H75,0)</f>
        <v>1.56627517639444</v>
      </c>
    </row>
    <row r="90" customFormat="false" ht="15" hidden="false" customHeight="false" outlineLevel="0" collapsed="false">
      <c r="A90" s="6" t="s">
        <v>907</v>
      </c>
      <c r="B90" s="7"/>
      <c r="C90" s="7"/>
      <c r="D90" s="7"/>
      <c r="E90" s="7"/>
      <c r="F90" s="7"/>
      <c r="G90" s="7"/>
      <c r="H90" s="7"/>
      <c r="I90" s="7"/>
      <c r="J90" s="7"/>
    </row>
    <row r="91" customFormat="false" ht="17.15" hidden="false" customHeight="false" outlineLevel="0" collapsed="false">
      <c r="A91" s="8" t="s">
        <v>908</v>
      </c>
      <c r="B91" s="9" t="s">
        <v>26</v>
      </c>
      <c r="C91" s="15" t="n">
        <f aca="false">算力MW!C45/算力MW!C44</f>
        <v>1.42857142857143</v>
      </c>
      <c r="D91" s="15" t="n">
        <f aca="false">算力MW!D45/算力MW!D44</f>
        <v>2.20433677845214</v>
      </c>
      <c r="E91" s="15" t="n">
        <f aca="false">算力MW!E45/算力MW!E44</f>
        <v>7.90042557557302</v>
      </c>
      <c r="F91" s="15" t="n">
        <f aca="false">算力MW!F45/算力MW!F44</f>
        <v>7.42428169901803</v>
      </c>
      <c r="G91" s="15" t="n">
        <f aca="false">算力MW!G45/算力MW!G44</f>
        <v>6.13769799978856</v>
      </c>
      <c r="H91" s="15" t="n">
        <f aca="false">算力MW!H45/算力MW!H44</f>
        <v>4.64721502127089</v>
      </c>
    </row>
    <row r="92" customFormat="false" ht="15" hidden="false" customHeight="false" outlineLevel="0" collapsed="false">
      <c r="A92" s="9" t="s">
        <v>864</v>
      </c>
      <c r="B92" s="9" t="s">
        <v>17</v>
      </c>
      <c r="C92" s="14" t="n">
        <f aca="false">IFERROR(1-C66*(1+C91)/訂閱與廣告!C14,0)</f>
        <v>0.826812069713503</v>
      </c>
      <c r="D92" s="14" t="n">
        <f aca="false">IFERROR(1-D66*(1+D91)/訂閱與廣告!D14,0)</f>
        <v>0.815933942445425</v>
      </c>
      <c r="E92" s="14" t="n">
        <f aca="false">IFERROR(1-E66*(1+E91)/訂閱與廣告!E14,0)</f>
        <v>0.536059413936379</v>
      </c>
      <c r="F92" s="14" t="n">
        <f aca="false">IFERROR(1-F66*(1+F91)/訂閱與廣告!F14,0)</f>
        <v>0.577595594979284</v>
      </c>
      <c r="G92" s="14" t="n">
        <f aca="false">IFERROR(1-G66*(1+G91)/訂閱與廣告!G14,0)</f>
        <v>0.61069358020443</v>
      </c>
      <c r="H92" s="14" t="n">
        <f aca="false">IFERROR(1-H66*(1+H91)/訂閱與廣告!H14,0)</f>
        <v>0.658846359179492</v>
      </c>
    </row>
    <row r="93" customFormat="false" ht="15" hidden="false" customHeight="false" outlineLevel="0" collapsed="false">
      <c r="A93" s="9" t="s">
        <v>865</v>
      </c>
      <c r="B93" s="9" t="s">
        <v>17</v>
      </c>
      <c r="C93" s="14" t="n">
        <f aca="false">IFERROR(1-C67*(1+C91)/訂閱與廣告!C15,0)</f>
        <v>0.339720874886226</v>
      </c>
      <c r="D93" s="14" t="n">
        <f aca="false">IFERROR(1-D67*(1+D91)/訂閱與廣告!D15,0)</f>
        <v>0.0600910797272282</v>
      </c>
      <c r="E93" s="14" t="n">
        <f aca="false">IFERROR(1-E67*(1+E91)/訂閱與廣告!E15,0)</f>
        <v>-1.36905109562899</v>
      </c>
      <c r="F93" s="14" t="n">
        <f aca="false">IFERROR(1-F67*(1+F91)/訂閱與廣告!F15,0)</f>
        <v>-1.15695209380887</v>
      </c>
      <c r="G93" s="14" t="n">
        <f aca="false">IFERROR(1-G67*(1+G91)/訂閱與廣告!G15,0)</f>
        <v>-0.98794162023501</v>
      </c>
      <c r="H93" s="14" t="n">
        <f aca="false">IFERROR(1-H67*(1+H91)/訂閱與廣告!H15,0)</f>
        <v>-0.742055838272385</v>
      </c>
    </row>
    <row r="94" customFormat="false" ht="15" hidden="false" customHeight="false" outlineLevel="0" collapsed="false">
      <c r="A94" s="9" t="s">
        <v>866</v>
      </c>
      <c r="B94" s="9" t="s">
        <v>17</v>
      </c>
      <c r="C94" s="14" t="n">
        <f aca="false">IFERROR(1-C68*(1+C91)/訂閱與廣告!C16,0)</f>
        <v>-0.267648446187098</v>
      </c>
      <c r="D94" s="14" t="n">
        <f aca="false">IFERROR(1-D68*(1+D91)/訂閱與廣告!D16,0)</f>
        <v>-1.23231389412273</v>
      </c>
      <c r="E94" s="14" t="n">
        <f aca="false">IFERROR(1-E68*(1+E91)/訂閱與廣告!E16,0)</f>
        <v>-4.62657249292252</v>
      </c>
      <c r="F94" s="14" t="n">
        <f aca="false">IFERROR(1-F68*(1+F91)/訂閱與廣告!F16,0)</f>
        <v>-4.12283054678244</v>
      </c>
      <c r="G94" s="14" t="n">
        <f aca="false">IFERROR(1-G68*(1+G91)/訂閱與廣告!G16,0)</f>
        <v>-3.72142524008348</v>
      </c>
      <c r="H94" s="14" t="n">
        <f aca="false">IFERROR(1-H68*(1+H91)/訂閱與廣告!H16,0)</f>
        <v>-3.13743860520496</v>
      </c>
    </row>
    <row r="95" customFormat="false" ht="15" hidden="false" customHeight="false" outlineLevel="0" collapsed="false">
      <c r="A95" s="8" t="s">
        <v>867</v>
      </c>
      <c r="B95" s="9" t="s">
        <v>17</v>
      </c>
      <c r="C95" s="14" t="n">
        <f aca="false">IFERROR(1-C69*(1+C91)/訂閱與廣告!C17,0)</f>
        <v>0.681208543623185</v>
      </c>
      <c r="D95" s="14" t="n">
        <f aca="false">IFERROR(1-D69*(1+D91)/訂閱與廣告!D17,0)</f>
        <v>0.572733125389686</v>
      </c>
      <c r="E95" s="14" t="n">
        <f aca="false">IFERROR(1-E69*(1+E91)/訂閱與廣告!E17,0)</f>
        <v>-0.0769310042592022</v>
      </c>
      <c r="F95" s="14" t="n">
        <f aca="false">IFERROR(1-F69*(1+F91)/訂閱與廣告!F17,0)</f>
        <v>0.0194856544840226</v>
      </c>
      <c r="G95" s="14" t="n">
        <f aca="false">IFERROR(1-G69*(1+G91)/訂閱與廣告!G17,0)</f>
        <v>0.0963149889682123</v>
      </c>
      <c r="H95" s="14" t="n">
        <f aca="false">IFERROR(1-H69*(1+H91)/訂閱與廣告!H17,0)</f>
        <v>0.208090552859865</v>
      </c>
    </row>
    <row r="96" customFormat="false" ht="17.15" hidden="false" customHeight="false" outlineLevel="0" collapsed="false">
      <c r="A96" s="9" t="s">
        <v>898</v>
      </c>
      <c r="B96" s="9" t="s">
        <v>17</v>
      </c>
      <c r="C96" s="14" t="n">
        <f aca="false">1-C74*(1+C91)/API!C25</f>
        <v>-0.214285714285714</v>
      </c>
      <c r="D96" s="14" t="n">
        <f aca="false">1-D74*(1+D91)/API!D25</f>
        <v>0.660882905107905</v>
      </c>
      <c r="E96" s="14" t="n">
        <f aca="false">1-E74*(1+E91)/API!E25</f>
        <v>-0.0521458790659577</v>
      </c>
      <c r="F96" s="14" t="n">
        <f aca="false">1-F74*(1+F91)/API!F25</f>
        <v>-0.172245757317266</v>
      </c>
      <c r="G96" s="14" t="n">
        <f aca="false">1-G74*(1+G91)/API!G25</f>
        <v>-0.314259234757608</v>
      </c>
      <c r="H96" s="14" t="n">
        <f aca="false">1-H74*(1+H91)/API!H25</f>
        <v>-0.392756895361446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70"/>
  </cols>
  <sheetData>
    <row r="1" customFormat="false" ht="20.1" hidden="false" customHeight="false" outlineLevel="0" collapsed="false">
      <c r="A1" s="37" t="s">
        <v>909</v>
      </c>
    </row>
    <row r="3" customFormat="false" ht="17.15" hidden="false" customHeight="false" outlineLevel="0" collapsed="false">
      <c r="A3" s="3" t="s">
        <v>1</v>
      </c>
      <c r="B3" s="3" t="s">
        <v>2</v>
      </c>
      <c r="C3" s="4" t="n">
        <v>2025</v>
      </c>
      <c r="D3" s="4" t="n">
        <v>2026</v>
      </c>
      <c r="E3" s="4" t="n">
        <v>2027</v>
      </c>
      <c r="F3" s="4" t="n">
        <v>2028</v>
      </c>
      <c r="G3" s="4" t="n">
        <v>2029</v>
      </c>
      <c r="H3" s="4" t="n">
        <v>2030</v>
      </c>
      <c r="I3" s="5" t="s">
        <v>3</v>
      </c>
      <c r="J3" s="3" t="s">
        <v>4</v>
      </c>
    </row>
    <row r="4" customFormat="false" ht="17.15" hidden="false" customHeight="false" outlineLevel="0" collapsed="false">
      <c r="A4" s="8" t="s">
        <v>910</v>
      </c>
      <c r="B4" s="9" t="s">
        <v>20</v>
      </c>
      <c r="C4" s="15" t="n">
        <f aca="false">算力MW!C34</f>
        <v>0.22126354042037</v>
      </c>
      <c r="D4" s="15" t="n">
        <f aca="false">算力MW!D34</f>
        <v>0.741401840536142</v>
      </c>
      <c r="E4" s="15" t="n">
        <f aca="false">算力MW!E34</f>
        <v>4.65512955264487</v>
      </c>
      <c r="F4" s="15" t="n">
        <f aca="false">算力MW!F34</f>
        <v>7.38454300661491</v>
      </c>
      <c r="G4" s="15" t="n">
        <f aca="false">算力MW!G34</f>
        <v>10.0536223292728</v>
      </c>
      <c r="H4" s="15" t="n">
        <f aca="false">算力MW!H34</f>
        <v>12.4463877886471</v>
      </c>
    </row>
    <row r="5" customFormat="false" ht="17.15" hidden="false" customHeight="false" outlineLevel="0" collapsed="false">
      <c r="A5" s="8" t="s">
        <v>911</v>
      </c>
      <c r="B5" s="9" t="s">
        <v>28</v>
      </c>
      <c r="C5" s="10" t="n">
        <f aca="false">算力MW!C42</f>
        <v>54.2339690362076</v>
      </c>
      <c r="D5" s="10" t="n">
        <f aca="false">算力MW!D42</f>
        <v>27.7586251565855</v>
      </c>
      <c r="E5" s="10" t="n">
        <f aca="false">算力MW!E42</f>
        <v>19.9123934393732</v>
      </c>
      <c r="F5" s="10" t="n">
        <f aca="false">算力MW!F42</f>
        <v>15.1417790011712</v>
      </c>
      <c r="G5" s="10" t="n">
        <f aca="false">算力MW!G42</f>
        <v>13.0203967082915</v>
      </c>
      <c r="H5" s="10" t="n">
        <f aca="false">算力MW!H42</f>
        <v>11.4002921460753</v>
      </c>
    </row>
    <row r="6" customFormat="false" ht="17.15" hidden="false" customHeight="false" outlineLevel="0" collapsed="false">
      <c r="A6" s="12" t="s">
        <v>33</v>
      </c>
      <c r="B6" s="9" t="s">
        <v>7</v>
      </c>
      <c r="C6" s="13" t="n">
        <f aca="false">算力MW!C45</f>
        <v>12</v>
      </c>
      <c r="D6" s="13" t="n">
        <f aca="false">算力MW!D45</f>
        <v>20.5802957818453</v>
      </c>
      <c r="E6" s="13" t="n">
        <f aca="false">算力MW!E45</f>
        <v>92.6947711635182</v>
      </c>
      <c r="F6" s="13" t="n">
        <f aca="false">算力MW!F45</f>
        <v>111.815118230807</v>
      </c>
      <c r="G6" s="13" t="n">
        <f aca="false">算力MW!G45</f>
        <v>130.902151082469</v>
      </c>
      <c r="H6" s="13" t="n">
        <f aca="false">算力MW!H45</f>
        <v>141.892456953922</v>
      </c>
      <c r="I6" s="11" t="n">
        <f aca="false">SUM(D6:H6)</f>
        <v>497.884793212562</v>
      </c>
      <c r="J6" s="9" t="s">
        <v>912</v>
      </c>
    </row>
    <row r="7" customFormat="false" ht="15" hidden="false" customHeight="false" outlineLevel="0" collapsed="false">
      <c r="A7" s="6" t="s">
        <v>913</v>
      </c>
      <c r="B7" s="7"/>
      <c r="C7" s="7"/>
      <c r="D7" s="7"/>
      <c r="E7" s="7"/>
      <c r="F7" s="7"/>
      <c r="G7" s="7"/>
      <c r="H7" s="7"/>
      <c r="I7" s="7"/>
      <c r="J7" s="7"/>
    </row>
    <row r="8" customFormat="false" ht="17.15" hidden="false" customHeight="false" outlineLevel="0" collapsed="false">
      <c r="A8" s="8" t="s">
        <v>914</v>
      </c>
      <c r="B8" s="9" t="s">
        <v>7</v>
      </c>
      <c r="C8" s="49" t="n">
        <f aca="false">輸入!$C$122</f>
        <v>8.4</v>
      </c>
      <c r="D8" s="10" t="n">
        <f aca="false">輸入!$C$126*(輸入!$C$128/輸入!$C$126)^((D$3-2026)/4)</f>
        <v>14.1</v>
      </c>
      <c r="E8" s="10" t="n">
        <f aca="false">輸入!$C$126*(輸入!$C$128/輸入!$C$126)^((E$3-2026)/4)</f>
        <v>22.0937311996369</v>
      </c>
      <c r="F8" s="10" t="n">
        <f aca="false">輸入!$C$126*(輸入!$C$128/輸入!$C$126)^((F$3-2026)/4)</f>
        <v>34.6193587462275</v>
      </c>
      <c r="G8" s="10" t="n">
        <f aca="false">輸入!$C$126*(輸入!$C$128/輸入!$C$126)^((G$3-2026)/4)</f>
        <v>54.2461564853155</v>
      </c>
      <c r="H8" s="10" t="n">
        <f aca="false">輸入!$C$126*(輸入!$C$128/輸入!$C$126)^((H$3-2026)/4)</f>
        <v>85</v>
      </c>
      <c r="I8" s="11" t="n">
        <f aca="false">SUM(D8:H8)</f>
        <v>210.05924643118</v>
      </c>
      <c r="J8" s="9" t="s">
        <v>915</v>
      </c>
    </row>
    <row r="9" customFormat="false" ht="17.15" hidden="false" customHeight="false" outlineLevel="0" collapsed="false">
      <c r="A9" s="2" t="s">
        <v>916</v>
      </c>
      <c r="B9" s="38" t="s">
        <v>7</v>
      </c>
      <c r="C9" s="11" t="n">
        <f aca="false">輸入!$C$134-I8</f>
        <v>645.94075356882</v>
      </c>
    </row>
    <row r="10" customFormat="false" ht="17.15" hidden="false" customHeight="false" outlineLevel="0" collapsed="false">
      <c r="A10" s="2" t="s">
        <v>917</v>
      </c>
      <c r="C10" s="43" t="n">
        <f aca="false">I6/C9</f>
        <v>0.770790185418322</v>
      </c>
    </row>
    <row r="11" customFormat="false" ht="15" hidden="false" customHeight="false" outlineLevel="0" collapsed="false">
      <c r="A11" s="6" t="s">
        <v>918</v>
      </c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7.15" hidden="false" customHeight="false" outlineLevel="0" collapsed="false">
      <c r="A12" s="8" t="s">
        <v>908</v>
      </c>
      <c r="B12" s="9" t="s">
        <v>26</v>
      </c>
      <c r="C12" s="15" t="n">
        <f aca="false">算力MW!C45/算力MW!C44</f>
        <v>1.42857142857143</v>
      </c>
      <c r="D12" s="15" t="n">
        <f aca="false">算力MW!D45/算力MW!D44</f>
        <v>2.20433677845214</v>
      </c>
      <c r="E12" s="15" t="n">
        <f aca="false">算力MW!E45/算力MW!E44</f>
        <v>7.90042557557302</v>
      </c>
      <c r="F12" s="15" t="n">
        <f aca="false">算力MW!F45/算力MW!F44</f>
        <v>7.42428169901803</v>
      </c>
      <c r="G12" s="15" t="n">
        <f aca="false">算力MW!G45/算力MW!G44</f>
        <v>6.13769799978856</v>
      </c>
      <c r="H12" s="15" t="n">
        <f aca="false">算力MW!H45/算力MW!H44</f>
        <v>4.64721502127089</v>
      </c>
    </row>
    <row r="13" customFormat="false" ht="17.15" hidden="false" customHeight="false" outlineLevel="0" collapsed="false">
      <c r="A13" s="8" t="s">
        <v>919</v>
      </c>
      <c r="B13" s="9" t="s">
        <v>17</v>
      </c>
      <c r="C13" s="14" t="n">
        <f aca="false">C6/營收彙總!C22</f>
        <v>0.918133129303749</v>
      </c>
      <c r="D13" s="14" t="n">
        <f aca="false">D6/營收彙總!D22</f>
        <v>0.625464269211983</v>
      </c>
      <c r="E13" s="14" t="n">
        <f aca="false">E6/營收彙總!E22</f>
        <v>1.76327702470936</v>
      </c>
      <c r="F13" s="14" t="n">
        <f aca="false">F6/營收彙總!F22</f>
        <v>1.493184844527</v>
      </c>
      <c r="G13" s="14" t="n">
        <f aca="false">G6/營收彙總!G22</f>
        <v>1.34716607465167</v>
      </c>
      <c r="H13" s="14" t="n">
        <f aca="false">H6/營收彙總!H22</f>
        <v>1.18360793967782</v>
      </c>
    </row>
    <row r="14" customFormat="false" ht="17.15" hidden="false" customHeight="false" outlineLevel="0" collapsed="false">
      <c r="A14" s="8" t="s">
        <v>920</v>
      </c>
      <c r="B14" s="9" t="s">
        <v>17</v>
      </c>
      <c r="C14" s="14" t="n">
        <f aca="false">算力MW!C34/算力MW!C22</f>
        <v>0.588235294117647</v>
      </c>
      <c r="D14" s="14" t="n">
        <f aca="false">算力MW!D34/算力MW!D22</f>
        <v>0.61913064630031</v>
      </c>
      <c r="E14" s="14" t="n">
        <f aca="false">算力MW!E34/算力MW!E22</f>
        <v>0.79888123973869</v>
      </c>
      <c r="F14" s="14" t="n">
        <f aca="false">算力MW!F34/算力MW!F22</f>
        <v>0.793165965698309</v>
      </c>
      <c r="G14" s="14" t="n">
        <f aca="false">算力MW!G34/算力MW!G22</f>
        <v>0.773908926936015</v>
      </c>
      <c r="H14" s="14" t="n">
        <f aca="false">算力MW!H34/算力MW!H22</f>
        <v>0.740629408193234</v>
      </c>
      <c r="J14" s="8" t="s">
        <v>921</v>
      </c>
    </row>
    <row r="15" customFormat="false" ht="17.15" hidden="false" customHeight="false" outlineLevel="0" collapsed="false">
      <c r="A15" s="8" t="s">
        <v>922</v>
      </c>
      <c r="B15" s="9" t="s">
        <v>17</v>
      </c>
      <c r="C15" s="14" t="n">
        <f aca="false">C6/輸入!$C$133</f>
        <v>0.625651720542232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70"/>
  </cols>
  <sheetData>
    <row r="1" customFormat="false" ht="20.1" hidden="false" customHeight="false" outlineLevel="0" collapsed="false">
      <c r="A1" s="37" t="s">
        <v>923</v>
      </c>
    </row>
    <row r="3" customFormat="false" ht="15" hidden="false" customHeight="false" outlineLevel="0" collapsed="false">
      <c r="A3" s="3" t="s">
        <v>1</v>
      </c>
      <c r="B3" s="3" t="s">
        <v>2</v>
      </c>
      <c r="C3" s="4" t="n">
        <v>2025</v>
      </c>
      <c r="D3" s="4" t="n">
        <v>2026</v>
      </c>
      <c r="E3" s="4" t="n">
        <v>2027</v>
      </c>
      <c r="F3" s="4" t="n">
        <v>2028</v>
      </c>
      <c r="G3" s="4" t="n">
        <v>2029</v>
      </c>
      <c r="H3" s="4" t="n">
        <v>2030</v>
      </c>
      <c r="I3" s="3"/>
      <c r="J3" s="3" t="s">
        <v>4</v>
      </c>
    </row>
    <row r="4" customFormat="false" ht="17.15" hidden="false" customHeight="false" outlineLevel="0" collapsed="false">
      <c r="A4" s="12" t="s">
        <v>924</v>
      </c>
      <c r="B4" s="9" t="s">
        <v>7</v>
      </c>
      <c r="C4" s="49" t="n">
        <f aca="false">輸入!C$158</f>
        <v>13.07</v>
      </c>
      <c r="D4" s="49" t="n">
        <f aca="false">輸入!D$158</f>
        <v>36</v>
      </c>
      <c r="E4" s="49" t="n">
        <f aca="false">輸入!E$158</f>
        <v>75.1</v>
      </c>
      <c r="F4" s="49" t="n">
        <f aca="false">輸入!F$158</f>
        <v>141.5</v>
      </c>
      <c r="G4" s="49" t="n">
        <f aca="false">輸入!G$158</f>
        <v>237.4</v>
      </c>
      <c r="H4" s="49" t="n">
        <f aca="false">輸入!H$158</f>
        <v>350</v>
      </c>
      <c r="J4" s="9" t="s">
        <v>925</v>
      </c>
    </row>
    <row r="5" customFormat="false" ht="15" hidden="false" customHeight="false" outlineLevel="0" collapsed="false">
      <c r="A5" s="8" t="s">
        <v>926</v>
      </c>
      <c r="B5" s="9" t="s">
        <v>7</v>
      </c>
      <c r="C5" s="10" t="n">
        <f aca="false">營收彙總!C22</f>
        <v>13.07</v>
      </c>
      <c r="D5" s="10" t="n">
        <f aca="false">營收彙總!D22</f>
        <v>32.9040311251901</v>
      </c>
      <c r="E5" s="10" t="n">
        <f aca="false">營收彙總!E22</f>
        <v>52.5696018632109</v>
      </c>
      <c r="F5" s="10" t="n">
        <f aca="false">營收彙總!F22</f>
        <v>74.8836412589141</v>
      </c>
      <c r="G5" s="10" t="n">
        <f aca="false">營收彙總!G22</f>
        <v>97.168532926659</v>
      </c>
      <c r="H5" s="10" t="n">
        <f aca="false">營收彙總!H22</f>
        <v>119.881298694689</v>
      </c>
    </row>
    <row r="6" customFormat="false" ht="15" hidden="false" customHeight="false" outlineLevel="0" collapsed="false">
      <c r="A6" s="8" t="s">
        <v>927</v>
      </c>
      <c r="B6" s="9" t="s">
        <v>7</v>
      </c>
      <c r="C6" s="10" t="n">
        <f aca="false">C4-C5</f>
        <v>0</v>
      </c>
      <c r="D6" s="10" t="n">
        <f aca="false">D4-D5</f>
        <v>3.09596887480995</v>
      </c>
      <c r="E6" s="10" t="n">
        <f aca="false">E4-E5</f>
        <v>22.5303981367891</v>
      </c>
      <c r="F6" s="10" t="n">
        <f aca="false">F4-F5</f>
        <v>66.616358741086</v>
      </c>
      <c r="G6" s="10" t="n">
        <f aca="false">G4-G5</f>
        <v>140.231467073341</v>
      </c>
      <c r="H6" s="10" t="n">
        <f aca="false">H4-H5</f>
        <v>230.118701305311</v>
      </c>
    </row>
    <row r="7" customFormat="false" ht="15" hidden="false" customHeight="false" outlineLevel="0" collapsed="false">
      <c r="A7" s="8" t="s">
        <v>928</v>
      </c>
      <c r="B7" s="9" t="s">
        <v>7</v>
      </c>
      <c r="C7" s="10" t="n">
        <f aca="false">C4-營收彙總!C21</f>
        <v>13.07</v>
      </c>
      <c r="D7" s="10" t="n">
        <f aca="false">D4-營收彙總!D21</f>
        <v>35.25705</v>
      </c>
      <c r="E7" s="10" t="n">
        <f aca="false">E4-營收彙總!E21</f>
        <v>73.2415730434783</v>
      </c>
      <c r="F7" s="10" t="n">
        <f aca="false">F4-營收彙總!F21</f>
        <v>138.589392173913</v>
      </c>
      <c r="G7" s="10" t="n">
        <f aca="false">G4-營收彙總!G21</f>
        <v>233.243193478261</v>
      </c>
      <c r="H7" s="10" t="n">
        <f aca="false">H4-營收彙總!H21</f>
        <v>344.423842934783</v>
      </c>
    </row>
    <row r="8" customFormat="false" ht="17.15" hidden="false" customHeight="false" outlineLevel="0" collapsed="false">
      <c r="A8" s="6" t="s">
        <v>929</v>
      </c>
      <c r="B8" s="7"/>
      <c r="C8" s="7"/>
      <c r="D8" s="7"/>
      <c r="E8" s="7"/>
      <c r="F8" s="7"/>
      <c r="G8" s="7"/>
      <c r="H8" s="7"/>
      <c r="I8" s="7"/>
      <c r="J8" s="7"/>
    </row>
    <row r="9" customFormat="false" ht="17.15" hidden="false" customHeight="false" outlineLevel="0" collapsed="false">
      <c r="A9" s="8" t="s">
        <v>930</v>
      </c>
      <c r="B9" s="9" t="s">
        <v>26</v>
      </c>
      <c r="C9" s="17" t="n">
        <f aca="false">(C7-營收彙總!C18)/營收彙總!C19</f>
        <v>1</v>
      </c>
      <c r="D9" s="17" t="n">
        <f aca="false">(D7-營收彙總!D18)/營收彙總!D19</f>
        <v>1.2143921639132</v>
      </c>
      <c r="E9" s="17" t="n">
        <f aca="false">(E7-營收彙總!E18)/營收彙總!E19</f>
        <v>1.9356541442449</v>
      </c>
      <c r="F9" s="17" t="n">
        <f aca="false">(F7-營收彙總!F18)/營收彙總!F19</f>
        <v>2.829681843772</v>
      </c>
      <c r="G9" s="17" t="n">
        <f aca="false">(G7-營收彙總!G18)/營收彙總!G19</f>
        <v>3.80115710673556</v>
      </c>
      <c r="H9" s="17" t="n">
        <f aca="false">(H7-營收彙總!H18)/營收彙總!H19</f>
        <v>4.54681799154662</v>
      </c>
    </row>
    <row r="10" customFormat="false" ht="15" hidden="false" customHeight="false" outlineLevel="0" collapsed="false">
      <c r="A10" s="8" t="s">
        <v>931</v>
      </c>
      <c r="B10" s="9" t="s">
        <v>26</v>
      </c>
      <c r="C10" s="17" t="n">
        <f aca="false">(C7-營收彙總!C19)/營收彙總!C18</f>
        <v>1</v>
      </c>
      <c r="D10" s="17" t="n">
        <f aca="false">(D7-營收彙總!D19)/營收彙總!D18</f>
        <v>1.17471213261608</v>
      </c>
      <c r="E10" s="17" t="n">
        <f aca="false">(E7-營收彙總!E19)/營收彙總!E18</f>
        <v>1.84601071040551</v>
      </c>
      <c r="F10" s="17" t="n">
        <f aca="false">(F7-營收彙總!F19)/營收彙總!F18</f>
        <v>2.87312327308607</v>
      </c>
      <c r="G10" s="17" t="n">
        <f aca="false">(G7-營收彙總!G19)/營收彙總!G18</f>
        <v>4.26501258263889</v>
      </c>
      <c r="H10" s="17" t="n">
        <f aca="false">(H7-營收彙總!H19)/營收彙總!H18</f>
        <v>5.65593427454518</v>
      </c>
    </row>
    <row r="11" customFormat="false" ht="15" hidden="false" customHeight="false" outlineLevel="0" collapsed="false">
      <c r="A11" s="12" t="s">
        <v>932</v>
      </c>
      <c r="B11" s="9" t="s">
        <v>26</v>
      </c>
      <c r="C11" s="61" t="n">
        <f aca="false">C7/營收彙總!C20</f>
        <v>1</v>
      </c>
      <c r="D11" s="61" t="n">
        <f aca="false">D7/營收彙總!D20</f>
        <v>1.09626445276384</v>
      </c>
      <c r="E11" s="61" t="n">
        <f aca="false">E7/營收彙總!E20</f>
        <v>1.44428862431695</v>
      </c>
      <c r="F11" s="61" t="n">
        <f aca="false">F7/營收彙總!F20</f>
        <v>1.92557386515131</v>
      </c>
      <c r="G11" s="61" t="n">
        <f aca="false">G7/營收彙總!G20</f>
        <v>2.507675134024</v>
      </c>
      <c r="H11" s="61" t="n">
        <f aca="false">H7/營收彙總!H20</f>
        <v>3.01319641465698</v>
      </c>
    </row>
    <row r="12" customFormat="false" ht="15" hidden="false" customHeight="false" outlineLevel="0" collapsed="false">
      <c r="A12" s="8" t="s">
        <v>933</v>
      </c>
      <c r="B12" s="9" t="s">
        <v>26</v>
      </c>
      <c r="C12" s="17" t="n">
        <f aca="false">(C4-輸入!C$159)/營收彙總!C20</f>
        <v>1</v>
      </c>
      <c r="D12" s="17" t="n">
        <f aca="false">(D4-輸入!D$159)/營收彙總!D20</f>
        <v>1.04163165005548</v>
      </c>
      <c r="E12" s="17" t="n">
        <f aca="false">(E4-輸入!E$159)/營收彙總!E20</f>
        <v>1.26402119686532</v>
      </c>
      <c r="F12" s="17" t="n">
        <f aca="false">(F4-輸入!F$159)/營收彙總!F20</f>
        <v>1.61866180211412</v>
      </c>
      <c r="G12" s="17" t="n">
        <f aca="false">(G4-輸入!G$159)/營收彙總!G20</f>
        <v>1.98254571899061</v>
      </c>
      <c r="H12" s="17" t="n">
        <f aca="false">(H4-輸入!H$159)/營收彙總!H20</f>
        <v>2.18712821169841</v>
      </c>
    </row>
    <row r="13" customFormat="false" ht="17.15" hidden="false" customHeight="false" outlineLevel="0" collapsed="false">
      <c r="A13" s="26" t="s">
        <v>934</v>
      </c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7.15" hidden="false" customHeight="false" outlineLevel="0" collapsed="false">
      <c r="A14" s="2" t="s">
        <v>935</v>
      </c>
      <c r="B14" s="38" t="s">
        <v>149</v>
      </c>
      <c r="H14" s="42" t="n">
        <f aca="false">訂閱與廣告!H8+訂閱與廣告!H9+訂閱與廣告!H10+訂閱與廣告!H11</f>
        <v>285.25</v>
      </c>
    </row>
    <row r="15" customFormat="false" ht="17.15" hidden="false" customHeight="false" outlineLevel="0" collapsed="false">
      <c r="A15" s="2" t="s">
        <v>936</v>
      </c>
      <c r="B15" s="38" t="s">
        <v>451</v>
      </c>
      <c r="H15" s="11" t="n">
        <f aca="false">營收彙總!H18*1000/12/H14</f>
        <v>14.4390351712838</v>
      </c>
    </row>
    <row r="16" customFormat="false" ht="17.15" hidden="false" customHeight="false" outlineLevel="0" collapsed="false">
      <c r="A16" s="2" t="s">
        <v>937</v>
      </c>
      <c r="B16" s="38" t="s">
        <v>149</v>
      </c>
      <c r="H16" s="42" t="n">
        <f aca="false">(H7-營收彙總!H19)*1000/12/H15</f>
        <v>1613.35525181401</v>
      </c>
    </row>
    <row r="17" customFormat="false" ht="17.15" hidden="false" customHeight="false" outlineLevel="0" collapsed="false">
      <c r="A17" s="2" t="s">
        <v>938</v>
      </c>
      <c r="B17" s="38" t="s">
        <v>77</v>
      </c>
      <c r="H17" s="42" t="n">
        <f aca="false">API!H24</f>
        <v>131760.387985667</v>
      </c>
    </row>
    <row r="18" customFormat="false" ht="17.15" hidden="false" customHeight="false" outlineLevel="0" collapsed="false">
      <c r="A18" s="2" t="s">
        <v>939</v>
      </c>
      <c r="B18" s="38" t="s">
        <v>77</v>
      </c>
      <c r="H18" s="42" t="n">
        <f aca="false">(H7-營收彙總!H18)/API!H18*1000</f>
        <v>599090.502666396</v>
      </c>
    </row>
    <row r="20" customFormat="false" ht="17.15" hidden="false" customHeight="false" outlineLevel="0" collapsed="false">
      <c r="A20" s="6" t="s">
        <v>940</v>
      </c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A21" s="12" t="s">
        <v>926</v>
      </c>
      <c r="B21" s="38" t="s">
        <v>7</v>
      </c>
      <c r="H21" s="11" t="n">
        <f aca="false">營收彙總!H22</f>
        <v>119.881298694689</v>
      </c>
    </row>
    <row r="22" customFormat="false" ht="15" hidden="false" customHeight="false" outlineLevel="0" collapsed="false">
      <c r="A22" s="8" t="s">
        <v>941</v>
      </c>
      <c r="B22" s="38" t="s">
        <v>7</v>
      </c>
      <c r="H22" s="11" t="n">
        <f aca="false">輸入!$H$159-營收彙總!H21</f>
        <v>94.4238429347826</v>
      </c>
    </row>
    <row r="23" customFormat="false" ht="15" hidden="false" customHeight="false" outlineLevel="0" collapsed="false">
      <c r="A23" s="8" t="s">
        <v>942</v>
      </c>
      <c r="B23" s="38" t="s">
        <v>7</v>
      </c>
      <c r="H23" s="11" t="n">
        <f aca="false">營收彙總!H18*(輸入!$C$160/(訂閱與廣告!H7+訂閱與廣告!H8+訂閱與廣告!H9+訂閱與廣告!H10+訂閱與廣告!H11)-1)</f>
        <v>14.2296716971335</v>
      </c>
    </row>
    <row r="24" customFormat="false" ht="15" hidden="false" customHeight="false" outlineLevel="0" collapsed="false">
      <c r="A24" s="8" t="s">
        <v>943</v>
      </c>
      <c r="B24" s="38" t="s">
        <v>7</v>
      </c>
      <c r="H24" s="11" t="n">
        <f aca="false">H4-SUM(H21:H23)</f>
        <v>121.465186673395</v>
      </c>
    </row>
    <row r="25" customFormat="false" ht="15" hidden="false" customHeight="false" outlineLevel="0" collapsed="false">
      <c r="A25" s="12" t="s">
        <v>944</v>
      </c>
      <c r="B25" s="38" t="s">
        <v>7</v>
      </c>
      <c r="H25" s="11" t="n">
        <f aca="false">SUM(H21:H24)</f>
        <v>350</v>
      </c>
    </row>
    <row r="26" customFormat="false" ht="17.15" hidden="false" customHeight="false" outlineLevel="0" collapsed="false">
      <c r="A26" s="8" t="s">
        <v>945</v>
      </c>
      <c r="B26" s="38" t="s">
        <v>26</v>
      </c>
      <c r="H26" s="56" t="n">
        <f aca="false">(營收彙總!H19+H24)/營收彙總!H19</f>
        <v>2.87214210316692</v>
      </c>
    </row>
    <row r="27" customFormat="false" ht="15" hidden="false" customHeight="false" outlineLevel="0" collapsed="false">
      <c r="A27" s="8" t="s">
        <v>946</v>
      </c>
      <c r="B27" s="38" t="s">
        <v>17</v>
      </c>
      <c r="H27" s="43" t="n">
        <f aca="false">H22/(H4-H21)</f>
        <v>0.410326680965861</v>
      </c>
    </row>
    <row r="28" customFormat="false" ht="17.15" hidden="false" customHeight="false" outlineLevel="0" collapsed="false">
      <c r="A28" s="8" t="s">
        <v>947</v>
      </c>
      <c r="B28" s="38" t="s">
        <v>17</v>
      </c>
      <c r="H28" s="43" t="n">
        <f aca="false">輸入!$H$159/H4</f>
        <v>0.285714285714286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70"/>
  </cols>
  <sheetData>
    <row r="1" customFormat="false" ht="20.1" hidden="false" customHeight="false" outlineLevel="0" collapsed="false">
      <c r="A1" s="37" t="s">
        <v>948</v>
      </c>
    </row>
    <row r="3" customFormat="false" ht="17.15" hidden="false" customHeight="false" outlineLevel="0" collapsed="false">
      <c r="A3" s="3" t="s">
        <v>1</v>
      </c>
      <c r="B3" s="3" t="s">
        <v>2</v>
      </c>
      <c r="C3" s="4" t="n">
        <v>2025</v>
      </c>
      <c r="D3" s="4" t="n">
        <v>2026</v>
      </c>
      <c r="E3" s="4" t="n">
        <v>2027</v>
      </c>
      <c r="F3" s="4" t="n">
        <v>2028</v>
      </c>
      <c r="G3" s="4" t="n">
        <v>2029</v>
      </c>
      <c r="H3" s="4" t="n">
        <v>2030</v>
      </c>
      <c r="I3" s="5" t="s">
        <v>3</v>
      </c>
      <c r="J3" s="5" t="s">
        <v>949</v>
      </c>
    </row>
    <row r="4" customFormat="false" ht="15" hidden="false" customHeight="false" outlineLevel="0" collapsed="false">
      <c r="A4" s="6" t="s">
        <v>950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9" t="s">
        <v>335</v>
      </c>
      <c r="B5" s="9" t="s">
        <v>7</v>
      </c>
      <c r="C5" s="10" t="n">
        <f aca="false">IF(AND(C$3&gt;=輸入!$D$164,C$3&lt;=輸入!$E$164),IF(輸入!$F$164&lt;&gt;"",輸入!$F$164,IF(輸入!$C$6="even",輸入!$C$164/(輸入!$E$164-輸入!$D$164+1),輸入!$C$164*(C$3-輸入!$D$164+1)/((輸入!$E$164-輸入!$D$164+1)*((輸入!$E$164-輸入!$D$164+1)+1)/2))),0)</f>
        <v>11.9047619047619</v>
      </c>
      <c r="D5" s="10" t="n">
        <f aca="false">IF(AND(D$3&gt;=輸入!$D$164,D$3&lt;=輸入!$E$164),IF(輸入!$F$164&lt;&gt;"",輸入!$F$164,IF(輸入!$C$6="even",輸入!$C$164/(輸入!$E$164-輸入!$D$164+1),輸入!$C$164*(D$3-輸入!$D$164+1)/((輸入!$E$164-輸入!$D$164+1)*((輸入!$E$164-輸入!$D$164+1)+1)/2))),0)</f>
        <v>23.8095238095238</v>
      </c>
      <c r="E5" s="10" t="n">
        <f aca="false">IF(AND(E$3&gt;=輸入!$D$164,E$3&lt;=輸入!$E$164),IF(輸入!$F$164&lt;&gt;"",輸入!$F$164,IF(輸入!$C$6="even",輸入!$C$164/(輸入!$E$164-輸入!$D$164+1),輸入!$C$164*(E$3-輸入!$D$164+1)/((輸入!$E$164-輸入!$D$164+1)*((輸入!$E$164-輸入!$D$164+1)+1)/2))),0)</f>
        <v>35.7142857142857</v>
      </c>
      <c r="F5" s="10" t="n">
        <f aca="false">IF(AND(F$3&gt;=輸入!$D$164,F$3&lt;=輸入!$E$164),IF(輸入!$F$164&lt;&gt;"",輸入!$F$164,IF(輸入!$C$6="even",輸入!$C$164/(輸入!$E$164-輸入!$D$164+1),輸入!$C$164*(F$3-輸入!$D$164+1)/((輸入!$E$164-輸入!$D$164+1)*((輸入!$E$164-輸入!$D$164+1)+1)/2))),0)</f>
        <v>47.6190476190476</v>
      </c>
      <c r="G5" s="10" t="n">
        <f aca="false">IF(AND(G$3&gt;=輸入!$D$164,G$3&lt;=輸入!$E$164),IF(輸入!$F$164&lt;&gt;"",輸入!$F$164,IF(輸入!$C$6="even",輸入!$C$164/(輸入!$E$164-輸入!$D$164+1),輸入!$C$164*(G$3-輸入!$D$164+1)/((輸入!$E$164-輸入!$D$164+1)*((輸入!$E$164-輸入!$D$164+1)+1)/2))),0)</f>
        <v>59.5238095238095</v>
      </c>
      <c r="H5" s="10" t="n">
        <f aca="false">IF(AND(H$3&gt;=輸入!$D$164,H$3&lt;=輸入!$E$164),IF(輸入!$F$164&lt;&gt;"",輸入!$F$164,IF(輸入!$C$6="even",輸入!$C$164/(輸入!$E$164-輸入!$D$164+1),輸入!$C$164*(H$3-輸入!$D$164+1)/((輸入!$E$164-輸入!$D$164+1)*((輸入!$E$164-輸入!$D$164+1)+1)/2))),0)</f>
        <v>71.4285714285714</v>
      </c>
      <c r="I5" s="11" t="n">
        <f aca="false">SUM(D5:H5)</f>
        <v>238.095238095238</v>
      </c>
      <c r="J5" s="11" t="n">
        <f aca="false">輸入!$C$164-SUM(C5:H5)</f>
        <v>0</v>
      </c>
    </row>
    <row r="6" customFormat="false" ht="15" hidden="false" customHeight="false" outlineLevel="0" collapsed="false">
      <c r="A6" s="9" t="s">
        <v>338</v>
      </c>
      <c r="B6" s="9" t="s">
        <v>7</v>
      </c>
      <c r="C6" s="10" t="n">
        <f aca="false">IF(AND(C$3&gt;=輸入!$D$165,C$3&lt;=輸入!$E$165),IF(輸入!$F$165&lt;&gt;"",輸入!$F$165,IF(輸入!$C$6="even",輸入!$C$165/(輸入!$E$165-輸入!$D$165+1),輸入!$C$165*(C$3-輸入!$D$165+1)/((輸入!$E$165-輸入!$D$165+1)*((輸入!$E$165-輸入!$D$165+1)+1)/2))),0)</f>
        <v>0</v>
      </c>
      <c r="D6" s="10" t="n">
        <f aca="false">IF(AND(D$3&gt;=輸入!$D$165,D$3&lt;=輸入!$E$165),IF(輸入!$F$165&lt;&gt;"",輸入!$F$165,IF(輸入!$C$6="even",輸入!$C$165/(輸入!$E$165-輸入!$D$165+1),輸入!$C$165*(D$3-輸入!$D$165+1)/((輸入!$E$165-輸入!$D$165+1)*((輸入!$E$165-輸入!$D$165+1)+1)/2))),0)</f>
        <v>0</v>
      </c>
      <c r="E6" s="10" t="n">
        <f aca="false">IF(AND(E$3&gt;=輸入!$D$165,E$3&lt;=輸入!$E$165),IF(輸入!$F$165&lt;&gt;"",輸入!$F$165,IF(輸入!$C$6="even",輸入!$C$165/(輸入!$E$165-輸入!$D$165+1),輸入!$C$165*(E$3-輸入!$D$165+1)/((輸入!$E$165-輸入!$D$165+1)*((輸入!$E$165-輸入!$D$165+1)+1)/2))),0)</f>
        <v>60</v>
      </c>
      <c r="F6" s="10" t="n">
        <f aca="false">IF(AND(F$3&gt;=輸入!$D$165,F$3&lt;=輸入!$E$165),IF(輸入!$F$165&lt;&gt;"",輸入!$F$165,IF(輸入!$C$6="even",輸入!$C$165/(輸入!$E$165-輸入!$D$165+1),輸入!$C$165*(F$3-輸入!$D$165+1)/((輸入!$E$165-輸入!$D$165+1)*((輸入!$E$165-輸入!$D$165+1)+1)/2))),0)</f>
        <v>60</v>
      </c>
      <c r="G6" s="10" t="n">
        <f aca="false">IF(AND(G$3&gt;=輸入!$D$165,G$3&lt;=輸入!$E$165),IF(輸入!$F$165&lt;&gt;"",輸入!$F$165,IF(輸入!$C$6="even",輸入!$C$165/(輸入!$E$165-輸入!$D$165+1),輸入!$C$165*(G$3-輸入!$D$165+1)/((輸入!$E$165-輸入!$D$165+1)*((輸入!$E$165-輸入!$D$165+1)+1)/2))),0)</f>
        <v>60</v>
      </c>
      <c r="H6" s="10" t="n">
        <f aca="false">IF(AND(H$3&gt;=輸入!$D$165,H$3&lt;=輸入!$E$165),IF(輸入!$F$165&lt;&gt;"",輸入!$F$165,IF(輸入!$C$6="even",輸入!$C$165/(輸入!$E$165-輸入!$D$165+1),輸入!$C$165*(H$3-輸入!$D$165+1)/((輸入!$E$165-輸入!$D$165+1)*((輸入!$E$165-輸入!$D$165+1)+1)/2))),0)</f>
        <v>60</v>
      </c>
      <c r="I6" s="11" t="n">
        <f aca="false">SUM(D6:H6)</f>
        <v>240</v>
      </c>
      <c r="J6" s="11" t="n">
        <f aca="false">輸入!$C$165-SUM(C6:H6)</f>
        <v>60</v>
      </c>
    </row>
    <row r="7" customFormat="false" ht="17.15" hidden="false" customHeight="false" outlineLevel="0" collapsed="false">
      <c r="A7" s="9" t="s">
        <v>340</v>
      </c>
      <c r="B7" s="9" t="s">
        <v>7</v>
      </c>
      <c r="C7" s="10" t="n">
        <f aca="false">IF(AND(C$3&gt;=輸入!$D$166,C$3&lt;=輸入!$E$166),IF(輸入!$F$166&lt;&gt;"",輸入!$F$166,IF(輸入!$C$6="even",輸入!$C$166/(輸入!$E$166-輸入!$D$166+1),輸入!$C$166*(C$3-輸入!$D$166+1)/((輸入!$E$166-輸入!$D$166+1)*((輸入!$E$166-輸入!$D$166+1)+1)/2))),0)</f>
        <v>1.35714285714286</v>
      </c>
      <c r="D7" s="10" t="n">
        <f aca="false">IF(AND(D$3&gt;=輸入!$D$166,D$3&lt;=輸入!$E$166),IF(輸入!$F$166&lt;&gt;"",輸入!$F$166,IF(輸入!$C$6="even",輸入!$C$166/(輸入!$E$166-輸入!$D$166+1),輸入!$C$166*(D$3-輸入!$D$166+1)/((輸入!$E$166-輸入!$D$166+1)*((輸入!$E$166-輸入!$D$166+1)+1)/2))),0)</f>
        <v>2.71428571428571</v>
      </c>
      <c r="E7" s="10" t="n">
        <f aca="false">IF(AND(E$3&gt;=輸入!$D$166,E$3&lt;=輸入!$E$166),IF(輸入!$F$166&lt;&gt;"",輸入!$F$166,IF(輸入!$C$6="even",輸入!$C$166/(輸入!$E$166-輸入!$D$166+1),輸入!$C$166*(E$3-輸入!$D$166+1)/((輸入!$E$166-輸入!$D$166+1)*((輸入!$E$166-輸入!$D$166+1)+1)/2))),0)</f>
        <v>4.07142857142857</v>
      </c>
      <c r="F7" s="10" t="n">
        <f aca="false">IF(AND(F$3&gt;=輸入!$D$166,F$3&lt;=輸入!$E$166),IF(輸入!$F$166&lt;&gt;"",輸入!$F$166,IF(輸入!$C$6="even",輸入!$C$166/(輸入!$E$166-輸入!$D$166+1),輸入!$C$166*(F$3-輸入!$D$166+1)/((輸入!$E$166-輸入!$D$166+1)*((輸入!$E$166-輸入!$D$166+1)+1)/2))),0)</f>
        <v>5.42857142857143</v>
      </c>
      <c r="G7" s="10" t="n">
        <f aca="false">IF(AND(G$3&gt;=輸入!$D$166,G$3&lt;=輸入!$E$166),IF(輸入!$F$166&lt;&gt;"",輸入!$F$166,IF(輸入!$C$6="even",輸入!$C$166/(輸入!$E$166-輸入!$D$166+1),輸入!$C$166*(G$3-輸入!$D$166+1)/((輸入!$E$166-輸入!$D$166+1)*((輸入!$E$166-輸入!$D$166+1)+1)/2))),0)</f>
        <v>6.78571428571429</v>
      </c>
      <c r="H7" s="10" t="n">
        <f aca="false">IF(AND(H$3&gt;=輸入!$D$166,H$3&lt;=輸入!$E$166),IF(輸入!$F$166&lt;&gt;"",輸入!$F$166,IF(輸入!$C$6="even",輸入!$C$166/(輸入!$E$166-輸入!$D$166+1),輸入!$C$166*(H$3-輸入!$D$166+1)/((輸入!$E$166-輸入!$D$166+1)*((輸入!$E$166-輸入!$D$166+1)+1)/2))),0)</f>
        <v>8.14285714285714</v>
      </c>
      <c r="I7" s="11" t="n">
        <f aca="false">SUM(D7:H7)</f>
        <v>27.1428571428571</v>
      </c>
      <c r="J7" s="11" t="n">
        <f aca="false">輸入!$C$166-SUM(C7:H7)</f>
        <v>9.5</v>
      </c>
    </row>
    <row r="8" customFormat="false" ht="17.15" hidden="false" customHeight="false" outlineLevel="0" collapsed="false">
      <c r="A8" s="9" t="s">
        <v>342</v>
      </c>
      <c r="B8" s="9" t="s">
        <v>7</v>
      </c>
      <c r="C8" s="10" t="n">
        <f aca="false">IF(AND(C$3&gt;=輸入!$D$167,C$3&lt;=輸入!$E$167),IF(輸入!$F$167&lt;&gt;"",輸入!$F$167,IF(輸入!$C$6="even",輸入!$C$167/(輸入!$E$167-輸入!$D$167+1),輸入!$C$167*(C$3-輸入!$D$167+1)/((輸入!$E$167-輸入!$D$167+1)*((輸入!$E$167-輸入!$D$167+1)+1)/2))),0)</f>
        <v>0</v>
      </c>
      <c r="D8" s="10" t="n">
        <f aca="false">IF(AND(D$3&gt;=輸入!$D$167,D$3&lt;=輸入!$E$167),IF(輸入!$F$167&lt;&gt;"",輸入!$F$167,IF(輸入!$C$6="even",輸入!$C$167/(輸入!$E$167-輸入!$D$167+1),輸入!$C$167*(D$3-輸入!$D$167+1)/((輸入!$E$167-輸入!$D$167+1)*((輸入!$E$167-輸入!$D$167+1)+1)/2))),0)</f>
        <v>2.77777777777778</v>
      </c>
      <c r="E8" s="10" t="n">
        <f aca="false">IF(AND(E$3&gt;=輸入!$D$167,E$3&lt;=輸入!$E$167),IF(輸入!$F$167&lt;&gt;"",輸入!$F$167,IF(輸入!$C$6="even",輸入!$C$167/(輸入!$E$167-輸入!$D$167+1),輸入!$C$167*(E$3-輸入!$D$167+1)/((輸入!$E$167-輸入!$D$167+1)*((輸入!$E$167-輸入!$D$167+1)+1)/2))),0)</f>
        <v>5.55555555555556</v>
      </c>
      <c r="F8" s="10" t="n">
        <f aca="false">IF(AND(F$3&gt;=輸入!$D$167,F$3&lt;=輸入!$E$167),IF(輸入!$F$167&lt;&gt;"",輸入!$F$167,IF(輸入!$C$6="even",輸入!$C$167/(輸入!$E$167-輸入!$D$167+1),輸入!$C$167*(F$3-輸入!$D$167+1)/((輸入!$E$167-輸入!$D$167+1)*((輸入!$E$167-輸入!$D$167+1)+1)/2))),0)</f>
        <v>8.33333333333333</v>
      </c>
      <c r="G8" s="10" t="n">
        <f aca="false">IF(AND(G$3&gt;=輸入!$D$167,G$3&lt;=輸入!$E$167),IF(輸入!$F$167&lt;&gt;"",輸入!$F$167,IF(輸入!$C$6="even",輸入!$C$167/(輸入!$E$167-輸入!$D$167+1),輸入!$C$167*(G$3-輸入!$D$167+1)/((輸入!$E$167-輸入!$D$167+1)*((輸入!$E$167-輸入!$D$167+1)+1)/2))),0)</f>
        <v>11.1111111111111</v>
      </c>
      <c r="H8" s="10" t="n">
        <f aca="false">IF(AND(H$3&gt;=輸入!$D$167,H$3&lt;=輸入!$E$167),IF(輸入!$F$167&lt;&gt;"",輸入!$F$167,IF(輸入!$C$6="even",輸入!$C$167/(輸入!$E$167-輸入!$D$167+1),輸入!$C$167*(H$3-輸入!$D$167+1)/((輸入!$E$167-輸入!$D$167+1)*((輸入!$E$167-輸入!$D$167+1)+1)/2))),0)</f>
        <v>13.8888888888889</v>
      </c>
      <c r="I8" s="11" t="n">
        <f aca="false">SUM(D8:H8)</f>
        <v>41.6666666666667</v>
      </c>
      <c r="J8" s="11" t="n">
        <f aca="false">輸入!$C$167-SUM(C8:H8)</f>
        <v>58.3333333333333</v>
      </c>
    </row>
    <row r="9" customFormat="false" ht="15" hidden="false" customHeight="false" outlineLevel="0" collapsed="false">
      <c r="A9" s="9" t="s">
        <v>344</v>
      </c>
      <c r="B9" s="9" t="s">
        <v>7</v>
      </c>
      <c r="C9" s="10" t="n">
        <f aca="false">IF(AND(C$3&gt;=輸入!$D$168,C$3&lt;=輸入!$E$168),IF(輸入!$F$168&lt;&gt;"",輸入!$F$168,IF(輸入!$C$6="even",輸入!$C$168/(輸入!$E$168-輸入!$D$168+1),輸入!$C$168*(C$3-輸入!$D$168+1)/((輸入!$E$168-輸入!$D$168+1)*((輸入!$E$168-輸入!$D$168+1)+1)/2))),0)</f>
        <v>1.49333333333333</v>
      </c>
      <c r="D9" s="10" t="n">
        <f aca="false">IF(AND(D$3&gt;=輸入!$D$168,D$3&lt;=輸入!$E$168),IF(輸入!$F$168&lt;&gt;"",輸入!$F$168,IF(輸入!$C$6="even",輸入!$C$168/(輸入!$E$168-輸入!$D$168+1),輸入!$C$168*(D$3-輸入!$D$168+1)/((輸入!$E$168-輸入!$D$168+1)*((輸入!$E$168-輸入!$D$168+1)+1)/2))),0)</f>
        <v>2.98666666666667</v>
      </c>
      <c r="E9" s="10" t="n">
        <f aca="false">IF(AND(E$3&gt;=輸入!$D$168,E$3&lt;=輸入!$E$168),IF(輸入!$F$168&lt;&gt;"",輸入!$F$168,IF(輸入!$C$6="even",輸入!$C$168/(輸入!$E$168-輸入!$D$168+1),輸入!$C$168*(E$3-輸入!$D$168+1)/((輸入!$E$168-輸入!$D$168+1)*((輸入!$E$168-輸入!$D$168+1)+1)/2))),0)</f>
        <v>4.48</v>
      </c>
      <c r="F9" s="10" t="n">
        <f aca="false">IF(AND(F$3&gt;=輸入!$D$168,F$3&lt;=輸入!$E$168),IF(輸入!$F$168&lt;&gt;"",輸入!$F$168,IF(輸入!$C$6="even",輸入!$C$168/(輸入!$E$168-輸入!$D$168+1),輸入!$C$168*(F$3-輸入!$D$168+1)/((輸入!$E$168-輸入!$D$168+1)*((輸入!$E$168-輸入!$D$168+1)+1)/2))),0)</f>
        <v>5.97333333333333</v>
      </c>
      <c r="G9" s="10" t="n">
        <f aca="false">IF(AND(G$3&gt;=輸入!$D$168,G$3&lt;=輸入!$E$168),IF(輸入!$F$168&lt;&gt;"",輸入!$F$168,IF(輸入!$C$6="even",輸入!$C$168/(輸入!$E$168-輸入!$D$168+1),輸入!$C$168*(G$3-輸入!$D$168+1)/((輸入!$E$168-輸入!$D$168+1)*((輸入!$E$168-輸入!$D$168+1)+1)/2))),0)</f>
        <v>7.46666666666667</v>
      </c>
      <c r="H9" s="10" t="n">
        <f aca="false">IF(AND(H$3&gt;=輸入!$D$168,H$3&lt;=輸入!$E$168),IF(輸入!$F$168&lt;&gt;"",輸入!$F$168,IF(輸入!$C$6="even",輸入!$C$168/(輸入!$E$168-輸入!$D$168+1),輸入!$C$168*(H$3-輸入!$D$168+1)/((輸入!$E$168-輸入!$D$168+1)*((輸入!$E$168-輸入!$D$168+1)+1)/2))),0)</f>
        <v>0</v>
      </c>
      <c r="I9" s="11" t="n">
        <f aca="false">SUM(D9:H9)</f>
        <v>20.9066666666667</v>
      </c>
      <c r="J9" s="11" t="n">
        <f aca="false">輸入!$C$168-SUM(C9:H9)</f>
        <v>0</v>
      </c>
    </row>
    <row r="10" customFormat="false" ht="15" hidden="false" customHeight="false" outlineLevel="0" collapsed="false">
      <c r="A10" s="9" t="s">
        <v>346</v>
      </c>
      <c r="B10" s="9" t="s">
        <v>7</v>
      </c>
      <c r="C10" s="10" t="n">
        <f aca="false">IF(AND(C$3&gt;=輸入!$D$169,C$3&lt;=輸入!$E$169),IF(輸入!$F$169&lt;&gt;"",輸入!$F$169,IF(輸入!$C$6="even",輸入!$C$169/(輸入!$E$169-輸入!$D$169+1),輸入!$C$169*(C$3-輸入!$D$169+1)/((輸入!$E$169-輸入!$D$169+1)*((輸入!$E$169-輸入!$D$169+1)+1)/2))),0)</f>
        <v>0</v>
      </c>
      <c r="D10" s="10" t="n">
        <f aca="false">IF(AND(D$3&gt;=輸入!$D$169,D$3&lt;=輸入!$E$169),IF(輸入!$F$169&lt;&gt;"",輸入!$F$169,IF(輸入!$C$6="even",輸入!$C$169/(輸入!$E$169-輸入!$D$169+1),輸入!$C$169*(D$3-輸入!$D$169+1)/((輸入!$E$169-輸入!$D$169+1)*((輸入!$E$169-輸入!$D$169+1)+1)/2))),0)</f>
        <v>0.952380952380952</v>
      </c>
      <c r="E10" s="10" t="n">
        <f aca="false">IF(AND(E$3&gt;=輸入!$D$169,E$3&lt;=輸入!$E$169),IF(輸入!$F$169&lt;&gt;"",輸入!$F$169,IF(輸入!$C$6="even",輸入!$C$169/(輸入!$E$169-輸入!$D$169+1),輸入!$C$169*(E$3-輸入!$D$169+1)/((輸入!$E$169-輸入!$D$169+1)*((輸入!$E$169-輸入!$D$169+1)+1)/2))),0)</f>
        <v>1.9047619047619</v>
      </c>
      <c r="F10" s="10" t="n">
        <f aca="false">IF(AND(F$3&gt;=輸入!$D$169,F$3&lt;=輸入!$E$169),IF(輸入!$F$169&lt;&gt;"",輸入!$F$169,IF(輸入!$C$6="even",輸入!$C$169/(輸入!$E$169-輸入!$D$169+1),輸入!$C$169*(F$3-輸入!$D$169+1)/((輸入!$E$169-輸入!$D$169+1)*((輸入!$E$169-輸入!$D$169+1)+1)/2))),0)</f>
        <v>2.85714285714286</v>
      </c>
      <c r="G10" s="10" t="n">
        <f aca="false">IF(AND(G$3&gt;=輸入!$D$169,G$3&lt;=輸入!$E$169),IF(輸入!$F$169&lt;&gt;"",輸入!$F$169,IF(輸入!$C$6="even",輸入!$C$169/(輸入!$E$169-輸入!$D$169+1),輸入!$C$169*(G$3-輸入!$D$169+1)/((輸入!$E$169-輸入!$D$169+1)*((輸入!$E$169-輸入!$D$169+1)+1)/2))),0)</f>
        <v>3.80952380952381</v>
      </c>
      <c r="H10" s="10" t="n">
        <f aca="false">IF(AND(H$3&gt;=輸入!$D$169,H$3&lt;=輸入!$E$169),IF(輸入!$F$169&lt;&gt;"",輸入!$F$169,IF(輸入!$C$6="even",輸入!$C$169/(輸入!$E$169-輸入!$D$169+1),輸入!$C$169*(H$3-輸入!$D$169+1)/((輸入!$E$169-輸入!$D$169+1)*((輸入!$E$169-輸入!$D$169+1)+1)/2))),0)</f>
        <v>4.76190476190476</v>
      </c>
      <c r="I10" s="11" t="n">
        <f aca="false">SUM(D10:H10)</f>
        <v>14.2857142857143</v>
      </c>
      <c r="J10" s="11" t="n">
        <f aca="false">輸入!$C$169-SUM(C10:H10)</f>
        <v>5.71428571428572</v>
      </c>
    </row>
    <row r="11" customFormat="false" ht="15" hidden="false" customHeight="false" outlineLevel="0" collapsed="false">
      <c r="A11" s="12" t="s">
        <v>951</v>
      </c>
      <c r="B11" s="9" t="s">
        <v>7</v>
      </c>
      <c r="C11" s="13" t="n">
        <f aca="false">SUM(C5:C10)</f>
        <v>14.7552380952381</v>
      </c>
      <c r="D11" s="13" t="n">
        <f aca="false">SUM(D5:D10)</f>
        <v>33.2406349206349</v>
      </c>
      <c r="E11" s="13" t="n">
        <f aca="false">SUM(E5:E10)</f>
        <v>111.726031746032</v>
      </c>
      <c r="F11" s="13" t="n">
        <f aca="false">SUM(F5:F10)</f>
        <v>130.211428571429</v>
      </c>
      <c r="G11" s="13" t="n">
        <f aca="false">SUM(G5:G10)</f>
        <v>148.696825396825</v>
      </c>
      <c r="H11" s="13" t="n">
        <f aca="false">SUM(H5:H10)</f>
        <v>158.222222222222</v>
      </c>
      <c r="I11" s="11" t="n">
        <f aca="false">SUM(I5:I10)</f>
        <v>582.097142857143</v>
      </c>
      <c r="J11" s="11" t="n">
        <f aca="false">SUM(J5:J10)</f>
        <v>133.547619047619</v>
      </c>
    </row>
    <row r="12" customFormat="false" ht="15" hidden="false" customHeight="false" outlineLevel="0" collapsed="false">
      <c r="A12" s="8" t="s">
        <v>952</v>
      </c>
      <c r="B12" s="9" t="s">
        <v>7</v>
      </c>
      <c r="C12" s="10" t="n">
        <f aca="false">輸入!C$171*(1-輸入!$C$172)</f>
        <v>0</v>
      </c>
      <c r="D12" s="10" t="n">
        <f aca="false">輸入!D$171*(1-輸入!$C$172)</f>
        <v>20</v>
      </c>
      <c r="E12" s="10" t="n">
        <f aca="false">輸入!E$171*(1-輸入!$C$172)</f>
        <v>30</v>
      </c>
      <c r="F12" s="10" t="n">
        <f aca="false">輸入!F$171*(1-輸入!$C$172)</f>
        <v>45</v>
      </c>
      <c r="G12" s="10" t="n">
        <f aca="false">輸入!G$171*(1-輸入!$C$172)</f>
        <v>60</v>
      </c>
      <c r="H12" s="10" t="n">
        <f aca="false">輸入!H$171*(1-輸入!$C$172)</f>
        <v>70</v>
      </c>
    </row>
    <row r="13" customFormat="false" ht="15" hidden="false" customHeight="false" outlineLevel="0" collapsed="false">
      <c r="A13" s="8" t="s">
        <v>953</v>
      </c>
      <c r="B13" s="9" t="s">
        <v>7</v>
      </c>
      <c r="C13" s="62" t="str">
        <f aca="false">"不適用"</f>
        <v>不適用</v>
      </c>
      <c r="D13" s="62" t="str">
        <f aca="false">"不適用"</f>
        <v>不適用</v>
      </c>
      <c r="E13" s="62" t="str">
        <f aca="false">"不適用"</f>
        <v>不適用</v>
      </c>
      <c r="F13" s="62" t="str">
        <f aca="false">"不適用"</f>
        <v>不適用</v>
      </c>
      <c r="G13" s="62" t="str">
        <f aca="false">"不適用"</f>
        <v>不適用</v>
      </c>
      <c r="H13" s="62" t="str">
        <f aca="false">"不適用"</f>
        <v>不適用</v>
      </c>
    </row>
    <row r="14" customFormat="false" ht="15" hidden="false" customHeight="false" outlineLevel="0" collapsed="false">
      <c r="A14" s="12" t="s">
        <v>954</v>
      </c>
      <c r="B14" s="9" t="s">
        <v>7</v>
      </c>
      <c r="C14" s="13" t="n">
        <f aca="false">C11+C12</f>
        <v>14.7552380952381</v>
      </c>
      <c r="D14" s="13" t="n">
        <f aca="false">D11+D12</f>
        <v>53.2406349206349</v>
      </c>
      <c r="E14" s="13" t="n">
        <f aca="false">E11+E12</f>
        <v>141.726031746032</v>
      </c>
      <c r="F14" s="13" t="n">
        <f aca="false">F11+F12</f>
        <v>175.211428571429</v>
      </c>
      <c r="G14" s="13" t="n">
        <f aca="false">G11+G12</f>
        <v>208.696825396825</v>
      </c>
      <c r="H14" s="13" t="n">
        <f aca="false">H11+H12</f>
        <v>228.222222222222</v>
      </c>
      <c r="I14" s="11" t="n">
        <f aca="false">SUM(D14:H14)</f>
        <v>807.097142857143</v>
      </c>
    </row>
    <row r="15" customFormat="false" ht="17.15" hidden="false" customHeight="false" outlineLevel="0" collapsed="false">
      <c r="A15" s="6" t="s">
        <v>955</v>
      </c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7.15" hidden="false" customHeight="false" outlineLevel="0" collapsed="false">
      <c r="A16" s="6" t="s">
        <v>956</v>
      </c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7.15" hidden="false" customHeight="false" outlineLevel="0" collapsed="false">
      <c r="A17" s="8" t="s">
        <v>957</v>
      </c>
      <c r="B17" s="9" t="s">
        <v>7</v>
      </c>
      <c r="C17" s="10" t="n">
        <f aca="false">算力MW!C44</f>
        <v>8.4</v>
      </c>
      <c r="D17" s="10" t="n">
        <f aca="false">算力MW!D44</f>
        <v>9.33627564672609</v>
      </c>
      <c r="E17" s="10" t="n">
        <f aca="false">算力MW!E44</f>
        <v>11.7328832829104</v>
      </c>
      <c r="F17" s="10" t="n">
        <f aca="false">算力MW!F44</f>
        <v>15.0607321709784</v>
      </c>
      <c r="G17" s="10" t="n">
        <f aca="false">算力MW!G44</f>
        <v>21.3275646809241</v>
      </c>
      <c r="H17" s="10" t="n">
        <f aca="false">算力MW!H44</f>
        <v>30.532793577328</v>
      </c>
    </row>
    <row r="18" customFormat="false" ht="17.15" hidden="false" customHeight="false" outlineLevel="0" collapsed="false">
      <c r="A18" s="8" t="s">
        <v>958</v>
      </c>
      <c r="B18" s="9" t="s">
        <v>7</v>
      </c>
      <c r="C18" s="10" t="n">
        <f aca="false">算力MW!C45</f>
        <v>12</v>
      </c>
      <c r="D18" s="10" t="n">
        <f aca="false">算力MW!D45</f>
        <v>20.5802957818453</v>
      </c>
      <c r="E18" s="10" t="n">
        <f aca="false">算力MW!E45</f>
        <v>92.6947711635182</v>
      </c>
      <c r="F18" s="10" t="n">
        <f aca="false">算力MW!F45</f>
        <v>111.815118230807</v>
      </c>
      <c r="G18" s="10" t="n">
        <f aca="false">算力MW!G45</f>
        <v>130.902151082469</v>
      </c>
      <c r="H18" s="10" t="n">
        <f aca="false">算力MW!H45</f>
        <v>141.892456953922</v>
      </c>
    </row>
    <row r="19" customFormat="false" ht="17.15" hidden="false" customHeight="false" outlineLevel="0" collapsed="false">
      <c r="A19" s="8" t="s">
        <v>959</v>
      </c>
      <c r="B19" s="9" t="s">
        <v>7</v>
      </c>
      <c r="C19" s="10" t="n">
        <f aca="false">算力MW!C46</f>
        <v>0</v>
      </c>
      <c r="D19" s="10" t="n">
        <f aca="false">算力MW!D46</f>
        <v>3.32406349206349</v>
      </c>
      <c r="E19" s="10" t="n">
        <f aca="false">算力MW!E46</f>
        <v>11.6030727162698</v>
      </c>
      <c r="F19" s="10" t="n">
        <f aca="false">算力MW!F46</f>
        <v>14.0973167113095</v>
      </c>
      <c r="G19" s="10" t="n">
        <f aca="false">算力MW!G46</f>
        <v>16.9144128625992</v>
      </c>
      <c r="H19" s="10" t="n">
        <f aca="false">算力MW!H46</f>
        <v>19.1583611701389</v>
      </c>
    </row>
    <row r="20" customFormat="false" ht="15" hidden="false" customHeight="false" outlineLevel="0" collapsed="false">
      <c r="A20" s="12" t="s">
        <v>960</v>
      </c>
      <c r="B20" s="9" t="s">
        <v>7</v>
      </c>
      <c r="C20" s="13" t="n">
        <f aca="false">C17+C18+C19</f>
        <v>20.4</v>
      </c>
      <c r="D20" s="13" t="n">
        <f aca="false">D17+D18+D19</f>
        <v>33.2406349206349</v>
      </c>
      <c r="E20" s="13" t="n">
        <f aca="false">E17+E18+E19</f>
        <v>116.030727162698</v>
      </c>
      <c r="F20" s="13" t="n">
        <f aca="false">F17+F18+F19</f>
        <v>140.973167113095</v>
      </c>
      <c r="G20" s="13" t="n">
        <f aca="false">G17+G18+G19</f>
        <v>169.144128625992</v>
      </c>
      <c r="H20" s="13" t="n">
        <f aca="false">H17+H18+H19</f>
        <v>191.583611701389</v>
      </c>
    </row>
    <row r="21" customFormat="false" ht="15" hidden="false" customHeight="false" outlineLevel="0" collapsed="false">
      <c r="A21" s="8" t="s">
        <v>961</v>
      </c>
      <c r="B21" s="9" t="s">
        <v>7</v>
      </c>
      <c r="C21" s="10" t="n">
        <f aca="false">C14-C20</f>
        <v>-5.6447619047619</v>
      </c>
      <c r="D21" s="10" t="n">
        <f aca="false">D14-D20</f>
        <v>20</v>
      </c>
      <c r="E21" s="10" t="n">
        <f aca="false">E14-E20</f>
        <v>25.6953045833334</v>
      </c>
      <c r="F21" s="10" t="n">
        <f aca="false">F14-F20</f>
        <v>34.2382614583333</v>
      </c>
      <c r="G21" s="10" t="n">
        <f aca="false">G14-G20</f>
        <v>39.5526967708333</v>
      </c>
      <c r="H21" s="10" t="n">
        <f aca="false">H14-H20</f>
        <v>36.6386105208333</v>
      </c>
    </row>
    <row r="22" customFormat="false" ht="15" hidden="false" customHeight="false" outlineLevel="0" collapsed="false">
      <c r="A22" s="6" t="s">
        <v>962</v>
      </c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A23" s="8" t="s">
        <v>963</v>
      </c>
      <c r="B23" s="9" t="s">
        <v>7</v>
      </c>
      <c r="C23" s="10" t="n">
        <f aca="false">營收彙總!C22*輸入!C$173</f>
        <v>15.89312</v>
      </c>
      <c r="D23" s="10" t="n">
        <f aca="false">營收彙總!D22*輸入!D$173</f>
        <v>10.8583302713127</v>
      </c>
      <c r="E23" s="10" t="n">
        <f aca="false">營收彙總!E22*輸入!E$173</f>
        <v>13.9309444937509</v>
      </c>
      <c r="F23" s="10" t="n">
        <f aca="false">營收彙總!F22*輸入!F$173</f>
        <v>16.4744010769611</v>
      </c>
      <c r="G23" s="10" t="n">
        <f aca="false">營收彙總!G22*輸入!G$173</f>
        <v>17.4903359267986</v>
      </c>
      <c r="H23" s="10" t="n">
        <f aca="false">營收彙總!H22*輸入!H$173</f>
        <v>16.7833818172565</v>
      </c>
    </row>
    <row r="24" customFormat="false" ht="15" hidden="false" customHeight="false" outlineLevel="0" collapsed="false">
      <c r="A24" s="8" t="s">
        <v>964</v>
      </c>
      <c r="B24" s="9" t="s">
        <v>7</v>
      </c>
      <c r="C24" s="10" t="n">
        <f aca="false">反向!C4*輸入!C$173</f>
        <v>15.89312</v>
      </c>
      <c r="D24" s="10" t="n">
        <f aca="false">反向!D4*輸入!D$173</f>
        <v>11.88</v>
      </c>
      <c r="E24" s="10" t="n">
        <f aca="false">反向!E4*輸入!E$173</f>
        <v>19.9015</v>
      </c>
      <c r="F24" s="10" t="n">
        <f aca="false">反向!F4*輸入!F$173</f>
        <v>31.13</v>
      </c>
      <c r="G24" s="10" t="n">
        <f aca="false">反向!G4*輸入!G$173</f>
        <v>42.732</v>
      </c>
      <c r="H24" s="10" t="n">
        <f aca="false">反向!H4*輸入!H$173</f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70"/>
  </cols>
  <sheetData>
    <row r="1" customFormat="false" ht="20.1" hidden="false" customHeight="false" outlineLevel="0" collapsed="false">
      <c r="A1" s="37" t="s">
        <v>965</v>
      </c>
    </row>
    <row r="3" customFormat="false" ht="17.15" hidden="false" customHeight="false" outlineLevel="0" collapsed="false">
      <c r="A3" s="3" t="s">
        <v>1</v>
      </c>
      <c r="B3" s="3" t="s">
        <v>2</v>
      </c>
      <c r="C3" s="4" t="n">
        <v>2025</v>
      </c>
      <c r="D3" s="4" t="n">
        <v>2026</v>
      </c>
      <c r="E3" s="4" t="n">
        <v>2027</v>
      </c>
      <c r="F3" s="4" t="n">
        <v>2028</v>
      </c>
      <c r="G3" s="4" t="n">
        <v>2029</v>
      </c>
      <c r="H3" s="4" t="n">
        <v>2030</v>
      </c>
      <c r="I3" s="5" t="s">
        <v>3</v>
      </c>
      <c r="J3" s="3" t="s">
        <v>4</v>
      </c>
    </row>
    <row r="4" customFormat="false" ht="15" hidden="false" customHeight="false" outlineLevel="0" collapsed="false">
      <c r="A4" s="6" t="s">
        <v>966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8" t="s">
        <v>967</v>
      </c>
      <c r="B5" s="9" t="s">
        <v>7</v>
      </c>
      <c r="C5" s="10"/>
      <c r="D5" s="10" t="n">
        <f aca="false">營收彙總!D25</f>
        <v>26.323224900152</v>
      </c>
      <c r="E5" s="10" t="n">
        <f aca="false">營收彙總!E25</f>
        <v>42.0556814905687</v>
      </c>
      <c r="F5" s="10" t="n">
        <f aca="false">營收彙總!F25</f>
        <v>59.9069130071312</v>
      </c>
      <c r="G5" s="10" t="n">
        <f aca="false">營收彙總!G25</f>
        <v>91.239987776122</v>
      </c>
      <c r="H5" s="10" t="n">
        <f aca="false">營收彙總!H25</f>
        <v>119.881298694689</v>
      </c>
      <c r="I5" s="11" t="n">
        <f aca="false">SUM(D5:H5)</f>
        <v>339.407105868663</v>
      </c>
    </row>
    <row r="6" customFormat="false" ht="15" hidden="false" customHeight="false" outlineLevel="0" collapsed="false">
      <c r="A6" s="8" t="s">
        <v>968</v>
      </c>
      <c r="B6" s="9" t="s">
        <v>7</v>
      </c>
      <c r="C6" s="10"/>
      <c r="D6" s="10" t="n">
        <f aca="false">-支出!D11</f>
        <v>-33.2406349206349</v>
      </c>
      <c r="E6" s="10" t="n">
        <f aca="false">-支出!E11</f>
        <v>-111.726031746032</v>
      </c>
      <c r="F6" s="10" t="n">
        <f aca="false">-支出!F11</f>
        <v>-130.211428571429</v>
      </c>
      <c r="G6" s="10" t="n">
        <f aca="false">-支出!G11</f>
        <v>-148.696825396825</v>
      </c>
      <c r="H6" s="10" t="n">
        <f aca="false">-支出!H11</f>
        <v>-158.222222222222</v>
      </c>
      <c r="I6" s="11" t="n">
        <f aca="false">SUM(D6:H6)</f>
        <v>-582.097142857143</v>
      </c>
    </row>
    <row r="7" customFormat="false" ht="15" hidden="false" customHeight="false" outlineLevel="0" collapsed="false">
      <c r="A7" s="8" t="s">
        <v>969</v>
      </c>
      <c r="B7" s="9" t="s">
        <v>7</v>
      </c>
      <c r="C7" s="10"/>
      <c r="D7" s="10" t="n">
        <f aca="false">-支出!D12</f>
        <v>-20</v>
      </c>
      <c r="E7" s="10" t="n">
        <f aca="false">-支出!E12</f>
        <v>-30</v>
      </c>
      <c r="F7" s="10" t="n">
        <f aca="false">-支出!F12</f>
        <v>-45</v>
      </c>
      <c r="G7" s="10" t="n">
        <f aca="false">-支出!G12</f>
        <v>-60</v>
      </c>
      <c r="H7" s="10" t="n">
        <f aca="false">-支出!H12</f>
        <v>-70</v>
      </c>
      <c r="I7" s="11" t="n">
        <f aca="false">SUM(D7:H7)</f>
        <v>-225</v>
      </c>
    </row>
    <row r="8" customFormat="false" ht="15" hidden="false" customHeight="false" outlineLevel="0" collapsed="false">
      <c r="A8" s="8" t="s">
        <v>970</v>
      </c>
      <c r="B8" s="9" t="s">
        <v>7</v>
      </c>
      <c r="C8" s="10"/>
      <c r="D8" s="10" t="n">
        <f aca="false">-支出!D23</f>
        <v>-10.8583302713127</v>
      </c>
      <c r="E8" s="10" t="n">
        <f aca="false">-支出!E23</f>
        <v>-13.9309444937509</v>
      </c>
      <c r="F8" s="10" t="n">
        <f aca="false">-支出!F23</f>
        <v>-16.4744010769611</v>
      </c>
      <c r="G8" s="10" t="n">
        <f aca="false">-支出!G23</f>
        <v>-17.4903359267986</v>
      </c>
      <c r="H8" s="10" t="n">
        <f aca="false">-支出!H23</f>
        <v>-16.7833818172565</v>
      </c>
      <c r="I8" s="11" t="n">
        <f aca="false">SUM(D8:H8)</f>
        <v>-75.5373935860798</v>
      </c>
    </row>
    <row r="9" customFormat="false" ht="15" hidden="false" customHeight="false" outlineLevel="0" collapsed="false">
      <c r="A9" s="12" t="s">
        <v>971</v>
      </c>
      <c r="B9" s="9" t="s">
        <v>7</v>
      </c>
      <c r="C9" s="13"/>
      <c r="D9" s="13" t="n">
        <f aca="false">SUM(D5:D8)</f>
        <v>-37.7757402917956</v>
      </c>
      <c r="E9" s="13" t="n">
        <f aca="false">SUM(E5:E8)</f>
        <v>-113.601294749214</v>
      </c>
      <c r="F9" s="13" t="n">
        <f aca="false">SUM(F5:F8)</f>
        <v>-131.778916641258</v>
      </c>
      <c r="G9" s="13" t="n">
        <f aca="false">SUM(G5:G8)</f>
        <v>-134.947173547502</v>
      </c>
      <c r="H9" s="13" t="n">
        <f aca="false">SUM(H5:H8)</f>
        <v>-125.12430534479</v>
      </c>
      <c r="I9" s="11" t="n">
        <f aca="false">SUM(D9:H9)</f>
        <v>-543.227430574559</v>
      </c>
    </row>
    <row r="10" customFormat="false" ht="15" hidden="false" customHeight="false" outlineLevel="0" collapsed="false">
      <c r="A10" s="8" t="s">
        <v>972</v>
      </c>
      <c r="B10" s="9" t="s">
        <v>7</v>
      </c>
      <c r="C10" s="10"/>
      <c r="D10" s="10" t="n">
        <f aca="false">輸入!$C$179+輸入!$C$7*輸入!$C$180</f>
        <v>87</v>
      </c>
      <c r="E10" s="10" t="n">
        <f aca="false">0</f>
        <v>0</v>
      </c>
      <c r="F10" s="10" t="n">
        <f aca="false">0</f>
        <v>0</v>
      </c>
      <c r="G10" s="10" t="n">
        <f aca="false">0</f>
        <v>0</v>
      </c>
      <c r="H10" s="10" t="n">
        <f aca="false">0</f>
        <v>0</v>
      </c>
      <c r="I10" s="11" t="n">
        <f aca="false">SUM(D10:H10)</f>
        <v>87</v>
      </c>
    </row>
    <row r="11" customFormat="false" ht="15" hidden="false" customHeight="false" outlineLevel="0" collapsed="false">
      <c r="A11" s="8" t="s">
        <v>973</v>
      </c>
      <c r="B11" s="9" t="s">
        <v>7</v>
      </c>
      <c r="C11" s="10"/>
      <c r="D11" s="10" t="n">
        <f aca="false">輸入!$C$178</f>
        <v>40</v>
      </c>
      <c r="E11" s="10" t="n">
        <f aca="false">D14</f>
        <v>89.2242597082044</v>
      </c>
      <c r="F11" s="10" t="n">
        <f aca="false">E14</f>
        <v>10</v>
      </c>
      <c r="G11" s="10" t="n">
        <f aca="false">F14</f>
        <v>10</v>
      </c>
      <c r="H11" s="10" t="n">
        <f aca="false">G14</f>
        <v>10</v>
      </c>
    </row>
    <row r="12" customFormat="false" ht="15" hidden="false" customHeight="false" outlineLevel="0" collapsed="false">
      <c r="A12" s="8" t="s">
        <v>974</v>
      </c>
      <c r="B12" s="9" t="s">
        <v>7</v>
      </c>
      <c r="C12" s="10"/>
      <c r="D12" s="10" t="n">
        <f aca="false">D11+D9+D10</f>
        <v>89.2242597082044</v>
      </c>
      <c r="E12" s="10" t="n">
        <f aca="false">E11+E9+E10</f>
        <v>-24.3770350410095</v>
      </c>
      <c r="F12" s="10" t="n">
        <f aca="false">F11+F9+F10</f>
        <v>-121.778916641258</v>
      </c>
      <c r="G12" s="10" t="n">
        <f aca="false">G11+G9+G10</f>
        <v>-124.947173547502</v>
      </c>
      <c r="H12" s="10" t="n">
        <f aca="false">H11+H9+H10</f>
        <v>-115.12430534479</v>
      </c>
    </row>
    <row r="13" customFormat="false" ht="15" hidden="false" customHeight="false" outlineLevel="0" collapsed="false">
      <c r="A13" s="8" t="s">
        <v>975</v>
      </c>
      <c r="B13" s="9" t="s">
        <v>7</v>
      </c>
      <c r="C13" s="10"/>
      <c r="D13" s="10" t="n">
        <f aca="false">MAX(0,輸入!$C$181-D12)</f>
        <v>0</v>
      </c>
      <c r="E13" s="10" t="n">
        <f aca="false">MAX(0,輸入!$C$181-E12)</f>
        <v>34.3770350410095</v>
      </c>
      <c r="F13" s="10" t="n">
        <f aca="false">MAX(0,輸入!$C$181-F12)</f>
        <v>131.778916641258</v>
      </c>
      <c r="G13" s="10" t="n">
        <f aca="false">MAX(0,輸入!$C$181-G12)</f>
        <v>134.947173547502</v>
      </c>
      <c r="H13" s="10" t="n">
        <f aca="false">MAX(0,輸入!$C$181-H12)</f>
        <v>125.12430534479</v>
      </c>
      <c r="I13" s="11" t="n">
        <f aca="false">SUM(D13:H13)</f>
        <v>426.22743057456</v>
      </c>
    </row>
    <row r="14" customFormat="false" ht="15" hidden="false" customHeight="false" outlineLevel="0" collapsed="false">
      <c r="A14" s="8" t="s">
        <v>976</v>
      </c>
      <c r="B14" s="9" t="s">
        <v>7</v>
      </c>
      <c r="C14" s="10"/>
      <c r="D14" s="10" t="n">
        <f aca="false">D12+D13</f>
        <v>89.2242597082044</v>
      </c>
      <c r="E14" s="10" t="n">
        <f aca="false">E12+E13</f>
        <v>10</v>
      </c>
      <c r="F14" s="10" t="n">
        <f aca="false">F12+F13</f>
        <v>10</v>
      </c>
      <c r="G14" s="10" t="n">
        <f aca="false">G12+G13</f>
        <v>10</v>
      </c>
      <c r="H14" s="10" t="n">
        <f aca="false">H12+H13</f>
        <v>10</v>
      </c>
    </row>
    <row r="15" customFormat="false" ht="15" hidden="false" customHeight="false" outlineLevel="0" collapsed="false">
      <c r="A15" s="12" t="s">
        <v>977</v>
      </c>
      <c r="B15" s="9" t="s">
        <v>7</v>
      </c>
      <c r="C15" s="13"/>
      <c r="D15" s="13" t="n">
        <f aca="false">C15+D13</f>
        <v>0</v>
      </c>
      <c r="E15" s="13" t="n">
        <f aca="false">D15+E13</f>
        <v>34.3770350410095</v>
      </c>
      <c r="F15" s="13" t="n">
        <f aca="false">E15+F13</f>
        <v>166.155951682268</v>
      </c>
      <c r="G15" s="13" t="n">
        <f aca="false">F15+G13</f>
        <v>301.10312522977</v>
      </c>
      <c r="H15" s="13" t="n">
        <f aca="false">G15+H13</f>
        <v>426.22743057456</v>
      </c>
    </row>
    <row r="17" customFormat="false" ht="17.15" hidden="false" customHeight="false" outlineLevel="0" collapsed="false">
      <c r="A17" s="6" t="s">
        <v>978</v>
      </c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8" t="s">
        <v>979</v>
      </c>
      <c r="B18" s="9" t="s">
        <v>7</v>
      </c>
      <c r="C18" s="10" t="n">
        <f aca="false">輸入!$C$17*反向!C4</f>
        <v>2.614</v>
      </c>
      <c r="D18" s="10" t="n">
        <f aca="false">IF(D$3&lt;輸入!$C$19,輸入!$C$17*反向!D4,IF(D$3&gt;輸入!$C$20,0,MIN(輸入!$C$17*反向!D4,輸入!$C$18-C19)))</f>
        <v>7.2</v>
      </c>
      <c r="E18" s="10" t="n">
        <f aca="false">IF(E$3&lt;輸入!$C$19,輸入!$C$17*反向!E4,IF(E$3&gt;輸入!$C$20,0,MIN(輸入!$C$17*反向!E4,輸入!$C$18-D19)))</f>
        <v>15.02</v>
      </c>
      <c r="F18" s="10" t="n">
        <f aca="false">IF(F$3&lt;輸入!$C$19,輸入!$C$17*反向!F4,IF(F$3&gt;輸入!$C$20,0,MIN(輸入!$C$17*反向!F4,輸入!$C$18-E19)))</f>
        <v>15.78</v>
      </c>
      <c r="G18" s="10" t="n">
        <f aca="false">IF(G$3&lt;輸入!$C$19,輸入!$C$17*反向!G4,IF(G$3&gt;輸入!$C$20,0,MIN(輸入!$C$17*反向!G4,輸入!$C$18-F19)))</f>
        <v>0</v>
      </c>
      <c r="H18" s="10" t="n">
        <f aca="false">IF(H$3&lt;輸入!$C$19,輸入!$C$17*反向!H4,IF(H$3&gt;輸入!$C$20,0,MIN(輸入!$C$17*反向!H4,輸入!$C$18-G19)))</f>
        <v>0</v>
      </c>
    </row>
    <row r="19" customFormat="false" ht="15" hidden="false" customHeight="false" outlineLevel="0" collapsed="false">
      <c r="A19" s="8" t="s">
        <v>980</v>
      </c>
      <c r="B19" s="9" t="s">
        <v>7</v>
      </c>
      <c r="C19" s="10" t="n">
        <f aca="false">0</f>
        <v>0</v>
      </c>
      <c r="D19" s="10" t="n">
        <f aca="false">C19+IF(D$3&gt;=輸入!$C$19,D18,0)</f>
        <v>7.2</v>
      </c>
      <c r="E19" s="10" t="n">
        <f aca="false">D19+IF(E$3&gt;=輸入!$C$19,E18,0)</f>
        <v>22.22</v>
      </c>
      <c r="F19" s="10" t="n">
        <f aca="false">E19+IF(F$3&gt;=輸入!$C$19,F18,0)</f>
        <v>38</v>
      </c>
      <c r="G19" s="10" t="n">
        <f aca="false">F19+IF(G$3&gt;=輸入!$C$19,G18,0)</f>
        <v>38</v>
      </c>
      <c r="H19" s="10" t="n">
        <f aca="false">G19+IF(H$3&gt;=輸入!$C$19,H18,0)</f>
        <v>38</v>
      </c>
    </row>
    <row r="21" customFormat="false" ht="15" hidden="false" customHeight="false" outlineLevel="0" collapsed="false">
      <c r="A21" s="6" t="s">
        <v>981</v>
      </c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A22" s="8" t="s">
        <v>967</v>
      </c>
      <c r="B22" s="9" t="s">
        <v>7</v>
      </c>
      <c r="C22" s="10"/>
      <c r="D22" s="10" t="n">
        <f aca="false">反向!D4-D18</f>
        <v>28.8</v>
      </c>
      <c r="E22" s="10" t="n">
        <f aca="false">反向!E4-E18</f>
        <v>60.08</v>
      </c>
      <c r="F22" s="10" t="n">
        <f aca="false">反向!F4-F18</f>
        <v>125.72</v>
      </c>
      <c r="G22" s="10" t="n">
        <f aca="false">反向!G4-G18</f>
        <v>237.4</v>
      </c>
      <c r="H22" s="10" t="n">
        <f aca="false">反向!H4-H18</f>
        <v>350</v>
      </c>
      <c r="I22" s="11" t="n">
        <f aca="false">SUM(D22:H22)</f>
        <v>802</v>
      </c>
    </row>
    <row r="23" customFormat="false" ht="15" hidden="false" customHeight="false" outlineLevel="0" collapsed="false">
      <c r="A23" s="8" t="s">
        <v>968</v>
      </c>
      <c r="B23" s="9" t="s">
        <v>7</v>
      </c>
      <c r="C23" s="10"/>
      <c r="D23" s="10" t="n">
        <f aca="false">-支出!D11</f>
        <v>-33.2406349206349</v>
      </c>
      <c r="E23" s="10" t="n">
        <f aca="false">-支出!E11</f>
        <v>-111.726031746032</v>
      </c>
      <c r="F23" s="10" t="n">
        <f aca="false">-支出!F11</f>
        <v>-130.211428571429</v>
      </c>
      <c r="G23" s="10" t="n">
        <f aca="false">-支出!G11</f>
        <v>-148.696825396825</v>
      </c>
      <c r="H23" s="10" t="n">
        <f aca="false">-支出!H11</f>
        <v>-158.222222222222</v>
      </c>
      <c r="I23" s="11" t="n">
        <f aca="false">SUM(D23:H23)</f>
        <v>-582.097142857143</v>
      </c>
    </row>
    <row r="24" customFormat="false" ht="15" hidden="false" customHeight="false" outlineLevel="0" collapsed="false">
      <c r="A24" s="8" t="s">
        <v>969</v>
      </c>
      <c r="B24" s="9" t="s">
        <v>7</v>
      </c>
      <c r="C24" s="10"/>
      <c r="D24" s="10" t="n">
        <f aca="false">-支出!D12</f>
        <v>-20</v>
      </c>
      <c r="E24" s="10" t="n">
        <f aca="false">-支出!E12</f>
        <v>-30</v>
      </c>
      <c r="F24" s="10" t="n">
        <f aca="false">-支出!F12</f>
        <v>-45</v>
      </c>
      <c r="G24" s="10" t="n">
        <f aca="false">-支出!G12</f>
        <v>-60</v>
      </c>
      <c r="H24" s="10" t="n">
        <f aca="false">-支出!H12</f>
        <v>-70</v>
      </c>
      <c r="I24" s="11" t="n">
        <f aca="false">SUM(D24:H24)</f>
        <v>-225</v>
      </c>
    </row>
    <row r="25" customFormat="false" ht="15" hidden="false" customHeight="false" outlineLevel="0" collapsed="false">
      <c r="A25" s="8" t="s">
        <v>970</v>
      </c>
      <c r="B25" s="9" t="s">
        <v>7</v>
      </c>
      <c r="C25" s="10"/>
      <c r="D25" s="10" t="n">
        <f aca="false">-支出!D24</f>
        <v>-11.88</v>
      </c>
      <c r="E25" s="10" t="n">
        <f aca="false">-支出!E24</f>
        <v>-19.9015</v>
      </c>
      <c r="F25" s="10" t="n">
        <f aca="false">-支出!F24</f>
        <v>-31.13</v>
      </c>
      <c r="G25" s="10" t="n">
        <f aca="false">-支出!G24</f>
        <v>-42.732</v>
      </c>
      <c r="H25" s="10" t="n">
        <f aca="false">-支出!H24</f>
        <v>-49</v>
      </c>
      <c r="I25" s="11" t="n">
        <f aca="false">SUM(D25:H25)</f>
        <v>-154.6435</v>
      </c>
    </row>
    <row r="26" customFormat="false" ht="15" hidden="false" customHeight="false" outlineLevel="0" collapsed="false">
      <c r="A26" s="12" t="s">
        <v>971</v>
      </c>
      <c r="B26" s="9" t="s">
        <v>7</v>
      </c>
      <c r="C26" s="13"/>
      <c r="D26" s="13" t="n">
        <f aca="false">SUM(D22:D25)</f>
        <v>-36.3206349206349</v>
      </c>
      <c r="E26" s="13" t="n">
        <f aca="false">SUM(E22:E25)</f>
        <v>-101.547531746032</v>
      </c>
      <c r="F26" s="13" t="n">
        <f aca="false">SUM(F22:F25)</f>
        <v>-80.6214285714286</v>
      </c>
      <c r="G26" s="13" t="n">
        <f aca="false">SUM(G22:G25)</f>
        <v>-14.0288253968254</v>
      </c>
      <c r="H26" s="13" t="n">
        <f aca="false">SUM(H22:H25)</f>
        <v>72.7777777777778</v>
      </c>
      <c r="I26" s="11" t="n">
        <f aca="false">SUM(D26:H26)</f>
        <v>-159.740642857143</v>
      </c>
    </row>
    <row r="27" customFormat="false" ht="15" hidden="false" customHeight="false" outlineLevel="0" collapsed="false">
      <c r="A27" s="8" t="s">
        <v>972</v>
      </c>
      <c r="B27" s="9" t="s">
        <v>7</v>
      </c>
      <c r="C27" s="10"/>
      <c r="D27" s="10" t="n">
        <f aca="false">輸入!$C$179+輸入!$C$7*輸入!$C$180</f>
        <v>87</v>
      </c>
      <c r="E27" s="10" t="n">
        <f aca="false">0</f>
        <v>0</v>
      </c>
      <c r="F27" s="10" t="n">
        <f aca="false">0</f>
        <v>0</v>
      </c>
      <c r="G27" s="10" t="n">
        <f aca="false">0</f>
        <v>0</v>
      </c>
      <c r="H27" s="10" t="n">
        <f aca="false">0</f>
        <v>0</v>
      </c>
      <c r="I27" s="11" t="n">
        <f aca="false">SUM(D27:H27)</f>
        <v>87</v>
      </c>
    </row>
    <row r="28" customFormat="false" ht="15" hidden="false" customHeight="false" outlineLevel="0" collapsed="false">
      <c r="A28" s="8" t="s">
        <v>973</v>
      </c>
      <c r="B28" s="9" t="s">
        <v>7</v>
      </c>
      <c r="C28" s="10"/>
      <c r="D28" s="10" t="n">
        <f aca="false">輸入!$C$178</f>
        <v>40</v>
      </c>
      <c r="E28" s="10" t="n">
        <f aca="false">D31</f>
        <v>90.6793650793651</v>
      </c>
      <c r="F28" s="10" t="n">
        <f aca="false">E31</f>
        <v>10</v>
      </c>
      <c r="G28" s="10" t="n">
        <f aca="false">F31</f>
        <v>10</v>
      </c>
      <c r="H28" s="10" t="n">
        <f aca="false">G31</f>
        <v>10</v>
      </c>
    </row>
    <row r="29" customFormat="false" ht="15" hidden="false" customHeight="false" outlineLevel="0" collapsed="false">
      <c r="A29" s="8" t="s">
        <v>974</v>
      </c>
      <c r="B29" s="9" t="s">
        <v>7</v>
      </c>
      <c r="C29" s="10"/>
      <c r="D29" s="10" t="n">
        <f aca="false">D28+D26+D27</f>
        <v>90.6793650793651</v>
      </c>
      <c r="E29" s="10" t="n">
        <f aca="false">E28+E26+E27</f>
        <v>-10.8681666666667</v>
      </c>
      <c r="F29" s="10" t="n">
        <f aca="false">F28+F26+F27</f>
        <v>-70.6214285714286</v>
      </c>
      <c r="G29" s="10" t="n">
        <f aca="false">G28+G26+G27</f>
        <v>-4.02882539682537</v>
      </c>
      <c r="H29" s="10" t="n">
        <f aca="false">H28+H26+H27</f>
        <v>82.7777777777778</v>
      </c>
    </row>
    <row r="30" customFormat="false" ht="15" hidden="false" customHeight="false" outlineLevel="0" collapsed="false">
      <c r="A30" s="8" t="s">
        <v>975</v>
      </c>
      <c r="B30" s="9" t="s">
        <v>7</v>
      </c>
      <c r="C30" s="10"/>
      <c r="D30" s="10" t="n">
        <f aca="false">MAX(0,輸入!$C$181-D29)</f>
        <v>0</v>
      </c>
      <c r="E30" s="10" t="n">
        <f aca="false">MAX(0,輸入!$C$181-E29)</f>
        <v>20.8681666666667</v>
      </c>
      <c r="F30" s="10" t="n">
        <f aca="false">MAX(0,輸入!$C$181-F29)</f>
        <v>80.6214285714286</v>
      </c>
      <c r="G30" s="10" t="n">
        <f aca="false">MAX(0,輸入!$C$181-G29)</f>
        <v>14.0288253968254</v>
      </c>
      <c r="H30" s="10" t="n">
        <f aca="false">MAX(0,輸入!$C$181-H29)</f>
        <v>0</v>
      </c>
      <c r="I30" s="11" t="n">
        <f aca="false">SUM(D30:H30)</f>
        <v>115.518420634921</v>
      </c>
    </row>
    <row r="31" customFormat="false" ht="15" hidden="false" customHeight="false" outlineLevel="0" collapsed="false">
      <c r="A31" s="8" t="s">
        <v>976</v>
      </c>
      <c r="B31" s="9" t="s">
        <v>7</v>
      </c>
      <c r="C31" s="10"/>
      <c r="D31" s="10" t="n">
        <f aca="false">D29+D30</f>
        <v>90.6793650793651</v>
      </c>
      <c r="E31" s="10" t="n">
        <f aca="false">E29+E30</f>
        <v>10</v>
      </c>
      <c r="F31" s="10" t="n">
        <f aca="false">F29+F30</f>
        <v>10</v>
      </c>
      <c r="G31" s="10" t="n">
        <f aca="false">G29+G30</f>
        <v>10</v>
      </c>
      <c r="H31" s="10" t="n">
        <f aca="false">H29+H30</f>
        <v>82.7777777777778</v>
      </c>
    </row>
    <row r="32" customFormat="false" ht="15" hidden="false" customHeight="false" outlineLevel="0" collapsed="false">
      <c r="A32" s="12" t="s">
        <v>977</v>
      </c>
      <c r="B32" s="9" t="s">
        <v>7</v>
      </c>
      <c r="C32" s="13"/>
      <c r="D32" s="13" t="n">
        <f aca="false">C32+D30</f>
        <v>0</v>
      </c>
      <c r="E32" s="13" t="n">
        <f aca="false">D32+E30</f>
        <v>20.8681666666667</v>
      </c>
      <c r="F32" s="13" t="n">
        <f aca="false">E32+F30</f>
        <v>101.489595238095</v>
      </c>
      <c r="G32" s="13" t="n">
        <f aca="false">F32+G30</f>
        <v>115.518420634921</v>
      </c>
      <c r="H32" s="13" t="n">
        <f aca="false">G32+H30</f>
        <v>115.518420634921</v>
      </c>
    </row>
    <row r="34" customFormat="false" ht="15" hidden="false" customHeight="false" outlineLevel="0" collapsed="false">
      <c r="A34" s="6" t="s">
        <v>982</v>
      </c>
      <c r="B34" s="7"/>
      <c r="C34" s="7"/>
      <c r="D34" s="7"/>
      <c r="E34" s="7"/>
      <c r="F34" s="7"/>
      <c r="G34" s="7"/>
      <c r="H34" s="7"/>
      <c r="I34" s="7"/>
      <c r="J34" s="7"/>
    </row>
    <row r="35" customFormat="false" ht="17.15" hidden="false" customHeight="false" outlineLevel="0" collapsed="false">
      <c r="A35" s="2" t="s">
        <v>983</v>
      </c>
      <c r="C35" s="11" t="n">
        <f aca="false">I26</f>
        <v>-159.740642857143</v>
      </c>
    </row>
    <row r="36" customFormat="false" ht="17.15" hidden="false" customHeight="false" outlineLevel="0" collapsed="false">
      <c r="A36" s="2" t="s">
        <v>984</v>
      </c>
      <c r="C36" s="11" t="n">
        <f aca="false">輸入!$C$161</f>
        <v>-278</v>
      </c>
    </row>
    <row r="37" customFormat="false" ht="15" hidden="false" customHeight="false" outlineLevel="0" collapsed="false">
      <c r="A37" s="2" t="s">
        <v>985</v>
      </c>
      <c r="C37" s="11" t="n">
        <f aca="false">C35-C36</f>
        <v>118.259357142857</v>
      </c>
    </row>
    <row r="38" customFormat="false" ht="17.15" hidden="false" customHeight="false" outlineLevel="0" collapsed="false">
      <c r="A38" s="2" t="s">
        <v>986</v>
      </c>
      <c r="C38" s="11" t="n">
        <f aca="false">輸入!$C$175-支出!I14</f>
        <v>48.9028571428571</v>
      </c>
    </row>
    <row r="39" customFormat="false" ht="15" hidden="false" customHeight="false" outlineLevel="0" collapsed="false">
      <c r="A39" s="2" t="s">
        <v>987</v>
      </c>
      <c r="C39" s="11" t="n">
        <f aca="false">C37-C38</f>
        <v>69.3565000000001</v>
      </c>
    </row>
    <row r="41" customFormat="false" ht="15" hidden="false" customHeight="false" outlineLevel="0" collapsed="false">
      <c r="A41" s="6" t="s">
        <v>988</v>
      </c>
      <c r="B41" s="7"/>
      <c r="C41" s="7"/>
      <c r="D41" s="7"/>
      <c r="E41" s="7"/>
      <c r="F41" s="7"/>
      <c r="G41" s="7"/>
      <c r="H41" s="7"/>
      <c r="I41" s="7"/>
      <c r="J41" s="7"/>
    </row>
    <row r="42" customFormat="false" ht="17.15" hidden="false" customHeight="false" outlineLevel="0" collapsed="false">
      <c r="A42" s="38" t="s">
        <v>989</v>
      </c>
      <c r="C42" s="2" t="str">
        <f aca="false">IF(ABS(營收彙總!C22/輸入!$C$9-1)&lt;=0.001,"通過","未通過")</f>
        <v>通過</v>
      </c>
    </row>
    <row r="43" customFormat="false" ht="17.15" hidden="false" customHeight="false" outlineLevel="0" collapsed="false">
      <c r="A43" s="38" t="s">
        <v>990</v>
      </c>
      <c r="C43" s="2" t="str">
        <f aca="false">IF(AND(API!C41&gt;=0.5,API!C41&lt;=1.1),"通過","未通過")</f>
        <v>通過</v>
      </c>
    </row>
    <row r="44" customFormat="false" ht="17.15" hidden="false" customHeight="false" outlineLevel="0" collapsed="false">
      <c r="A44" s="38" t="s">
        <v>991</v>
      </c>
      <c r="C44" s="2" t="str">
        <f aca="false">IF(AND(營收彙總!D22&gt;=輸入!$C$14,營收彙總!D22&lt;=輸入!$C$15),"通過","未通過")</f>
        <v>通過</v>
      </c>
    </row>
    <row r="45" customFormat="false" ht="17.15" hidden="false" customHeight="false" outlineLevel="0" collapsed="false">
      <c r="A45" s="38" t="s">
        <v>992</v>
      </c>
      <c r="C45" s="2" t="str">
        <f aca="false">IF(AND(營收彙總!D31&gt;=1,營收彙總!D31&lt;=2.5),"通過","未通過")</f>
        <v>通過</v>
      </c>
    </row>
    <row r="46" customFormat="false" ht="17.15" hidden="false" customHeight="false" outlineLevel="0" collapsed="false">
      <c r="A46" s="2" t="s">
        <v>993</v>
      </c>
      <c r="C46" s="2" t="str">
        <f aca="false">IF(AND(營收彙總!D16&gt;=0.45,營收彙總!D16&lt;=0.6),"通過","未通過")</f>
        <v>通過</v>
      </c>
    </row>
    <row r="47" customFormat="false" ht="15" hidden="false" customHeight="false" outlineLevel="0" collapsed="false">
      <c r="A47" s="2" t="s">
        <v>994</v>
      </c>
      <c r="C47" s="2" t="str">
        <f aca="false">IF(MAX(ABS(營收彙總!C28),ABS(營收彙總!H28))&lt;0.001,"通過","未通過")</f>
        <v>通過</v>
      </c>
    </row>
    <row r="48" customFormat="false" ht="17.15" hidden="false" customHeight="false" outlineLevel="0" collapsed="false">
      <c r="A48" s="38" t="s">
        <v>995</v>
      </c>
      <c r="C48" s="2" t="str">
        <f aca="false">IF(ABS(推論成本!C78-輸入!$C$122)&lt;0.01,"通過","未通過")</f>
        <v>通過</v>
      </c>
    </row>
    <row r="49" customFormat="false" ht="17.15" hidden="false" customHeight="false" outlineLevel="0" collapsed="false">
      <c r="A49" s="38" t="s">
        <v>996</v>
      </c>
      <c r="C49" s="2" t="str">
        <f aca="false">IF(ABS(推論成本!C88-輸入!$C$125)&lt;0.001,"通過","未通過")</f>
        <v>通過</v>
      </c>
    </row>
    <row r="50" customFormat="false" ht="17.15" hidden="false" customHeight="false" outlineLevel="0" collapsed="false">
      <c r="A50" s="38" t="s">
        <v>997</v>
      </c>
      <c r="C50" s="2" t="str">
        <f aca="false">IF(推論成本!C58&gt;=0,"通過","未通過")</f>
        <v>通過</v>
      </c>
    </row>
    <row r="51" customFormat="false" ht="17.15" hidden="false" customHeight="false" outlineLevel="0" collapsed="false">
      <c r="A51" s="38" t="s">
        <v>998</v>
      </c>
      <c r="C51" s="2" t="str">
        <f aca="false">IF(ABS(推論成本!D78/輸入!$C$126-1)&lt;=0.35,"通過","未通過")</f>
        <v>通過</v>
      </c>
    </row>
    <row r="52" customFormat="false" ht="17.15" hidden="false" customHeight="false" outlineLevel="0" collapsed="false">
      <c r="A52" s="38" t="s">
        <v>999</v>
      </c>
      <c r="C52" s="2" t="str">
        <f aca="false">IF(AND(推論成本!D79&gt;=0.55,推論成本!D79&lt;=0.8),"通過","未通過")</f>
        <v>通過</v>
      </c>
    </row>
    <row r="53" customFormat="false" ht="17.15" hidden="false" customHeight="false" outlineLevel="0" collapsed="false">
      <c r="A53" s="38" t="s">
        <v>1000</v>
      </c>
      <c r="C53" s="2" t="str">
        <f aca="false">IF(ABS(算力MW!C12/算力MW!C13-1)&lt;=0.35,"通過","未通過")</f>
        <v>通過</v>
      </c>
    </row>
    <row r="54" customFormat="false" ht="17.15" hidden="false" customHeight="false" outlineLevel="0" collapsed="false">
      <c r="A54" s="2" t="s">
        <v>1001</v>
      </c>
      <c r="C54" s="2" t="str">
        <f aca="false">IF(MAX(ABS(算力MW!C36),ABS(算力MW!H36))&lt;0.000001,"通過","未通過")</f>
        <v>通過</v>
      </c>
    </row>
    <row r="55" customFormat="false" ht="17.15" hidden="false" customHeight="false" outlineLevel="0" collapsed="false">
      <c r="A55" s="38" t="s">
        <v>1002</v>
      </c>
      <c r="C55" s="2" t="str">
        <f aca="false">IF(MAX(ABS(算力MW!D47),ABS(算力MW!H47))&lt;0.000001,"通過","未通過")</f>
        <v>通過</v>
      </c>
    </row>
    <row r="56" customFormat="false" ht="17.15" hidden="false" customHeight="false" outlineLevel="0" collapsed="false">
      <c r="A56" s="2" t="s">
        <v>1003</v>
      </c>
      <c r="C56" s="2" t="str">
        <f aca="false">IF(MIN(算力MW!D32:H32)&gt;=1,"通過","未通過")</f>
        <v>通過</v>
      </c>
    </row>
    <row r="57" customFormat="false" ht="17.15" hidden="false" customHeight="false" outlineLevel="0" collapsed="false">
      <c r="A57" s="2" t="s">
        <v>1004</v>
      </c>
      <c r="C57" s="2" t="str">
        <f aca="false">IF(ABS(推論成本!H77*算力MW!H32-推論成本!H78)&lt;0.000001,"通過","未通過")</f>
        <v>通過</v>
      </c>
    </row>
    <row r="58" customFormat="false" ht="15" hidden="false" customHeight="false" outlineLevel="0" collapsed="false">
      <c r="A58" s="2" t="s">
        <v>1005</v>
      </c>
      <c r="C58" s="2" t="str">
        <f aca="false">IF(營收彙總!H24&lt;=輸入!$C$18+0.0001,"通過","未通過")</f>
        <v>通過</v>
      </c>
    </row>
    <row r="59" customFormat="false" ht="17.15" hidden="false" customHeight="false" outlineLevel="0" collapsed="false">
      <c r="A59" s="38" t="s">
        <v>1006</v>
      </c>
      <c r="C59" s="2" t="str">
        <f aca="false">IF(MAX(ABS(API!D39),ABS(API!E39),ABS(API!F39),ABS(API!G39),ABS(API!H39))&lt;0.000000001,"通過","未通過")</f>
        <v>通過</v>
      </c>
    </row>
    <row r="60" customFormat="false" ht="17.15" hidden="false" customHeight="false" outlineLevel="0" collapsed="false">
      <c r="A60" s="38" t="s">
        <v>1007</v>
      </c>
      <c r="C60" s="2" t="str">
        <f aca="false">IF(ABS(支出!D14/輸入!$C$176-1)&lt;=0.25,"通過","未通過")</f>
        <v>通過</v>
      </c>
    </row>
    <row r="61" customFormat="false" ht="17.15" hidden="false" customHeight="false" outlineLevel="0" collapsed="false">
      <c r="A61" s="38" t="s">
        <v>1008</v>
      </c>
      <c r="C61" s="2" t="str">
        <f aca="false">IF(AND(支出!I14&gt;=輸入!$C$174*0.9,支出!I14&lt;=輸入!$C$175*1.1),"通過","未通過")</f>
        <v>通過</v>
      </c>
    </row>
    <row r="62" customFormat="false" ht="17.15" hidden="false" customHeight="false" outlineLevel="0" collapsed="false">
      <c r="A62" s="2" t="s">
        <v>1009</v>
      </c>
      <c r="C62" s="2" t="str">
        <f aca="false">IF(營收彙總!C21=0,"通過","未通過")</f>
        <v>通過</v>
      </c>
    </row>
    <row r="63" customFormat="false" ht="15" hidden="false" customHeight="false" outlineLevel="0" collapsed="false">
      <c r="A63" s="12" t="s">
        <v>1010</v>
      </c>
      <c r="C63" s="2" t="n">
        <f aca="false">COUNTIF(C42:C62,"未通過")</f>
        <v>0</v>
      </c>
    </row>
    <row r="65" customFormat="false" ht="15" hidden="false" customHeight="false" outlineLevel="0" collapsed="false">
      <c r="A65" s="63" t="s">
        <v>1011</v>
      </c>
    </row>
    <row r="66" customFormat="false" ht="17.15" hidden="false" customHeight="false" outlineLevel="0" collapsed="false">
      <c r="A66" s="38" t="s">
        <v>1012</v>
      </c>
      <c r="C66" s="42" t="n">
        <f aca="false">輸入!$C$182</f>
        <v>250</v>
      </c>
    </row>
    <row r="67" customFormat="false" ht="17.15" hidden="false" customHeight="false" outlineLevel="0" collapsed="false">
      <c r="A67" s="38" t="s">
        <v>1013</v>
      </c>
      <c r="C67" s="42" t="n">
        <f aca="false">輸入!$C$183</f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2026-09-29T16:13:45Z</dcterms:created>
  <dc:creator>openpyxl</dc:creator>
  <dc:description/>
  <dc:language>en-US</dc:language>
  <cp:lastModifiedBy/>
  <dcterms:modified xsi:type="dcterms:W3CDTF">2026-09-29T16:13:45Z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