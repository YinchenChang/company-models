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①TK名稱前後值" sheetId="1" state="visible" r:id="rId3"/>
    <sheet name="②主要輸出與歸因" sheetId="2" state="visible" r:id="rId4"/>
    <sheet name="③已套用的預設" sheetId="3" state="visible" r:id="rId5"/>
    <sheet name="④缺口與對照讀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<sst xmlns="http://schemas.openxmlformats.org/spreadsheetml/2006/main" count="1041" uniqueCount="234">
  <si>
    <t xml:space="preserve">歸因組</t>
  </si>
  <si>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WenQuanYi Zen Hei"/>
        <family val="2"/>
      </rPr>
      <t xml:space="preserve">名稱</t>
    </r>
  </si>
  <si>
    <t xml:space="preserve">說明</t>
  </si>
  <si>
    <t xml:space="preserve">單位</t>
  </si>
  <si>
    <t xml:space="preserve">世代（基準欄）</t>
  </si>
  <si>
    <r>
      <rPr>
        <b val="true"/>
        <sz val="11"/>
        <rFont val="Cambria"/>
        <family val="0"/>
        <charset val="1"/>
      </rPr>
      <t xml:space="preserve">v5.26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v0.6.1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</si>
  <si>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v19.0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v0.6.2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</si>
  <si>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變動 </t>
    </r>
    <r>
      <rPr>
        <b val="true"/>
        <sz val="11"/>
        <rFont val="Cambria"/>
        <family val="0"/>
        <charset val="1"/>
      </rPr>
      <t xml:space="preserve">%</t>
    </r>
  </si>
  <si>
    <t xml:space="preserve">①IF_TokGW_*</t>
  </si>
  <si>
    <t xml:space="preserve">IF_TokGW_Astra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</si>
  <si>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總產出（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</si>
  <si>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WenQuanYi Zen Hei"/>
        <family val="2"/>
      </rPr>
      <t xml:space="preserve">年</t>
    </r>
  </si>
  <si>
    <t xml:space="preserve">Hopper</t>
  </si>
  <si>
    <t xml:space="preserve">GB200</t>
  </si>
  <si>
    <t xml:space="preserve">GB300</t>
  </si>
  <si>
    <t xml:space="preserve">VR200</t>
  </si>
  <si>
    <t xml:space="preserve">Rubin Ultra</t>
  </si>
  <si>
    <t xml:space="preserve">IF_TokGW_Luna</t>
  </si>
  <si>
    <t xml:space="preserve">IF_TokGW_Sol</t>
  </si>
  <si>
    <t xml:space="preserve">②IF_HoldEcon</t>
  </si>
  <si>
    <t xml:space="preserve">IF_HoldEcon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</si>
  <si>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年持有成本 — 經濟口徑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</si>
  <si>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WenQuanYi Zen Hei"/>
        <family val="2"/>
      </rPr>
      <t xml:space="preserve">年</t>
    </r>
  </si>
  <si>
    <t xml:space="preserve">④其餘對照類</t>
  </si>
  <si>
    <t xml:space="preserve">IF_FullCost_Astra</t>
  </si>
  <si>
    <r>
      <rPr>
        <sz val="11"/>
        <color theme="1"/>
        <rFont val="WenQuanYi Zen Hei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</si>
  <si>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</si>
  <si>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</si>
  <si>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IF_FullCost_Sol</t>
  </si>
  <si>
    <t xml:space="preserve">IF_ProgGWyr_Astra</t>
  </si>
  <si>
    <r>
      <rPr>
        <sz val="11"/>
        <color theme="1"/>
        <rFont val="WenQuanYi Zen Hei"/>
        <family val="2"/>
      </rPr>
      <t xml:space="preserve">研發計畫占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WenQuanYi Zen Hei"/>
        <family val="2"/>
      </rPr>
      <t xml:space="preserve">一年</t>
    </r>
  </si>
  <si>
    <t xml:space="preserve">%</t>
  </si>
  <si>
    <t xml:space="preserve">IF_ProgGWyr_Luna</t>
  </si>
  <si>
    <t xml:space="preserve">IF_ProgGWyr_Sol</t>
  </si>
  <si>
    <t xml:space="preserve">IF_AllocQ1</t>
  </si>
  <si>
    <r>
      <rPr>
        <sz val="11"/>
        <color theme="1"/>
        <rFont val="WenQuanYi Zen Hei"/>
        <family val="2"/>
      </rPr>
      <t xml:space="preserve">研發算力占比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WenQuanYi Zen Hei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WenQuanYi Zen Hei"/>
        <family val="2"/>
      </rPr>
      <t xml:space="preserve">研發＋服務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；服務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＝支出路線，</t>
    </r>
    <r>
      <rPr>
        <sz val="11"/>
        <color theme="1"/>
        <rFont val="Calibri"/>
        <family val="2"/>
        <charset val="1"/>
      </rPr>
      <t xml:space="preserve">v8.0 D14 </t>
    </r>
    <r>
      <rPr>
        <sz val="11"/>
        <color theme="1"/>
        <rFont val="WenQuanYi Zen Hei"/>
        <family val="2"/>
      </rPr>
      <t xml:space="preserve">主口徑）</t>
    </r>
  </si>
  <si>
    <t xml:space="preserve">—</t>
  </si>
  <si>
    <t xml:space="preserve">IF_AllocQ1_R2</t>
  </si>
  <si>
    <r>
      <rPr>
        <sz val="11"/>
        <color theme="1"/>
        <rFont val="WenQuanYi Zen Hei"/>
        <family val="2"/>
      </rPr>
      <t xml:space="preserve">研發算力占比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R2</t>
    </r>
    <r>
      <rPr>
        <sz val="11"/>
        <color theme="1"/>
        <rFont val="WenQuanYi Zen Hei"/>
        <family val="2"/>
      </rPr>
      <t xml:space="preserve">：免費服務算作產品改良；服務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＝支出路線，免費服務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＝服務 </t>
    </r>
    <r>
      <rPr>
        <sz val="11"/>
        <color theme="1"/>
        <rFont val="Calibri"/>
        <family val="2"/>
        <charset val="1"/>
      </rPr>
      <t xml:space="preserve">GW × AL_FreeSpendShare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v9.0 M6</t>
    </r>
    <r>
      <rPr>
        <sz val="11"/>
        <color theme="1"/>
        <rFont val="WenQuanYi Zen Hei"/>
        <family val="2"/>
      </rPr>
      <t xml:space="preserve">）</t>
    </r>
  </si>
  <si>
    <t xml:space="preserve">IF_AllocQ2</t>
  </si>
  <si>
    <r>
      <rPr>
        <sz val="11"/>
        <color theme="1"/>
        <rFont val="WenQuanYi Zen Hei"/>
        <family val="2"/>
      </rPr>
      <t xml:space="preserve">研發算力成本占比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（研發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WenQuanYi Zen Hei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（＋服務持有成本＝</t>
    </r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WenQuanYi Zen Hei"/>
        <family val="2"/>
      </rPr>
      <t xml:space="preserve">，支出路線，</t>
    </r>
    <r>
      <rPr>
        <sz val="11"/>
        <color theme="1"/>
        <rFont val="Calibri"/>
        <family val="2"/>
        <charset val="1"/>
      </rPr>
      <t xml:space="preserve">v8.0 D14</t>
    </r>
    <r>
      <rPr>
        <sz val="11"/>
        <color theme="1"/>
        <rFont val="WenQuanYi Zen Hei"/>
        <family val="2"/>
      </rPr>
      <t xml:space="preserve">）；利用率不進入）</t>
    </r>
  </si>
  <si>
    <t xml:space="preserve">IF_AllocServeGW</t>
  </si>
  <si>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合計（支出路線＝</t>
    </r>
    <r>
      <rPr>
        <sz val="11"/>
        <color theme="1"/>
        <rFont val="Calibri"/>
        <family val="2"/>
        <charset val="1"/>
      </rPr>
      <t xml:space="preserve">SRC_DEM_004 ÷ Σ </t>
    </r>
    <r>
      <rPr>
        <sz val="11"/>
        <color theme="1"/>
        <rFont val="WenQuanYi Zen Hei"/>
        <family val="2"/>
      </rPr>
      <t xml:space="preserve">世代占比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持有成本；</t>
    </r>
    <r>
      <rPr>
        <sz val="11"/>
        <color theme="1"/>
        <rFont val="Calibri"/>
        <family val="2"/>
        <charset val="1"/>
      </rPr>
      <t xml:space="preserve">v8.0 D14 </t>
    </r>
    <r>
      <rPr>
        <sz val="11"/>
        <color theme="1"/>
        <rFont val="WenQuanYi Zen Hei"/>
        <family val="2"/>
      </rPr>
      <t xml:space="preserve">主口徑；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關鍵電力）</t>
    </r>
  </si>
  <si>
    <t xml:space="preserve">GW</t>
  </si>
  <si>
    <t xml:space="preserve">IF_AllocRDGW</t>
  </si>
  <si>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k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N_major × </t>
    </r>
    <r>
      <rPr>
        <sz val="11"/>
        <color theme="1"/>
        <rFont val="WenQuanYi Zen Hei"/>
        <family val="2"/>
      </rPr>
      <t xml:space="preserve">家族＋</t>
    </r>
    <r>
      <rPr>
        <sz val="11"/>
        <color theme="1"/>
        <rFont val="Calibri"/>
        <family val="2"/>
        <charset val="1"/>
      </rPr>
      <t xml:space="preserve">N_refresh × </t>
    </r>
    <r>
      <rPr>
        <sz val="11"/>
        <color theme="1"/>
        <rFont val="WenQuanYi Zen Hei"/>
        <family val="2"/>
      </rPr>
      <t xml:space="preserve">改版）；</t>
    </r>
    <r>
      <rPr>
        <sz val="11"/>
        <color theme="1"/>
        <rFont val="Calibri"/>
        <family val="2"/>
        <charset val="1"/>
      </rPr>
      <t xml:space="preserve">v8.0 L3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研發世代組合加權，</t>
    </r>
    <r>
      <rPr>
        <sz val="11"/>
        <color theme="1"/>
        <rFont val="Calibri"/>
        <family val="2"/>
        <charset val="1"/>
      </rPr>
      <t xml:space="preserve">Alloc J </t>
    </r>
    <r>
      <rPr>
        <sz val="11"/>
        <color theme="1"/>
        <rFont val="WenQuanYi Zen Hei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</si>
  <si>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WenQuanYi Zen Hei"/>
        <family val="2"/>
      </rPr>
      <t xml:space="preserve">年</t>
    </r>
  </si>
  <si>
    <t xml:space="preserve">IF_AllocDemand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</si>
  <si>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WenQuanYi Zen Hei"/>
        <family val="2"/>
      </rPr>
      <t xml:space="preserve">；付費＋免費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</si>
  <si>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IF_AllocImpliedNk</t>
  </si>
  <si>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N × 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支出比反推；以家族計畫當量；</t>
    </r>
    <r>
      <rPr>
        <sz val="11"/>
        <color theme="1"/>
        <rFont val="Calibri"/>
        <family val="2"/>
        <charset val="1"/>
      </rPr>
      <t xml:space="preserve">A3</t>
    </r>
    <r>
      <rPr>
        <sz val="11"/>
        <color theme="1"/>
        <rFont val="WenQuanYi Zen Hei"/>
        <family val="2"/>
      </rPr>
      <t xml:space="preserve">）　</t>
    </r>
    <r>
      <rPr>
        <sz val="11"/>
        <color theme="1"/>
        <rFont val="Calibri"/>
        <family val="2"/>
        <charset val="1"/>
      </rPr>
      <t xml:space="preserve">[IF_AllocImpliedNk] 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v10.0 N2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WenQuanYi Zen Hei"/>
        <family val="2"/>
      </rPr>
      <t xml:space="preserve">）：性質＝倒推（隱含 </t>
    </r>
    <r>
      <rPr>
        <sz val="11"/>
        <color theme="1"/>
        <rFont val="Calibri"/>
        <family val="2"/>
        <charset val="1"/>
      </rPr>
      <t xml:space="preserve">N × 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J8 </t>
    </r>
    <r>
      <rPr>
        <sz val="11"/>
        <color theme="1"/>
        <rFont val="WenQuanYi Zen Hei"/>
        <family val="2"/>
      </rPr>
      <t xml:space="preserve">落差由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支出反推研發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，再除以計畫當量；不是觀測值）</t>
    </r>
  </si>
  <si>
    <t xml:space="preserve">個</t>
  </si>
  <si>
    <t xml:space="preserve">IF_TrainCost_Astra</t>
  </si>
  <si>
    <r>
      <rPr>
        <sz val="11"/>
        <color theme="1"/>
        <rFont val="WenQuanYi Zen Hei"/>
        <family val="2"/>
      </rPr>
      <t xml:space="preserve">最終訓練成本 — 經濟（依成本情境）　</t>
    </r>
    <r>
      <rPr>
        <sz val="11"/>
        <color theme="1"/>
        <rFont val="Calibri"/>
        <family val="2"/>
        <charset val="1"/>
      </rPr>
      <t xml:space="preserve">[IF_TrainCost_Astra]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</si>
  <si>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$M</t>
  </si>
  <si>
    <t xml:space="preserve">IF_TrainCost_Luna</t>
  </si>
  <si>
    <r>
      <rPr>
        <sz val="11"/>
        <color theme="1"/>
        <rFont val="WenQuanYi Zen Hei"/>
        <family val="2"/>
      </rPr>
      <t xml:space="preserve">最終訓練成本 — 經濟（依成本情境）　</t>
    </r>
    <r>
      <rPr>
        <sz val="11"/>
        <color theme="1"/>
        <rFont val="Calibri"/>
        <family val="2"/>
        <charset val="1"/>
      </rPr>
      <t xml:space="preserve">[IF_TrainCost_Luna]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</si>
  <si>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IF_TrainCost_Sol</t>
  </si>
  <si>
    <r>
      <rPr>
        <sz val="11"/>
        <color theme="1"/>
        <rFont val="WenQuanYi Zen Hei"/>
        <family val="2"/>
      </rPr>
      <t xml:space="preserve">最終訓練成本 — 經濟（依成本情境）　</t>
    </r>
    <r>
      <rPr>
        <sz val="11"/>
        <color theme="1"/>
        <rFont val="Calibri"/>
        <family val="2"/>
        <charset val="1"/>
      </rPr>
      <t xml:space="preserve">[IF_TrainCost_Sol]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</si>
  <si>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IF_RevGW_Astra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</si>
  <si>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理論營收 —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有效單價（理想上限）</t>
    </r>
  </si>
  <si>
    <t xml:space="preserve">IF_RevGW_Luna</t>
  </si>
  <si>
    <t xml:space="preserve">IF_RevGW_Sol</t>
  </si>
  <si>
    <t xml:space="preserve">IF_FullCostDefault_Astra</t>
  </si>
  <si>
    <r>
      <rPr>
        <sz val="11"/>
        <color theme="1"/>
        <rFont val="WenQuanYi Zen Hei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WenQuanYi Zen Hei"/>
        <family val="2"/>
      </rPr>
      <t xml:space="preserve">（服務＋快取儲存＋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WenQuanYi Zen Hei"/>
        <family val="2"/>
      </rPr>
      <t xml:space="preserve">預設攤提；基準利用率；下游預設）　</t>
    </r>
    <r>
      <rPr>
        <sz val="11"/>
        <color theme="1"/>
        <rFont val="Calibri"/>
        <family val="2"/>
        <charset val="1"/>
      </rPr>
      <t xml:space="preserve">[IF_FullCostDefault_Astra]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</si>
  <si>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IF_FullCostDefault_Luna</t>
  </si>
  <si>
    <r>
      <rPr>
        <sz val="11"/>
        <color theme="1"/>
        <rFont val="WenQuanYi Zen Hei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WenQuanYi Zen Hei"/>
        <family val="2"/>
      </rPr>
      <t xml:space="preserve">（服務＋快取儲存＋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WenQuanYi Zen Hei"/>
        <family val="2"/>
      </rPr>
      <t xml:space="preserve">預設攤提；基準利用率；下游預設）　</t>
    </r>
    <r>
      <rPr>
        <sz val="11"/>
        <color theme="1"/>
        <rFont val="Calibri"/>
        <family val="2"/>
        <charset val="1"/>
      </rPr>
      <t xml:space="preserve">[IF_FullCostDefault_Luna]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</si>
  <si>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IF_FullCostDefault_Sol</t>
  </si>
  <si>
    <r>
      <rPr>
        <sz val="11"/>
        <color theme="1"/>
        <rFont val="WenQuanYi Zen Hei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WenQuanYi Zen Hei"/>
        <family val="2"/>
      </rPr>
      <t xml:space="preserve">（服務＋快取儲存＋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WenQuanYi Zen Hei"/>
        <family val="2"/>
      </rPr>
      <t xml:space="preserve">預設攤提；基準利用率；下游預設）　</t>
    </r>
    <r>
      <rPr>
        <sz val="11"/>
        <color theme="1"/>
        <rFont val="Calibri"/>
        <family val="2"/>
        <charset val="1"/>
      </rPr>
      <t xml:space="preserve">[IF_FullCostDefault_Sol]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</si>
  <si>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L1_Ans3</t>
  </si>
  <si>
    <r>
      <rPr>
        <sz val="11"/>
        <color theme="1"/>
        <rFont val="WenQuanYi Zen Hei"/>
        <family val="2"/>
      </rPr>
      <t xml:space="preserve">問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：研發占整體成本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（算力部分）（基準）</t>
    </r>
  </si>
  <si>
    <t xml:space="preserve">L1_Ans3_Lo</t>
  </si>
  <si>
    <r>
      <rPr>
        <sz val="11"/>
        <color theme="1"/>
        <rFont val="WenQuanYi Zen Hei"/>
        <family val="2"/>
      </rPr>
      <t xml:space="preserve">問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：研發占整體成本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（算力部分）（低）</t>
    </r>
  </si>
  <si>
    <t xml:space="preserve">L1_Ans3_Hi</t>
  </si>
  <si>
    <r>
      <rPr>
        <sz val="11"/>
        <color theme="1"/>
        <rFont val="WenQuanYi Zen Hei"/>
        <family val="2"/>
      </rPr>
      <t xml:space="preserve">問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：研發占整體成本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（算力部分）（高）</t>
    </r>
  </si>
  <si>
    <t xml:space="preserve">③IF_CapexTotal</t>
  </si>
  <si>
    <t xml:space="preserve">IF_CapexTotal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</si>
  <si>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資本支出 — 合計</t>
    </r>
  </si>
  <si>
    <t xml:space="preserve">$B</t>
  </si>
  <si>
    <r>
      <rPr>
        <sz val="11"/>
        <color theme="1"/>
        <rFont val="WenQuanYi Zen Hei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P×Q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RNG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v5.26 </t>
    </r>
    <r>
      <rPr>
        <sz val="11"/>
        <color theme="1"/>
        <rFont val="WenQuanYi Zen Hei"/>
        <family val="2"/>
      </rPr>
      <t xml:space="preserve">無此名稱）</t>
    </r>
  </si>
  <si>
    <t xml:space="preserve">IF_TokGWPaidMix</t>
  </si>
  <si>
    <r>
      <rPr>
        <sz val="11"/>
        <color theme="1"/>
        <rFont val="WenQuanYi Zen Hei"/>
        <family val="2"/>
      </rPr>
      <t xml:space="preserve">付費層級組合下每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年產能（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利用、全部付費；層級占比調和平均；實際＝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服務占比 </t>
    </r>
    <r>
      <rPr>
        <sz val="11"/>
        <color theme="1"/>
        <rFont val="Calibri"/>
        <family val="2"/>
        <charset val="1"/>
      </rPr>
      <t xml:space="preserve">IF_ServeShare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免費占比 </t>
    </r>
    <r>
      <rPr>
        <sz val="11"/>
        <color theme="1"/>
        <rFont val="Calibri"/>
        <family val="2"/>
        <charset val="1"/>
      </rPr>
      <t xml:space="preserve">IF_FreeShare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生產折減；欄 </t>
    </r>
    <r>
      <rPr>
        <sz val="11"/>
        <color theme="1"/>
        <rFont val="Calibri"/>
        <family val="2"/>
        <charset val="1"/>
      </rPr>
      <t xml:space="preserve">C–Q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WenQuanYi Zen Hei"/>
        <family val="2"/>
      </rPr>
      <t xml:space="preserve">成本情境，同 </t>
    </r>
    <r>
      <rPr>
        <sz val="11"/>
        <color theme="1"/>
        <rFont val="Calibri"/>
        <family val="2"/>
        <charset val="1"/>
      </rPr>
      <t xml:space="preserve">IF_TokGW_*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類型＝付費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混合：新鮮輸入＋快取輸入＋輸出）</t>
    </r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</si>
  <si>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WenQuanYi Zen Hei"/>
        <family val="2"/>
      </rPr>
      <t xml:space="preserve">年</t>
    </r>
  </si>
  <si>
    <t xml:space="preserve">（無）</t>
  </si>
  <si>
    <t xml:space="preserve">IF_Disc</t>
  </si>
  <si>
    <r>
      <rPr>
        <sz val="11"/>
        <color theme="1"/>
        <rFont val="WenQuanYi Zen Hei"/>
        <family val="2"/>
      </rPr>
      <t xml:space="preserve">折扣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（有效牌價＝表列牌價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IF_Disc</t>
    </r>
    <r>
      <rPr>
        <sz val="11"/>
        <color theme="1"/>
        <rFont val="WenQuanYi Zen Hei"/>
        <family val="2"/>
      </rPr>
      <t xml:space="preserve">）；基準／低／高）</t>
    </r>
  </si>
  <si>
    <t xml:space="preserve">IF_ProdDerate</t>
  </si>
  <si>
    <r>
      <rPr>
        <sz val="11"/>
        <color theme="1"/>
        <rFont val="WenQuanYi Zen Hei"/>
        <family val="2"/>
      </rPr>
      <t xml:space="preserve">生產折減（線性；＝</t>
    </r>
    <r>
      <rPr>
        <sz val="11"/>
        <color theme="1"/>
        <rFont val="Calibri"/>
        <family val="2"/>
        <charset val="1"/>
      </rPr>
      <t xml:space="preserve">CTL_ProdDerate</t>
    </r>
    <r>
      <rPr>
        <sz val="11"/>
        <color theme="1"/>
        <rFont val="WenQuanYi Zen Hei"/>
        <family val="2"/>
      </rPr>
      <t xml:space="preserve">；其他世代的重解比待補，下游暫用本列；基準）</t>
    </r>
  </si>
  <si>
    <t xml:space="preserve">x</t>
  </si>
  <si>
    <t xml:space="preserve">IF_FleetProdRatio_VR200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</si>
  <si>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生產折減重解比（＝</t>
    </r>
    <r>
      <rPr>
        <sz val="11"/>
        <color theme="1"/>
        <rFont val="Calibri"/>
        <family val="2"/>
        <charset val="1"/>
      </rPr>
      <t xml:space="preserve">L1_FleetProdRatio</t>
    </r>
    <r>
      <rPr>
        <sz val="11"/>
        <color theme="1"/>
        <rFont val="WenQuanYi Zen Hei"/>
        <family val="2"/>
      </rPr>
      <t xml:space="preserve">；重解 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WenQuanYi Zen Hei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理想產出；僅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；基準）</t>
    </r>
  </si>
  <si>
    <t xml:space="preserve">IF_PxEffMix</t>
  </si>
  <si>
    <r>
      <rPr>
        <sz val="11"/>
        <color theme="1"/>
        <rFont val="WenQuanYi Zen Hei"/>
        <family val="2"/>
      </rPr>
      <t xml:space="preserve">付費層級組合的有效牌價 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快照（＝表列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IF_Disc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WenQuanYi Zen Hei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IF_MixPaid_* </t>
    </r>
    <r>
      <rPr>
        <sz val="11"/>
        <color theme="1"/>
        <rFont val="WenQuanYi Zen Hei"/>
        <family val="2"/>
      </rPr>
      <t xml:space="preserve">加權；基準）</t>
    </r>
  </si>
  <si>
    <t xml:space="preserve">IF_PxEffMix25</t>
  </si>
  <si>
    <r>
      <rPr>
        <sz val="11"/>
        <color theme="1"/>
        <rFont val="WenQuanYi Zen Hei"/>
        <family val="2"/>
      </rPr>
      <t xml:space="preserve">付費層級組合的有效牌價 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年度（</t>
    </r>
    <r>
      <rPr>
        <sz val="11"/>
        <color theme="1"/>
        <rFont val="Calibri"/>
        <family val="2"/>
        <charset val="1"/>
      </rPr>
      <t xml:space="preserve">CAP_Price25Mix</t>
    </r>
    <r>
      <rPr>
        <sz val="11"/>
        <color theme="1"/>
        <rFont val="WenQuanYi Zen Hei"/>
        <family val="2"/>
      </rPr>
      <t xml:space="preserve">；各層級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年度加權單價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IF_Disc</t>
    </r>
    <r>
      <rPr>
        <sz val="11"/>
        <color theme="1"/>
        <rFont val="WenQuanYi Zen Hei"/>
        <family val="2"/>
      </rPr>
      <t xml:space="preserve">）；基準／低／高）</t>
    </r>
  </si>
  <si>
    <t xml:space="preserve">IF_PxEffMix25_Lo</t>
  </si>
  <si>
    <t xml:space="preserve">IF_PxEffMix25_Hi</t>
  </si>
  <si>
    <t xml:space="preserve">IF_ServeShare</t>
  </si>
  <si>
    <r>
      <rPr>
        <sz val="11"/>
        <color theme="1"/>
        <rFont val="WenQuanYi Zen Hei"/>
        <family val="2"/>
      </rPr>
      <t xml:space="preserve">對外服務占機隊（第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層參考；下游覆寫）　</t>
    </r>
    <r>
      <rPr>
        <sz val="11"/>
        <color theme="1"/>
        <rFont val="Calibri"/>
        <family val="2"/>
        <charset val="1"/>
      </rPr>
      <t xml:space="preserve">[IF_ServeShare]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WenQuanYi Zen Hei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WenQuanYi Zen Hei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WenQuanYi Zen Hei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WenQuanYi Zen Hei"/>
        <family val="2"/>
      </rPr>
      <t xml:space="preserve">）</t>
    </r>
  </si>
  <si>
    <t xml:space="preserve">IF_FreeShare</t>
  </si>
  <si>
    <r>
      <rPr>
        <sz val="11"/>
        <color theme="1"/>
        <rFont val="WenQuanYi Zen Hei"/>
        <family val="2"/>
      </rPr>
      <t xml:space="preserve">免費占服務（第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層參考；下游覆寫）</t>
    </r>
  </si>
  <si>
    <t xml:space="preserve">IF_MixPaid_Luna</t>
  </si>
  <si>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層級占比 — 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B4_MixPaid</t>
    </r>
    <r>
      <rPr>
        <sz val="11"/>
        <color theme="1"/>
        <rFont val="WenQuanYi Zen Hei"/>
        <family val="2"/>
      </rPr>
      <t xml:space="preserve">；付費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中該層級的占比；基準）</t>
    </r>
  </si>
  <si>
    <t xml:space="preserve">IF_MixPaid_Sol</t>
  </si>
  <si>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層級占比 —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B4_MixPaid</t>
    </r>
    <r>
      <rPr>
        <sz val="11"/>
        <color theme="1"/>
        <rFont val="WenQuanYi Zen Hei"/>
        <family val="2"/>
      </rPr>
      <t xml:space="preserve">；付費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中該層級的占比；基準）</t>
    </r>
  </si>
  <si>
    <t xml:space="preserve">IF_MixPaid_Astra</t>
  </si>
  <si>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層級占比 — 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B4_MixPaid</t>
    </r>
    <r>
      <rPr>
        <sz val="11"/>
        <color theme="1"/>
        <rFont val="WenQuanYi Zen Hei"/>
        <family val="2"/>
      </rPr>
      <t xml:space="preserve">；付費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中該層級的占比；基準）</t>
    </r>
  </si>
  <si>
    <t xml:space="preserve">IF_UtilActual</t>
  </si>
  <si>
    <r>
      <rPr>
        <sz val="11"/>
        <color theme="1"/>
        <rFont val="WenQuanYi Zen Hei"/>
        <family val="2"/>
      </rPr>
      <t xml:space="preserve">實際利用率（營運口徑；實際產出＝產能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本列；基準／低／高）</t>
    </r>
  </si>
  <si>
    <t xml:space="preserve">IF_UtilActual_Lo</t>
  </si>
  <si>
    <t xml:space="preserve">IF_UtilActual_Hi</t>
  </si>
  <si>
    <t xml:space="preserve">IF_LTotalDisc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</si>
  <si>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（新世代自身起點、折現；＝</t>
    </r>
    <r>
      <rPr>
        <sz val="11"/>
        <color theme="1"/>
        <rFont val="Calibri"/>
        <family val="2"/>
        <charset val="1"/>
      </rPr>
      <t xml:space="preserve">L1_LTotalDisc</t>
    </r>
    <r>
      <rPr>
        <sz val="11"/>
        <color theme="1"/>
        <rFont val="WenQuanYi Zen Hei"/>
        <family val="2"/>
      </rPr>
      <t xml:space="preserve">；壽命期年均產出占第一年的比例；基準／低／高）</t>
    </r>
  </si>
  <si>
    <t xml:space="preserve">IF_LTotalDisc_Lo</t>
  </si>
  <si>
    <t xml:space="preserve">IF_LTotalDisc_Hi</t>
  </si>
  <si>
    <t xml:space="preserve">IF_LTotalFleetVDisc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</si>
  <si>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機隊、世代起點、折現；＝</t>
    </r>
    <r>
      <rPr>
        <sz val="11"/>
        <color theme="1"/>
        <rFont val="Calibri"/>
        <family val="2"/>
        <charset val="1"/>
      </rPr>
      <t xml:space="preserve">L1_LTotalFleetVDisc</t>
    </r>
    <r>
      <rPr>
        <sz val="11"/>
        <color theme="1"/>
        <rFont val="WenQuanYi Zen Hei"/>
        <family val="2"/>
      </rPr>
      <t xml:space="preserve">；基準／低／高）</t>
    </r>
  </si>
  <si>
    <t xml:space="preserve">IF_LTotalFleetVDisc_Lo</t>
  </si>
  <si>
    <t xml:space="preserve">IF_LTotalFleetVDisc_Hi</t>
  </si>
  <si>
    <t xml:space="preserve">RNG_IF_AllocQ1_Lo</t>
  </si>
  <si>
    <r>
      <rPr>
        <sz val="11"/>
        <color theme="1"/>
        <rFont val="Calibri"/>
        <family val="2"/>
        <charset val="1"/>
      </rPr>
      <t xml:space="preserve">IF_AllocQ1 </t>
    </r>
    <r>
      <rPr>
        <sz val="11"/>
        <color theme="1"/>
        <rFont val="WenQuanYi Zen Hei"/>
        <family val="2"/>
      </rPr>
      <t xml:space="preserve">下限 </t>
    </r>
    <r>
      <rPr>
        <sz val="11"/>
        <color theme="1"/>
        <rFont val="Calibri"/>
        <family val="2"/>
        <charset val="1"/>
      </rPr>
      <t xml:space="preserve">Lo</t>
    </r>
  </si>
  <si>
    <t xml:space="preserve">RNG_IF_AllocQ1_Hi</t>
  </si>
  <si>
    <r>
      <rPr>
        <sz val="11"/>
        <color theme="1"/>
        <rFont val="Calibri"/>
        <family val="2"/>
        <charset val="1"/>
      </rPr>
      <t xml:space="preserve">IF_AllocQ1 </t>
    </r>
    <r>
      <rPr>
        <sz val="11"/>
        <color theme="1"/>
        <rFont val="WenQuanYi Zen Hei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Hi</t>
    </r>
  </si>
  <si>
    <t xml:space="preserve">RNG_StaleFlag</t>
  </si>
  <si>
    <t xml:space="preserve">區間時效旗標</t>
  </si>
  <si>
    <t xml:space="preserve">文字</t>
  </si>
  <si>
    <t xml:space="preserve">一致</t>
  </si>
  <si>
    <t xml:space="preserve">輸出</t>
  </si>
  <si>
    <t xml:space="preserve">列</t>
  </si>
  <si>
    <t xml:space="preserve">FY2025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</si>
  <si>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</si>
  <si>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</si>
  <si>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</si>
  <si>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</si>
  <si>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</si>
  <si>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WenQuanYi Zen Hei"/>
        <family val="2"/>
      </rPr>
      <t xml:space="preserve">（有效推論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校準係數；各年相同）</t>
    </r>
  </si>
  <si>
    <r>
      <rPr>
        <sz val="11"/>
        <color theme="1"/>
        <rFont val="WenQuanYi Zen Hei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v5.26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</si>
  <si>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後（</t>
    </r>
    <r>
      <rPr>
        <sz val="11"/>
        <color theme="1"/>
        <rFont val="Calibri"/>
        <family val="2"/>
        <charset val="1"/>
      </rPr>
      <t xml:space="preserve">v0.6.2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v19.0</t>
    </r>
    <r>
      <rPr>
        <sz val="11"/>
        <color theme="1"/>
        <rFont val="WenQuanYi Zen Hei"/>
        <family val="2"/>
      </rPr>
      <t xml:space="preserve">）</t>
    </r>
  </si>
  <si>
    <t xml:space="preserve">差額（後 − 前）</t>
  </si>
  <si>
    <r>
      <rPr>
        <sz val="11"/>
        <color theme="1"/>
        <rFont val="WenQuanYi Zen Hei"/>
        <family val="2"/>
      </rPr>
      <t xml:space="preserve">歸因 ①</t>
    </r>
    <r>
      <rPr>
        <sz val="11"/>
        <color theme="1"/>
        <rFont val="Calibri"/>
        <family val="2"/>
        <charset val="1"/>
      </rPr>
      <t xml:space="preserve">IF_TokGW_*</t>
    </r>
    <r>
      <rPr>
        <sz val="11"/>
        <color theme="1"/>
        <rFont val="WenQuanYi Zen Hei"/>
        <family val="2"/>
      </rPr>
      <t xml:space="preserve">（只換這組）</t>
    </r>
  </si>
  <si>
    <r>
      <rPr>
        <sz val="11"/>
        <color theme="1"/>
        <rFont val="WenQuanYi Zen Hei"/>
        <family val="2"/>
      </rPr>
      <t xml:space="preserve">歸因 ②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WenQuanYi Zen Hei"/>
        <family val="2"/>
      </rPr>
      <t xml:space="preserve">（只換這組）</t>
    </r>
  </si>
  <si>
    <r>
      <rPr>
        <sz val="11"/>
        <color theme="1"/>
        <rFont val="WenQuanYi Zen Hei"/>
        <family val="2"/>
      </rPr>
      <t xml:space="preserve">歸因 ③</t>
    </r>
    <r>
      <rPr>
        <sz val="11"/>
        <color theme="1"/>
        <rFont val="Calibri"/>
        <family val="2"/>
        <charset val="1"/>
      </rPr>
      <t xml:space="preserve">IF_CapexTotal</t>
    </r>
    <r>
      <rPr>
        <sz val="11"/>
        <color theme="1"/>
        <rFont val="WenQuanYi Zen Hei"/>
        <family val="2"/>
      </rPr>
      <t xml:space="preserve">（只換這組）</t>
    </r>
  </si>
  <si>
    <t xml:space="preserve">歸因 ④其餘對照類（只換這組）</t>
  </si>
  <si>
    <r>
      <rPr>
        <sz val="11"/>
        <color theme="1"/>
        <rFont val="WenQuanYi Zen Hei"/>
        <family val="2"/>
      </rPr>
      <t xml:space="preserve">交互項（差額 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WenQuanYi Zen Hei"/>
        <family val="2"/>
      </rPr>
      <t xml:space="preserve">單換）</t>
    </r>
  </si>
  <si>
    <r>
      <rPr>
        <sz val="11"/>
        <color theme="1"/>
        <rFont val="WenQuanYi Zen Hei"/>
        <family val="2"/>
      </rPr>
      <t xml:space="preserve">全換結果與單換加總的差；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＝各組獨立</t>
    </r>
  </si>
  <si>
    <t xml:space="preserve"> </t>
  </si>
  <si>
    <r>
      <rPr>
        <sz val="11"/>
        <color theme="1"/>
        <rFont val="WenQuanYi Zen Hei"/>
        <family val="2"/>
      </rPr>
      <t xml:space="preserve">有效推論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（未截頂）</t>
    </r>
  </si>
  <si>
    <r>
      <rPr>
        <sz val="11"/>
        <color theme="1"/>
        <rFont val="WenQuanYi Zen Hei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（後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</si>
  <si>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（截頂後）</t>
    </r>
  </si>
  <si>
    <r>
      <rPr>
        <sz val="11"/>
        <color theme="1"/>
        <rFont val="WenQuanYi Zen Hei"/>
        <family val="2"/>
      </rPr>
      <t xml:space="preserve">截頂係數（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＝未受限）</t>
    </r>
  </si>
  <si>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（殘差）</t>
    </r>
  </si>
  <si>
    <r>
      <rPr>
        <sz val="11"/>
        <color theme="1"/>
        <rFont val="WenQuanYi Zen Hei"/>
        <family val="2"/>
      </rPr>
      <t xml:space="preserve">總需求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</si>
  <si>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WenQuanYi Zen Hei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</si>
  <si>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WenQuanYi Zen Hei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WenQuanYi Zen Hei"/>
        <family val="2"/>
      </rPr>
      <t xml:space="preserve">等值係數</t>
    </r>
  </si>
  <si>
    <r>
      <rPr>
        <sz val="11"/>
        <color theme="1"/>
        <rFont val="WenQuanYi Zen Hei"/>
        <family val="2"/>
      </rPr>
      <t xml:space="preserve">供應商持有成本 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</si>
  <si>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WenQuanYi Zen Hei"/>
        <family val="2"/>
      </rPr>
      <t xml:space="preserve">雲端毛利 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</si>
  <si>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WenQuanYi Zen Hei"/>
        <family val="2"/>
      </rPr>
      <t xml:space="preserve">雲端毛利 </t>
    </r>
    <r>
      <rPr>
        <sz val="11"/>
        <color theme="1"/>
        <rFont val="Calibri"/>
        <family val="2"/>
        <charset val="1"/>
      </rPr>
      <t xml:space="preserve">%</t>
    </r>
  </si>
  <si>
    <r>
      <rPr>
        <sz val="11"/>
        <color theme="1"/>
        <rFont val="WenQuanYi Zen Hei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WenQuanYi Zen Hei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差額（現金口徑）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</si>
  <si>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WenQuanYi Zen Hei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WenQuanYi Zen Hei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差額（經濟口徑）</t>
    </r>
    <r>
      <rPr>
        <sz val="11"/>
        <color theme="1"/>
        <rFont val="Calibri"/>
        <family val="2"/>
        <charset val="1"/>
      </rPr>
      <t xml:space="preserve">$B</t>
    </r>
  </si>
  <si>
    <t xml:space="preserve">命題：營收覆蓋全成本比（現金口徑）</t>
  </si>
  <si>
    <r>
      <rPr>
        <sz val="11"/>
        <color theme="1"/>
        <rFont val="WenQuanYi Zen Hei"/>
        <family val="2"/>
      </rPr>
      <t xml:space="preserve">研發算力成本 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</si>
  <si>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研發占整體營運成本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</si>
  <si>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研發算力 − </t>
    </r>
    <r>
      <rPr>
        <sz val="11"/>
        <color theme="1"/>
        <rFont val="Calibri"/>
        <family val="2"/>
        <charset val="1"/>
      </rPr>
      <t xml:space="preserve">TK L1_Ans3 </t>
    </r>
    <r>
      <rPr>
        <sz val="11"/>
        <color theme="1"/>
        <rFont val="WenQuanYi Zen Hei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</si>
  <si>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WenQuanYi Zen Hei"/>
        <family val="2"/>
      </rPr>
      <t xml:space="preserve">累計外部資金需求 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WenQuanYi Zen Hei"/>
        <family val="2"/>
      </rPr>
      <t xml:space="preserve">欄位為 </t>
    </r>
    <r>
      <rPr>
        <sz val="11"/>
        <color theme="1"/>
        <rFont val="Calibri"/>
        <family val="2"/>
        <charset val="1"/>
      </rPr>
      <t xml:space="preserve">FY2026–FY2030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</si>
  <si>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WenQuanYi Zen Hei"/>
        <family val="2"/>
      </rPr>
      <t xml:space="preserve">回本比值（欄 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WenQuanYi Zen Hei"/>
        <family val="2"/>
      </rPr>
      <t xml:space="preserve">位置＝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指數／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線性／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低／基準／高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；前後相同，不納入歸因）</t>
    </r>
  </si>
  <si>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占總需求比</t>
    </r>
  </si>
  <si>
    <t xml:space="preserve">前</t>
  </si>
  <si>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WenQuanYi Zen Hei"/>
        <family val="2"/>
      </rPr>
      <t xml:space="preserve">總需求 </t>
    </r>
    <r>
      <rPr>
        <sz val="11"/>
        <color theme="1"/>
        <rFont val="Calibri"/>
        <family val="2"/>
        <charset val="1"/>
      </rPr>
      <t xml:space="preserve">GW</t>
    </r>
  </si>
  <si>
    <t xml:space="preserve">後</t>
  </si>
  <si>
    <t xml:space="preserve">差額（百分點）</t>
  </si>
  <si>
    <t xml:space="preserve">外部資金需求峰值年</t>
  </si>
  <si>
    <t xml:space="preserve">前／後</t>
  </si>
  <si>
    <t xml:space="preserve">2029</t>
  </si>
  <si>
    <r>
      <rPr>
        <sz val="11"/>
        <color theme="1"/>
        <rFont val="Calibri"/>
        <family val="2"/>
        <charset val="1"/>
      </rPr>
      <t xml:space="preserve">FND_ExtNeed </t>
    </r>
    <r>
      <rPr>
        <sz val="11"/>
        <color theme="1"/>
        <rFont val="WenQuanYi Zen Hei"/>
        <family val="2"/>
      </rPr>
      <t xml:space="preserve">年度向量：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38.4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134.9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137.6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131.9 $B</t>
    </r>
    <r>
      <rPr>
        <sz val="11"/>
        <color theme="1"/>
        <rFont val="WenQuanYi Zen Hei"/>
        <family val="2"/>
      </rPr>
      <t xml:space="preserve">，前後相同；峰值年 </t>
    </r>
    <r>
      <rPr>
        <sz val="11"/>
        <color theme="1"/>
        <rFont val="Calibri"/>
        <family val="2"/>
        <charset val="1"/>
      </rPr>
      <t xml:space="preserve">2029</t>
    </r>
  </si>
  <si>
    <t xml:space="preserve">問題</t>
  </si>
  <si>
    <t xml:space="preserve">採用的預設</t>
  </si>
  <si>
    <t xml:space="preserve">替代選項</t>
  </si>
  <si>
    <t xml:space="preserve">對結果的影響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</si>
  <si>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提交</t>
    </r>
  </si>
  <si>
    <r>
      <rPr>
        <sz val="11"/>
        <color theme="1"/>
        <rFont val="WenQuanYi Zen Hei"/>
        <family val="2"/>
      </rPr>
      <t xml:space="preserve">取工作單開工時 </t>
    </r>
    <r>
      <rPr>
        <sz val="11"/>
        <color theme="1"/>
        <rFont val="Calibri"/>
        <family val="2"/>
        <charset val="1"/>
      </rPr>
      <t xml:space="preserve">master HEAD `1916a06`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#144 </t>
    </r>
    <r>
      <rPr>
        <sz val="11"/>
        <color theme="1"/>
        <rFont val="WenQuanYi Zen Hei"/>
        <family val="2"/>
      </rPr>
      <t xml:space="preserve">合併）的 </t>
    </r>
    <r>
      <rPr>
        <sz val="11"/>
        <color theme="1"/>
        <rFont val="Calibri"/>
        <family val="2"/>
        <charset val="1"/>
      </rPr>
      <t xml:space="preserve">model/CURRENT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v19.0</t>
    </r>
    <r>
      <rPr>
        <sz val="11"/>
        <color theme="1"/>
        <rFont val="WenQuanYi Zen Hei"/>
        <family val="2"/>
      </rPr>
      <t xml:space="preserve">；檔案 </t>
    </r>
    <r>
      <rPr>
        <sz val="11"/>
        <color theme="1"/>
        <rFont val="Calibri"/>
        <family val="2"/>
        <charset val="1"/>
      </rPr>
      <t xml:space="preserve">SHA-256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v0.6.1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TK_PxQ </t>
    </r>
    <r>
      <rPr>
        <sz val="11"/>
        <color theme="1"/>
        <rFont val="WenQuanYi Zen Hei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d1728705…</t>
    </r>
    <r>
      <rPr>
        <sz val="11"/>
        <color theme="1"/>
        <rFont val="WenQuanYi Zen Hei"/>
        <family val="2"/>
      </rPr>
      <t xml:space="preserve">），故與工作單寫的 </t>
    </r>
    <r>
      <rPr>
        <sz val="11"/>
        <color theme="1"/>
        <rFont val="Calibri"/>
        <family val="2"/>
        <charset val="1"/>
      </rPr>
      <t xml:space="preserve">`ad33e28` </t>
    </r>
    <r>
      <rPr>
        <sz val="11"/>
        <color theme="1"/>
        <rFont val="WenQuanYi Zen Hei"/>
        <family val="2"/>
      </rPr>
      <t xml:space="preserve">同一份檔案</t>
    </r>
  </si>
  <si>
    <r>
      <rPr>
        <sz val="11"/>
        <color theme="1"/>
        <rFont val="Calibri"/>
        <family val="2"/>
        <charset val="1"/>
      </rPr>
      <t xml:space="preserve">ad33e28</t>
    </r>
    <r>
      <rPr>
        <sz val="11"/>
        <color theme="1"/>
        <rFont val="WenQuanYi Zen Hei"/>
        <family val="2"/>
      </rPr>
      <t xml:space="preserve">（較早提交）</t>
    </r>
  </si>
  <si>
    <r>
      <rPr>
        <sz val="11"/>
        <color theme="1"/>
        <rFont val="WenQuanYi Zen Hei"/>
        <family val="2"/>
      </rPr>
      <t xml:space="preserve">無（同一檔案、同一 </t>
    </r>
    <r>
      <rPr>
        <sz val="11"/>
        <color theme="1"/>
        <rFont val="Calibri"/>
        <family val="2"/>
        <charset val="1"/>
      </rPr>
      <t xml:space="preserve">SHA-256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</si>
  <si>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L1_Ans3 </t>
    </r>
    <r>
      <rPr>
        <sz val="11"/>
        <color theme="1"/>
        <rFont val="WenQuanYi Zen Hei"/>
        <family val="2"/>
      </rPr>
      <t xml:space="preserve">是否改連 </t>
    </r>
    <r>
      <rPr>
        <sz val="11"/>
        <color theme="1"/>
        <rFont val="Calibri"/>
        <family val="2"/>
        <charset val="1"/>
      </rPr>
      <t xml:space="preserve">IF_</t>
    </r>
  </si>
  <si>
    <r>
      <rPr>
        <sz val="11"/>
        <color theme="1"/>
        <rFont val="Calibri"/>
        <family val="2"/>
        <charset val="1"/>
      </rPr>
      <t xml:space="preserve">v19.0 Interface </t>
    </r>
    <r>
      <rPr>
        <sz val="11"/>
        <color theme="1"/>
        <rFont val="WenQuanYi Zen Hei"/>
        <family val="2"/>
      </rPr>
      <t xml:space="preserve">查無『研發用算力成本 </t>
    </r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WenQuanYi Zen Hei"/>
        <family val="2"/>
      </rPr>
      <t xml:space="preserve">年』等義的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WenQuanYi Zen Hei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IF_ProgCost_* </t>
    </r>
    <r>
      <rPr>
        <sz val="11"/>
        <color theme="1"/>
        <rFont val="WenQuanYi Zen Hei"/>
        <family val="2"/>
      </rPr>
      <t xml:space="preserve">為每模型層級研發計畫成本 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穩態年度合計；</t>
    </r>
    <r>
      <rPr>
        <sz val="11"/>
        <color theme="1"/>
        <rFont val="Calibri"/>
        <family val="2"/>
        <charset val="1"/>
      </rPr>
      <t xml:space="preserve">IF_AllocQ2 </t>
    </r>
    <r>
      <rPr>
        <sz val="11"/>
        <color theme="1"/>
        <rFont val="WenQuanYi Zen Hei"/>
        <family val="2"/>
      </rPr>
      <t xml:space="preserve">為占比），保留 </t>
    </r>
    <r>
      <rPr>
        <sz val="11"/>
        <color theme="1"/>
        <rFont val="Calibri"/>
        <family val="2"/>
        <charset val="1"/>
      </rPr>
      <t xml:space="preserve">L1_Ans3</t>
    </r>
    <r>
      <rPr>
        <sz val="11"/>
        <color theme="1"/>
        <rFont val="WenQuanYi Zen Hei"/>
        <family val="2"/>
      </rPr>
      <t xml:space="preserve">（下游契約第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條允許）</t>
    </r>
  </si>
  <si>
    <r>
      <rPr>
        <sz val="11"/>
        <color theme="1"/>
        <rFont val="WenQuanYi Zen Hei"/>
        <family val="2"/>
      </rPr>
      <t xml:space="preserve">改連 </t>
    </r>
    <r>
      <rPr>
        <sz val="11"/>
        <color theme="1"/>
        <rFont val="Calibri"/>
        <family val="2"/>
        <charset val="1"/>
      </rPr>
      <t xml:space="preserve">IF_ProgCost_*</t>
    </r>
    <r>
      <rPr>
        <sz val="11"/>
        <color theme="1"/>
        <rFont val="WenQuanYi Zen Hei"/>
        <family val="2"/>
      </rPr>
      <t xml:space="preserve">（口徑不同）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</si>
  <si>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對照倍數 </t>
    </r>
    <r>
      <rPr>
        <sz val="11"/>
        <color theme="1"/>
        <rFont val="Calibri"/>
        <family val="2"/>
        <charset val="1"/>
      </rPr>
      <t xml:space="preserve">10.4→6.3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）；列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缺口</t>
    </r>
  </si>
  <si>
    <t xml:space="preserve">研發占比區間名稱</t>
  </si>
  <si>
    <r>
      <rPr>
        <sz val="11"/>
        <color theme="1"/>
        <rFont val="WenQuanYi Zen Hei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RNG_IF_AllocQ1_Lo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RNG_StaleFlag </t>
    </r>
    <r>
      <rPr>
        <sz val="11"/>
        <color theme="1"/>
        <rFont val="WenQuanYi Zen Hei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TK_Link</t>
    </r>
    <r>
      <rPr>
        <sz val="11"/>
        <color theme="1"/>
        <rFont val="WenQuanYi Zen Hei"/>
        <family val="2"/>
      </rPr>
      <t xml:space="preserve">（工程類，只供檢查頁並列）；新增檢查 </t>
    </r>
    <r>
      <rPr>
        <sz val="11"/>
        <color theme="1"/>
        <rFont val="Calibri"/>
        <family val="2"/>
        <charset val="1"/>
      </rPr>
      <t xml:space="preserve">C163 </t>
    </r>
    <r>
      <rPr>
        <sz val="11"/>
        <color theme="1"/>
        <rFont val="WenQuanYi Zen Hei"/>
        <family val="2"/>
      </rPr>
      <t xml:space="preserve">驗 </t>
    </r>
    <r>
      <rPr>
        <sz val="11"/>
        <color theme="1"/>
        <rFont val="Calibri"/>
        <family val="2"/>
        <charset val="1"/>
      </rPr>
      <t xml:space="preserve">RNG_StaleFlag</t>
    </r>
    <r>
      <rPr>
        <sz val="11"/>
        <color theme="1"/>
        <rFont val="WenQuanYi Zen Hei"/>
        <family val="2"/>
      </rPr>
      <t xml:space="preserve">＝『一致』</t>
    </r>
  </si>
  <si>
    <r>
      <rPr>
        <sz val="11"/>
        <color theme="1"/>
        <rFont val="WenQuanYi Zen Hei"/>
        <family val="2"/>
      </rPr>
      <t xml:space="preserve">只用點值 </t>
    </r>
    <r>
      <rPr>
        <sz val="11"/>
        <color theme="1"/>
        <rFont val="Calibri"/>
        <family val="2"/>
        <charset val="1"/>
      </rPr>
      <t xml:space="preserve">0.184</t>
    </r>
  </si>
  <si>
    <r>
      <rPr>
        <sz val="11"/>
        <color theme="1"/>
        <rFont val="WenQuanYi Zen Hei"/>
        <family val="2"/>
      </rPr>
      <t xml:space="preserve">無（</t>
    </r>
    <r>
      <rPr>
        <sz val="11"/>
        <color theme="1"/>
        <rFont val="Calibri"/>
        <family val="2"/>
        <charset val="1"/>
      </rPr>
      <t xml:space="preserve">info </t>
    </r>
    <r>
      <rPr>
        <sz val="11"/>
        <color theme="1"/>
        <rFont val="WenQuanYi Zen Hei"/>
        <family val="2"/>
      </rPr>
      <t xml:space="preserve">列）</t>
    </r>
  </si>
  <si>
    <t xml:space="preserve">兩個快照合一</t>
  </si>
  <si>
    <r>
      <rPr>
        <sz val="11"/>
        <color theme="1"/>
        <rFont val="Calibri"/>
        <family val="2"/>
        <charset val="1"/>
      </rPr>
      <t xml:space="preserve">TKQ_ </t>
    </r>
    <r>
      <rPr>
        <sz val="11"/>
        <color theme="1"/>
        <rFont val="WenQuanYi Zen Hei"/>
        <family val="2"/>
      </rPr>
      <t xml:space="preserve">前綴退役；</t>
    </r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WenQuanYi Zen Hei"/>
        <family val="2"/>
      </rPr>
      <t xml:space="preserve">公式改引 </t>
    </r>
    <r>
      <rPr>
        <sz val="11"/>
        <color theme="1"/>
        <rFont val="Calibri"/>
        <family val="2"/>
        <charset val="1"/>
      </rPr>
      <t xml:space="preserve">TK_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006–009 </t>
    </r>
    <r>
      <rPr>
        <sz val="11"/>
        <color theme="1"/>
        <rFont val="WenQuanYi Zen Hei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WenQuanYi Zen Hei"/>
        <family val="2"/>
      </rPr>
      <t xml:space="preserve">名內，併入時不重複；新增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WenQuanYi Zen Hei"/>
        <family val="2"/>
      </rPr>
      <t xml:space="preserve">個取數名稱＋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RNG_ </t>
    </r>
    <r>
      <rPr>
        <sz val="11"/>
        <color theme="1"/>
        <rFont val="WenQuanYi Zen Hei"/>
        <family val="2"/>
      </rPr>
      <t xml:space="preserve">名稱（共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WenQuanYi Zen Hei"/>
        <family val="2"/>
      </rPr>
      <t xml:space="preserve">名）</t>
    </r>
  </si>
  <si>
    <t xml:space="preserve">保留兩份快照</t>
  </si>
  <si>
    <r>
      <rPr>
        <sz val="11"/>
        <color theme="1"/>
        <rFont val="Calibri"/>
        <family val="2"/>
        <charset val="1"/>
      </rPr>
      <t xml:space="preserve">PxQ 776 </t>
    </r>
    <r>
      <rPr>
        <sz val="11"/>
        <color theme="1"/>
        <rFont val="WenQuanYi Zen Hei"/>
        <family val="2"/>
      </rPr>
      <t xml:space="preserve">個數值格與 </t>
    </r>
    <r>
      <rPr>
        <sz val="11"/>
        <color theme="1"/>
        <rFont val="Calibri"/>
        <family val="2"/>
        <charset val="1"/>
      </rPr>
      <t xml:space="preserve">v0.6.1 </t>
    </r>
    <r>
      <rPr>
        <sz val="11"/>
        <color theme="1"/>
        <rFont val="WenQuanYi Zen Hei"/>
        <family val="2"/>
      </rPr>
      <t xml:space="preserve">逐格相同（容許誤差 </t>
    </r>
    <r>
      <rPr>
        <sz val="11"/>
        <color theme="1"/>
        <rFont val="Calibri"/>
        <family val="2"/>
        <charset val="1"/>
      </rPr>
      <t xml:space="preserve">1e-12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</si>
  <si>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參數</t>
    </r>
  </si>
  <si>
    <r>
      <rPr>
        <sz val="11"/>
        <color theme="1"/>
        <rFont val="WenQuanYi Zen Hei"/>
        <family val="2"/>
      </rPr>
      <t xml:space="preserve">移除 </t>
    </r>
    <r>
      <rPr>
        <sz val="11"/>
        <color theme="1"/>
        <rFont val="Calibri"/>
        <family val="2"/>
        <charset val="1"/>
      </rPr>
      <t xml:space="preserve">--tk-pxq-dir</t>
    </r>
    <r>
      <rPr>
        <sz val="11"/>
        <color theme="1"/>
        <rFont val="WenQuanYi Zen Hei"/>
        <family val="2"/>
      </rPr>
      <t xml:space="preserve">（不保留可選參數，避免兩個版本並存）</t>
    </r>
  </si>
  <si>
    <t xml:space="preserve">改為可選並註明停用</t>
  </si>
  <si>
    <t xml:space="preserve">無</t>
  </si>
  <si>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WenQuanYi Zen Hei"/>
        <family val="2"/>
      </rPr>
      <t xml:space="preserve">編號</t>
    </r>
  </si>
  <si>
    <r>
      <rPr>
        <sz val="11"/>
        <color theme="1"/>
        <rFont val="WenQuanYi Zen Hei"/>
        <family val="2"/>
      </rPr>
      <t xml:space="preserve">標籤改變的檢查退役舊號、取新號（退役不重用）：</t>
    </r>
    <r>
      <rPr>
        <sz val="11"/>
        <color theme="1"/>
        <rFont val="Calibri"/>
        <family val="2"/>
        <charset val="1"/>
      </rPr>
      <t xml:space="preserve">C132–C138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TK_PxQ </t>
    </r>
    <r>
      <rPr>
        <sz val="11"/>
        <color theme="1"/>
        <rFont val="WenQuanYi Zen Hei"/>
        <family val="2"/>
      </rPr>
      <t xml:space="preserve">專用）退役；新增 </t>
    </r>
    <r>
      <rPr>
        <sz val="11"/>
        <color theme="1"/>
        <rFont val="Calibri"/>
        <family val="2"/>
        <charset val="1"/>
      </rPr>
      <t xml:space="preserve">C155</t>
    </r>
    <r>
      <rPr>
        <sz val="11"/>
        <color theme="1"/>
        <rFont val="WenQuanYi Zen Hei"/>
        <family val="2"/>
      </rPr>
      <t xml:space="preserve">（營收兩來源，標籤改 </t>
    </r>
    <r>
      <rPr>
        <sz val="11"/>
        <color theme="1"/>
        <rFont val="Calibri"/>
        <family val="2"/>
        <charset val="1"/>
      </rPr>
      <t xml:space="preserve">TK_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C156–C163</t>
    </r>
  </si>
  <si>
    <t xml:space="preserve">沿用舊號並改標籤</t>
  </si>
  <si>
    <t xml:space="preserve">無（編號規則）</t>
  </si>
  <si>
    <r>
      <rPr>
        <sz val="11"/>
        <color theme="1"/>
        <rFont val="Calibri"/>
        <family val="2"/>
        <charset val="1"/>
      </rPr>
      <t xml:space="preserve">TK_Link </t>
    </r>
    <r>
      <rPr>
        <sz val="11"/>
        <color theme="1"/>
        <rFont val="WenQuanYi Zen Hei"/>
        <family val="2"/>
      </rPr>
      <t xml:space="preserve">讀取日</t>
    </r>
  </si>
  <si>
    <r>
      <rPr>
        <sz val="11"/>
        <color theme="1"/>
        <rFont val="WenQuanYi Zen Hei"/>
        <family val="2"/>
      </rPr>
      <t xml:space="preserve">整份重讀，讀取日 </t>
    </r>
    <r>
      <rPr>
        <sz val="11"/>
        <color theme="1"/>
        <rFont val="Calibri"/>
        <family val="2"/>
        <charset val="1"/>
      </rPr>
      <t xml:space="preserve">2026-10-22</t>
    </r>
  </si>
  <si>
    <t xml:space="preserve">歸因分組</t>
  </si>
  <si>
    <r>
      <rPr>
        <sz val="11"/>
        <color theme="1"/>
        <rFont val="Calibri"/>
        <family val="2"/>
        <charset val="1"/>
      </rPr>
      <t xml:space="preserve">①IF_TokGW_*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名）②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名）③</t>
    </r>
    <r>
      <rPr>
        <sz val="11"/>
        <color theme="1"/>
        <rFont val="Calibri"/>
        <family val="2"/>
        <charset val="1"/>
      </rPr>
      <t xml:space="preserve">IF_CapexTotal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名）④其餘兩版皆有且值不同者（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名）；每組各算『只換這組』與『只還原這組』兩次，交互項＝全換 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WenQuanYi Zen Hei"/>
        <family val="2"/>
      </rPr>
      <t xml:space="preserve">單換</t>
    </r>
  </si>
  <si>
    <t xml:space="preserve">其他分組</t>
  </si>
  <si>
    <r>
      <rPr>
        <sz val="11"/>
        <color theme="1"/>
        <rFont val="WenQuanYi Zen Hei"/>
        <family val="2"/>
      </rPr>
      <t xml:space="preserve">歸因不含 </t>
    </r>
    <r>
      <rPr>
        <sz val="11"/>
        <color theme="1"/>
        <rFont val="Calibri"/>
        <family val="2"/>
        <charset val="1"/>
      </rPr>
      <t xml:space="preserve">PxQ</t>
    </r>
  </si>
  <si>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v0.6.1 </t>
    </r>
    <r>
      <rPr>
        <sz val="11"/>
        <color theme="1"/>
        <rFont val="WenQuanYi Zen Hei"/>
        <family val="2"/>
      </rPr>
      <t xml:space="preserve">本來就用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WenQuanYi Zen Hei"/>
        <family val="2"/>
      </rPr>
      <t xml:space="preserve">；單一快照後『還原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WenQuanYi Zen Hei"/>
        <family val="2"/>
      </rPr>
      <t xml:space="preserve">』也會動 </t>
    </r>
    <r>
      <rPr>
        <sz val="11"/>
        <color theme="1"/>
        <rFont val="Calibri"/>
        <family val="2"/>
        <charset val="1"/>
      </rPr>
      <t xml:space="preserve">PxQ</t>
    </r>
    <r>
      <rPr>
        <sz val="11"/>
        <color theme="1"/>
        <rFont val="WenQuanYi Zen Hei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WenQuanYi Zen Hei"/>
        <family val="2"/>
      </rPr>
      <t xml:space="preserve">只列前後值（不變）並不納入歸因</t>
    </r>
  </si>
  <si>
    <t xml:space="preserve">容量截頂</t>
  </si>
  <si>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WenQuanYi Zen Hei"/>
        <family val="2"/>
      </rPr>
      <t xml:space="preserve">下各年截頂係數仍為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WenQuanYi Zen Hei"/>
        <family val="2"/>
      </rPr>
      <t xml:space="preserve">（未觸發），照模型既有機制</t>
    </r>
  </si>
  <si>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WenQuanYi Zen Hei"/>
        <family val="2"/>
      </rPr>
      <t xml:space="preserve">敘述</t>
    </r>
  </si>
  <si>
    <r>
      <rPr>
        <sz val="11"/>
        <color theme="1"/>
        <rFont val="WenQuanYi Zen Hei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起研發占總需求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WenQuanYi Zen Hei"/>
        <family val="2"/>
      </rPr>
      <t xml:space="preserve">成』改為『</t>
    </r>
    <r>
      <rPr>
        <sz val="11"/>
        <color theme="1"/>
        <rFont val="Calibri"/>
        <family val="2"/>
        <charset val="1"/>
      </rPr>
      <t xml:space="preserve">5–9 </t>
    </r>
    <r>
      <rPr>
        <sz val="11"/>
        <color theme="1"/>
        <rFont val="WenQuanYi Zen Hei"/>
        <family val="2"/>
      </rPr>
      <t xml:space="preserve">成』（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年降至 </t>
    </r>
    <r>
      <rPr>
        <sz val="11"/>
        <color theme="1"/>
        <rFont val="Calibri"/>
        <family val="2"/>
        <charset val="1"/>
      </rPr>
      <t xml:space="preserve">52.7%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test_html </t>
    </r>
    <r>
      <rPr>
        <sz val="11"/>
        <color theme="1"/>
        <rFont val="WenQuanYi Zen Hei"/>
        <family val="2"/>
      </rPr>
      <t xml:space="preserve">同步</t>
    </r>
  </si>
  <si>
    <t xml:space="preserve">不改文字</t>
  </si>
  <si>
    <r>
      <rPr>
        <sz val="11"/>
        <color theme="1"/>
        <rFont val="WenQuanYi Zen Hei"/>
        <family val="2"/>
      </rPr>
      <t xml:space="preserve">文字與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WenQuanYi Zen Hei"/>
        <family val="2"/>
      </rPr>
      <t xml:space="preserve">一致</t>
    </r>
  </si>
  <si>
    <r>
      <rPr>
        <sz val="11"/>
        <color theme="1"/>
        <rFont val="Calibri"/>
        <family val="2"/>
        <charset val="1"/>
      </rPr>
      <t xml:space="preserve">scenarios.yaml </t>
    </r>
    <r>
      <rPr>
        <sz val="11"/>
        <color theme="1"/>
        <rFont val="WenQuanYi Zen Hei"/>
        <family val="2"/>
      </rPr>
      <t xml:space="preserve">期望值</t>
    </r>
  </si>
  <si>
    <r>
      <rPr>
        <sz val="11"/>
        <color theme="1"/>
        <rFont val="Calibri"/>
        <family val="2"/>
        <charset val="1"/>
      </rPr>
      <t xml:space="preserve">sheets </t>
    </r>
    <r>
      <rPr>
        <sz val="11"/>
        <color theme="1"/>
        <rFont val="WenQuanYi Zen Hei"/>
        <family val="2"/>
      </rPr>
      <t xml:space="preserve">去 </t>
    </r>
    <r>
      <rPr>
        <sz val="11"/>
        <color theme="1"/>
        <rFont val="Calibri"/>
        <family val="2"/>
        <charset val="1"/>
      </rPr>
      <t xml:space="preserve">TK_PxQ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defined_names 719→709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tk_values 63→85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tk_pending 0→2</t>
    </r>
    <r>
      <rPr>
        <sz val="11"/>
        <color theme="1"/>
        <rFont val="WenQuanYi Zen Hei"/>
        <family val="2"/>
      </rPr>
      <t xml:space="preserve">；情境輸入 </t>
    </r>
    <r>
      <rPr>
        <sz val="11"/>
        <color theme="1"/>
        <rFont val="Calibri"/>
        <family val="2"/>
        <charset val="1"/>
      </rPr>
      <t xml:space="preserve">TKQ_→TK_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個）；</t>
    </r>
    <r>
      <rPr>
        <sz val="11"/>
        <color theme="1"/>
        <rFont val="Calibri"/>
        <family val="2"/>
        <charset val="1"/>
      </rPr>
      <t xml:space="preserve">ay </t>
    </r>
    <r>
      <rPr>
        <sz val="11"/>
        <color theme="1"/>
        <rFont val="WenQuanYi Zen Hei"/>
        <family val="2"/>
      </rPr>
      <t xml:space="preserve">情境對應檢查 </t>
    </r>
    <r>
      <rPr>
        <sz val="11"/>
        <color theme="1"/>
        <rFont val="Calibri"/>
        <family val="2"/>
        <charset val="1"/>
      </rPr>
      <t xml:space="preserve">C132→C155</t>
    </r>
  </si>
  <si>
    <t xml:space="preserve">有意識更新</t>
  </si>
  <si>
    <t xml:space="preserve">項目</t>
  </si>
  <si>
    <r>
      <rPr>
        <sz val="11"/>
        <color theme="1"/>
        <rFont val="Calibri"/>
        <family val="2"/>
        <charset val="1"/>
      </rPr>
      <t xml:space="preserve">TK IF_AllocQ1</t>
    </r>
    <r>
      <rPr>
        <sz val="11"/>
        <color theme="1"/>
        <rFont val="WenQuanYi Zen Hei"/>
        <family val="2"/>
      </rPr>
      <t xml:space="preserve">（研發算力占比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</si>
  <si>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口徑改變（</t>
    </r>
    <r>
      <rPr>
        <sz val="11"/>
        <color theme="1"/>
        <rFont val="Calibri"/>
        <family val="2"/>
        <charset val="1"/>
      </rPr>
      <t xml:space="preserve">v11.0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WenQuanYi Zen Hei"/>
        <family val="2"/>
      </rPr>
      <t xml:space="preserve">起：服務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改用支出路線）</t>
    </r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</si>
  <si>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WenQuanYi Zen Hei"/>
        <family val="2"/>
      </rPr>
      <t xml:space="preserve">起視為區間；</t>
    </r>
    <r>
      <rPr>
        <sz val="11"/>
        <color theme="1"/>
        <rFont val="Calibri"/>
        <family val="2"/>
        <charset val="1"/>
      </rPr>
      <t xml:space="preserve">RNG_StaleFlag</t>
    </r>
    <r>
      <rPr>
        <sz val="11"/>
        <color theme="1"/>
        <rFont val="WenQuanYi Zen Hei"/>
        <family val="2"/>
      </rPr>
      <t xml:space="preserve">＝『一致』才可使用</t>
    </r>
  </si>
  <si>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占（研發＋推論）</t>
    </r>
  </si>
  <si>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1.000</t>
    </r>
    <r>
      <rPr>
        <sz val="11"/>
        <color theme="1"/>
        <rFont val="WenQuanYi Zen Hei"/>
        <family val="2"/>
      </rPr>
      <t xml:space="preserve">、推論 </t>
    </r>
    <r>
      <rPr>
        <sz val="11"/>
        <color theme="1"/>
        <rFont val="Calibri"/>
        <family val="2"/>
        <charset val="1"/>
      </rPr>
      <t xml:space="preserve">GW 0.700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C159</t>
    </r>
    <r>
      <rPr>
        <sz val="11"/>
        <color theme="1"/>
        <rFont val="WenQuanYi Zen Hei"/>
        <family val="2"/>
      </rPr>
      <t xml:space="preserve">；兩版相同）</t>
    </r>
  </si>
  <si>
    <r>
      <rPr>
        <sz val="11"/>
        <color theme="1"/>
        <rFont val="Calibri"/>
        <family val="2"/>
        <charset val="1"/>
      </rPr>
      <t xml:space="preserve">TK IF_AllocRDGW</t>
    </r>
    <r>
      <rPr>
        <sz val="11"/>
        <color theme="1"/>
        <rFont val="WenQuanYi Zen Hei"/>
        <family val="2"/>
      </rPr>
      <t xml:space="preserve">（研發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WenQuanYi Zen Hei"/>
        <family val="2"/>
      </rPr>
      <t xml:space="preserve">年，物理下限）</t>
    </r>
  </si>
  <si>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1.000 </t>
    </r>
    <r>
      <rPr>
        <sz val="11"/>
        <color theme="1"/>
        <rFont val="WenQuanYi Zen Hei"/>
        <family val="2"/>
      </rPr>
      <t xml:space="preserve">為其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v5.26</t>
    </r>
    <r>
      <rPr>
        <sz val="11"/>
        <color theme="1"/>
        <rFont val="WenQuanYi Zen Hei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v19.0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</si>
  <si>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L1_Ans3</t>
    </r>
    <r>
      <rPr>
        <sz val="11"/>
        <color theme="1"/>
        <rFont val="WenQuanYi Zen Hei"/>
        <family val="2"/>
      </rPr>
      <t xml:space="preserve">（研發算力成本 </t>
    </r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WenQuanYi Zen Hei"/>
        <family val="2"/>
      </rPr>
      <t xml:space="preserve">年）</t>
    </r>
  </si>
  <si>
    <r>
      <rPr>
        <sz val="11"/>
        <color theme="1"/>
        <rFont val="WenQuanYi Zen Hei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Lo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Hi </t>
    </r>
    <r>
      <rPr>
        <sz val="11"/>
        <color theme="1"/>
        <rFont val="WenQuanYi Zen Hei"/>
        <family val="2"/>
      </rPr>
      <t xml:space="preserve">另見 </t>
    </r>
    <r>
      <rPr>
        <sz val="11"/>
        <color theme="1"/>
        <rFont val="Calibri"/>
        <family val="2"/>
        <charset val="1"/>
      </rPr>
      <t xml:space="preserve">TK_Link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</si>
  <si>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對照倍數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（研發算力 </t>
    </r>
    <r>
      <rPr>
        <sz val="11"/>
        <color theme="1"/>
        <rFont val="Calibri"/>
        <family val="2"/>
        <charset val="1"/>
      </rPr>
      <t xml:space="preserve">÷ L1_Ans3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</si>
  <si>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倍縮為約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</si>
  <si>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缺口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</si>
  <si>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對照需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WenQuanYi Zen Hei"/>
        <family val="2"/>
      </rPr>
      <t xml:space="preserve">等義名稱（研發用算力成本 </t>
    </r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WenQuanYi Zen Hei"/>
        <family val="2"/>
      </rPr>
      <t xml:space="preserve">年）；目前只能連 </t>
    </r>
    <r>
      <rPr>
        <sz val="11"/>
        <color theme="1"/>
        <rFont val="Calibri"/>
        <family val="2"/>
        <charset val="1"/>
      </rPr>
      <t xml:space="preserve">L1_Ans3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</si>
  <si>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缺口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</si>
  <si>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IF_PxEffMix_Lo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有效牌價無區間）；</t>
    </r>
    <r>
      <rPr>
        <sz val="11"/>
        <color theme="1"/>
        <rFont val="Calibri"/>
        <family val="2"/>
        <charset val="1"/>
      </rPr>
      <t xml:space="preserve">check_tk_snapshot </t>
    </r>
    <r>
      <rPr>
        <sz val="11"/>
        <color theme="1"/>
        <rFont val="WenQuanYi Zen Hei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MISSING 2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</si>
</sst>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00"/>
    <numFmt numFmtId="167" formatCode="0.000"/>
    <numFmt numFmtId="168" formatCode="0.00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28.3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n">
        <v>3876518295.93805</v>
      </c>
      <c r="G2" s="3" t="n">
        <v>6809025705.99183</v>
      </c>
      <c r="H2" s="5" t="n">
        <f aca="false">IF(ISNUMBER(F2),IF(F2=0,"",G2/F2-1),"")</f>
        <v>0.756479703224041</v>
      </c>
    </row>
    <row r="3" customFormat="false" ht="15" hidden="false" customHeight="false" outlineLevel="0" collapsed="false">
      <c r="A3" s="3" t="s">
        <v>8</v>
      </c>
      <c r="B3" s="3" t="s">
        <v>9</v>
      </c>
      <c r="C3" s="4" t="s">
        <v>10</v>
      </c>
      <c r="D3" s="3" t="s">
        <v>11</v>
      </c>
      <c r="E3" s="3" t="s">
        <v>13</v>
      </c>
      <c r="F3" s="3" t="n">
        <v>20041838664.2467</v>
      </c>
      <c r="G3" s="3" t="n">
        <v>33674781620.6943</v>
      </c>
      <c r="H3" s="5" t="n">
        <f aca="false">IF(ISNUMBER(F3),IF(F3=0,"",G3/F3-1),"")</f>
        <v>0.680224164301245</v>
      </c>
    </row>
    <row r="4" customFormat="false" ht="15" hidden="false" customHeight="false" outlineLevel="0" collapsed="false">
      <c r="A4" s="3" t="s">
        <v>8</v>
      </c>
      <c r="B4" s="3" t="s">
        <v>9</v>
      </c>
      <c r="C4" s="4" t="s">
        <v>10</v>
      </c>
      <c r="D4" s="3" t="s">
        <v>11</v>
      </c>
      <c r="E4" s="3" t="s">
        <v>14</v>
      </c>
      <c r="F4" s="3" t="n">
        <v>24234237528.7831</v>
      </c>
      <c r="G4" s="3" t="n">
        <v>39257828144.5082</v>
      </c>
      <c r="H4" s="5" t="n">
        <f aca="false">IF(ISNUMBER(F4),IF(F4=0,"",G4/F4-1),"")</f>
        <v>0.619932465293432</v>
      </c>
    </row>
    <row r="5" customFormat="false" ht="15" hidden="false" customHeight="false" outlineLevel="0" collapsed="false">
      <c r="A5" s="3" t="s">
        <v>8</v>
      </c>
      <c r="B5" s="3" t="s">
        <v>9</v>
      </c>
      <c r="C5" s="4" t="s">
        <v>10</v>
      </c>
      <c r="D5" s="3" t="s">
        <v>11</v>
      </c>
      <c r="E5" s="3" t="s">
        <v>15</v>
      </c>
      <c r="F5" s="3" t="n">
        <v>51167890551.5595</v>
      </c>
      <c r="G5" s="3" t="n">
        <v>69625193603.6778</v>
      </c>
      <c r="H5" s="5" t="n">
        <f aca="false">IF(ISNUMBER(F5),IF(F5=0,"",G5/F5-1),"")</f>
        <v>0.360720421599552</v>
      </c>
    </row>
    <row r="6" customFormat="false" ht="15" hidden="false" customHeight="false" outlineLevel="0" collapsed="false">
      <c r="A6" s="3" t="s">
        <v>8</v>
      </c>
      <c r="B6" s="3" t="s">
        <v>9</v>
      </c>
      <c r="C6" s="4" t="s">
        <v>10</v>
      </c>
      <c r="D6" s="3" t="s">
        <v>11</v>
      </c>
      <c r="E6" s="3" t="s">
        <v>16</v>
      </c>
      <c r="F6" s="3" t="n">
        <v>74400955991.7707</v>
      </c>
      <c r="G6" s="3" t="n">
        <v>98521567397.5749</v>
      </c>
      <c r="H6" s="5" t="n">
        <f aca="false">IF(ISNUMBER(F6),IF(F6=0,"",G6/F6-1),"")</f>
        <v>0.324197600478039</v>
      </c>
    </row>
    <row r="7" customFormat="false" ht="15" hidden="false" customHeight="false" outlineLevel="0" collapsed="false">
      <c r="A7" s="3" t="s">
        <v>8</v>
      </c>
      <c r="B7" s="3" t="s">
        <v>17</v>
      </c>
      <c r="C7" s="4" t="s">
        <v>10</v>
      </c>
      <c r="D7" s="3" t="s">
        <v>11</v>
      </c>
      <c r="E7" s="3" t="s">
        <v>12</v>
      </c>
      <c r="F7" s="3" t="n">
        <v>74067251304.9223</v>
      </c>
      <c r="G7" s="3" t="n">
        <v>112228240510.472</v>
      </c>
      <c r="H7" s="5" t="n">
        <f aca="false">IF(ISNUMBER(F7),IF(F7=0,"",G7/F7-1),"")</f>
        <v>0.515220809915672</v>
      </c>
    </row>
    <row r="8" customFormat="false" ht="15" hidden="false" customHeight="false" outlineLevel="0" collapsed="false">
      <c r="A8" s="3" t="s">
        <v>8</v>
      </c>
      <c r="B8" s="3" t="s">
        <v>17</v>
      </c>
      <c r="C8" s="4" t="s">
        <v>10</v>
      </c>
      <c r="D8" s="3" t="s">
        <v>11</v>
      </c>
      <c r="E8" s="3" t="s">
        <v>13</v>
      </c>
      <c r="F8" s="3" t="n">
        <v>362306894085.614</v>
      </c>
      <c r="G8" s="3" t="n">
        <v>557838911578.971</v>
      </c>
      <c r="H8" s="5" t="n">
        <f aca="false">IF(ISNUMBER(F8),IF(F8=0,"",G8/F8-1),"")</f>
        <v>0.539686162988531</v>
      </c>
    </row>
    <row r="9" customFormat="false" ht="15" hidden="false" customHeight="false" outlineLevel="0" collapsed="false">
      <c r="A9" s="3" t="s">
        <v>8</v>
      </c>
      <c r="B9" s="3" t="s">
        <v>17</v>
      </c>
      <c r="C9" s="4" t="s">
        <v>10</v>
      </c>
      <c r="D9" s="3" t="s">
        <v>11</v>
      </c>
      <c r="E9" s="3" t="s">
        <v>14</v>
      </c>
      <c r="F9" s="3" t="n">
        <v>527473919843.971</v>
      </c>
      <c r="G9" s="3" t="n">
        <v>723176042011.176</v>
      </c>
      <c r="H9" s="5" t="n">
        <f aca="false">IF(ISNUMBER(F9),IF(F9=0,"",G9/F9-1),"")</f>
        <v>0.371017627231872</v>
      </c>
    </row>
    <row r="10" customFormat="false" ht="15" hidden="false" customHeight="false" outlineLevel="0" collapsed="false">
      <c r="A10" s="3" t="s">
        <v>8</v>
      </c>
      <c r="B10" s="3" t="s">
        <v>17</v>
      </c>
      <c r="C10" s="4" t="s">
        <v>10</v>
      </c>
      <c r="D10" s="3" t="s">
        <v>11</v>
      </c>
      <c r="E10" s="3" t="s">
        <v>15</v>
      </c>
      <c r="F10" s="3" t="n">
        <v>772778400993.445</v>
      </c>
      <c r="G10" s="3" t="n">
        <v>1043267705667.06</v>
      </c>
      <c r="H10" s="5" t="n">
        <f aca="false">IF(ISNUMBER(F10),IF(F10=0,"",G10/F10-1),"")</f>
        <v>0.350021822977826</v>
      </c>
    </row>
    <row r="11" customFormat="false" ht="15" hidden="false" customHeight="false" outlineLevel="0" collapsed="false">
      <c r="A11" s="3" t="s">
        <v>8</v>
      </c>
      <c r="B11" s="3" t="s">
        <v>17</v>
      </c>
      <c r="C11" s="4" t="s">
        <v>10</v>
      </c>
      <c r="D11" s="3" t="s">
        <v>11</v>
      </c>
      <c r="E11" s="3" t="s">
        <v>16</v>
      </c>
      <c r="F11" s="3" t="n">
        <v>1044373713057.39</v>
      </c>
      <c r="G11" s="3" t="n">
        <v>1404587982526.55</v>
      </c>
      <c r="H11" s="5" t="n">
        <f aca="false">IF(ISNUMBER(F11),IF(F11=0,"",G11/F11-1),"")</f>
        <v>0.344909360476565</v>
      </c>
    </row>
    <row r="12" customFormat="false" ht="15" hidden="false" customHeight="false" outlineLevel="0" collapsed="false">
      <c r="A12" s="3" t="s">
        <v>8</v>
      </c>
      <c r="B12" s="3" t="s">
        <v>18</v>
      </c>
      <c r="C12" s="4" t="s">
        <v>10</v>
      </c>
      <c r="D12" s="3" t="s">
        <v>11</v>
      </c>
      <c r="E12" s="3" t="s">
        <v>12</v>
      </c>
      <c r="F12" s="3" t="n">
        <v>21490429685.4234</v>
      </c>
      <c r="G12" s="3" t="n">
        <v>33634916325.118</v>
      </c>
      <c r="H12" s="5" t="n">
        <f aca="false">IF(ISNUMBER(F12),IF(F12=0,"",G12/F12-1),"")</f>
        <v>0.565111392255316</v>
      </c>
    </row>
    <row r="13" customFormat="false" ht="15" hidden="false" customHeight="false" outlineLevel="0" collapsed="false">
      <c r="A13" s="3" t="s">
        <v>8</v>
      </c>
      <c r="B13" s="3" t="s">
        <v>18</v>
      </c>
      <c r="C13" s="4" t="s">
        <v>10</v>
      </c>
      <c r="D13" s="3" t="s">
        <v>11</v>
      </c>
      <c r="E13" s="3" t="s">
        <v>13</v>
      </c>
      <c r="F13" s="3" t="n">
        <v>104125401080.667</v>
      </c>
      <c r="G13" s="3" t="n">
        <v>163715850475.954</v>
      </c>
      <c r="H13" s="5" t="n">
        <f aca="false">IF(ISNUMBER(F13),IF(F13=0,"",G13/F13-1),"")</f>
        <v>0.572295028656088</v>
      </c>
    </row>
    <row r="14" customFormat="false" ht="15" hidden="false" customHeight="false" outlineLevel="0" collapsed="false">
      <c r="A14" s="3" t="s">
        <v>8</v>
      </c>
      <c r="B14" s="3" t="s">
        <v>18</v>
      </c>
      <c r="C14" s="4" t="s">
        <v>10</v>
      </c>
      <c r="D14" s="3" t="s">
        <v>11</v>
      </c>
      <c r="E14" s="3" t="s">
        <v>14</v>
      </c>
      <c r="F14" s="3" t="n">
        <v>151593674754.548</v>
      </c>
      <c r="G14" s="3" t="n">
        <v>212334321421.888</v>
      </c>
      <c r="H14" s="5" t="n">
        <f aca="false">IF(ISNUMBER(F14),IF(F14=0,"",G14/F14-1),"")</f>
        <v>0.400680613921972</v>
      </c>
    </row>
    <row r="15" customFormat="false" ht="15" hidden="false" customHeight="false" outlineLevel="0" collapsed="false">
      <c r="A15" s="3" t="s">
        <v>8</v>
      </c>
      <c r="B15" s="3" t="s">
        <v>18</v>
      </c>
      <c r="C15" s="4" t="s">
        <v>10</v>
      </c>
      <c r="D15" s="3" t="s">
        <v>11</v>
      </c>
      <c r="E15" s="3" t="s">
        <v>15</v>
      </c>
      <c r="F15" s="3" t="n">
        <v>237287338734.99</v>
      </c>
      <c r="G15" s="3" t="n">
        <v>318984897819.054</v>
      </c>
      <c r="H15" s="5" t="n">
        <f aca="false">IF(ISNUMBER(F15),IF(F15=0,"",G15/F15-1),"")</f>
        <v>0.344298012357526</v>
      </c>
    </row>
    <row r="16" customFormat="false" ht="15" hidden="false" customHeight="false" outlineLevel="0" collapsed="false">
      <c r="A16" s="3" t="s">
        <v>8</v>
      </c>
      <c r="B16" s="3" t="s">
        <v>18</v>
      </c>
      <c r="C16" s="4" t="s">
        <v>10</v>
      </c>
      <c r="D16" s="3" t="s">
        <v>11</v>
      </c>
      <c r="E16" s="3" t="s">
        <v>16</v>
      </c>
      <c r="F16" s="3" t="n">
        <v>326185670522.351</v>
      </c>
      <c r="G16" s="3" t="n">
        <v>434380455314.928</v>
      </c>
      <c r="H16" s="5" t="n">
        <f aca="false">IF(ISNUMBER(F16),IF(F16=0,"",G16/F16-1),"")</f>
        <v>0.331696927762997</v>
      </c>
    </row>
    <row r="17" customFormat="false" ht="15" hidden="false" customHeight="false" outlineLevel="0" collapsed="false">
      <c r="A17" s="3" t="s">
        <v>19</v>
      </c>
      <c r="B17" s="3" t="s">
        <v>20</v>
      </c>
      <c r="C17" s="4" t="s">
        <v>21</v>
      </c>
      <c r="D17" s="3" t="s">
        <v>22</v>
      </c>
      <c r="E17" s="3" t="s">
        <v>12</v>
      </c>
      <c r="F17" s="3" t="n">
        <v>10.0957952959174</v>
      </c>
      <c r="G17" s="3" t="n">
        <v>9.70308728611469</v>
      </c>
      <c r="H17" s="5" t="n">
        <f aca="false">IF(ISNUMBER(F17),IF(F17=0,"",G17/F17-1),"")</f>
        <v>-0.0388981747640541</v>
      </c>
    </row>
    <row r="18" customFormat="false" ht="15" hidden="false" customHeight="false" outlineLevel="0" collapsed="false">
      <c r="A18" s="3" t="s">
        <v>19</v>
      </c>
      <c r="B18" s="3" t="s">
        <v>20</v>
      </c>
      <c r="C18" s="4" t="s">
        <v>21</v>
      </c>
      <c r="D18" s="3" t="s">
        <v>22</v>
      </c>
      <c r="E18" s="3" t="s">
        <v>13</v>
      </c>
      <c r="F18" s="3" t="n">
        <v>9.17098191725462</v>
      </c>
      <c r="G18" s="3" t="n">
        <v>8.82816556596761</v>
      </c>
      <c r="H18" s="5" t="n">
        <f aca="false">IF(ISNUMBER(F18),IF(F18=0,"",G18/F18-1),"")</f>
        <v>-0.0373805503467434</v>
      </c>
    </row>
    <row r="19" customFormat="false" ht="15" hidden="false" customHeight="false" outlineLevel="0" collapsed="false">
      <c r="A19" s="3" t="s">
        <v>19</v>
      </c>
      <c r="B19" s="3" t="s">
        <v>20</v>
      </c>
      <c r="C19" s="4" t="s">
        <v>21</v>
      </c>
      <c r="D19" s="3" t="s">
        <v>22</v>
      </c>
      <c r="E19" s="3" t="s">
        <v>14</v>
      </c>
      <c r="F19" s="3" t="n">
        <v>12.7247463559608</v>
      </c>
      <c r="G19" s="3" t="n">
        <v>10.8864110021101</v>
      </c>
      <c r="H19" s="5" t="n">
        <f aca="false">IF(ISNUMBER(F19),IF(F19=0,"",G19/F19-1),"")</f>
        <v>-0.144469312191009</v>
      </c>
    </row>
    <row r="20" customFormat="false" ht="15" hidden="false" customHeight="false" outlineLevel="0" collapsed="false">
      <c r="A20" s="3" t="s">
        <v>19</v>
      </c>
      <c r="B20" s="3" t="s">
        <v>20</v>
      </c>
      <c r="C20" s="4" t="s">
        <v>21</v>
      </c>
      <c r="D20" s="3" t="s">
        <v>22</v>
      </c>
      <c r="E20" s="3" t="s">
        <v>15</v>
      </c>
      <c r="F20" s="3" t="n">
        <v>12.7620157762701</v>
      </c>
      <c r="G20" s="3" t="n">
        <v>12.2254710045841</v>
      </c>
      <c r="H20" s="5" t="n">
        <f aca="false">IF(ISNUMBER(F20),IF(F20=0,"",G20/F20-1),"")</f>
        <v>-0.0420423216122064</v>
      </c>
    </row>
    <row r="21" customFormat="false" ht="15" hidden="false" customHeight="false" outlineLevel="0" collapsed="false">
      <c r="A21" s="3" t="s">
        <v>19</v>
      </c>
      <c r="B21" s="3" t="s">
        <v>20</v>
      </c>
      <c r="C21" s="4" t="s">
        <v>21</v>
      </c>
      <c r="D21" s="3" t="s">
        <v>22</v>
      </c>
      <c r="E21" s="3" t="s">
        <v>16</v>
      </c>
      <c r="F21" s="3" t="n">
        <v>16.0694566753819</v>
      </c>
      <c r="G21" s="3" t="n">
        <v>15.3544827030524</v>
      </c>
      <c r="H21" s="5" t="n">
        <f aca="false">IF(ISNUMBER(F21),IF(F21=0,"",G21/F21-1),"")</f>
        <v>-0.0444927284582576</v>
      </c>
    </row>
    <row r="22" customFormat="false" ht="28.35" hidden="false" customHeight="false" outlineLevel="0" collapsed="false">
      <c r="A22" s="4" t="s">
        <v>23</v>
      </c>
      <c r="B22" s="3" t="s">
        <v>24</v>
      </c>
      <c r="C22" s="4" t="s">
        <v>25</v>
      </c>
      <c r="D22" s="3" t="s">
        <v>26</v>
      </c>
      <c r="E22" s="3" t="s">
        <v>12</v>
      </c>
      <c r="F22" s="3" t="n">
        <v>10.0701401279639</v>
      </c>
      <c r="G22" s="3" t="n">
        <v>6.34436399268955</v>
      </c>
      <c r="H22" s="5" t="n">
        <f aca="false">IF(ISNUMBER(F22),IF(F22=0,"",G22/F22-1),"")</f>
        <v>-0.369982551179024</v>
      </c>
    </row>
    <row r="23" customFormat="false" ht="28.35" hidden="false" customHeight="false" outlineLevel="0" collapsed="false">
      <c r="A23" s="4" t="s">
        <v>23</v>
      </c>
      <c r="B23" s="3" t="s">
        <v>24</v>
      </c>
      <c r="C23" s="4" t="s">
        <v>25</v>
      </c>
      <c r="D23" s="3" t="s">
        <v>26</v>
      </c>
      <c r="E23" s="3" t="s">
        <v>13</v>
      </c>
      <c r="F23" s="3" t="n">
        <v>1.25152940803565</v>
      </c>
      <c r="G23" s="3" t="n">
        <v>0.708008999990632</v>
      </c>
      <c r="H23" s="5" t="n">
        <f aca="false">IF(ISNUMBER(F23),IF(F23=0,"",G23/F23-1),"")</f>
        <v>-0.434284967301013</v>
      </c>
    </row>
    <row r="24" customFormat="false" ht="28.35" hidden="false" customHeight="false" outlineLevel="0" collapsed="false">
      <c r="A24" s="4" t="s">
        <v>23</v>
      </c>
      <c r="B24" s="3" t="s">
        <v>24</v>
      </c>
      <c r="C24" s="4" t="s">
        <v>25</v>
      </c>
      <c r="D24" s="3" t="s">
        <v>26</v>
      </c>
      <c r="E24" s="3" t="s">
        <v>14</v>
      </c>
      <c r="F24" s="3" t="n">
        <v>1.36342193413465</v>
      </c>
      <c r="G24" s="3" t="n">
        <v>0.772961335570172</v>
      </c>
      <c r="H24" s="5" t="n">
        <f aca="false">IF(ISNUMBER(F24),IF(F24=0,"",G24/F24-1),"")</f>
        <v>-0.433072538868342</v>
      </c>
    </row>
    <row r="25" customFormat="false" ht="28.35" hidden="false" customHeight="false" outlineLevel="0" collapsed="false">
      <c r="A25" s="4" t="s">
        <v>23</v>
      </c>
      <c r="B25" s="3" t="s">
        <v>24</v>
      </c>
      <c r="C25" s="4" t="s">
        <v>25</v>
      </c>
      <c r="D25" s="3" t="s">
        <v>26</v>
      </c>
      <c r="E25" s="3" t="s">
        <v>15</v>
      </c>
      <c r="F25" s="3" t="n">
        <v>0.551823554780618</v>
      </c>
      <c r="G25" s="3" t="n">
        <v>0.422759162078806</v>
      </c>
      <c r="H25" s="5" t="n">
        <f aca="false">IF(ISNUMBER(F25),IF(F25=0,"",G25/F25-1),"")</f>
        <v>-0.233887066950454</v>
      </c>
    </row>
    <row r="26" customFormat="false" ht="28.35" hidden="false" customHeight="false" outlineLevel="0" collapsed="false">
      <c r="A26" s="4" t="s">
        <v>23</v>
      </c>
      <c r="B26" s="3" t="s">
        <v>24</v>
      </c>
      <c r="C26" s="4" t="s">
        <v>25</v>
      </c>
      <c r="D26" s="3" t="s">
        <v>26</v>
      </c>
      <c r="E26" s="3" t="s">
        <v>16</v>
      </c>
      <c r="F26" s="3" t="n">
        <v>0.427426585241239</v>
      </c>
      <c r="G26" s="3" t="n">
        <v>0.340750041982449</v>
      </c>
      <c r="H26" s="5" t="n">
        <f aca="false">IF(ISNUMBER(F26),IF(F26=0,"",G26/F26-1),"")</f>
        <v>-0.202786972667762</v>
      </c>
    </row>
    <row r="27" customFormat="false" ht="28.35" hidden="false" customHeight="false" outlineLevel="0" collapsed="false">
      <c r="A27" s="4" t="s">
        <v>23</v>
      </c>
      <c r="B27" s="3" t="s">
        <v>27</v>
      </c>
      <c r="C27" s="4" t="s">
        <v>25</v>
      </c>
      <c r="D27" s="3" t="s">
        <v>26</v>
      </c>
      <c r="E27" s="3" t="s">
        <v>12</v>
      </c>
      <c r="F27" s="3" t="n">
        <v>0.192289806873558</v>
      </c>
      <c r="G27" s="3" t="n">
        <v>0.210121291884421</v>
      </c>
      <c r="H27" s="5" t="n">
        <f aca="false">IF(ISNUMBER(F27),IF(F27=0,"",G27/F27-1),"")</f>
        <v>0.0927323465595253</v>
      </c>
    </row>
    <row r="28" customFormat="false" ht="28.35" hidden="false" customHeight="false" outlineLevel="0" collapsed="false">
      <c r="A28" s="4" t="s">
        <v>23</v>
      </c>
      <c r="B28" s="3" t="s">
        <v>27</v>
      </c>
      <c r="C28" s="4" t="s">
        <v>25</v>
      </c>
      <c r="D28" s="3" t="s">
        <v>26</v>
      </c>
      <c r="E28" s="3" t="s">
        <v>13</v>
      </c>
      <c r="F28" s="3" t="n">
        <v>0.0372199275435518</v>
      </c>
      <c r="G28" s="3" t="n">
        <v>0.0300374200650076</v>
      </c>
      <c r="H28" s="5" t="n">
        <f aca="false">IF(ISNUMBER(F28),IF(F28=0,"",G28/F28-1),"")</f>
        <v>-0.19297478400891</v>
      </c>
    </row>
    <row r="29" customFormat="false" ht="28.35" hidden="false" customHeight="false" outlineLevel="0" collapsed="false">
      <c r="A29" s="4" t="s">
        <v>23</v>
      </c>
      <c r="B29" s="3" t="s">
        <v>27</v>
      </c>
      <c r="C29" s="4" t="s">
        <v>25</v>
      </c>
      <c r="D29" s="3" t="s">
        <v>26</v>
      </c>
      <c r="E29" s="3" t="s">
        <v>14</v>
      </c>
      <c r="F29" s="3" t="n">
        <v>0.0353715947566594</v>
      </c>
      <c r="G29" s="3" t="n">
        <v>0.0295449762037583</v>
      </c>
      <c r="H29" s="5" t="n">
        <f aca="false">IF(ISNUMBER(F29),IF(F29=0,"",G29/F29-1),"")</f>
        <v>-0.164725921830373</v>
      </c>
    </row>
    <row r="30" customFormat="false" ht="28.35" hidden="false" customHeight="false" outlineLevel="0" collapsed="false">
      <c r="A30" s="4" t="s">
        <v>23</v>
      </c>
      <c r="B30" s="3" t="s">
        <v>27</v>
      </c>
      <c r="C30" s="4" t="s">
        <v>25</v>
      </c>
      <c r="D30" s="3" t="s">
        <v>26</v>
      </c>
      <c r="E30" s="3" t="s">
        <v>15</v>
      </c>
      <c r="F30" s="3" t="n">
        <v>0.0238275474334597</v>
      </c>
      <c r="G30" s="3" t="n">
        <v>0.0215744123341219</v>
      </c>
      <c r="H30" s="5" t="n">
        <f aca="false">IF(ISNUMBER(F30),IF(F30=0,"",G30/F30-1),"")</f>
        <v>-0.0945600929189148</v>
      </c>
    </row>
    <row r="31" customFormat="false" ht="28.35" hidden="false" customHeight="false" outlineLevel="0" collapsed="false">
      <c r="A31" s="4" t="s">
        <v>23</v>
      </c>
      <c r="B31" s="3" t="s">
        <v>27</v>
      </c>
      <c r="C31" s="4" t="s">
        <v>25</v>
      </c>
      <c r="D31" s="3" t="s">
        <v>26</v>
      </c>
      <c r="E31" s="3" t="s">
        <v>16</v>
      </c>
      <c r="F31" s="3" t="n">
        <v>0.0220579881248366</v>
      </c>
      <c r="G31" s="3" t="n">
        <v>0.0194624631931499</v>
      </c>
      <c r="H31" s="5" t="n">
        <f aca="false">IF(ISNUMBER(F31),IF(F31=0,"",G31/F31-1),"")</f>
        <v>-0.117668253196864</v>
      </c>
    </row>
    <row r="32" customFormat="false" ht="28.35" hidden="false" customHeight="false" outlineLevel="0" collapsed="false">
      <c r="A32" s="4" t="s">
        <v>23</v>
      </c>
      <c r="B32" s="3" t="s">
        <v>28</v>
      </c>
      <c r="C32" s="4" t="s">
        <v>25</v>
      </c>
      <c r="D32" s="3" t="s">
        <v>26</v>
      </c>
      <c r="E32" s="3" t="s">
        <v>12</v>
      </c>
      <c r="F32" s="3" t="n">
        <v>0.767139858927169</v>
      </c>
      <c r="G32" s="3" t="n">
        <v>0.643774480313015</v>
      </c>
      <c r="H32" s="5" t="n">
        <f aca="false">IF(ISNUMBER(F32),IF(F32=0,"",G32/F32-1),"")</f>
        <v>-0.160812109002755</v>
      </c>
    </row>
    <row r="33" customFormat="false" ht="28.35" hidden="false" customHeight="false" outlineLevel="0" collapsed="false">
      <c r="A33" s="4" t="s">
        <v>23</v>
      </c>
      <c r="B33" s="3" t="s">
        <v>28</v>
      </c>
      <c r="C33" s="4" t="s">
        <v>25</v>
      </c>
      <c r="D33" s="3" t="s">
        <v>26</v>
      </c>
      <c r="E33" s="3" t="s">
        <v>13</v>
      </c>
      <c r="F33" s="3" t="n">
        <v>0.138898055360943</v>
      </c>
      <c r="G33" s="3" t="n">
        <v>0.100290180645192</v>
      </c>
      <c r="H33" s="5" t="n">
        <f aca="false">IF(ISNUMBER(F33),IF(F33=0,"",G33/F33-1),"")</f>
        <v>-0.277958353091581</v>
      </c>
    </row>
    <row r="34" customFormat="false" ht="28.35" hidden="false" customHeight="false" outlineLevel="0" collapsed="false">
      <c r="A34" s="4" t="s">
        <v>23</v>
      </c>
      <c r="B34" s="3" t="s">
        <v>28</v>
      </c>
      <c r="C34" s="4" t="s">
        <v>25</v>
      </c>
      <c r="D34" s="3" t="s">
        <v>26</v>
      </c>
      <c r="E34" s="3" t="s">
        <v>14</v>
      </c>
      <c r="F34" s="3" t="n">
        <v>0.132057790392487</v>
      </c>
      <c r="G34" s="3" t="n">
        <v>0.0975825234136689</v>
      </c>
      <c r="H34" s="5" t="n">
        <f aca="false">IF(ISNUMBER(F34),IF(F34=0,"",G34/F34-1),"")</f>
        <v>-0.261061970493029</v>
      </c>
    </row>
    <row r="35" customFormat="false" ht="28.35" hidden="false" customHeight="false" outlineLevel="0" collapsed="false">
      <c r="A35" s="4" t="s">
        <v>23</v>
      </c>
      <c r="B35" s="3" t="s">
        <v>28</v>
      </c>
      <c r="C35" s="4" t="s">
        <v>25</v>
      </c>
      <c r="D35" s="3" t="s">
        <v>26</v>
      </c>
      <c r="E35" s="3" t="s">
        <v>15</v>
      </c>
      <c r="F35" s="3" t="n">
        <v>0.0798782155803801</v>
      </c>
      <c r="G35" s="3" t="n">
        <v>0.0691205126041982</v>
      </c>
      <c r="H35" s="5" t="n">
        <f aca="false">IF(ISNUMBER(F35),IF(F35=0,"",G35/F35-1),"")</f>
        <v>-0.134676305648774</v>
      </c>
    </row>
    <row r="36" customFormat="false" ht="28.35" hidden="false" customHeight="false" outlineLevel="0" collapsed="false">
      <c r="A36" s="4" t="s">
        <v>23</v>
      </c>
      <c r="B36" s="3" t="s">
        <v>28</v>
      </c>
      <c r="C36" s="4" t="s">
        <v>25</v>
      </c>
      <c r="D36" s="3" t="s">
        <v>26</v>
      </c>
      <c r="E36" s="3" t="s">
        <v>16</v>
      </c>
      <c r="F36" s="3" t="n">
        <v>0.0714424801387287</v>
      </c>
      <c r="G36" s="3" t="n">
        <v>0.0621567461847294</v>
      </c>
      <c r="H36" s="5" t="n">
        <f aca="false">IF(ISNUMBER(F36),IF(F36=0,"",G36/F36-1),"")</f>
        <v>-0.129974966378099</v>
      </c>
    </row>
    <row r="37" customFormat="false" ht="15" hidden="false" customHeight="false" outlineLevel="0" collapsed="false">
      <c r="A37" s="4" t="s">
        <v>23</v>
      </c>
      <c r="B37" s="3" t="s">
        <v>29</v>
      </c>
      <c r="C37" s="4" t="s">
        <v>30</v>
      </c>
      <c r="D37" s="3" t="s">
        <v>31</v>
      </c>
      <c r="E37" s="3" t="s">
        <v>12</v>
      </c>
      <c r="F37" s="3" t="n">
        <v>0.142679390737942</v>
      </c>
      <c r="G37" s="3" t="n">
        <v>0.156848141308111</v>
      </c>
      <c r="H37" s="5" t="n">
        <f aca="false">IF(ISNUMBER(F37),IF(F37=0,"",G37/F37-1),"")</f>
        <v>0.0993048154809733</v>
      </c>
    </row>
    <row r="38" customFormat="false" ht="15" hidden="false" customHeight="false" outlineLevel="0" collapsed="false">
      <c r="A38" s="4" t="s">
        <v>23</v>
      </c>
      <c r="B38" s="3" t="s">
        <v>29</v>
      </c>
      <c r="C38" s="4" t="s">
        <v>30</v>
      </c>
      <c r="D38" s="3" t="s">
        <v>31</v>
      </c>
      <c r="E38" s="3" t="s">
        <v>13</v>
      </c>
      <c r="F38" s="3" t="n">
        <v>0.0703975899347298</v>
      </c>
      <c r="G38" s="3" t="n">
        <v>0.0578355294019958</v>
      </c>
      <c r="H38" s="5" t="n">
        <f aca="false">IF(ISNUMBER(F38),IF(F38=0,"",G38/F38-1),"")</f>
        <v>-0.178444468686799</v>
      </c>
    </row>
    <row r="39" customFormat="false" ht="15" hidden="false" customHeight="false" outlineLevel="0" collapsed="false">
      <c r="A39" s="4" t="s">
        <v>23</v>
      </c>
      <c r="B39" s="3" t="s">
        <v>29</v>
      </c>
      <c r="C39" s="4" t="s">
        <v>30</v>
      </c>
      <c r="D39" s="3" t="s">
        <v>31</v>
      </c>
      <c r="E39" s="3" t="s">
        <v>14</v>
      </c>
      <c r="F39" s="3" t="n">
        <v>0.0655864074968763</v>
      </c>
      <c r="G39" s="3" t="n">
        <v>0.0655864074968763</v>
      </c>
      <c r="H39" s="5" t="n">
        <f aca="false">IF(ISNUMBER(F39),IF(F39=0,"",G39/F39-1),"")</f>
        <v>0</v>
      </c>
    </row>
    <row r="40" customFormat="false" ht="15" hidden="false" customHeight="false" outlineLevel="0" collapsed="false">
      <c r="A40" s="4" t="s">
        <v>23</v>
      </c>
      <c r="B40" s="3" t="s">
        <v>29</v>
      </c>
      <c r="C40" s="4" t="s">
        <v>30</v>
      </c>
      <c r="D40" s="3" t="s">
        <v>31</v>
      </c>
      <c r="E40" s="3" t="s">
        <v>15</v>
      </c>
      <c r="F40" s="3" t="n">
        <v>0.0400178434586299</v>
      </c>
      <c r="G40" s="3" t="n">
        <v>0.0400178434586299</v>
      </c>
      <c r="H40" s="5" t="n">
        <f aca="false">IF(ISNUMBER(F40),IF(F40=0,"",G40/F40-1),"")</f>
        <v>0</v>
      </c>
    </row>
    <row r="41" customFormat="false" ht="15" hidden="false" customHeight="false" outlineLevel="0" collapsed="false">
      <c r="A41" s="4" t="s">
        <v>23</v>
      </c>
      <c r="B41" s="3" t="s">
        <v>29</v>
      </c>
      <c r="C41" s="4" t="s">
        <v>30</v>
      </c>
      <c r="D41" s="3" t="s">
        <v>31</v>
      </c>
      <c r="E41" s="3" t="s">
        <v>16</v>
      </c>
      <c r="F41" s="3" t="n">
        <v>0.0272504145323638</v>
      </c>
      <c r="G41" s="3" t="n">
        <v>0.0272504145323638</v>
      </c>
      <c r="H41" s="5" t="n">
        <f aca="false">IF(ISNUMBER(F41),IF(F41=0,"",G41/F41-1),"")</f>
        <v>0</v>
      </c>
    </row>
    <row r="42" customFormat="false" ht="15" hidden="false" customHeight="false" outlineLevel="0" collapsed="false">
      <c r="A42" s="4" t="s">
        <v>23</v>
      </c>
      <c r="B42" s="3" t="s">
        <v>32</v>
      </c>
      <c r="C42" s="4" t="s">
        <v>30</v>
      </c>
      <c r="D42" s="3" t="s">
        <v>31</v>
      </c>
      <c r="E42" s="3" t="s">
        <v>12</v>
      </c>
      <c r="F42" s="3" t="n">
        <v>0.00813235831640886</v>
      </c>
      <c r="G42" s="3" t="n">
        <v>0.00927434400031541</v>
      </c>
      <c r="H42" s="5" t="n">
        <f aca="false">IF(ISNUMBER(F42),IF(F42=0,"",G42/F42-1),"")</f>
        <v>0.140424909906188</v>
      </c>
    </row>
    <row r="43" customFormat="false" ht="15" hidden="false" customHeight="false" outlineLevel="0" collapsed="false">
      <c r="A43" s="4" t="s">
        <v>23</v>
      </c>
      <c r="B43" s="3" t="s">
        <v>32</v>
      </c>
      <c r="C43" s="4" t="s">
        <v>30</v>
      </c>
      <c r="D43" s="3" t="s">
        <v>31</v>
      </c>
      <c r="E43" s="3" t="s">
        <v>13</v>
      </c>
      <c r="F43" s="3" t="n">
        <v>0.00378530041866208</v>
      </c>
      <c r="G43" s="3" t="n">
        <v>0.00276456085751356</v>
      </c>
      <c r="H43" s="5" t="n">
        <f aca="false">IF(ISNUMBER(F43),IF(F43=0,"",G43/F43-1),"")</f>
        <v>-0.2696587980484</v>
      </c>
    </row>
    <row r="44" customFormat="false" ht="15" hidden="false" customHeight="false" outlineLevel="0" collapsed="false">
      <c r="A44" s="4" t="s">
        <v>23</v>
      </c>
      <c r="B44" s="3" t="s">
        <v>32</v>
      </c>
      <c r="C44" s="4" t="s">
        <v>30</v>
      </c>
      <c r="D44" s="3" t="s">
        <v>31</v>
      </c>
      <c r="E44" s="3" t="s">
        <v>14</v>
      </c>
      <c r="F44" s="3" t="n">
        <v>0.00332896549749013</v>
      </c>
      <c r="G44" s="3" t="n">
        <v>0.00332896549749013</v>
      </c>
      <c r="H44" s="5" t="n">
        <f aca="false">IF(ISNUMBER(F44),IF(F44=0,"",G44/F44-1),"")</f>
        <v>0</v>
      </c>
    </row>
    <row r="45" customFormat="false" ht="15" hidden="false" customHeight="false" outlineLevel="0" collapsed="false">
      <c r="A45" s="4" t="s">
        <v>23</v>
      </c>
      <c r="B45" s="3" t="s">
        <v>32</v>
      </c>
      <c r="C45" s="4" t="s">
        <v>30</v>
      </c>
      <c r="D45" s="3" t="s">
        <v>31</v>
      </c>
      <c r="E45" s="3" t="s">
        <v>15</v>
      </c>
      <c r="F45" s="3" t="n">
        <v>0.00220433968028437</v>
      </c>
      <c r="G45" s="3" t="n">
        <v>0.00220433968028437</v>
      </c>
      <c r="H45" s="5" t="n">
        <f aca="false">IF(ISNUMBER(F45),IF(F45=0,"",G45/F45-1),"")</f>
        <v>0</v>
      </c>
    </row>
    <row r="46" customFormat="false" ht="15" hidden="false" customHeight="false" outlineLevel="0" collapsed="false">
      <c r="A46" s="4" t="s">
        <v>23</v>
      </c>
      <c r="B46" s="3" t="s">
        <v>32</v>
      </c>
      <c r="C46" s="4" t="s">
        <v>30</v>
      </c>
      <c r="D46" s="3" t="s">
        <v>31</v>
      </c>
      <c r="E46" s="3" t="s">
        <v>16</v>
      </c>
      <c r="F46" s="3" t="n">
        <v>0.00143044852589726</v>
      </c>
      <c r="G46" s="3" t="n">
        <v>0.00143044852589726</v>
      </c>
      <c r="H46" s="5" t="n">
        <f aca="false">IF(ISNUMBER(F46),IF(F46=0,"",G46/F46-1),"")</f>
        <v>0</v>
      </c>
    </row>
    <row r="47" customFormat="false" ht="15" hidden="false" customHeight="false" outlineLevel="0" collapsed="false">
      <c r="A47" s="4" t="s">
        <v>23</v>
      </c>
      <c r="B47" s="3" t="s">
        <v>33</v>
      </c>
      <c r="C47" s="4" t="s">
        <v>30</v>
      </c>
      <c r="D47" s="3" t="s">
        <v>31</v>
      </c>
      <c r="E47" s="3" t="s">
        <v>12</v>
      </c>
      <c r="F47" s="3" t="n">
        <v>0.0231462920032773</v>
      </c>
      <c r="G47" s="3" t="n">
        <v>0.0257573532274046</v>
      </c>
      <c r="H47" s="5" t="n">
        <f aca="false">IF(ISNUMBER(F47),IF(F47=0,"",G47/F47-1),"")</f>
        <v>0.112806890354515</v>
      </c>
    </row>
    <row r="48" customFormat="false" ht="15" hidden="false" customHeight="false" outlineLevel="0" collapsed="false">
      <c r="A48" s="4" t="s">
        <v>23</v>
      </c>
      <c r="B48" s="3" t="s">
        <v>33</v>
      </c>
      <c r="C48" s="4" t="s">
        <v>30</v>
      </c>
      <c r="D48" s="3" t="s">
        <v>31</v>
      </c>
      <c r="E48" s="3" t="s">
        <v>13</v>
      </c>
      <c r="F48" s="3" t="n">
        <v>0.0111975472382432</v>
      </c>
      <c r="G48" s="3" t="n">
        <v>0.00887775506681788</v>
      </c>
      <c r="H48" s="5" t="n">
        <f aca="false">IF(ISNUMBER(F48),IF(F48=0,"",G48/F48-1),"")</f>
        <v>-0.207169670470555</v>
      </c>
    </row>
    <row r="49" customFormat="false" ht="15" hidden="false" customHeight="false" outlineLevel="0" collapsed="false">
      <c r="A49" s="4" t="s">
        <v>23</v>
      </c>
      <c r="B49" s="3" t="s">
        <v>33</v>
      </c>
      <c r="C49" s="4" t="s">
        <v>30</v>
      </c>
      <c r="D49" s="3" t="s">
        <v>31</v>
      </c>
      <c r="E49" s="3" t="s">
        <v>14</v>
      </c>
      <c r="F49" s="3" t="n">
        <v>0.0102273044724078</v>
      </c>
      <c r="G49" s="3" t="n">
        <v>0.0102273044724078</v>
      </c>
      <c r="H49" s="5" t="n">
        <f aca="false">IF(ISNUMBER(F49),IF(F49=0,"",G49/F49-1),"")</f>
        <v>0</v>
      </c>
    </row>
    <row r="50" customFormat="false" ht="15" hidden="false" customHeight="false" outlineLevel="0" collapsed="false">
      <c r="A50" s="4" t="s">
        <v>23</v>
      </c>
      <c r="B50" s="3" t="s">
        <v>33</v>
      </c>
      <c r="C50" s="4" t="s">
        <v>30</v>
      </c>
      <c r="D50" s="3" t="s">
        <v>31</v>
      </c>
      <c r="E50" s="3" t="s">
        <v>15</v>
      </c>
      <c r="F50" s="3" t="n">
        <v>0.00642112099901794</v>
      </c>
      <c r="G50" s="3" t="n">
        <v>0.00642112099901794</v>
      </c>
      <c r="H50" s="5" t="n">
        <f aca="false">IF(ISNUMBER(F50),IF(F50=0,"",G50/F50-1),"")</f>
        <v>0</v>
      </c>
    </row>
    <row r="51" customFormat="false" ht="15" hidden="false" customHeight="false" outlineLevel="0" collapsed="false">
      <c r="A51" s="4" t="s">
        <v>23</v>
      </c>
      <c r="B51" s="3" t="s">
        <v>33</v>
      </c>
      <c r="C51" s="4" t="s">
        <v>30</v>
      </c>
      <c r="D51" s="3" t="s">
        <v>31</v>
      </c>
      <c r="E51" s="3" t="s">
        <v>16</v>
      </c>
      <c r="F51" s="3" t="n">
        <v>0.00430948556016603</v>
      </c>
      <c r="G51" s="3" t="n">
        <v>0.00430948556016603</v>
      </c>
      <c r="H51" s="5" t="n">
        <f aca="false">IF(ISNUMBER(F51),IF(F51=0,"",G51/F51-1),"")</f>
        <v>0</v>
      </c>
    </row>
    <row r="52" customFormat="false" ht="41.75" hidden="false" customHeight="false" outlineLevel="0" collapsed="false">
      <c r="A52" s="4" t="s">
        <v>23</v>
      </c>
      <c r="B52" s="3" t="s">
        <v>34</v>
      </c>
      <c r="C52" s="4" t="s">
        <v>35</v>
      </c>
      <c r="D52" s="3" t="s">
        <v>31</v>
      </c>
      <c r="E52" s="3" t="s">
        <v>36</v>
      </c>
      <c r="F52" s="3" t="n">
        <v>0.63609601991434</v>
      </c>
      <c r="G52" s="3" t="n">
        <v>0.184347357556488</v>
      </c>
      <c r="H52" s="5" t="n">
        <f aca="false">IF(ISNUMBER(F52),IF(F52=0,"",G52/F52-1),"")</f>
        <v>-0.710189418287332</v>
      </c>
    </row>
    <row r="53" customFormat="false" ht="55.2" hidden="false" customHeight="false" outlineLevel="0" collapsed="false">
      <c r="A53" s="4" t="s">
        <v>23</v>
      </c>
      <c r="B53" s="3" t="s">
        <v>37</v>
      </c>
      <c r="C53" s="4" t="s">
        <v>38</v>
      </c>
      <c r="D53" s="3" t="s">
        <v>31</v>
      </c>
      <c r="E53" s="3" t="s">
        <v>36</v>
      </c>
      <c r="F53" s="3" t="n">
        <v>0.667220154597978</v>
      </c>
      <c r="G53" s="3" t="n">
        <v>0.563043227262404</v>
      </c>
      <c r="H53" s="5" t="n">
        <f aca="false">IF(ISNUMBER(F53),IF(F53=0,"",G53/F53-1),"")</f>
        <v>-0.156135762113397</v>
      </c>
    </row>
    <row r="54" customFormat="false" ht="41.75" hidden="false" customHeight="false" outlineLevel="0" collapsed="false">
      <c r="A54" s="4" t="s">
        <v>23</v>
      </c>
      <c r="B54" s="3" t="s">
        <v>39</v>
      </c>
      <c r="C54" s="4" t="s">
        <v>40</v>
      </c>
      <c r="D54" s="3" t="s">
        <v>31</v>
      </c>
      <c r="E54" s="3" t="s">
        <v>36</v>
      </c>
      <c r="F54" s="3" t="n">
        <v>0.663556558253475</v>
      </c>
      <c r="G54" s="3" t="n">
        <v>0.185008599902928</v>
      </c>
      <c r="H54" s="5" t="n">
        <f aca="false">IF(ISNUMBER(F54),IF(F54=0,"",G54/F54-1),"")</f>
        <v>-0.721186389311134</v>
      </c>
    </row>
    <row r="55" customFormat="false" ht="41.75" hidden="false" customHeight="false" outlineLevel="0" collapsed="false">
      <c r="A55" s="4" t="s">
        <v>23</v>
      </c>
      <c r="B55" s="3" t="s">
        <v>41</v>
      </c>
      <c r="C55" s="4" t="s">
        <v>42</v>
      </c>
      <c r="D55" s="3" t="s">
        <v>43</v>
      </c>
      <c r="E55" s="3" t="s">
        <v>36</v>
      </c>
      <c r="F55" s="3" t="n">
        <v>0.0518797846974362</v>
      </c>
      <c r="G55" s="3" t="n">
        <v>0.89809617101894</v>
      </c>
      <c r="H55" s="5" t="n">
        <f aca="false">IF(ISNUMBER(F55),IF(F55=0,"",G55/F55-1),"")</f>
        <v>16.3111005810192</v>
      </c>
    </row>
    <row r="56" customFormat="false" ht="41.75" hidden="false" customHeight="false" outlineLevel="0" collapsed="false">
      <c r="A56" s="4" t="s">
        <v>23</v>
      </c>
      <c r="B56" s="3" t="s">
        <v>44</v>
      </c>
      <c r="C56" s="4" t="s">
        <v>45</v>
      </c>
      <c r="D56" s="3" t="s">
        <v>46</v>
      </c>
      <c r="E56" s="3" t="s">
        <v>36</v>
      </c>
      <c r="F56" s="3" t="n">
        <v>0.0906847035646163</v>
      </c>
      <c r="G56" s="3" t="n">
        <v>0.202980591668232</v>
      </c>
      <c r="H56" s="5" t="n">
        <f aca="false">IF(ISNUMBER(F56),IF(F56=0,"",G56/F56-1),"")</f>
        <v>1.23831124422875</v>
      </c>
    </row>
    <row r="57" customFormat="false" ht="28.35" hidden="false" customHeight="false" outlineLevel="0" collapsed="false">
      <c r="A57" s="4" t="s">
        <v>23</v>
      </c>
      <c r="B57" s="3" t="s">
        <v>47</v>
      </c>
      <c r="C57" s="4" t="s">
        <v>48</v>
      </c>
      <c r="D57" s="3" t="s">
        <v>11</v>
      </c>
      <c r="E57" s="3" t="s">
        <v>36</v>
      </c>
      <c r="F57" s="3" t="n">
        <v>4190200000</v>
      </c>
      <c r="G57" s="3" t="n">
        <v>6015200000</v>
      </c>
      <c r="H57" s="5" t="n">
        <f aca="false">IF(ISNUMBER(F57),IF(F57=0,"",G57/F57-1),"")</f>
        <v>0.435540069686411</v>
      </c>
    </row>
    <row r="58" customFormat="false" ht="68.65" hidden="false" customHeight="false" outlineLevel="0" collapsed="false">
      <c r="A58" s="4" t="s">
        <v>23</v>
      </c>
      <c r="B58" s="3" t="s">
        <v>49</v>
      </c>
      <c r="C58" s="4" t="s">
        <v>50</v>
      </c>
      <c r="D58" s="4" t="s">
        <v>51</v>
      </c>
      <c r="E58" s="3" t="s">
        <v>36</v>
      </c>
      <c r="F58" s="3" t="n">
        <v>1.52362137919411</v>
      </c>
      <c r="G58" s="3" t="n">
        <v>11.3588952994222</v>
      </c>
      <c r="H58" s="5" t="n">
        <f aca="false">IF(ISNUMBER(F58),IF(F58=0,"",G58/F58-1),"")</f>
        <v>6.45519553252152</v>
      </c>
    </row>
    <row r="59" customFormat="false" ht="108.95" hidden="false" customHeight="false" outlineLevel="0" collapsed="false">
      <c r="A59" s="4" t="s">
        <v>23</v>
      </c>
      <c r="B59" s="3" t="s">
        <v>52</v>
      </c>
      <c r="C59" s="4" t="s">
        <v>53</v>
      </c>
      <c r="D59" s="3" t="s">
        <v>54</v>
      </c>
      <c r="E59" s="3" t="s">
        <v>12</v>
      </c>
      <c r="F59" s="3" t="n">
        <v>180.057740229558</v>
      </c>
      <c r="G59" s="3" t="n">
        <v>190.238900722181</v>
      </c>
      <c r="H59" s="5" t="n">
        <f aca="false">IF(ISNUMBER(F59),IF(F59=0,"",G59/F59-1),"")</f>
        <v>0.0565438646494336</v>
      </c>
    </row>
    <row r="60" customFormat="false" ht="108.95" hidden="false" customHeight="false" outlineLevel="0" collapsed="false">
      <c r="A60" s="4" t="s">
        <v>23</v>
      </c>
      <c r="B60" s="3" t="s">
        <v>52</v>
      </c>
      <c r="C60" s="4" t="s">
        <v>53</v>
      </c>
      <c r="D60" s="3" t="s">
        <v>54</v>
      </c>
      <c r="E60" s="3" t="s">
        <v>13</v>
      </c>
      <c r="F60" s="3" t="n">
        <v>80.7018780387141</v>
      </c>
      <c r="G60" s="3" t="n">
        <v>63.8227036445258</v>
      </c>
      <c r="H60" s="5" t="n">
        <f aca="false">IF(ISNUMBER(F60),IF(F60=0,"",G60/F60-1),"")</f>
        <v>-0.209154666587698</v>
      </c>
    </row>
    <row r="61" customFormat="false" ht="108.95" hidden="false" customHeight="false" outlineLevel="0" collapsed="false">
      <c r="A61" s="4" t="s">
        <v>23</v>
      </c>
      <c r="B61" s="3" t="s">
        <v>52</v>
      </c>
      <c r="C61" s="4" t="s">
        <v>53</v>
      </c>
      <c r="D61" s="3" t="s">
        <v>54</v>
      </c>
      <c r="E61" s="3" t="s">
        <v>14</v>
      </c>
      <c r="F61" s="3" t="n">
        <v>104.321299974554</v>
      </c>
      <c r="G61" s="3" t="n">
        <v>89.2500735203584</v>
      </c>
      <c r="H61" s="5" t="n">
        <f aca="false">IF(ISNUMBER(F61),IF(F61=0,"",G61/F61-1),"")</f>
        <v>-0.144469312191008</v>
      </c>
    </row>
    <row r="62" customFormat="false" ht="108.95" hidden="false" customHeight="false" outlineLevel="0" collapsed="false">
      <c r="A62" s="4" t="s">
        <v>23</v>
      </c>
      <c r="B62" s="3" t="s">
        <v>52</v>
      </c>
      <c r="C62" s="4" t="s">
        <v>53</v>
      </c>
      <c r="D62" s="3" t="s">
        <v>54</v>
      </c>
      <c r="E62" s="3" t="s">
        <v>15</v>
      </c>
      <c r="F62" s="3" t="n">
        <v>63.8385436939176</v>
      </c>
      <c r="G62" s="3" t="n">
        <v>61.1546231086832</v>
      </c>
      <c r="H62" s="5" t="n">
        <f aca="false">IF(ISNUMBER(F62),IF(F62=0,"",G62/F62-1),"")</f>
        <v>-0.0420423216122037</v>
      </c>
    </row>
    <row r="63" customFormat="false" ht="108.95" hidden="false" customHeight="false" outlineLevel="0" collapsed="false">
      <c r="A63" s="4" t="s">
        <v>23</v>
      </c>
      <c r="B63" s="3" t="s">
        <v>52</v>
      </c>
      <c r="C63" s="4" t="s">
        <v>53</v>
      </c>
      <c r="D63" s="3" t="s">
        <v>54</v>
      </c>
      <c r="E63" s="3" t="s">
        <v>16</v>
      </c>
      <c r="F63" s="3" t="n">
        <v>54.7374194642521</v>
      </c>
      <c r="G63" s="3" t="n">
        <v>52.3020023235234</v>
      </c>
      <c r="H63" s="5" t="n">
        <f aca="false">IF(ISNUMBER(F63),IF(F63=0,"",G63/F63-1),"")</f>
        <v>-0.0444927284582573</v>
      </c>
    </row>
    <row r="64" customFormat="false" ht="108.95" hidden="false" customHeight="false" outlineLevel="0" collapsed="false">
      <c r="A64" s="4" t="s">
        <v>23</v>
      </c>
      <c r="B64" s="3" t="s">
        <v>55</v>
      </c>
      <c r="C64" s="4" t="s">
        <v>56</v>
      </c>
      <c r="D64" s="3" t="s">
        <v>54</v>
      </c>
      <c r="E64" s="3" t="s">
        <v>12</v>
      </c>
      <c r="F64" s="3" t="n">
        <v>10.2628281044394</v>
      </c>
      <c r="G64" s="3" t="n">
        <v>11.2487211695643</v>
      </c>
      <c r="H64" s="5" t="n">
        <f aca="false">IF(ISNUMBER(F64),IF(F64=0,"",G64/F64-1),"")</f>
        <v>0.0960644624553764</v>
      </c>
    </row>
    <row r="65" customFormat="false" ht="108.95" hidden="false" customHeight="false" outlineLevel="0" collapsed="false">
      <c r="A65" s="4" t="s">
        <v>23</v>
      </c>
      <c r="B65" s="3" t="s">
        <v>55</v>
      </c>
      <c r="C65" s="4" t="s">
        <v>56</v>
      </c>
      <c r="D65" s="3" t="s">
        <v>54</v>
      </c>
      <c r="E65" s="3" t="s">
        <v>13</v>
      </c>
      <c r="F65" s="3" t="n">
        <v>4.33936521136578</v>
      </c>
      <c r="G65" s="3" t="n">
        <v>3.05075012091539</v>
      </c>
      <c r="H65" s="5" t="n">
        <f aca="false">IF(ISNUMBER(F65),IF(F65=0,"",G65/F65-1),"")</f>
        <v>-0.296959354118251</v>
      </c>
    </row>
    <row r="66" customFormat="false" ht="108.95" hidden="false" customHeight="false" outlineLevel="0" collapsed="false">
      <c r="A66" s="4" t="s">
        <v>23</v>
      </c>
      <c r="B66" s="3" t="s">
        <v>55</v>
      </c>
      <c r="C66" s="4" t="s">
        <v>56</v>
      </c>
      <c r="D66" s="3" t="s">
        <v>54</v>
      </c>
      <c r="E66" s="3" t="s">
        <v>14</v>
      </c>
      <c r="F66" s="3" t="n">
        <v>5.29503019791332</v>
      </c>
      <c r="G66" s="3" t="n">
        <v>4.53006082719016</v>
      </c>
      <c r="H66" s="5" t="n">
        <f aca="false">IF(ISNUMBER(F66),IF(F66=0,"",G66/F66-1),"")</f>
        <v>-0.144469312191009</v>
      </c>
    </row>
    <row r="67" customFormat="false" ht="108.95" hidden="false" customHeight="false" outlineLevel="0" collapsed="false">
      <c r="A67" s="4" t="s">
        <v>23</v>
      </c>
      <c r="B67" s="3" t="s">
        <v>55</v>
      </c>
      <c r="C67" s="4" t="s">
        <v>56</v>
      </c>
      <c r="D67" s="3" t="s">
        <v>54</v>
      </c>
      <c r="E67" s="3" t="s">
        <v>15</v>
      </c>
      <c r="F67" s="3" t="n">
        <v>3.51647722200591</v>
      </c>
      <c r="G67" s="3" t="n">
        <v>3.36863635569634</v>
      </c>
      <c r="H67" s="5" t="n">
        <f aca="false">IF(ISNUMBER(F67),IF(F67=0,"",G67/F67-1),"")</f>
        <v>-0.0420423216122063</v>
      </c>
    </row>
    <row r="68" customFormat="false" ht="108.95" hidden="false" customHeight="false" outlineLevel="0" collapsed="false">
      <c r="A68" s="4" t="s">
        <v>23</v>
      </c>
      <c r="B68" s="3" t="s">
        <v>55</v>
      </c>
      <c r="C68" s="4" t="s">
        <v>56</v>
      </c>
      <c r="D68" s="3" t="s">
        <v>54</v>
      </c>
      <c r="E68" s="3" t="s">
        <v>16</v>
      </c>
      <c r="F68" s="3" t="n">
        <v>2.87331632665873</v>
      </c>
      <c r="G68" s="3" t="n">
        <v>2.74547464356203</v>
      </c>
      <c r="H68" s="5" t="n">
        <f aca="false">IF(ISNUMBER(F68),IF(F68=0,"",G68/F68-1),"")</f>
        <v>-0.0444927284582558</v>
      </c>
    </row>
    <row r="69" customFormat="false" ht="108.95" hidden="false" customHeight="false" outlineLevel="0" collapsed="false">
      <c r="A69" s="4" t="s">
        <v>23</v>
      </c>
      <c r="B69" s="3" t="s">
        <v>57</v>
      </c>
      <c r="C69" s="4" t="s">
        <v>58</v>
      </c>
      <c r="D69" s="3" t="s">
        <v>54</v>
      </c>
      <c r="E69" s="3" t="s">
        <v>12</v>
      </c>
      <c r="F69" s="3" t="n">
        <v>29.2100282405771</v>
      </c>
      <c r="G69" s="3" t="n">
        <v>31.2407308280994</v>
      </c>
      <c r="H69" s="5" t="n">
        <f aca="false">IF(ISNUMBER(F69),IF(F69=0,"",G69/F69-1),"")</f>
        <v>0.0695207334548671</v>
      </c>
    </row>
    <row r="70" customFormat="false" ht="108.95" hidden="false" customHeight="false" outlineLevel="0" collapsed="false">
      <c r="A70" s="4" t="s">
        <v>23</v>
      </c>
      <c r="B70" s="3" t="s">
        <v>57</v>
      </c>
      <c r="C70" s="4" t="s">
        <v>58</v>
      </c>
      <c r="D70" s="3" t="s">
        <v>54</v>
      </c>
      <c r="E70" s="3" t="s">
        <v>13</v>
      </c>
      <c r="F70" s="3" t="n">
        <v>12.8365629049415</v>
      </c>
      <c r="G70" s="3" t="n">
        <v>9.79678644799702</v>
      </c>
      <c r="H70" s="5" t="n">
        <f aca="false">IF(ISNUMBER(F70),IF(F70=0,"",G70/F70-1),"")</f>
        <v>-0.236806104519949</v>
      </c>
    </row>
    <row r="71" customFormat="false" ht="108.95" hidden="false" customHeight="false" outlineLevel="0" collapsed="false">
      <c r="A71" s="4" t="s">
        <v>23</v>
      </c>
      <c r="B71" s="3" t="s">
        <v>57</v>
      </c>
      <c r="C71" s="4" t="s">
        <v>58</v>
      </c>
      <c r="D71" s="3" t="s">
        <v>54</v>
      </c>
      <c r="E71" s="3" t="s">
        <v>14</v>
      </c>
      <c r="F71" s="3" t="n">
        <v>16.2674819145715</v>
      </c>
      <c r="G71" s="3" t="n">
        <v>13.9173299912937</v>
      </c>
      <c r="H71" s="5" t="n">
        <f aca="false">IF(ISNUMBER(F71),IF(F71=0,"",G71/F71-1),"")</f>
        <v>-0.144469312191008</v>
      </c>
    </row>
    <row r="72" customFormat="false" ht="108.95" hidden="false" customHeight="false" outlineLevel="0" collapsed="false">
      <c r="A72" s="4" t="s">
        <v>23</v>
      </c>
      <c r="B72" s="3" t="s">
        <v>57</v>
      </c>
      <c r="C72" s="4" t="s">
        <v>58</v>
      </c>
      <c r="D72" s="3" t="s">
        <v>54</v>
      </c>
      <c r="E72" s="3" t="s">
        <v>15</v>
      </c>
      <c r="F72" s="3" t="n">
        <v>10.2433059363508</v>
      </c>
      <c r="G72" s="3" t="n">
        <v>9.8126535738025</v>
      </c>
      <c r="H72" s="5" t="n">
        <f aca="false">IF(ISNUMBER(F72),IF(F72=0,"",G72/F72-1),"")</f>
        <v>-0.0420423216122081</v>
      </c>
    </row>
    <row r="73" customFormat="false" ht="108.95" hidden="false" customHeight="false" outlineLevel="0" collapsed="false">
      <c r="A73" s="4" t="s">
        <v>23</v>
      </c>
      <c r="B73" s="3" t="s">
        <v>57</v>
      </c>
      <c r="C73" s="4" t="s">
        <v>58</v>
      </c>
      <c r="D73" s="3" t="s">
        <v>54</v>
      </c>
      <c r="E73" s="3" t="s">
        <v>16</v>
      </c>
      <c r="F73" s="3" t="n">
        <v>8.65638643778396</v>
      </c>
      <c r="G73" s="3" t="n">
        <v>8.27124018657791</v>
      </c>
      <c r="H73" s="5" t="n">
        <f aca="false">IF(ISNUMBER(F73),IF(F73=0,"",G73/F73-1),"")</f>
        <v>-0.0444927284582558</v>
      </c>
    </row>
    <row r="74" customFormat="false" ht="28.35" hidden="false" customHeight="false" outlineLevel="0" collapsed="false">
      <c r="A74" s="4" t="s">
        <v>23</v>
      </c>
      <c r="B74" s="3" t="s">
        <v>59</v>
      </c>
      <c r="C74" s="4" t="s">
        <v>60</v>
      </c>
      <c r="D74" s="3" t="s">
        <v>22</v>
      </c>
      <c r="E74" s="3" t="s">
        <v>12</v>
      </c>
      <c r="F74" s="3" t="n">
        <v>18.6899868774826</v>
      </c>
      <c r="G74" s="3" t="n">
        <v>32.8285826038219</v>
      </c>
      <c r="H74" s="5" t="n">
        <f aca="false">IF(ISNUMBER(F74),IF(F74=0,"",G74/F74-1),"")</f>
        <v>0.756479703224043</v>
      </c>
    </row>
    <row r="75" customFormat="false" ht="28.35" hidden="false" customHeight="false" outlineLevel="0" collapsed="false">
      <c r="A75" s="4" t="s">
        <v>23</v>
      </c>
      <c r="B75" s="3" t="s">
        <v>59</v>
      </c>
      <c r="C75" s="4" t="s">
        <v>60</v>
      </c>
      <c r="D75" s="3" t="s">
        <v>22</v>
      </c>
      <c r="E75" s="3" t="s">
        <v>13</v>
      </c>
      <c r="F75" s="3" t="n">
        <v>96.6283848132214</v>
      </c>
      <c r="G75" s="3" t="n">
        <v>162.357347120574</v>
      </c>
      <c r="H75" s="5" t="n">
        <f aca="false">IF(ISNUMBER(F75),IF(F75=0,"",G75/F75-1),"")</f>
        <v>0.680224164301245</v>
      </c>
    </row>
    <row r="76" customFormat="false" ht="28.35" hidden="false" customHeight="false" outlineLevel="0" collapsed="false">
      <c r="A76" s="4" t="s">
        <v>23</v>
      </c>
      <c r="B76" s="3" t="s">
        <v>59</v>
      </c>
      <c r="C76" s="4" t="s">
        <v>60</v>
      </c>
      <c r="D76" s="3" t="s">
        <v>22</v>
      </c>
      <c r="E76" s="3" t="s">
        <v>14</v>
      </c>
      <c r="F76" s="3" t="n">
        <v>116.841337205439</v>
      </c>
      <c r="G76" s="3" t="n">
        <v>189.275075427389</v>
      </c>
      <c r="H76" s="5" t="n">
        <f aca="false">IF(ISNUMBER(F76),IF(F76=0,"",G76/F76-1),"")</f>
        <v>0.619932465293441</v>
      </c>
    </row>
    <row r="77" customFormat="false" ht="28.35" hidden="false" customHeight="false" outlineLevel="0" collapsed="false">
      <c r="A77" s="4" t="s">
        <v>23</v>
      </c>
      <c r="B77" s="3" t="s">
        <v>59</v>
      </c>
      <c r="C77" s="4" t="s">
        <v>60</v>
      </c>
      <c r="D77" s="3" t="s">
        <v>22</v>
      </c>
      <c r="E77" s="3" t="s">
        <v>15</v>
      </c>
      <c r="F77" s="3" t="n">
        <v>246.697456312585</v>
      </c>
      <c r="G77" s="3" t="n">
        <v>335.686266761199</v>
      </c>
      <c r="H77" s="5" t="n">
        <f aca="false">IF(ISNUMBER(F77),IF(F77=0,"",G77/F77-1),"")</f>
        <v>0.360720421599557</v>
      </c>
    </row>
    <row r="78" customFormat="false" ht="28.35" hidden="false" customHeight="false" outlineLevel="0" collapsed="false">
      <c r="A78" s="4" t="s">
        <v>23</v>
      </c>
      <c r="B78" s="3" t="s">
        <v>59</v>
      </c>
      <c r="C78" s="4" t="s">
        <v>60</v>
      </c>
      <c r="D78" s="3" t="s">
        <v>22</v>
      </c>
      <c r="E78" s="3" t="s">
        <v>16</v>
      </c>
      <c r="F78" s="3" t="n">
        <v>358.71180915499</v>
      </c>
      <c r="G78" s="3" t="n">
        <v>475.005316946174</v>
      </c>
      <c r="H78" s="5" t="n">
        <f aca="false">IF(ISNUMBER(F78),IF(F78=0,"",G78/F78-1),"")</f>
        <v>0.324197600478039</v>
      </c>
    </row>
    <row r="79" customFormat="false" ht="28.35" hidden="false" customHeight="false" outlineLevel="0" collapsed="false">
      <c r="A79" s="4" t="s">
        <v>23</v>
      </c>
      <c r="B79" s="3" t="s">
        <v>61</v>
      </c>
      <c r="C79" s="4" t="s">
        <v>60</v>
      </c>
      <c r="D79" s="3" t="s">
        <v>22</v>
      </c>
      <c r="E79" s="3" t="s">
        <v>12</v>
      </c>
      <c r="F79" s="3" t="n">
        <v>3.57102907624799</v>
      </c>
      <c r="G79" s="3" t="n">
        <v>5.41089756914487</v>
      </c>
      <c r="H79" s="5" t="n">
        <f aca="false">IF(ISNUMBER(F79),IF(F79=0,"",G79/F79-1),"")</f>
        <v>0.515220809915665</v>
      </c>
    </row>
    <row r="80" customFormat="false" ht="28.35" hidden="false" customHeight="false" outlineLevel="0" collapsed="false">
      <c r="A80" s="4" t="s">
        <v>23</v>
      </c>
      <c r="B80" s="3" t="s">
        <v>61</v>
      </c>
      <c r="C80" s="4" t="s">
        <v>60</v>
      </c>
      <c r="D80" s="3" t="s">
        <v>22</v>
      </c>
      <c r="E80" s="3" t="s">
        <v>13</v>
      </c>
      <c r="F80" s="3" t="n">
        <v>17.4680230535144</v>
      </c>
      <c r="G80" s="3" t="n">
        <v>26.8952733902608</v>
      </c>
      <c r="H80" s="5" t="n">
        <f aca="false">IF(ISNUMBER(F80),IF(F80=0,"",G80/F80-1),"")</f>
        <v>0.539686162988532</v>
      </c>
    </row>
    <row r="81" customFormat="false" ht="28.35" hidden="false" customHeight="false" outlineLevel="0" collapsed="false">
      <c r="A81" s="4" t="s">
        <v>23</v>
      </c>
      <c r="B81" s="3" t="s">
        <v>61</v>
      </c>
      <c r="C81" s="4" t="s">
        <v>60</v>
      </c>
      <c r="D81" s="3" t="s">
        <v>22</v>
      </c>
      <c r="E81" s="3" t="s">
        <v>14</v>
      </c>
      <c r="F81" s="3" t="n">
        <v>25.4312759220773</v>
      </c>
      <c r="G81" s="3" t="n">
        <v>34.8667275721655</v>
      </c>
      <c r="H81" s="5" t="n">
        <f aca="false">IF(ISNUMBER(F81),IF(F81=0,"",G81/F81-1),"")</f>
        <v>0.371017627231874</v>
      </c>
    </row>
    <row r="82" customFormat="false" ht="28.35" hidden="false" customHeight="false" outlineLevel="0" collapsed="false">
      <c r="A82" s="4" t="s">
        <v>23</v>
      </c>
      <c r="B82" s="3" t="s">
        <v>61</v>
      </c>
      <c r="C82" s="4" t="s">
        <v>60</v>
      </c>
      <c r="D82" s="3" t="s">
        <v>22</v>
      </c>
      <c r="E82" s="3" t="s">
        <v>15</v>
      </c>
      <c r="F82" s="3" t="n">
        <v>37.2582226398973</v>
      </c>
      <c r="G82" s="3" t="n">
        <v>50.299413649228</v>
      </c>
      <c r="H82" s="5" t="n">
        <f aca="false">IF(ISNUMBER(F82),IF(F82=0,"",G82/F82-1),"")</f>
        <v>0.35002182297783</v>
      </c>
    </row>
    <row r="83" customFormat="false" ht="28.35" hidden="false" customHeight="false" outlineLevel="0" collapsed="false">
      <c r="A83" s="4" t="s">
        <v>23</v>
      </c>
      <c r="B83" s="3" t="s">
        <v>61</v>
      </c>
      <c r="C83" s="4" t="s">
        <v>60</v>
      </c>
      <c r="D83" s="3" t="s">
        <v>22</v>
      </c>
      <c r="E83" s="3" t="s">
        <v>16</v>
      </c>
      <c r="F83" s="3" t="n">
        <v>50.3527379522069</v>
      </c>
      <c r="G83" s="3" t="n">
        <v>67.7198685975468</v>
      </c>
      <c r="H83" s="5" t="n">
        <f aca="false">IF(ISNUMBER(F83),IF(F83=0,"",G83/F83-1),"")</f>
        <v>0.344909360476568</v>
      </c>
    </row>
    <row r="84" customFormat="false" ht="28.35" hidden="false" customHeight="false" outlineLevel="0" collapsed="false">
      <c r="A84" s="4" t="s">
        <v>23</v>
      </c>
      <c r="B84" s="3" t="s">
        <v>62</v>
      </c>
      <c r="C84" s="4" t="s">
        <v>60</v>
      </c>
      <c r="D84" s="3" t="s">
        <v>22</v>
      </c>
      <c r="E84" s="3" t="s">
        <v>12</v>
      </c>
      <c r="F84" s="3" t="n">
        <v>20.7225049979976</v>
      </c>
      <c r="G84" s="3" t="n">
        <v>32.4330286484338</v>
      </c>
      <c r="H84" s="5" t="n">
        <f aca="false">IF(ISNUMBER(F84),IF(F84=0,"",G84/F84-1),"")</f>
        <v>0.565111392255318</v>
      </c>
    </row>
    <row r="85" customFormat="false" ht="28.35" hidden="false" customHeight="false" outlineLevel="0" collapsed="false">
      <c r="A85" s="4" t="s">
        <v>23</v>
      </c>
      <c r="B85" s="3" t="s">
        <v>62</v>
      </c>
      <c r="C85" s="4" t="s">
        <v>60</v>
      </c>
      <c r="D85" s="3" t="s">
        <v>22</v>
      </c>
      <c r="E85" s="3" t="s">
        <v>13</v>
      </c>
      <c r="F85" s="3" t="n">
        <v>100.404653415384</v>
      </c>
      <c r="G85" s="3" t="n">
        <v>157.865737418946</v>
      </c>
      <c r="H85" s="5" t="n">
        <f aca="false">IF(ISNUMBER(F85),IF(F85=0,"",G85/F85-1),"")</f>
        <v>0.57229502865609</v>
      </c>
    </row>
    <row r="86" customFormat="false" ht="28.35" hidden="false" customHeight="false" outlineLevel="0" collapsed="false">
      <c r="A86" s="4" t="s">
        <v>23</v>
      </c>
      <c r="B86" s="3" t="s">
        <v>62</v>
      </c>
      <c r="C86" s="4" t="s">
        <v>60</v>
      </c>
      <c r="D86" s="3" t="s">
        <v>22</v>
      </c>
      <c r="E86" s="3" t="s">
        <v>14</v>
      </c>
      <c r="F86" s="3" t="n">
        <v>146.176727443319</v>
      </c>
      <c r="G86" s="3" t="n">
        <v>204.746908336412</v>
      </c>
      <c r="H86" s="5" t="n">
        <f aca="false">IF(ISNUMBER(F86),IF(F86=0,"",G86/F86-1),"")</f>
        <v>0.400680613921966</v>
      </c>
    </row>
    <row r="87" customFormat="false" ht="28.35" hidden="false" customHeight="false" outlineLevel="0" collapsed="false">
      <c r="A87" s="4" t="s">
        <v>23</v>
      </c>
      <c r="B87" s="3" t="s">
        <v>62</v>
      </c>
      <c r="C87" s="4" t="s">
        <v>60</v>
      </c>
      <c r="D87" s="3" t="s">
        <v>22</v>
      </c>
      <c r="E87" s="3" t="s">
        <v>15</v>
      </c>
      <c r="F87" s="3" t="n">
        <v>228.808271164193</v>
      </c>
      <c r="G87" s="3" t="n">
        <v>307.586504136986</v>
      </c>
      <c r="H87" s="5" t="n">
        <f aca="false">IF(ISNUMBER(F87),IF(F87=0,"",G87/F87-1),"")</f>
        <v>0.344298012357524</v>
      </c>
    </row>
    <row r="88" customFormat="false" ht="28.35" hidden="false" customHeight="false" outlineLevel="0" collapsed="false">
      <c r="A88" s="4" t="s">
        <v>23</v>
      </c>
      <c r="B88" s="3" t="s">
        <v>62</v>
      </c>
      <c r="C88" s="4" t="s">
        <v>60</v>
      </c>
      <c r="D88" s="3" t="s">
        <v>22</v>
      </c>
      <c r="E88" s="3" t="s">
        <v>16</v>
      </c>
      <c r="F88" s="3" t="n">
        <v>314.529969229019</v>
      </c>
      <c r="G88" s="3" t="n">
        <v>418.858593711675</v>
      </c>
      <c r="H88" s="5" t="n">
        <f aca="false">IF(ISNUMBER(F88),IF(F88=0,"",G88/F88-1),"")</f>
        <v>0.331696927762998</v>
      </c>
    </row>
    <row r="89" customFormat="false" ht="122.35" hidden="false" customHeight="false" outlineLevel="0" collapsed="false">
      <c r="A89" s="4" t="s">
        <v>23</v>
      </c>
      <c r="B89" s="3" t="s">
        <v>63</v>
      </c>
      <c r="C89" s="4" t="s">
        <v>64</v>
      </c>
      <c r="D89" s="3" t="s">
        <v>26</v>
      </c>
      <c r="E89" s="3" t="s">
        <v>12</v>
      </c>
      <c r="F89" s="3" t="n">
        <v>17.4882236341092</v>
      </c>
      <c r="G89" s="3" t="n">
        <v>11.9672141592289</v>
      </c>
      <c r="H89" s="5" t="n">
        <f aca="false">IF(ISNUMBER(F89),IF(F89=0,"",G89/F89-1),"")</f>
        <v>-0.315698700473619</v>
      </c>
    </row>
    <row r="90" customFormat="false" ht="122.35" hidden="false" customHeight="false" outlineLevel="0" collapsed="false">
      <c r="A90" s="4" t="s">
        <v>23</v>
      </c>
      <c r="B90" s="3" t="s">
        <v>63</v>
      </c>
      <c r="C90" s="4" t="s">
        <v>64</v>
      </c>
      <c r="D90" s="3" t="s">
        <v>26</v>
      </c>
      <c r="E90" s="3" t="s">
        <v>13</v>
      </c>
      <c r="F90" s="3" t="n">
        <v>3.33624632374847</v>
      </c>
      <c r="G90" s="3" t="n">
        <v>2.23757982051207</v>
      </c>
      <c r="H90" s="5" t="n">
        <f aca="false">IF(ISNUMBER(F90),IF(F90=0,"",G90/F90-1),"")</f>
        <v>-0.329312166015962</v>
      </c>
    </row>
    <row r="91" customFormat="false" ht="122.35" hidden="false" customHeight="false" outlineLevel="0" collapsed="false">
      <c r="A91" s="4" t="s">
        <v>23</v>
      </c>
      <c r="B91" s="3" t="s">
        <v>63</v>
      </c>
      <c r="C91" s="4" t="s">
        <v>64</v>
      </c>
      <c r="D91" s="3" t="s">
        <v>26</v>
      </c>
      <c r="E91" s="3" t="s">
        <v>14</v>
      </c>
      <c r="F91" s="3" t="n">
        <v>3.65821842869405</v>
      </c>
      <c r="G91" s="3" t="n">
        <v>2.27655571119161</v>
      </c>
      <c r="H91" s="5" t="n">
        <f aca="false">IF(ISNUMBER(F91),IF(F91=0,"",G91/F91-1),"")</f>
        <v>-0.377687320873205</v>
      </c>
    </row>
    <row r="92" customFormat="false" ht="122.35" hidden="false" customHeight="false" outlineLevel="0" collapsed="false">
      <c r="A92" s="4" t="s">
        <v>23</v>
      </c>
      <c r="B92" s="3" t="s">
        <v>63</v>
      </c>
      <c r="C92" s="4" t="s">
        <v>64</v>
      </c>
      <c r="D92" s="3" t="s">
        <v>26</v>
      </c>
      <c r="E92" s="3" t="s">
        <v>15</v>
      </c>
      <c r="F92" s="3" t="n">
        <v>1.86327342843922</v>
      </c>
      <c r="G92" s="3" t="n">
        <v>1.52633508268063</v>
      </c>
      <c r="H92" s="5" t="n">
        <f aca="false">IF(ISNUMBER(F92),IF(F92=0,"",G92/F92-1),"")</f>
        <v>-0.18083140166971</v>
      </c>
    </row>
    <row r="93" customFormat="false" ht="122.35" hidden="false" customHeight="false" outlineLevel="0" collapsed="false">
      <c r="A93" s="4" t="s">
        <v>23</v>
      </c>
      <c r="B93" s="3" t="s">
        <v>63</v>
      </c>
      <c r="C93" s="4" t="s">
        <v>64</v>
      </c>
      <c r="D93" s="3" t="s">
        <v>26</v>
      </c>
      <c r="E93" s="3" t="s">
        <v>16</v>
      </c>
      <c r="F93" s="3" t="n">
        <v>1.64418091652518</v>
      </c>
      <c r="G93" s="3" t="n">
        <v>1.38139206389233</v>
      </c>
      <c r="H93" s="5" t="n">
        <f aca="false">IF(ISNUMBER(F93),IF(F93=0,"",G93/F93-1),"")</f>
        <v>-0.159829645260832</v>
      </c>
    </row>
    <row r="94" customFormat="false" ht="122.35" hidden="false" customHeight="false" outlineLevel="0" collapsed="false">
      <c r="A94" s="4" t="s">
        <v>23</v>
      </c>
      <c r="B94" s="3" t="s">
        <v>65</v>
      </c>
      <c r="C94" s="4" t="s">
        <v>66</v>
      </c>
      <c r="D94" s="3" t="s">
        <v>26</v>
      </c>
      <c r="E94" s="3" t="s">
        <v>12</v>
      </c>
      <c r="F94" s="3" t="n">
        <v>0.206416687105845</v>
      </c>
      <c r="G94" s="3" t="n">
        <v>0.303630174195324</v>
      </c>
      <c r="H94" s="5" t="n">
        <f aca="false">IF(ISNUMBER(F94),IF(F94=0,"",G94/F94-1),"")</f>
        <v>0.470957500832433</v>
      </c>
    </row>
    <row r="95" customFormat="false" ht="122.35" hidden="false" customHeight="false" outlineLevel="0" collapsed="false">
      <c r="A95" s="4" t="s">
        <v>23</v>
      </c>
      <c r="B95" s="3" t="s">
        <v>65</v>
      </c>
      <c r="C95" s="4" t="s">
        <v>66</v>
      </c>
      <c r="D95" s="3" t="s">
        <v>26</v>
      </c>
      <c r="E95" s="3" t="s">
        <v>13</v>
      </c>
      <c r="F95" s="3" t="n">
        <v>0.0410722884251396</v>
      </c>
      <c r="G95" s="3" t="n">
        <v>0.0506007555302371</v>
      </c>
      <c r="H95" s="5" t="n">
        <f aca="false">IF(ISNUMBER(F95),IF(F95=0,"",G95/F95-1),"")</f>
        <v>0.23199260305314</v>
      </c>
    </row>
    <row r="96" customFormat="false" ht="122.35" hidden="false" customHeight="false" outlineLevel="0" collapsed="false">
      <c r="A96" s="4" t="s">
        <v>23</v>
      </c>
      <c r="B96" s="3" t="s">
        <v>65</v>
      </c>
      <c r="C96" s="4" t="s">
        <v>66</v>
      </c>
      <c r="D96" s="3" t="s">
        <v>26</v>
      </c>
      <c r="E96" s="3" t="s">
        <v>14</v>
      </c>
      <c r="F96" s="3" t="n">
        <v>0.0389980126855996</v>
      </c>
      <c r="G96" s="3" t="n">
        <v>0.0510093723279292</v>
      </c>
      <c r="H96" s="5" t="n">
        <f aca="false">IF(ISNUMBER(F96),IF(F96=0,"",G96/F96-1),"")</f>
        <v>0.307999275223707</v>
      </c>
    </row>
    <row r="97" customFormat="false" ht="122.35" hidden="false" customHeight="false" outlineLevel="0" collapsed="false">
      <c r="A97" s="4" t="s">
        <v>23</v>
      </c>
      <c r="B97" s="3" t="s">
        <v>65</v>
      </c>
      <c r="C97" s="4" t="s">
        <v>66</v>
      </c>
      <c r="D97" s="3" t="s">
        <v>26</v>
      </c>
      <c r="E97" s="3" t="s">
        <v>15</v>
      </c>
      <c r="F97" s="3" t="n">
        <v>0.0265511244968956</v>
      </c>
      <c r="G97" s="3" t="n">
        <v>0.038671399449487</v>
      </c>
      <c r="H97" s="5" t="n">
        <f aca="false">IF(ISNUMBER(F97),IF(F97=0,"",G97/F97-1),"")</f>
        <v>0.456488197100975</v>
      </c>
    </row>
    <row r="98" customFormat="false" ht="122.35" hidden="false" customHeight="false" outlineLevel="0" collapsed="false">
      <c r="A98" s="4" t="s">
        <v>23</v>
      </c>
      <c r="B98" s="3" t="s">
        <v>65</v>
      </c>
      <c r="C98" s="4" t="s">
        <v>66</v>
      </c>
      <c r="D98" s="3" t="s">
        <v>26</v>
      </c>
      <c r="E98" s="3" t="s">
        <v>16</v>
      </c>
      <c r="F98" s="3" t="n">
        <v>0.0245532903975434</v>
      </c>
      <c r="G98" s="3" t="n">
        <v>0.034826063901107</v>
      </c>
      <c r="H98" s="5" t="n">
        <f aca="false">IF(ISNUMBER(F98),IF(F98=0,"",G98/F98-1),"")</f>
        <v>0.418386836844947</v>
      </c>
    </row>
    <row r="99" customFormat="false" ht="122.35" hidden="false" customHeight="false" outlineLevel="0" collapsed="false">
      <c r="A99" s="4" t="s">
        <v>23</v>
      </c>
      <c r="B99" s="3" t="s">
        <v>67</v>
      </c>
      <c r="C99" s="4" t="s">
        <v>68</v>
      </c>
      <c r="D99" s="3" t="s">
        <v>26</v>
      </c>
      <c r="E99" s="3" t="s">
        <v>12</v>
      </c>
      <c r="F99" s="3" t="n">
        <v>0.940780187403963</v>
      </c>
      <c r="G99" s="3" t="n">
        <v>0.874618366438229</v>
      </c>
      <c r="H99" s="5" t="n">
        <f aca="false">IF(ISNUMBER(F99),IF(F99=0,"",G99/F99-1),"")</f>
        <v>-0.0703265458303329</v>
      </c>
    </row>
    <row r="100" customFormat="false" ht="122.35" hidden="false" customHeight="false" outlineLevel="0" collapsed="false">
      <c r="A100" s="4" t="s">
        <v>23</v>
      </c>
      <c r="B100" s="3" t="s">
        <v>67</v>
      </c>
      <c r="C100" s="4" t="s">
        <v>68</v>
      </c>
      <c r="D100" s="3" t="s">
        <v>26</v>
      </c>
      <c r="E100" s="3" t="s">
        <v>13</v>
      </c>
      <c r="F100" s="3" t="n">
        <v>0.187391181616638</v>
      </c>
      <c r="G100" s="3" t="n">
        <v>0.158987469501826</v>
      </c>
      <c r="H100" s="5" t="n">
        <f aca="false">IF(ISNUMBER(F100),IF(F100=0,"",G100/F100-1),"")</f>
        <v>-0.151574433064411</v>
      </c>
    </row>
    <row r="101" customFormat="false" ht="122.35" hidden="false" customHeight="false" outlineLevel="0" collapsed="false">
      <c r="A101" s="4" t="s">
        <v>23</v>
      </c>
      <c r="B101" s="3" t="s">
        <v>67</v>
      </c>
      <c r="C101" s="4" t="s">
        <v>68</v>
      </c>
      <c r="D101" s="3" t="s">
        <v>26</v>
      </c>
      <c r="E101" s="3" t="s">
        <v>14</v>
      </c>
      <c r="F101" s="3" t="n">
        <v>0.181940203763427</v>
      </c>
      <c r="G101" s="3" t="n">
        <v>0.156198775124104</v>
      </c>
      <c r="H101" s="5" t="n">
        <f aca="false">IF(ISNUMBER(F101),IF(F101=0,"",G101/F101-1),"")</f>
        <v>-0.141482905409923</v>
      </c>
    </row>
    <row r="102" customFormat="false" ht="122.35" hidden="false" customHeight="false" outlineLevel="0" collapsed="false">
      <c r="A102" s="4" t="s">
        <v>23</v>
      </c>
      <c r="B102" s="3" t="s">
        <v>67</v>
      </c>
      <c r="C102" s="4" t="s">
        <v>68</v>
      </c>
      <c r="D102" s="3" t="s">
        <v>26</v>
      </c>
      <c r="E102" s="3" t="s">
        <v>15</v>
      </c>
      <c r="F102" s="3" t="n">
        <v>0.111995045760437</v>
      </c>
      <c r="G102" s="3" t="n">
        <v>0.113389480552912</v>
      </c>
      <c r="H102" s="5" t="n">
        <f aca="false">IF(ISNUMBER(F102),IF(F102=0,"",G102/F102-1),"")</f>
        <v>0.0124508614020102</v>
      </c>
    </row>
    <row r="103" customFormat="false" ht="122.35" hidden="false" customHeight="false" outlineLevel="0" collapsed="false">
      <c r="A103" s="4" t="s">
        <v>23</v>
      </c>
      <c r="B103" s="3" t="s">
        <v>67</v>
      </c>
      <c r="C103" s="4" t="s">
        <v>68</v>
      </c>
      <c r="D103" s="3" t="s">
        <v>26</v>
      </c>
      <c r="E103" s="3" t="s">
        <v>16</v>
      </c>
      <c r="F103" s="3" t="n">
        <v>0.101280089037722</v>
      </c>
      <c r="G103" s="3" t="n">
        <v>0.103299531016465</v>
      </c>
      <c r="H103" s="5" t="n">
        <f aca="false">IF(ISNUMBER(F103),IF(F103=0,"",G103/F103-1),"")</f>
        <v>0.0199391805233391</v>
      </c>
    </row>
    <row r="104" customFormat="false" ht="28.35" hidden="false" customHeight="false" outlineLevel="0" collapsed="false">
      <c r="A104" s="4" t="s">
        <v>23</v>
      </c>
      <c r="B104" s="3" t="s">
        <v>69</v>
      </c>
      <c r="C104" s="4" t="s">
        <v>70</v>
      </c>
      <c r="D104" s="3" t="s">
        <v>22</v>
      </c>
      <c r="E104" s="3" t="s">
        <v>36</v>
      </c>
      <c r="F104" s="3" t="n">
        <v>1.15731961755801</v>
      </c>
      <c r="G104" s="3" t="n">
        <v>1.90685722450505</v>
      </c>
      <c r="H104" s="5" t="n">
        <f aca="false">IF(ISNUMBER(F104),IF(F104=0,"",G104/F104-1),"")</f>
        <v>0.647649616904096</v>
      </c>
    </row>
    <row r="105" customFormat="false" ht="28.35" hidden="false" customHeight="false" outlineLevel="0" collapsed="false">
      <c r="A105" s="4" t="s">
        <v>23</v>
      </c>
      <c r="B105" s="3" t="s">
        <v>71</v>
      </c>
      <c r="C105" s="4" t="s">
        <v>72</v>
      </c>
      <c r="D105" s="3" t="s">
        <v>22</v>
      </c>
      <c r="E105" s="3" t="s">
        <v>36</v>
      </c>
      <c r="F105" s="3" t="n">
        <v>0.578659808779004</v>
      </c>
      <c r="G105" s="3" t="n">
        <v>0.953428612252527</v>
      </c>
      <c r="H105" s="5" t="n">
        <f aca="false">IF(ISNUMBER(F105),IF(F105=0,"",G105/F105-1),"")</f>
        <v>0.647649616904102</v>
      </c>
    </row>
    <row r="106" customFormat="false" ht="28.35" hidden="false" customHeight="false" outlineLevel="0" collapsed="false">
      <c r="A106" s="4" t="s">
        <v>23</v>
      </c>
      <c r="B106" s="3" t="s">
        <v>73</v>
      </c>
      <c r="C106" s="4" t="s">
        <v>74</v>
      </c>
      <c r="D106" s="3" t="s">
        <v>22</v>
      </c>
      <c r="E106" s="3" t="s">
        <v>36</v>
      </c>
      <c r="F106" s="3" t="n">
        <v>8.10123732290606</v>
      </c>
      <c r="G106" s="3" t="n">
        <v>13.3480005715354</v>
      </c>
      <c r="H106" s="5" t="n">
        <f aca="false">IF(ISNUMBER(F106),IF(F106=0,"",G106/F106-1),"")</f>
        <v>0.647649616904104</v>
      </c>
    </row>
    <row r="107" customFormat="false" ht="15" hidden="false" customHeight="false" outlineLevel="0" collapsed="false">
      <c r="A107" s="3" t="s">
        <v>75</v>
      </c>
      <c r="B107" s="3" t="s">
        <v>76</v>
      </c>
      <c r="C107" s="4" t="s">
        <v>77</v>
      </c>
      <c r="D107" s="3" t="s">
        <v>78</v>
      </c>
      <c r="E107" s="3" t="s">
        <v>12</v>
      </c>
      <c r="F107" s="3" t="n">
        <v>40.180214</v>
      </c>
      <c r="G107" s="3" t="n">
        <v>40.180214</v>
      </c>
      <c r="H107" s="5" t="n">
        <f aca="false">IF(ISNUMBER(F107),IF(F107=0,"",G107/F107-1),"")</f>
        <v>0</v>
      </c>
    </row>
    <row r="108" customFormat="false" ht="15" hidden="false" customHeight="false" outlineLevel="0" collapsed="false">
      <c r="A108" s="3" t="s">
        <v>75</v>
      </c>
      <c r="B108" s="3" t="s">
        <v>76</v>
      </c>
      <c r="C108" s="4" t="s">
        <v>77</v>
      </c>
      <c r="D108" s="3" t="s">
        <v>78</v>
      </c>
      <c r="E108" s="3" t="s">
        <v>13</v>
      </c>
      <c r="F108" s="3" t="n">
        <v>36.685174</v>
      </c>
      <c r="G108" s="3" t="n">
        <v>36.685174</v>
      </c>
      <c r="H108" s="5" t="n">
        <f aca="false">IF(ISNUMBER(F108),IF(F108=0,"",G108/F108-1),"")</f>
        <v>0</v>
      </c>
    </row>
    <row r="109" customFormat="false" ht="15" hidden="false" customHeight="false" outlineLevel="0" collapsed="false">
      <c r="A109" s="3" t="s">
        <v>75</v>
      </c>
      <c r="B109" s="3" t="s">
        <v>76</v>
      </c>
      <c r="C109" s="4" t="s">
        <v>77</v>
      </c>
      <c r="D109" s="3" t="s">
        <v>78</v>
      </c>
      <c r="E109" s="3" t="s">
        <v>14</v>
      </c>
      <c r="F109" s="3" t="n">
        <v>50.115504</v>
      </c>
      <c r="G109" s="3" t="n">
        <v>44.907224</v>
      </c>
      <c r="H109" s="5" t="n">
        <f aca="false">IF(ISNUMBER(F109),IF(F109=0,"",G109/F109-1),"")</f>
        <v>-0.103925523726151</v>
      </c>
    </row>
    <row r="110" customFormat="false" ht="15" hidden="false" customHeight="false" outlineLevel="0" collapsed="false">
      <c r="A110" s="3" t="s">
        <v>75</v>
      </c>
      <c r="B110" s="3" t="s">
        <v>76</v>
      </c>
      <c r="C110" s="4" t="s">
        <v>77</v>
      </c>
      <c r="D110" s="3" t="s">
        <v>78</v>
      </c>
      <c r="E110" s="3" t="s">
        <v>15</v>
      </c>
      <c r="F110" s="3" t="n">
        <v>50.256352</v>
      </c>
      <c r="G110" s="3" t="n">
        <v>50.256352</v>
      </c>
      <c r="H110" s="5" t="n">
        <f aca="false">IF(ISNUMBER(F110),IF(F110=0,"",G110/F110-1),"")</f>
        <v>0</v>
      </c>
    </row>
    <row r="111" customFormat="false" ht="15" hidden="false" customHeight="false" outlineLevel="0" collapsed="false">
      <c r="A111" s="3" t="s">
        <v>75</v>
      </c>
      <c r="B111" s="3" t="s">
        <v>76</v>
      </c>
      <c r="C111" s="4" t="s">
        <v>77</v>
      </c>
      <c r="D111" s="3" t="s">
        <v>78</v>
      </c>
      <c r="E111" s="3" t="s">
        <v>16</v>
      </c>
      <c r="F111" s="3" t="n">
        <v>62.75578</v>
      </c>
      <c r="G111" s="3" t="n">
        <v>62.75578</v>
      </c>
      <c r="H111" s="5" t="n">
        <f aca="false">IF(ISNUMBER(F111),IF(F111=0,"",G111/F111-1),"")</f>
        <v>0</v>
      </c>
    </row>
    <row r="112" customFormat="false" ht="95.5" hidden="false" customHeight="false" outlineLevel="0" collapsed="false">
      <c r="A112" s="4" t="s">
        <v>79</v>
      </c>
      <c r="B112" s="3" t="s">
        <v>80</v>
      </c>
      <c r="C112" s="4" t="s">
        <v>81</v>
      </c>
      <c r="D112" s="3" t="s">
        <v>82</v>
      </c>
      <c r="E112" s="3" t="s">
        <v>12</v>
      </c>
      <c r="F112" s="4" t="s">
        <v>83</v>
      </c>
      <c r="G112" s="3" t="n">
        <v>25658985091.4957</v>
      </c>
      <c r="H112" s="5" t="str">
        <f aca="false">IF(ISNUMBER(F112),IF(F112=0,"",G112/F112-1),"")</f>
        <v/>
      </c>
    </row>
    <row r="113" customFormat="false" ht="95.5" hidden="false" customHeight="false" outlineLevel="0" collapsed="false">
      <c r="A113" s="4" t="s">
        <v>79</v>
      </c>
      <c r="B113" s="3" t="s">
        <v>80</v>
      </c>
      <c r="C113" s="4" t="s">
        <v>81</v>
      </c>
      <c r="D113" s="3" t="s">
        <v>82</v>
      </c>
      <c r="E113" s="3" t="s">
        <v>13</v>
      </c>
      <c r="F113" s="4" t="s">
        <v>83</v>
      </c>
      <c r="G113" s="3" t="n">
        <v>126261198139.531</v>
      </c>
      <c r="H113" s="5" t="str">
        <f aca="false">IF(ISNUMBER(F113),IF(F113=0,"",G113/F113-1),"")</f>
        <v/>
      </c>
    </row>
    <row r="114" customFormat="false" ht="95.5" hidden="false" customHeight="false" outlineLevel="0" collapsed="false">
      <c r="A114" s="4" t="s">
        <v>79</v>
      </c>
      <c r="B114" s="3" t="s">
        <v>80</v>
      </c>
      <c r="C114" s="4" t="s">
        <v>81</v>
      </c>
      <c r="D114" s="3" t="s">
        <v>82</v>
      </c>
      <c r="E114" s="3" t="s">
        <v>14</v>
      </c>
      <c r="F114" s="4" t="s">
        <v>83</v>
      </c>
      <c r="G114" s="3" t="n">
        <v>154004682276.217</v>
      </c>
      <c r="H114" s="5" t="str">
        <f aca="false">IF(ISNUMBER(F114),IF(F114=0,"",G114/F114-1),"")</f>
        <v/>
      </c>
    </row>
    <row r="115" customFormat="false" ht="95.5" hidden="false" customHeight="false" outlineLevel="0" collapsed="false">
      <c r="A115" s="4" t="s">
        <v>79</v>
      </c>
      <c r="B115" s="3" t="s">
        <v>80</v>
      </c>
      <c r="C115" s="4" t="s">
        <v>81</v>
      </c>
      <c r="D115" s="3" t="s">
        <v>82</v>
      </c>
      <c r="E115" s="3" t="s">
        <v>15</v>
      </c>
      <c r="F115" s="4" t="s">
        <v>83</v>
      </c>
      <c r="G115" s="3" t="n">
        <v>253258912515.866</v>
      </c>
      <c r="H115" s="5" t="str">
        <f aca="false">IF(ISNUMBER(F115),IF(F115=0,"",G115/F115-1),"")</f>
        <v/>
      </c>
    </row>
    <row r="116" customFormat="false" ht="95.5" hidden="false" customHeight="false" outlineLevel="0" collapsed="false">
      <c r="A116" s="4" t="s">
        <v>79</v>
      </c>
      <c r="B116" s="3" t="s">
        <v>80</v>
      </c>
      <c r="C116" s="4" t="s">
        <v>81</v>
      </c>
      <c r="D116" s="3" t="s">
        <v>82</v>
      </c>
      <c r="E116" s="3" t="s">
        <v>16</v>
      </c>
      <c r="F116" s="4" t="s">
        <v>83</v>
      </c>
      <c r="G116" s="3" t="n">
        <v>351710375477.503</v>
      </c>
      <c r="H116" s="5" t="str">
        <f aca="false">IF(ISNUMBER(F116),IF(F116=0,"",G116/F116-1),"")</f>
        <v/>
      </c>
    </row>
    <row r="117" customFormat="false" ht="28.35" hidden="false" customHeight="false" outlineLevel="0" collapsed="false">
      <c r="A117" s="4" t="s">
        <v>79</v>
      </c>
      <c r="B117" s="3" t="s">
        <v>84</v>
      </c>
      <c r="C117" s="4" t="s">
        <v>85</v>
      </c>
      <c r="D117" s="3" t="s">
        <v>31</v>
      </c>
      <c r="E117" s="3" t="s">
        <v>36</v>
      </c>
      <c r="F117" s="4" t="s">
        <v>83</v>
      </c>
      <c r="G117" s="3" t="n">
        <v>0.2</v>
      </c>
      <c r="H117" s="5" t="str">
        <f aca="false">IF(ISNUMBER(F117),IF(F117=0,"",G117/F117-1),"")</f>
        <v/>
      </c>
    </row>
    <row r="118" customFormat="false" ht="41.75" hidden="false" customHeight="false" outlineLevel="0" collapsed="false">
      <c r="A118" s="4" t="s">
        <v>79</v>
      </c>
      <c r="B118" s="3" t="s">
        <v>86</v>
      </c>
      <c r="C118" s="4" t="s">
        <v>87</v>
      </c>
      <c r="D118" s="3" t="s">
        <v>88</v>
      </c>
      <c r="E118" s="3" t="s">
        <v>36</v>
      </c>
      <c r="F118" s="4" t="s">
        <v>83</v>
      </c>
      <c r="G118" s="3" t="n">
        <v>0.85</v>
      </c>
      <c r="H118" s="5" t="str">
        <f aca="false">IF(ISNUMBER(F118),IF(F118=0,"",G118/F118-1),"")</f>
        <v/>
      </c>
    </row>
    <row r="119" customFormat="false" ht="41.75" hidden="false" customHeight="false" outlineLevel="0" collapsed="false">
      <c r="A119" s="4" t="s">
        <v>79</v>
      </c>
      <c r="B119" s="3" t="s">
        <v>89</v>
      </c>
      <c r="C119" s="3" t="s">
        <v>90</v>
      </c>
      <c r="D119" s="3" t="s">
        <v>88</v>
      </c>
      <c r="E119" s="3" t="s">
        <v>36</v>
      </c>
      <c r="F119" s="4" t="s">
        <v>83</v>
      </c>
      <c r="G119" s="3" t="n">
        <v>0.805818389154781</v>
      </c>
      <c r="H119" s="5" t="str">
        <f aca="false">IF(ISNUMBER(F119),IF(F119=0,"",G119/F119-1),"")</f>
        <v/>
      </c>
    </row>
    <row r="120" customFormat="false" ht="41.75" hidden="false" customHeight="false" outlineLevel="0" collapsed="false">
      <c r="A120" s="4" t="s">
        <v>79</v>
      </c>
      <c r="B120" s="3" t="s">
        <v>91</v>
      </c>
      <c r="C120" s="4" t="s">
        <v>92</v>
      </c>
      <c r="D120" s="3" t="s">
        <v>26</v>
      </c>
      <c r="E120" s="3" t="s">
        <v>36</v>
      </c>
      <c r="F120" s="4" t="s">
        <v>83</v>
      </c>
      <c r="G120" s="3" t="n">
        <v>1.96067555555556</v>
      </c>
      <c r="H120" s="5" t="str">
        <f aca="false">IF(ISNUMBER(F120),IF(F120=0,"",G120/F120-1),"")</f>
        <v/>
      </c>
    </row>
    <row r="121" customFormat="false" ht="41.75" hidden="false" customHeight="false" outlineLevel="0" collapsed="false">
      <c r="A121" s="4" t="s">
        <v>79</v>
      </c>
      <c r="B121" s="3" t="s">
        <v>93</v>
      </c>
      <c r="C121" s="4" t="s">
        <v>94</v>
      </c>
      <c r="D121" s="3" t="s">
        <v>26</v>
      </c>
      <c r="E121" s="3" t="s">
        <v>36</v>
      </c>
      <c r="F121" s="4" t="s">
        <v>83</v>
      </c>
      <c r="G121" s="3" t="n">
        <v>1.35936</v>
      </c>
      <c r="H121" s="5" t="str">
        <f aca="false">IF(ISNUMBER(F121),IF(F121=0,"",G121/F121-1),"")</f>
        <v/>
      </c>
    </row>
    <row r="122" customFormat="false" ht="41.75" hidden="false" customHeight="false" outlineLevel="0" collapsed="false">
      <c r="A122" s="4" t="s">
        <v>79</v>
      </c>
      <c r="B122" s="3" t="s">
        <v>95</v>
      </c>
      <c r="C122" s="4" t="s">
        <v>94</v>
      </c>
      <c r="D122" s="3" t="s">
        <v>26</v>
      </c>
      <c r="E122" s="3" t="s">
        <v>36</v>
      </c>
      <c r="F122" s="4" t="s">
        <v>83</v>
      </c>
      <c r="G122" s="3" t="n">
        <v>1.019328</v>
      </c>
      <c r="H122" s="5" t="str">
        <f aca="false">IF(ISNUMBER(F122),IF(F122=0,"",G122/F122-1),"")</f>
        <v/>
      </c>
    </row>
    <row r="123" customFormat="false" ht="41.75" hidden="false" customHeight="false" outlineLevel="0" collapsed="false">
      <c r="A123" s="4" t="s">
        <v>79</v>
      </c>
      <c r="B123" s="3" t="s">
        <v>96</v>
      </c>
      <c r="C123" s="4" t="s">
        <v>94</v>
      </c>
      <c r="D123" s="3" t="s">
        <v>26</v>
      </c>
      <c r="E123" s="3" t="s">
        <v>36</v>
      </c>
      <c r="F123" s="4" t="s">
        <v>83</v>
      </c>
      <c r="G123" s="3" t="n">
        <v>1.646512</v>
      </c>
      <c r="H123" s="5" t="str">
        <f aca="false">IF(ISNUMBER(F123),IF(F123=0,"",G123/F123-1),"")</f>
        <v/>
      </c>
    </row>
    <row r="124" customFormat="false" ht="108.95" hidden="false" customHeight="false" outlineLevel="0" collapsed="false">
      <c r="A124" s="4" t="s">
        <v>79</v>
      </c>
      <c r="B124" s="3" t="s">
        <v>97</v>
      </c>
      <c r="C124" s="4" t="s">
        <v>98</v>
      </c>
      <c r="D124" s="3" t="s">
        <v>31</v>
      </c>
      <c r="E124" s="3" t="s">
        <v>36</v>
      </c>
      <c r="F124" s="4" t="s">
        <v>83</v>
      </c>
      <c r="G124" s="3" t="n">
        <v>0.41</v>
      </c>
      <c r="H124" s="5" t="str">
        <f aca="false">IF(ISNUMBER(F124),IF(F124=0,"",G124/F124-1),"")</f>
        <v/>
      </c>
    </row>
    <row r="125" customFormat="false" ht="28.35" hidden="false" customHeight="false" outlineLevel="0" collapsed="false">
      <c r="A125" s="4" t="s">
        <v>79</v>
      </c>
      <c r="B125" s="3" t="s">
        <v>99</v>
      </c>
      <c r="C125" s="4" t="s">
        <v>100</v>
      </c>
      <c r="D125" s="3" t="s">
        <v>31</v>
      </c>
      <c r="E125" s="3" t="s">
        <v>36</v>
      </c>
      <c r="F125" s="4" t="s">
        <v>83</v>
      </c>
      <c r="G125" s="3" t="n">
        <v>0.46</v>
      </c>
      <c r="H125" s="5" t="str">
        <f aca="false">IF(ISNUMBER(F125),IF(F125=0,"",G125/F125-1),"")</f>
        <v/>
      </c>
    </row>
    <row r="126" customFormat="false" ht="41.75" hidden="false" customHeight="false" outlineLevel="0" collapsed="false">
      <c r="A126" s="4" t="s">
        <v>79</v>
      </c>
      <c r="B126" s="3" t="s">
        <v>101</v>
      </c>
      <c r="C126" s="4" t="s">
        <v>102</v>
      </c>
      <c r="D126" s="3" t="s">
        <v>31</v>
      </c>
      <c r="E126" s="3" t="s">
        <v>36</v>
      </c>
      <c r="F126" s="4" t="s">
        <v>83</v>
      </c>
      <c r="G126" s="3" t="n">
        <v>0.4</v>
      </c>
      <c r="H126" s="5" t="str">
        <f aca="false">IF(ISNUMBER(F126),IF(F126=0,"",G126/F126-1),"")</f>
        <v/>
      </c>
    </row>
    <row r="127" customFormat="false" ht="28.35" hidden="false" customHeight="false" outlineLevel="0" collapsed="false">
      <c r="A127" s="4" t="s">
        <v>79</v>
      </c>
      <c r="B127" s="3" t="s">
        <v>103</v>
      </c>
      <c r="C127" s="4" t="s">
        <v>104</v>
      </c>
      <c r="D127" s="3" t="s">
        <v>31</v>
      </c>
      <c r="E127" s="3" t="s">
        <v>36</v>
      </c>
      <c r="F127" s="4" t="s">
        <v>83</v>
      </c>
      <c r="G127" s="3" t="n">
        <v>0.45</v>
      </c>
      <c r="H127" s="5" t="str">
        <f aca="false">IF(ISNUMBER(F127),IF(F127=0,"",G127/F127-1),"")</f>
        <v/>
      </c>
    </row>
    <row r="128" customFormat="false" ht="41.75" hidden="false" customHeight="false" outlineLevel="0" collapsed="false">
      <c r="A128" s="4" t="s">
        <v>79</v>
      </c>
      <c r="B128" s="3" t="s">
        <v>105</v>
      </c>
      <c r="C128" s="4" t="s">
        <v>106</v>
      </c>
      <c r="D128" s="3" t="s">
        <v>31</v>
      </c>
      <c r="E128" s="3" t="s">
        <v>36</v>
      </c>
      <c r="F128" s="4" t="s">
        <v>83</v>
      </c>
      <c r="G128" s="3" t="n">
        <v>0.15</v>
      </c>
      <c r="H128" s="5" t="str">
        <f aca="false">IF(ISNUMBER(F128),IF(F128=0,"",G128/F128-1),"")</f>
        <v/>
      </c>
    </row>
    <row r="129" customFormat="false" ht="28.35" hidden="false" customHeight="false" outlineLevel="0" collapsed="false">
      <c r="A129" s="4" t="s">
        <v>79</v>
      </c>
      <c r="B129" s="3" t="s">
        <v>107</v>
      </c>
      <c r="C129" s="4" t="s">
        <v>108</v>
      </c>
      <c r="D129" s="3" t="s">
        <v>88</v>
      </c>
      <c r="E129" s="3" t="s">
        <v>36</v>
      </c>
      <c r="F129" s="4" t="s">
        <v>83</v>
      </c>
      <c r="G129" s="3" t="n">
        <v>0.41</v>
      </c>
      <c r="H129" s="5" t="str">
        <f aca="false">IF(ISNUMBER(F129),IF(F129=0,"",G129/F129-1),"")</f>
        <v/>
      </c>
    </row>
    <row r="130" customFormat="false" ht="28.35" hidden="false" customHeight="false" outlineLevel="0" collapsed="false">
      <c r="A130" s="4" t="s">
        <v>79</v>
      </c>
      <c r="B130" s="3" t="s">
        <v>109</v>
      </c>
      <c r="C130" s="4" t="s">
        <v>108</v>
      </c>
      <c r="D130" s="3" t="s">
        <v>88</v>
      </c>
      <c r="E130" s="3" t="s">
        <v>36</v>
      </c>
      <c r="F130" s="4" t="s">
        <v>83</v>
      </c>
      <c r="G130" s="3" t="n">
        <v>0.3</v>
      </c>
      <c r="H130" s="5" t="str">
        <f aca="false">IF(ISNUMBER(F130),IF(F130=0,"",G130/F130-1),"")</f>
        <v/>
      </c>
    </row>
    <row r="131" customFormat="false" ht="28.35" hidden="false" customHeight="false" outlineLevel="0" collapsed="false">
      <c r="A131" s="4" t="s">
        <v>79</v>
      </c>
      <c r="B131" s="3" t="s">
        <v>110</v>
      </c>
      <c r="C131" s="4" t="s">
        <v>108</v>
      </c>
      <c r="D131" s="3" t="s">
        <v>88</v>
      </c>
      <c r="E131" s="3" t="s">
        <v>36</v>
      </c>
      <c r="F131" s="4" t="s">
        <v>83</v>
      </c>
      <c r="G131" s="3" t="n">
        <v>0.65</v>
      </c>
      <c r="H131" s="5" t="str">
        <f aca="false">IF(ISNUMBER(F131),IF(F131=0,"",G131/F131-1),"")</f>
        <v/>
      </c>
    </row>
    <row r="132" customFormat="false" ht="41.75" hidden="false" customHeight="false" outlineLevel="0" collapsed="false">
      <c r="A132" s="4" t="s">
        <v>79</v>
      </c>
      <c r="B132" s="3" t="s">
        <v>111</v>
      </c>
      <c r="C132" s="3" t="s">
        <v>112</v>
      </c>
      <c r="D132" s="3" t="s">
        <v>88</v>
      </c>
      <c r="E132" s="3" t="s">
        <v>36</v>
      </c>
      <c r="F132" s="4" t="s">
        <v>83</v>
      </c>
      <c r="G132" s="3" t="n">
        <v>0.698844526610524</v>
      </c>
      <c r="H132" s="5" t="str">
        <f aca="false">IF(ISNUMBER(F132),IF(F132=0,"",G132/F132-1),"")</f>
        <v/>
      </c>
    </row>
    <row r="133" customFormat="false" ht="41.75" hidden="false" customHeight="false" outlineLevel="0" collapsed="false">
      <c r="A133" s="4" t="s">
        <v>79</v>
      </c>
      <c r="B133" s="3" t="s">
        <v>113</v>
      </c>
      <c r="C133" s="3" t="s">
        <v>112</v>
      </c>
      <c r="D133" s="3" t="s">
        <v>88</v>
      </c>
      <c r="E133" s="3" t="s">
        <v>36</v>
      </c>
      <c r="F133" s="4" t="s">
        <v>83</v>
      </c>
      <c r="G133" s="3" t="n">
        <v>0.440084348226977</v>
      </c>
      <c r="H133" s="5" t="str">
        <f aca="false">IF(ISNUMBER(F133),IF(F133=0,"",G133/F133-1),"")</f>
        <v/>
      </c>
    </row>
    <row r="134" customFormat="false" ht="41.75" hidden="false" customHeight="false" outlineLevel="0" collapsed="false">
      <c r="A134" s="4" t="s">
        <v>79</v>
      </c>
      <c r="B134" s="3" t="s">
        <v>114</v>
      </c>
      <c r="C134" s="3" t="s">
        <v>112</v>
      </c>
      <c r="D134" s="3" t="s">
        <v>88</v>
      </c>
      <c r="E134" s="3" t="s">
        <v>36</v>
      </c>
      <c r="F134" s="4" t="s">
        <v>83</v>
      </c>
      <c r="G134" s="3" t="n">
        <v>1.09414441323696</v>
      </c>
      <c r="H134" s="5" t="str">
        <f aca="false">IF(ISNUMBER(F134),IF(F134=0,"",G134/F134-1),"")</f>
        <v/>
      </c>
    </row>
    <row r="135" customFormat="false" ht="28.35" hidden="false" customHeight="false" outlineLevel="0" collapsed="false">
      <c r="A135" s="4" t="s">
        <v>79</v>
      </c>
      <c r="B135" s="3" t="s">
        <v>115</v>
      </c>
      <c r="C135" s="3" t="s">
        <v>116</v>
      </c>
      <c r="D135" s="3" t="s">
        <v>88</v>
      </c>
      <c r="E135" s="3" t="s">
        <v>36</v>
      </c>
      <c r="F135" s="4" t="s">
        <v>83</v>
      </c>
      <c r="G135" s="3" t="n">
        <v>0.758595656317823</v>
      </c>
      <c r="H135" s="5" t="str">
        <f aca="false">IF(ISNUMBER(F135),IF(F135=0,"",G135/F135-1),"")</f>
        <v/>
      </c>
    </row>
    <row r="136" customFormat="false" ht="28.35" hidden="false" customHeight="false" outlineLevel="0" collapsed="false">
      <c r="A136" s="4" t="s">
        <v>79</v>
      </c>
      <c r="B136" s="3" t="s">
        <v>117</v>
      </c>
      <c r="C136" s="3" t="s">
        <v>116</v>
      </c>
      <c r="D136" s="3" t="s">
        <v>88</v>
      </c>
      <c r="E136" s="3" t="s">
        <v>36</v>
      </c>
      <c r="F136" s="4" t="s">
        <v>83</v>
      </c>
      <c r="G136" s="3" t="n">
        <v>0.472976132965196</v>
      </c>
      <c r="H136" s="5" t="str">
        <f aca="false">IF(ISNUMBER(F136),IF(F136=0,"",G136/F136-1),"")</f>
        <v/>
      </c>
    </row>
    <row r="137" customFormat="false" ht="28.35" hidden="false" customHeight="false" outlineLevel="0" collapsed="false">
      <c r="A137" s="4" t="s">
        <v>79</v>
      </c>
      <c r="B137" s="3" t="s">
        <v>118</v>
      </c>
      <c r="C137" s="3" t="s">
        <v>116</v>
      </c>
      <c r="D137" s="3" t="s">
        <v>88</v>
      </c>
      <c r="E137" s="3" t="s">
        <v>36</v>
      </c>
      <c r="F137" s="4" t="s">
        <v>83</v>
      </c>
      <c r="G137" s="3" t="n">
        <v>1.1382683720896</v>
      </c>
      <c r="H137" s="5" t="str">
        <f aca="false">IF(ISNUMBER(F137),IF(F137=0,"",G137/F137-1),"")</f>
        <v/>
      </c>
    </row>
    <row r="138" customFormat="false" ht="28.35" hidden="false" customHeight="false" outlineLevel="0" collapsed="false">
      <c r="A138" s="4" t="s">
        <v>79</v>
      </c>
      <c r="B138" s="3" t="s">
        <v>119</v>
      </c>
      <c r="C138" s="3" t="s">
        <v>120</v>
      </c>
      <c r="D138" s="3" t="s">
        <v>31</v>
      </c>
      <c r="E138" s="3" t="s">
        <v>36</v>
      </c>
      <c r="F138" s="4" t="s">
        <v>83</v>
      </c>
      <c r="G138" s="3" t="n">
        <v>0.153326589039698</v>
      </c>
      <c r="H138" s="5" t="str">
        <f aca="false">IF(ISNUMBER(F138),IF(F138=0,"",G138/F138-1),"")</f>
        <v/>
      </c>
    </row>
    <row r="139" customFormat="false" ht="28.35" hidden="false" customHeight="false" outlineLevel="0" collapsed="false">
      <c r="A139" s="4" t="s">
        <v>79</v>
      </c>
      <c r="B139" s="3" t="s">
        <v>121</v>
      </c>
      <c r="C139" s="3" t="s">
        <v>122</v>
      </c>
      <c r="D139" s="3" t="s">
        <v>31</v>
      </c>
      <c r="E139" s="3" t="s">
        <v>36</v>
      </c>
      <c r="F139" s="4" t="s">
        <v>83</v>
      </c>
      <c r="G139" s="3" t="n">
        <v>0.190702969330916</v>
      </c>
      <c r="H139" s="5" t="str">
        <f aca="false">IF(ISNUMBER(F139),IF(F139=0,"",G139/F139-1),"")</f>
        <v/>
      </c>
    </row>
    <row r="140" customFormat="false" ht="28.35" hidden="false" customHeight="false" outlineLevel="0" collapsed="false">
      <c r="A140" s="4" t="s">
        <v>79</v>
      </c>
      <c r="B140" s="3" t="s">
        <v>123</v>
      </c>
      <c r="C140" s="4" t="s">
        <v>124</v>
      </c>
      <c r="D140" s="4" t="s">
        <v>125</v>
      </c>
      <c r="E140" s="3" t="s">
        <v>36</v>
      </c>
      <c r="F140" s="4" t="s">
        <v>83</v>
      </c>
      <c r="G140" s="4" t="s">
        <v>126</v>
      </c>
      <c r="H140" s="5" t="str">
        <f aca="false">IF(ISNUMBER(F140),IF(F140=0,"",G140/F140-1),"")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127</v>
      </c>
      <c r="B1" s="1" t="s">
        <v>128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1" t="s">
        <v>2</v>
      </c>
    </row>
    <row r="2" customFormat="false" ht="28.35" hidden="false" customHeight="false" outlineLevel="0" collapsed="false">
      <c r="A2" s="3" t="s">
        <v>135</v>
      </c>
      <c r="B2" s="4" t="s">
        <v>136</v>
      </c>
      <c r="C2" s="6" t="n">
        <v>0.279507113834192</v>
      </c>
      <c r="D2" s="6" t="n">
        <v>0.279507113834192</v>
      </c>
      <c r="E2" s="6" t="n">
        <v>0.279507113834192</v>
      </c>
      <c r="F2" s="6" t="n">
        <v>0.279507113834192</v>
      </c>
      <c r="G2" s="6" t="n">
        <v>0.279507113834192</v>
      </c>
      <c r="H2" s="6" t="n">
        <v>0.279507113834192</v>
      </c>
      <c r="I2" s="3"/>
    </row>
    <row r="3" customFormat="false" ht="15" hidden="false" customHeight="false" outlineLevel="0" collapsed="false">
      <c r="A3" s="3"/>
      <c r="B3" s="4" t="s">
        <v>137</v>
      </c>
      <c r="C3" s="6" t="n">
        <v>0.168442039763947</v>
      </c>
      <c r="D3" s="6" t="n">
        <v>0.168442039763947</v>
      </c>
      <c r="E3" s="6" t="n">
        <v>0.168442039763947</v>
      </c>
      <c r="F3" s="6" t="n">
        <v>0.168442039763947</v>
      </c>
      <c r="G3" s="6" t="n">
        <v>0.168442039763947</v>
      </c>
      <c r="H3" s="6" t="n">
        <v>0.168442039763947</v>
      </c>
      <c r="I3" s="3"/>
    </row>
    <row r="4" customFormat="false" ht="15" hidden="false" customHeight="false" outlineLevel="0" collapsed="false">
      <c r="A4" s="3"/>
      <c r="B4" s="4" t="s">
        <v>138</v>
      </c>
      <c r="C4" s="6" t="n">
        <f aca="false">IF(AND(ISNUMBER(C3),ISNUMBER(C2)),C3-C2,"")</f>
        <v>-0.111065074070245</v>
      </c>
      <c r="D4" s="6" t="n">
        <f aca="false">IF(AND(ISNUMBER(D3),ISNUMBER(D2)),D3-D2,"")</f>
        <v>-0.111065074070245</v>
      </c>
      <c r="E4" s="6" t="n">
        <f aca="false">IF(AND(ISNUMBER(E3),ISNUMBER(E2)),E3-E2,"")</f>
        <v>-0.111065074070245</v>
      </c>
      <c r="F4" s="6" t="n">
        <f aca="false">IF(AND(ISNUMBER(F3),ISNUMBER(F2)),F3-F2,"")</f>
        <v>-0.111065074070245</v>
      </c>
      <c r="G4" s="6" t="n">
        <f aca="false">IF(AND(ISNUMBER(G3),ISNUMBER(G2)),G3-G2,"")</f>
        <v>-0.111065074070245</v>
      </c>
      <c r="H4" s="6" t="n">
        <f aca="false">IF(AND(ISNUMBER(H3),ISNUMBER(H2)),H3-H2,"")</f>
        <v>-0.111065074070245</v>
      </c>
      <c r="I4" s="3"/>
    </row>
    <row r="5" customFormat="false" ht="28.35" hidden="false" customHeight="false" outlineLevel="0" collapsed="false">
      <c r="A5" s="3"/>
      <c r="B5" s="4" t="s">
        <v>139</v>
      </c>
      <c r="C5" s="6" t="n">
        <v>-0.111065074070245</v>
      </c>
      <c r="D5" s="6" t="n">
        <v>-0.111065074070245</v>
      </c>
      <c r="E5" s="6" t="n">
        <v>-0.111065074070245</v>
      </c>
      <c r="F5" s="6" t="n">
        <v>-0.111065074070245</v>
      </c>
      <c r="G5" s="6" t="n">
        <v>-0.111065074070245</v>
      </c>
      <c r="H5" s="6" t="n">
        <v>-0.111065074070245</v>
      </c>
      <c r="I5" s="3"/>
    </row>
    <row r="6" customFormat="false" ht="28.35" hidden="false" customHeight="false" outlineLevel="0" collapsed="false">
      <c r="A6" s="3"/>
      <c r="B6" s="4" t="s">
        <v>140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3"/>
    </row>
    <row r="7" customFormat="false" ht="28.35" hidden="false" customHeight="false" outlineLevel="0" collapsed="false">
      <c r="A7" s="3"/>
      <c r="B7" s="4" t="s">
        <v>141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3"/>
    </row>
    <row r="8" customFormat="false" ht="28.35" hidden="false" customHeight="false" outlineLevel="0" collapsed="false">
      <c r="A8" s="3"/>
      <c r="B8" s="4" t="s">
        <v>142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3"/>
    </row>
    <row r="9" customFormat="false" ht="15" hidden="false" customHeight="false" outlineLevel="0" collapsed="false">
      <c r="A9" s="3"/>
      <c r="B9" s="4" t="s">
        <v>143</v>
      </c>
      <c r="C9" s="6" t="n">
        <f aca="false">IF(ISNUMBER(C4),C4-SUM(C5:C8),"")</f>
        <v>0</v>
      </c>
      <c r="D9" s="6" t="n">
        <f aca="false">IF(ISNUMBER(D4),D4-SUM(D5:D8),"")</f>
        <v>0</v>
      </c>
      <c r="E9" s="6" t="n">
        <f aca="false">IF(ISNUMBER(E4),E4-SUM(E5:E8),"")</f>
        <v>0</v>
      </c>
      <c r="F9" s="6" t="n">
        <f aca="false">IF(ISNUMBER(F4),F4-SUM(F5:F8),"")</f>
        <v>0</v>
      </c>
      <c r="G9" s="6" t="n">
        <f aca="false">IF(ISNUMBER(G4),G4-SUM(G5:G8),"")</f>
        <v>0</v>
      </c>
      <c r="H9" s="6" t="n">
        <f aca="false">IF(ISNUMBER(H4),H4-SUM(H5:H8),"")</f>
        <v>0</v>
      </c>
      <c r="I9" s="4" t="s">
        <v>144</v>
      </c>
    </row>
    <row r="10" customFormat="false" ht="15" hidden="false" customHeight="false" outlineLevel="0" collapsed="false">
      <c r="A10" s="3" t="s">
        <v>145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4" t="s">
        <v>146</v>
      </c>
      <c r="B11" s="4" t="s">
        <v>136</v>
      </c>
      <c r="C11" s="7" t="n">
        <v>0.7</v>
      </c>
      <c r="D11" s="7" t="n">
        <v>0.695673315790576</v>
      </c>
      <c r="E11" s="7" t="n">
        <v>1.04296669691285</v>
      </c>
      <c r="F11" s="7" t="n">
        <v>1.77037335789445</v>
      </c>
      <c r="G11" s="7" t="n">
        <v>3.16500718994562</v>
      </c>
      <c r="H11" s="7" t="n">
        <v>5.5973070706251</v>
      </c>
      <c r="I11" s="3"/>
    </row>
    <row r="12" customFormat="false" ht="15" hidden="false" customHeight="false" outlineLevel="0" collapsed="false">
      <c r="A12" s="3"/>
      <c r="B12" s="4" t="s">
        <v>137</v>
      </c>
      <c r="C12" s="7" t="n">
        <v>0.7</v>
      </c>
      <c r="D12" s="7" t="n">
        <v>0.759564789336789</v>
      </c>
      <c r="E12" s="7" t="n">
        <v>1.20555852431701</v>
      </c>
      <c r="F12" s="7" t="n">
        <v>2.1094912292996</v>
      </c>
      <c r="G12" s="7" t="n">
        <v>3.8245858609013</v>
      </c>
      <c r="H12" s="7" t="n">
        <v>6.84363877252514</v>
      </c>
      <c r="I12" s="3"/>
    </row>
    <row r="13" customFormat="false" ht="15" hidden="false" customHeight="false" outlineLevel="0" collapsed="false">
      <c r="A13" s="3"/>
      <c r="B13" s="4" t="s">
        <v>138</v>
      </c>
      <c r="C13" s="7" t="n">
        <f aca="false">IF(AND(ISNUMBER(C12),ISNUMBER(C11)),C12-C11,"")</f>
        <v>0</v>
      </c>
      <c r="D13" s="7" t="n">
        <f aca="false">IF(AND(ISNUMBER(D12),ISNUMBER(D11)),D12-D11,"")</f>
        <v>0.0638914735462129</v>
      </c>
      <c r="E13" s="7" t="n">
        <f aca="false">IF(AND(ISNUMBER(E12),ISNUMBER(E11)),E12-E11,"")</f>
        <v>0.16259182740416</v>
      </c>
      <c r="F13" s="7" t="n">
        <f aca="false">IF(AND(ISNUMBER(F12),ISNUMBER(F11)),F12-F11,"")</f>
        <v>0.33911787140515</v>
      </c>
      <c r="G13" s="7" t="n">
        <f aca="false">IF(AND(ISNUMBER(G12),ISNUMBER(G11)),G12-G11,"")</f>
        <v>0.65957867095568</v>
      </c>
      <c r="H13" s="7" t="n">
        <f aca="false">IF(AND(ISNUMBER(H12),ISNUMBER(H11)),H12-H11,"")</f>
        <v>1.24633170190004</v>
      </c>
      <c r="I13" s="3"/>
    </row>
    <row r="14" customFormat="false" ht="28.35" hidden="false" customHeight="false" outlineLevel="0" collapsed="false">
      <c r="A14" s="3"/>
      <c r="B14" s="4" t="s">
        <v>139</v>
      </c>
      <c r="C14" s="7" t="n">
        <v>0</v>
      </c>
      <c r="D14" s="7" t="n">
        <v>0.0638914735462129</v>
      </c>
      <c r="E14" s="7" t="n">
        <v>0.16259182740416</v>
      </c>
      <c r="F14" s="7" t="n">
        <v>0.33911787140515</v>
      </c>
      <c r="G14" s="7" t="n">
        <v>0.65957867095568</v>
      </c>
      <c r="H14" s="7" t="n">
        <v>1.24633170190004</v>
      </c>
      <c r="I14" s="3"/>
    </row>
    <row r="15" customFormat="false" ht="28.35" hidden="false" customHeight="false" outlineLevel="0" collapsed="false">
      <c r="A15" s="3"/>
      <c r="B15" s="4" t="s">
        <v>140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3"/>
    </row>
    <row r="16" customFormat="false" ht="28.35" hidden="false" customHeight="false" outlineLevel="0" collapsed="false">
      <c r="A16" s="3"/>
      <c r="B16" s="4" t="s">
        <v>141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3"/>
    </row>
    <row r="17" customFormat="false" ht="28.35" hidden="false" customHeight="false" outlineLevel="0" collapsed="false">
      <c r="A17" s="3"/>
      <c r="B17" s="4" t="s">
        <v>142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3"/>
    </row>
    <row r="18" customFormat="false" ht="15" hidden="false" customHeight="false" outlineLevel="0" collapsed="false">
      <c r="A18" s="3"/>
      <c r="B18" s="4" t="s">
        <v>143</v>
      </c>
      <c r="C18" s="7" t="n">
        <f aca="false">IF(ISNUMBER(C13),C13-SUM(C14:C17),"")</f>
        <v>0</v>
      </c>
      <c r="D18" s="7" t="n">
        <f aca="false">IF(ISNUMBER(D13),D13-SUM(D14:D17),"")</f>
        <v>0</v>
      </c>
      <c r="E18" s="7" t="n">
        <f aca="false">IF(ISNUMBER(E13),E13-SUM(E14:E17),"")</f>
        <v>0</v>
      </c>
      <c r="F18" s="7" t="n">
        <f aca="false">IF(ISNUMBER(F13),F13-SUM(F14:F17),"")</f>
        <v>0</v>
      </c>
      <c r="G18" s="7" t="n">
        <f aca="false">IF(ISNUMBER(G13),G13-SUM(G14:G17),"")</f>
        <v>0</v>
      </c>
      <c r="H18" s="7" t="n">
        <f aca="false">IF(ISNUMBER(H13),H13-SUM(H14:H17),"")</f>
        <v>0</v>
      </c>
      <c r="I18" s="4" t="s">
        <v>144</v>
      </c>
    </row>
    <row r="19" customFormat="false" ht="15" hidden="false" customHeight="false" outlineLevel="0" collapsed="false">
      <c r="A19" s="3"/>
      <c r="B19" s="4" t="s">
        <v>147</v>
      </c>
      <c r="C19" s="5" t="n">
        <f aca="false">IF(AND(ISNUMBER(C11),C11&lt;&gt;0),C12/C11-1,"")</f>
        <v>0</v>
      </c>
      <c r="D19" s="5" t="n">
        <f aca="false">IF(AND(ISNUMBER(D11),D11&lt;&gt;0),D12/D11-1,"")</f>
        <v>0.0918412020354777</v>
      </c>
      <c r="E19" s="5" t="n">
        <f aca="false">IF(AND(ISNUMBER(E11),E11&lt;&gt;0),E12/E11-1,"")</f>
        <v>0.155893594575385</v>
      </c>
      <c r="F19" s="5" t="n">
        <f aca="false">IF(AND(ISNUMBER(F11),F11&lt;&gt;0),F12/F11-1,"")</f>
        <v>0.191551612484991</v>
      </c>
      <c r="G19" s="5" t="n">
        <f aca="false">IF(AND(ISNUMBER(G11),G11&lt;&gt;0),G12/G11-1,"")</f>
        <v>0.208397210929247</v>
      </c>
      <c r="H19" s="5" t="n">
        <f aca="false">IF(AND(ISNUMBER(H11),H11&lt;&gt;0),H12/H11-1,"")</f>
        <v>0.222666308311159</v>
      </c>
      <c r="I19" s="3"/>
    </row>
    <row r="20" customFormat="false" ht="15" hidden="false" customHeight="false" outlineLevel="0" collapsed="false">
      <c r="A20" s="3" t="s">
        <v>145</v>
      </c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4" t="s">
        <v>148</v>
      </c>
      <c r="B21" s="4" t="s">
        <v>136</v>
      </c>
      <c r="C21" s="7" t="n">
        <v>0.7</v>
      </c>
      <c r="D21" s="7" t="n">
        <v>0.695673315790576</v>
      </c>
      <c r="E21" s="7" t="n">
        <v>1.04296669691285</v>
      </c>
      <c r="F21" s="7" t="n">
        <v>1.77037335789445</v>
      </c>
      <c r="G21" s="7" t="n">
        <v>3.16500718994562</v>
      </c>
      <c r="H21" s="7" t="n">
        <v>5.5973070706251</v>
      </c>
      <c r="I21" s="3"/>
    </row>
    <row r="22" customFormat="false" ht="15" hidden="false" customHeight="false" outlineLevel="0" collapsed="false">
      <c r="A22" s="3"/>
      <c r="B22" s="4" t="s">
        <v>137</v>
      </c>
      <c r="C22" s="7" t="n">
        <v>0.7</v>
      </c>
      <c r="D22" s="7" t="n">
        <v>0.759564789336789</v>
      </c>
      <c r="E22" s="7" t="n">
        <v>1.20555852431701</v>
      </c>
      <c r="F22" s="7" t="n">
        <v>2.1094912292996</v>
      </c>
      <c r="G22" s="7" t="n">
        <v>3.8245858609013</v>
      </c>
      <c r="H22" s="7" t="n">
        <v>6.84363877252514</v>
      </c>
      <c r="I22" s="3"/>
    </row>
    <row r="23" customFormat="false" ht="15" hidden="false" customHeight="false" outlineLevel="0" collapsed="false">
      <c r="A23" s="3"/>
      <c r="B23" s="4" t="s">
        <v>138</v>
      </c>
      <c r="C23" s="7" t="n">
        <f aca="false">IF(AND(ISNUMBER(C22),ISNUMBER(C21)),C22-C21,"")</f>
        <v>0</v>
      </c>
      <c r="D23" s="7" t="n">
        <f aca="false">IF(AND(ISNUMBER(D22),ISNUMBER(D21)),D22-D21,"")</f>
        <v>0.0638914735462129</v>
      </c>
      <c r="E23" s="7" t="n">
        <f aca="false">IF(AND(ISNUMBER(E22),ISNUMBER(E21)),E22-E21,"")</f>
        <v>0.16259182740416</v>
      </c>
      <c r="F23" s="7" t="n">
        <f aca="false">IF(AND(ISNUMBER(F22),ISNUMBER(F21)),F22-F21,"")</f>
        <v>0.33911787140515</v>
      </c>
      <c r="G23" s="7" t="n">
        <f aca="false">IF(AND(ISNUMBER(G22),ISNUMBER(G21)),G22-G21,"")</f>
        <v>0.65957867095568</v>
      </c>
      <c r="H23" s="7" t="n">
        <f aca="false">IF(AND(ISNUMBER(H22),ISNUMBER(H21)),H22-H21,"")</f>
        <v>1.24633170190004</v>
      </c>
      <c r="I23" s="3"/>
    </row>
    <row r="24" customFormat="false" ht="28.35" hidden="false" customHeight="false" outlineLevel="0" collapsed="false">
      <c r="A24" s="3"/>
      <c r="B24" s="4" t="s">
        <v>139</v>
      </c>
      <c r="C24" s="7" t="n">
        <v>0</v>
      </c>
      <c r="D24" s="7" t="n">
        <v>0.0638914735462129</v>
      </c>
      <c r="E24" s="7" t="n">
        <v>0.16259182740416</v>
      </c>
      <c r="F24" s="7" t="n">
        <v>0.33911787140515</v>
      </c>
      <c r="G24" s="7" t="n">
        <v>0.65957867095568</v>
      </c>
      <c r="H24" s="7" t="n">
        <v>1.24633170190004</v>
      </c>
      <c r="I24" s="3"/>
    </row>
    <row r="25" customFormat="false" ht="28.35" hidden="false" customHeight="false" outlineLevel="0" collapsed="false">
      <c r="A25" s="3"/>
      <c r="B25" s="4" t="s">
        <v>140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3"/>
    </row>
    <row r="26" customFormat="false" ht="28.35" hidden="false" customHeight="false" outlineLevel="0" collapsed="false">
      <c r="A26" s="3"/>
      <c r="B26" s="4" t="s">
        <v>141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3"/>
    </row>
    <row r="27" customFormat="false" ht="28.35" hidden="false" customHeight="false" outlineLevel="0" collapsed="false">
      <c r="A27" s="3"/>
      <c r="B27" s="4" t="s">
        <v>142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3"/>
    </row>
    <row r="28" customFormat="false" ht="15" hidden="false" customHeight="false" outlineLevel="0" collapsed="false">
      <c r="A28" s="3"/>
      <c r="B28" s="4" t="s">
        <v>143</v>
      </c>
      <c r="C28" s="7" t="n">
        <f aca="false">IF(ISNUMBER(C23),C23-SUM(C24:C27),"")</f>
        <v>0</v>
      </c>
      <c r="D28" s="7" t="n">
        <f aca="false">IF(ISNUMBER(D23),D23-SUM(D24:D27),"")</f>
        <v>0</v>
      </c>
      <c r="E28" s="7" t="n">
        <f aca="false">IF(ISNUMBER(E23),E23-SUM(E24:E27),"")</f>
        <v>0</v>
      </c>
      <c r="F28" s="7" t="n">
        <f aca="false">IF(ISNUMBER(F23),F23-SUM(F24:F27),"")</f>
        <v>0</v>
      </c>
      <c r="G28" s="7" t="n">
        <f aca="false">IF(ISNUMBER(G23),G23-SUM(G24:G27),"")</f>
        <v>0</v>
      </c>
      <c r="H28" s="7" t="n">
        <f aca="false">IF(ISNUMBER(H23),H23-SUM(H24:H27),"")</f>
        <v>0</v>
      </c>
      <c r="I28" s="4" t="s">
        <v>144</v>
      </c>
    </row>
    <row r="29" customFormat="false" ht="15" hidden="false" customHeight="false" outlineLevel="0" collapsed="false">
      <c r="A29" s="3" t="s">
        <v>145</v>
      </c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4" t="s">
        <v>149</v>
      </c>
      <c r="B30" s="4" t="s">
        <v>136</v>
      </c>
      <c r="C30" s="7" t="n">
        <v>1</v>
      </c>
      <c r="D30" s="7" t="n">
        <v>1</v>
      </c>
      <c r="E30" s="7" t="n">
        <v>1</v>
      </c>
      <c r="F30" s="7" t="n">
        <v>1</v>
      </c>
      <c r="G30" s="7" t="n">
        <v>1</v>
      </c>
      <c r="H30" s="7" t="n">
        <v>1</v>
      </c>
      <c r="I30" s="3"/>
    </row>
    <row r="31" customFormat="false" ht="15" hidden="false" customHeight="false" outlineLevel="0" collapsed="false">
      <c r="A31" s="3"/>
      <c r="B31" s="4" t="s">
        <v>137</v>
      </c>
      <c r="C31" s="7" t="n">
        <v>1</v>
      </c>
      <c r="D31" s="7" t="n">
        <v>1</v>
      </c>
      <c r="E31" s="7" t="n">
        <v>1</v>
      </c>
      <c r="F31" s="7" t="n">
        <v>1</v>
      </c>
      <c r="G31" s="7" t="n">
        <v>1</v>
      </c>
      <c r="H31" s="7" t="n">
        <v>1</v>
      </c>
      <c r="I31" s="3"/>
    </row>
    <row r="32" customFormat="false" ht="15" hidden="false" customHeight="false" outlineLevel="0" collapsed="false">
      <c r="A32" s="3"/>
      <c r="B32" s="4" t="s">
        <v>138</v>
      </c>
      <c r="C32" s="7" t="n">
        <f aca="false">IF(AND(ISNUMBER(C31),ISNUMBER(C30)),C31-C30,"")</f>
        <v>0</v>
      </c>
      <c r="D32" s="7" t="n">
        <f aca="false">IF(AND(ISNUMBER(D31),ISNUMBER(D30)),D31-D30,"")</f>
        <v>0</v>
      </c>
      <c r="E32" s="7" t="n">
        <f aca="false">IF(AND(ISNUMBER(E31),ISNUMBER(E30)),E31-E30,"")</f>
        <v>0</v>
      </c>
      <c r="F32" s="7" t="n">
        <f aca="false">IF(AND(ISNUMBER(F31),ISNUMBER(F30)),F31-F30,"")</f>
        <v>0</v>
      </c>
      <c r="G32" s="7" t="n">
        <f aca="false">IF(AND(ISNUMBER(G31),ISNUMBER(G30)),G31-G30,"")</f>
        <v>0</v>
      </c>
      <c r="H32" s="7" t="n">
        <f aca="false">IF(AND(ISNUMBER(H31),ISNUMBER(H30)),H31-H30,"")</f>
        <v>0</v>
      </c>
      <c r="I32" s="3"/>
    </row>
    <row r="33" customFormat="false" ht="28.35" hidden="false" customHeight="false" outlineLevel="0" collapsed="false">
      <c r="A33" s="3"/>
      <c r="B33" s="4" t="s">
        <v>139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3"/>
    </row>
    <row r="34" customFormat="false" ht="28.35" hidden="false" customHeight="false" outlineLevel="0" collapsed="false">
      <c r="A34" s="3"/>
      <c r="B34" s="4" t="s">
        <v>140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3"/>
    </row>
    <row r="35" customFormat="false" ht="28.35" hidden="false" customHeight="false" outlineLevel="0" collapsed="false">
      <c r="A35" s="3"/>
      <c r="B35" s="4" t="s">
        <v>141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3"/>
    </row>
    <row r="36" customFormat="false" ht="28.35" hidden="false" customHeight="false" outlineLevel="0" collapsed="false">
      <c r="A36" s="3"/>
      <c r="B36" s="4" t="s">
        <v>142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3"/>
    </row>
    <row r="37" customFormat="false" ht="15" hidden="false" customHeight="false" outlineLevel="0" collapsed="false">
      <c r="A37" s="3"/>
      <c r="B37" s="4" t="s">
        <v>143</v>
      </c>
      <c r="C37" s="7" t="n">
        <f aca="false">IF(ISNUMBER(C32),C32-SUM(C33:C36),"")</f>
        <v>0</v>
      </c>
      <c r="D37" s="7" t="n">
        <f aca="false">IF(ISNUMBER(D32),D32-SUM(D33:D36),"")</f>
        <v>0</v>
      </c>
      <c r="E37" s="7" t="n">
        <f aca="false">IF(ISNUMBER(E32),E32-SUM(E33:E36),"")</f>
        <v>0</v>
      </c>
      <c r="F37" s="7" t="n">
        <f aca="false">IF(ISNUMBER(F32),F32-SUM(F33:F36),"")</f>
        <v>0</v>
      </c>
      <c r="G37" s="7" t="n">
        <f aca="false">IF(ISNUMBER(G32),G32-SUM(G33:G36),"")</f>
        <v>0</v>
      </c>
      <c r="H37" s="7" t="n">
        <f aca="false">IF(ISNUMBER(H32),H32-SUM(H33:H36),"")</f>
        <v>0</v>
      </c>
      <c r="I37" s="4" t="s">
        <v>144</v>
      </c>
    </row>
    <row r="38" customFormat="false" ht="15" hidden="false" customHeight="false" outlineLevel="0" collapsed="false">
      <c r="A38" s="3" t="s">
        <v>145</v>
      </c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4" t="s">
        <v>150</v>
      </c>
      <c r="B39" s="4" t="s">
        <v>136</v>
      </c>
      <c r="C39" s="7" t="n">
        <v>1</v>
      </c>
      <c r="D39" s="7" t="n">
        <v>1.85511239849514</v>
      </c>
      <c r="E39" s="7" t="n">
        <v>7.36012555499933</v>
      </c>
      <c r="F39" s="7" t="n">
        <v>8.61410727188601</v>
      </c>
      <c r="G39" s="7" t="n">
        <v>9.46948457806583</v>
      </c>
      <c r="H39" s="7" t="n">
        <v>8.88381859598005</v>
      </c>
      <c r="I39" s="3"/>
    </row>
    <row r="40" customFormat="false" ht="15" hidden="false" customHeight="false" outlineLevel="0" collapsed="false">
      <c r="A40" s="3"/>
      <c r="B40" s="4" t="s">
        <v>137</v>
      </c>
      <c r="C40" s="7" t="n">
        <v>1</v>
      </c>
      <c r="D40" s="7" t="n">
        <v>1.79122092494893</v>
      </c>
      <c r="E40" s="7" t="n">
        <v>7.19753372759517</v>
      </c>
      <c r="F40" s="7" t="n">
        <v>8.27498940048086</v>
      </c>
      <c r="G40" s="7" t="n">
        <v>8.80990590711015</v>
      </c>
      <c r="H40" s="7" t="n">
        <v>7.63748689408001</v>
      </c>
      <c r="I40" s="3"/>
    </row>
    <row r="41" customFormat="false" ht="15" hidden="false" customHeight="false" outlineLevel="0" collapsed="false">
      <c r="A41" s="3"/>
      <c r="B41" s="4" t="s">
        <v>138</v>
      </c>
      <c r="C41" s="7" t="n">
        <f aca="false">IF(AND(ISNUMBER(C40),ISNUMBER(C39)),C40-C39,"")</f>
        <v>0</v>
      </c>
      <c r="D41" s="7" t="n">
        <f aca="false">IF(AND(ISNUMBER(D40),ISNUMBER(D39)),D40-D39,"")</f>
        <v>-0.0638914735462102</v>
      </c>
      <c r="E41" s="7" t="n">
        <f aca="false">IF(AND(ISNUMBER(E40),ISNUMBER(E39)),E40-E39,"")</f>
        <v>-0.16259182740416</v>
      </c>
      <c r="F41" s="7" t="n">
        <f aca="false">IF(AND(ISNUMBER(F40),ISNUMBER(F39)),F40-F39,"")</f>
        <v>-0.339117871405149</v>
      </c>
      <c r="G41" s="7" t="n">
        <f aca="false">IF(AND(ISNUMBER(G40),ISNUMBER(G39)),G40-G39,"")</f>
        <v>-0.65957867095568</v>
      </c>
      <c r="H41" s="7" t="n">
        <f aca="false">IF(AND(ISNUMBER(H40),ISNUMBER(H39)),H40-H39,"")</f>
        <v>-1.24633170190004</v>
      </c>
      <c r="I41" s="3"/>
    </row>
    <row r="42" customFormat="false" ht="28.35" hidden="false" customHeight="false" outlineLevel="0" collapsed="false">
      <c r="A42" s="3"/>
      <c r="B42" s="4" t="s">
        <v>139</v>
      </c>
      <c r="C42" s="7" t="n">
        <v>0</v>
      </c>
      <c r="D42" s="7" t="n">
        <v>-0.0638914735462102</v>
      </c>
      <c r="E42" s="7" t="n">
        <v>-0.16259182740416</v>
      </c>
      <c r="F42" s="7" t="n">
        <v>-0.339117871405149</v>
      </c>
      <c r="G42" s="7" t="n">
        <v>-0.65957867095568</v>
      </c>
      <c r="H42" s="7" t="n">
        <v>-1.24633170190004</v>
      </c>
      <c r="I42" s="3"/>
    </row>
    <row r="43" customFormat="false" ht="28.35" hidden="false" customHeight="false" outlineLevel="0" collapsed="false">
      <c r="A43" s="3"/>
      <c r="B43" s="4" t="s">
        <v>140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3"/>
    </row>
    <row r="44" customFormat="false" ht="28.35" hidden="false" customHeight="false" outlineLevel="0" collapsed="false">
      <c r="A44" s="3"/>
      <c r="B44" s="4" t="s">
        <v>141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3"/>
    </row>
    <row r="45" customFormat="false" ht="28.35" hidden="false" customHeight="false" outlineLevel="0" collapsed="false">
      <c r="A45" s="3"/>
      <c r="B45" s="4" t="s">
        <v>142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3"/>
    </row>
    <row r="46" customFormat="false" ht="15" hidden="false" customHeight="false" outlineLevel="0" collapsed="false">
      <c r="A46" s="3"/>
      <c r="B46" s="4" t="s">
        <v>143</v>
      </c>
      <c r="C46" s="7" t="n">
        <f aca="false">IF(ISNUMBER(C41),C41-SUM(C42:C45),"")</f>
        <v>0</v>
      </c>
      <c r="D46" s="7" t="n">
        <f aca="false">IF(ISNUMBER(D41),D41-SUM(D42:D45),"")</f>
        <v>0</v>
      </c>
      <c r="E46" s="7" t="n">
        <f aca="false">IF(ISNUMBER(E41),E41-SUM(E42:E45),"")</f>
        <v>0</v>
      </c>
      <c r="F46" s="7" t="n">
        <f aca="false">IF(ISNUMBER(F41),F41-SUM(F42:F45),"")</f>
        <v>0</v>
      </c>
      <c r="G46" s="7" t="n">
        <f aca="false">IF(ISNUMBER(G41),G41-SUM(G42:G45),"")</f>
        <v>0</v>
      </c>
      <c r="H46" s="7" t="n">
        <f aca="false">IF(ISNUMBER(H41),H41-SUM(H42:H45),"")</f>
        <v>0</v>
      </c>
      <c r="I46" s="4" t="s">
        <v>144</v>
      </c>
    </row>
    <row r="47" customFormat="false" ht="15" hidden="false" customHeight="false" outlineLevel="0" collapsed="false">
      <c r="A47" s="3"/>
      <c r="B47" s="4" t="s">
        <v>147</v>
      </c>
      <c r="C47" s="5" t="n">
        <f aca="false">IF(AND(ISNUMBER(C39),C39&lt;&gt;0),C40/C39-1,"")</f>
        <v>0</v>
      </c>
      <c r="D47" s="5" t="n">
        <f aca="false">IF(AND(ISNUMBER(D39),D39&lt;&gt;0),D40/D39-1,"")</f>
        <v>-0.0344407560415416</v>
      </c>
      <c r="E47" s="5" t="n">
        <f aca="false">IF(AND(ISNUMBER(E39),E39&lt;&gt;0),E40/E39-1,"")</f>
        <v>-0.0220909040462931</v>
      </c>
      <c r="F47" s="5" t="n">
        <f aca="false">IF(AND(ISNUMBER(F39),F39&lt;&gt;0),F40/F39-1,"")</f>
        <v>-0.0393677325695645</v>
      </c>
      <c r="G47" s="5" t="n">
        <f aca="false">IF(AND(ISNUMBER(G39),G39&lt;&gt;0),G40/G39-1,"")</f>
        <v>-0.0696530698707153</v>
      </c>
      <c r="H47" s="5" t="n">
        <f aca="false">IF(AND(ISNUMBER(H39),H39&lt;&gt;0),H40/H39-1,"")</f>
        <v>-0.140292340330318</v>
      </c>
      <c r="I47" s="3"/>
    </row>
    <row r="48" customFormat="false" ht="15" hidden="false" customHeight="false" outlineLevel="0" collapsed="false">
      <c r="A48" s="3" t="s">
        <v>145</v>
      </c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4" t="s">
        <v>151</v>
      </c>
      <c r="B49" s="4" t="s">
        <v>136</v>
      </c>
      <c r="C49" s="7" t="n">
        <v>1.7</v>
      </c>
      <c r="D49" s="7" t="n">
        <v>2.55078571428571</v>
      </c>
      <c r="E49" s="7" t="n">
        <v>8.40309225191219</v>
      </c>
      <c r="F49" s="7" t="n">
        <v>10.3844806297805</v>
      </c>
      <c r="G49" s="7" t="n">
        <v>12.6344917680114</v>
      </c>
      <c r="H49" s="7" t="n">
        <v>14.4811256666051</v>
      </c>
      <c r="I49" s="3"/>
    </row>
    <row r="50" customFormat="false" ht="15" hidden="false" customHeight="false" outlineLevel="0" collapsed="false">
      <c r="A50" s="3"/>
      <c r="B50" s="4" t="s">
        <v>137</v>
      </c>
      <c r="C50" s="7" t="n">
        <v>1.7</v>
      </c>
      <c r="D50" s="7" t="n">
        <v>2.55078571428571</v>
      </c>
      <c r="E50" s="7" t="n">
        <v>8.40309225191219</v>
      </c>
      <c r="F50" s="7" t="n">
        <v>10.3844806297805</v>
      </c>
      <c r="G50" s="7" t="n">
        <v>12.6344917680114</v>
      </c>
      <c r="H50" s="7" t="n">
        <v>14.4811256666051</v>
      </c>
      <c r="I50" s="3"/>
    </row>
    <row r="51" customFormat="false" ht="15" hidden="false" customHeight="false" outlineLevel="0" collapsed="false">
      <c r="A51" s="3"/>
      <c r="B51" s="4" t="s">
        <v>138</v>
      </c>
      <c r="C51" s="7" t="n">
        <f aca="false">IF(AND(ISNUMBER(C50),ISNUMBER(C49)),C50-C49,"")</f>
        <v>0</v>
      </c>
      <c r="D51" s="7" t="n">
        <f aca="false">IF(AND(ISNUMBER(D50),ISNUMBER(D49)),D50-D49,"")</f>
        <v>0</v>
      </c>
      <c r="E51" s="7" t="n">
        <f aca="false">IF(AND(ISNUMBER(E50),ISNUMBER(E49)),E50-E49,"")</f>
        <v>0</v>
      </c>
      <c r="F51" s="7" t="n">
        <f aca="false">IF(AND(ISNUMBER(F50),ISNUMBER(F49)),F50-F49,"")</f>
        <v>0</v>
      </c>
      <c r="G51" s="7" t="n">
        <f aca="false">IF(AND(ISNUMBER(G50),ISNUMBER(G49)),G50-G49,"")</f>
        <v>0</v>
      </c>
      <c r="H51" s="7" t="n">
        <f aca="false">IF(AND(ISNUMBER(H50),ISNUMBER(H49)),H50-H49,"")</f>
        <v>0</v>
      </c>
      <c r="I51" s="3"/>
    </row>
    <row r="52" customFormat="false" ht="28.35" hidden="false" customHeight="false" outlineLevel="0" collapsed="false">
      <c r="A52" s="3"/>
      <c r="B52" s="4" t="s">
        <v>139</v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3"/>
    </row>
    <row r="53" customFormat="false" ht="28.35" hidden="false" customHeight="false" outlineLevel="0" collapsed="false">
      <c r="A53" s="3"/>
      <c r="B53" s="4" t="s">
        <v>140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3"/>
    </row>
    <row r="54" customFormat="false" ht="28.35" hidden="false" customHeight="false" outlineLevel="0" collapsed="false">
      <c r="A54" s="3"/>
      <c r="B54" s="4" t="s">
        <v>141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3"/>
    </row>
    <row r="55" customFormat="false" ht="28.35" hidden="false" customHeight="false" outlineLevel="0" collapsed="false">
      <c r="A55" s="3"/>
      <c r="B55" s="4" t="s">
        <v>142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3"/>
    </row>
    <row r="56" customFormat="false" ht="15" hidden="false" customHeight="false" outlineLevel="0" collapsed="false">
      <c r="A56" s="3"/>
      <c r="B56" s="4" t="s">
        <v>143</v>
      </c>
      <c r="C56" s="7" t="n">
        <f aca="false">IF(ISNUMBER(C51),C51-SUM(C52:C55),"")</f>
        <v>0</v>
      </c>
      <c r="D56" s="7" t="n">
        <f aca="false">IF(ISNUMBER(D51),D51-SUM(D52:D55),"")</f>
        <v>0</v>
      </c>
      <c r="E56" s="7" t="n">
        <f aca="false">IF(ISNUMBER(E51),E51-SUM(E52:E55),"")</f>
        <v>0</v>
      </c>
      <c r="F56" s="7" t="n">
        <f aca="false">IF(ISNUMBER(F51),F51-SUM(F52:F55),"")</f>
        <v>0</v>
      </c>
      <c r="G56" s="7" t="n">
        <f aca="false">IF(ISNUMBER(G51),G51-SUM(G52:G55),"")</f>
        <v>0</v>
      </c>
      <c r="H56" s="7" t="n">
        <f aca="false">IF(ISNUMBER(H51),H51-SUM(H52:H55),"")</f>
        <v>0</v>
      </c>
      <c r="I56" s="4" t="s">
        <v>144</v>
      </c>
    </row>
    <row r="57" customFormat="false" ht="15" hidden="false" customHeight="false" outlineLevel="0" collapsed="false">
      <c r="A57" s="3" t="s">
        <v>145</v>
      </c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false" outlineLevel="0" collapsed="false">
      <c r="A58" s="4" t="s">
        <v>152</v>
      </c>
      <c r="B58" s="4" t="s">
        <v>136</v>
      </c>
      <c r="C58" s="7" t="n">
        <v>0</v>
      </c>
      <c r="D58" s="7" t="n">
        <v>0</v>
      </c>
      <c r="E58" s="7" t="n">
        <v>0.397959644981793</v>
      </c>
      <c r="F58" s="7" t="n">
        <v>0.994899112454481</v>
      </c>
      <c r="G58" s="7" t="n">
        <v>1.89030831366351</v>
      </c>
      <c r="H58" s="7" t="n">
        <v>3.08418724860889</v>
      </c>
      <c r="I58" s="3"/>
    </row>
    <row r="59" customFormat="false" ht="15" hidden="false" customHeight="false" outlineLevel="0" collapsed="false">
      <c r="A59" s="3"/>
      <c r="B59" s="4" t="s">
        <v>137</v>
      </c>
      <c r="C59" s="7" t="n">
        <v>0</v>
      </c>
      <c r="D59" s="7" t="n">
        <v>0</v>
      </c>
      <c r="E59" s="7" t="n">
        <v>0.397959644981793</v>
      </c>
      <c r="F59" s="7" t="n">
        <v>0.994899112454481</v>
      </c>
      <c r="G59" s="7" t="n">
        <v>1.89030831366351</v>
      </c>
      <c r="H59" s="7" t="n">
        <v>3.08418724860889</v>
      </c>
      <c r="I59" s="3"/>
    </row>
    <row r="60" customFormat="false" ht="15" hidden="false" customHeight="false" outlineLevel="0" collapsed="false">
      <c r="A60" s="3"/>
      <c r="B60" s="4" t="s">
        <v>138</v>
      </c>
      <c r="C60" s="7" t="n">
        <f aca="false">IF(AND(ISNUMBER(C59),ISNUMBER(C58)),C59-C58,"")</f>
        <v>0</v>
      </c>
      <c r="D60" s="7" t="n">
        <f aca="false">IF(AND(ISNUMBER(D59),ISNUMBER(D58)),D59-D58,"")</f>
        <v>0</v>
      </c>
      <c r="E60" s="7" t="n">
        <f aca="false">IF(AND(ISNUMBER(E59),ISNUMBER(E58)),E59-E58,"")</f>
        <v>0</v>
      </c>
      <c r="F60" s="7" t="n">
        <f aca="false">IF(AND(ISNUMBER(F59),ISNUMBER(F58)),F59-F58,"")</f>
        <v>0</v>
      </c>
      <c r="G60" s="7" t="n">
        <f aca="false">IF(AND(ISNUMBER(G59),ISNUMBER(G58)),G59-G58,"")</f>
        <v>0</v>
      </c>
      <c r="H60" s="7" t="n">
        <f aca="false">IF(AND(ISNUMBER(H59),ISNUMBER(H58)),H59-H58,"")</f>
        <v>0</v>
      </c>
      <c r="I60" s="3"/>
    </row>
    <row r="61" customFormat="false" ht="28.35" hidden="false" customHeight="false" outlineLevel="0" collapsed="false">
      <c r="A61" s="3"/>
      <c r="B61" s="4" t="s">
        <v>139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3"/>
    </row>
    <row r="62" customFormat="false" ht="28.35" hidden="false" customHeight="false" outlineLevel="0" collapsed="false">
      <c r="A62" s="3"/>
      <c r="B62" s="4" t="s">
        <v>140</v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3"/>
    </row>
    <row r="63" customFormat="false" ht="28.35" hidden="false" customHeight="false" outlineLevel="0" collapsed="false">
      <c r="A63" s="3"/>
      <c r="B63" s="4" t="s">
        <v>141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3"/>
    </row>
    <row r="64" customFormat="false" ht="28.35" hidden="false" customHeight="false" outlineLevel="0" collapsed="false">
      <c r="A64" s="3"/>
      <c r="B64" s="4" t="s">
        <v>142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3"/>
    </row>
    <row r="65" customFormat="false" ht="15" hidden="false" customHeight="false" outlineLevel="0" collapsed="false">
      <c r="A65" s="3"/>
      <c r="B65" s="4" t="s">
        <v>143</v>
      </c>
      <c r="C65" s="7" t="n">
        <f aca="false">IF(ISNUMBER(C60),C60-SUM(C61:C64),"")</f>
        <v>0</v>
      </c>
      <c r="D65" s="7" t="n">
        <f aca="false">IF(ISNUMBER(D60),D60-SUM(D61:D64),"")</f>
        <v>0</v>
      </c>
      <c r="E65" s="7" t="n">
        <f aca="false">IF(ISNUMBER(E60),E60-SUM(E61:E64),"")</f>
        <v>0</v>
      </c>
      <c r="F65" s="7" t="n">
        <f aca="false">IF(ISNUMBER(F60),F60-SUM(F61:F64),"")</f>
        <v>0</v>
      </c>
      <c r="G65" s="7" t="n">
        <f aca="false">IF(ISNUMBER(G60),G60-SUM(G61:G64),"")</f>
        <v>0</v>
      </c>
      <c r="H65" s="7" t="n">
        <f aca="false">IF(ISNUMBER(H60),H60-SUM(H61:H64),"")</f>
        <v>0</v>
      </c>
      <c r="I65" s="4" t="s">
        <v>144</v>
      </c>
    </row>
    <row r="66" customFormat="false" ht="15" hidden="false" customHeight="false" outlineLevel="0" collapsed="false">
      <c r="A66" s="3" t="s">
        <v>145</v>
      </c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false" outlineLevel="0" collapsed="false">
      <c r="A67" s="4" t="s">
        <v>153</v>
      </c>
      <c r="B67" s="4" t="s">
        <v>136</v>
      </c>
      <c r="C67" s="6" t="n">
        <v>0.229866534532792</v>
      </c>
      <c r="D67" s="6" t="n">
        <v>0.408059628716732</v>
      </c>
      <c r="E67" s="6" t="n">
        <v>0.616062362364795</v>
      </c>
      <c r="F67" s="6" t="n">
        <v>0.77491209721866</v>
      </c>
      <c r="G67" s="6" t="n">
        <v>0.865232109500565</v>
      </c>
      <c r="H67" s="6" t="n">
        <v>0.928812688920455</v>
      </c>
      <c r="I67" s="3"/>
    </row>
    <row r="68" customFormat="false" ht="15" hidden="false" customHeight="false" outlineLevel="0" collapsed="false">
      <c r="A68" s="3"/>
      <c r="B68" s="4" t="s">
        <v>137</v>
      </c>
      <c r="C68" s="6" t="n">
        <v>0.268562212729104</v>
      </c>
      <c r="D68" s="6" t="n">
        <v>0.441101791254825</v>
      </c>
      <c r="E68" s="6" t="n">
        <v>0.641068247239217</v>
      </c>
      <c r="F68" s="6" t="n">
        <v>0.790194585738508</v>
      </c>
      <c r="G68" s="6" t="n">
        <v>0.874065516190203</v>
      </c>
      <c r="H68" s="6" t="n">
        <v>0.931296560998397</v>
      </c>
      <c r="I68" s="3"/>
    </row>
    <row r="69" customFormat="false" ht="15" hidden="false" customHeight="false" outlineLevel="0" collapsed="false">
      <c r="A69" s="3"/>
      <c r="B69" s="4" t="s">
        <v>138</v>
      </c>
      <c r="C69" s="6" t="n">
        <f aca="false">IF(AND(ISNUMBER(C68),ISNUMBER(C67)),C68-C67,"")</f>
        <v>0.038695678196312</v>
      </c>
      <c r="D69" s="6" t="n">
        <f aca="false">IF(AND(ISNUMBER(D68),ISNUMBER(D67)),D68-D67,"")</f>
        <v>0.033042162538093</v>
      </c>
      <c r="E69" s="6" t="n">
        <f aca="false">IF(AND(ISNUMBER(E68),ISNUMBER(E67)),E68-E67,"")</f>
        <v>0.025005884874422</v>
      </c>
      <c r="F69" s="6" t="n">
        <f aca="false">IF(AND(ISNUMBER(F68),ISNUMBER(F67)),F68-F67,"")</f>
        <v>0.015282488519848</v>
      </c>
      <c r="G69" s="6" t="n">
        <f aca="false">IF(AND(ISNUMBER(G68),ISNUMBER(G67)),G68-G67,"")</f>
        <v>0.00883340668963806</v>
      </c>
      <c r="H69" s="6" t="n">
        <f aca="false">IF(AND(ISNUMBER(H68),ISNUMBER(H67)),H68-H67,"")</f>
        <v>0.00248387207794198</v>
      </c>
      <c r="I69" s="3"/>
    </row>
    <row r="70" customFormat="false" ht="28.35" hidden="false" customHeight="false" outlineLevel="0" collapsed="false">
      <c r="A70" s="3"/>
      <c r="B70" s="4" t="s">
        <v>139</v>
      </c>
      <c r="C70" s="6" t="n">
        <v>0.038695678196312</v>
      </c>
      <c r="D70" s="6" t="n">
        <v>0.033042162538093</v>
      </c>
      <c r="E70" s="6" t="n">
        <v>0.025005884874422</v>
      </c>
      <c r="F70" s="6" t="n">
        <v>0.015282488519848</v>
      </c>
      <c r="G70" s="6" t="n">
        <v>0.00883340668963806</v>
      </c>
      <c r="H70" s="6" t="n">
        <v>0.00248387207794198</v>
      </c>
      <c r="I70" s="3"/>
    </row>
    <row r="71" customFormat="false" ht="28.35" hidden="false" customHeight="false" outlineLevel="0" collapsed="false">
      <c r="A71" s="3"/>
      <c r="B71" s="4" t="s">
        <v>140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3"/>
    </row>
    <row r="72" customFormat="false" ht="28.35" hidden="false" customHeight="false" outlineLevel="0" collapsed="false">
      <c r="A72" s="3"/>
      <c r="B72" s="4" t="s">
        <v>141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3"/>
    </row>
    <row r="73" customFormat="false" ht="28.35" hidden="false" customHeight="false" outlineLevel="0" collapsed="false">
      <c r="A73" s="3"/>
      <c r="B73" s="4" t="s">
        <v>142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3"/>
    </row>
    <row r="74" customFormat="false" ht="15" hidden="false" customHeight="false" outlineLevel="0" collapsed="false">
      <c r="A74" s="3"/>
      <c r="B74" s="4" t="s">
        <v>143</v>
      </c>
      <c r="C74" s="6" t="n">
        <f aca="false">IF(ISNUMBER(C69),C69-SUM(C70:C73),"")</f>
        <v>0</v>
      </c>
      <c r="D74" s="6" t="n">
        <f aca="false">IF(ISNUMBER(D69),D69-SUM(D70:D73),"")</f>
        <v>0</v>
      </c>
      <c r="E74" s="6" t="n">
        <f aca="false">IF(ISNUMBER(E69),E69-SUM(E70:E73),"")</f>
        <v>0</v>
      </c>
      <c r="F74" s="6" t="n">
        <f aca="false">IF(ISNUMBER(F69),F69-SUM(F70:F73),"")</f>
        <v>0</v>
      </c>
      <c r="G74" s="6" t="n">
        <f aca="false">IF(ISNUMBER(G69),G69-SUM(G70:G73),"")</f>
        <v>0</v>
      </c>
      <c r="H74" s="6" t="n">
        <f aca="false">IF(ISNUMBER(H69),H69-SUM(H70:H73),"")</f>
        <v>0</v>
      </c>
      <c r="I74" s="4" t="s">
        <v>144</v>
      </c>
    </row>
    <row r="75" customFormat="false" ht="15" hidden="false" customHeight="false" outlineLevel="0" collapsed="false">
      <c r="A75" s="3" t="s">
        <v>145</v>
      </c>
      <c r="B75" s="3"/>
      <c r="C75" s="3"/>
      <c r="D75" s="3"/>
      <c r="E75" s="3"/>
      <c r="F75" s="3"/>
      <c r="G75" s="3"/>
      <c r="H75" s="3"/>
      <c r="I75" s="3"/>
    </row>
    <row r="76" customFormat="false" ht="15" hidden="false" customHeight="false" outlineLevel="0" collapsed="false">
      <c r="A76" s="4" t="s">
        <v>154</v>
      </c>
      <c r="B76" s="4" t="s">
        <v>136</v>
      </c>
      <c r="C76" s="8" t="n">
        <v>11.9589605594761</v>
      </c>
      <c r="D76" s="8" t="n">
        <v>29.9740417115561</v>
      </c>
      <c r="E76" s="8" t="n">
        <v>98.6418533046085</v>
      </c>
      <c r="F76" s="8" t="n">
        <v>121.08171498624</v>
      </c>
      <c r="G76" s="8" t="n">
        <v>142.240732475275</v>
      </c>
      <c r="H76" s="8" t="n">
        <v>155.627759307624</v>
      </c>
      <c r="I76" s="3"/>
    </row>
    <row r="77" customFormat="false" ht="15" hidden="false" customHeight="false" outlineLevel="0" collapsed="false">
      <c r="A77" s="3"/>
      <c r="B77" s="4" t="s">
        <v>137</v>
      </c>
      <c r="C77" s="8" t="n">
        <v>11.5006243206095</v>
      </c>
      <c r="D77" s="8" t="n">
        <v>27.762827633401</v>
      </c>
      <c r="E77" s="8" t="n">
        <v>92.0019138266378</v>
      </c>
      <c r="F77" s="8" t="n">
        <v>113.993473186769</v>
      </c>
      <c r="G77" s="8" t="n">
        <v>134.681382675388</v>
      </c>
      <c r="H77" s="8" t="n">
        <v>148.162612608965</v>
      </c>
      <c r="I77" s="3"/>
    </row>
    <row r="78" customFormat="false" ht="15" hidden="false" customHeight="false" outlineLevel="0" collapsed="false">
      <c r="A78" s="3"/>
      <c r="B78" s="4" t="s">
        <v>138</v>
      </c>
      <c r="C78" s="8" t="n">
        <f aca="false">IF(AND(ISNUMBER(C77),ISNUMBER(C76)),C77-C76,"")</f>
        <v>-0.4583362388666</v>
      </c>
      <c r="D78" s="8" t="n">
        <f aca="false">IF(AND(ISNUMBER(D77),ISNUMBER(D76)),D77-D76,"")</f>
        <v>-2.2112140781551</v>
      </c>
      <c r="E78" s="8" t="n">
        <f aca="false">IF(AND(ISNUMBER(E77),ISNUMBER(E76)),E77-E76,"")</f>
        <v>-6.6399394779707</v>
      </c>
      <c r="F78" s="8" t="n">
        <f aca="false">IF(AND(ISNUMBER(F77),ISNUMBER(F76)),F77-F76,"")</f>
        <v>-7.08824179947101</v>
      </c>
      <c r="G78" s="8" t="n">
        <f aca="false">IF(AND(ISNUMBER(G77),ISNUMBER(G76)),G77-G76,"")</f>
        <v>-7.559349799887</v>
      </c>
      <c r="H78" s="8" t="n">
        <f aca="false">IF(AND(ISNUMBER(H77),ISNUMBER(H76)),H77-H76,"")</f>
        <v>-7.465146698659</v>
      </c>
      <c r="I78" s="3"/>
    </row>
    <row r="79" customFormat="false" ht="28.35" hidden="false" customHeight="false" outlineLevel="0" collapsed="false">
      <c r="A79" s="3"/>
      <c r="B79" s="4" t="s">
        <v>139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3"/>
    </row>
    <row r="80" customFormat="false" ht="28.35" hidden="false" customHeight="false" outlineLevel="0" collapsed="false">
      <c r="A80" s="3"/>
      <c r="B80" s="4" t="s">
        <v>140</v>
      </c>
      <c r="C80" s="8" t="n">
        <v>-0.4583362388666</v>
      </c>
      <c r="D80" s="8" t="n">
        <v>-2.2112140781551</v>
      </c>
      <c r="E80" s="8" t="n">
        <v>-6.6399394779707</v>
      </c>
      <c r="F80" s="8" t="n">
        <v>-7.08824179947101</v>
      </c>
      <c r="G80" s="8" t="n">
        <v>-7.559349799887</v>
      </c>
      <c r="H80" s="8" t="n">
        <v>-7.465146698659</v>
      </c>
      <c r="I80" s="3"/>
    </row>
    <row r="81" customFormat="false" ht="28.35" hidden="false" customHeight="false" outlineLevel="0" collapsed="false">
      <c r="A81" s="3"/>
      <c r="B81" s="4" t="s">
        <v>141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3"/>
    </row>
    <row r="82" customFormat="false" ht="28.35" hidden="false" customHeight="false" outlineLevel="0" collapsed="false">
      <c r="A82" s="3"/>
      <c r="B82" s="4" t="s">
        <v>142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3"/>
    </row>
    <row r="83" customFormat="false" ht="15" hidden="false" customHeight="false" outlineLevel="0" collapsed="false">
      <c r="A83" s="3"/>
      <c r="B83" s="4" t="s">
        <v>143</v>
      </c>
      <c r="C83" s="8" t="n">
        <f aca="false">IF(ISNUMBER(C78),C78-SUM(C79:C82),"")</f>
        <v>0</v>
      </c>
      <c r="D83" s="8" t="n">
        <f aca="false">IF(ISNUMBER(D78),D78-SUM(D79:D82),"")</f>
        <v>0</v>
      </c>
      <c r="E83" s="8" t="n">
        <f aca="false">IF(ISNUMBER(E78),E78-SUM(E79:E82),"")</f>
        <v>0</v>
      </c>
      <c r="F83" s="8" t="n">
        <f aca="false">IF(ISNUMBER(F78),F78-SUM(F79:F82),"")</f>
        <v>0</v>
      </c>
      <c r="G83" s="8" t="n">
        <f aca="false">IF(ISNUMBER(G78),G78-SUM(G79:G82),"")</f>
        <v>0</v>
      </c>
      <c r="H83" s="8" t="n">
        <f aca="false">IF(ISNUMBER(H78),H78-SUM(H79:H82),"")</f>
        <v>0</v>
      </c>
      <c r="I83" s="4" t="s">
        <v>144</v>
      </c>
    </row>
    <row r="84" customFormat="false" ht="15" hidden="false" customHeight="false" outlineLevel="0" collapsed="false">
      <c r="A84" s="3"/>
      <c r="B84" s="4" t="s">
        <v>147</v>
      </c>
      <c r="C84" s="5" t="n">
        <f aca="false">IF(AND(ISNUMBER(C76),C76&lt;&gt;0),C77/C76-1,"")</f>
        <v>-0.0383257588807266</v>
      </c>
      <c r="D84" s="5" t="n">
        <f aca="false">IF(AND(ISNUMBER(D76),D76&lt;&gt;0),D77/D76-1,"")</f>
        <v>-0.073770968207554</v>
      </c>
      <c r="E84" s="5" t="n">
        <f aca="false">IF(AND(ISNUMBER(E76),E76&lt;&gt;0),E77/E76-1,"")</f>
        <v>-0.0673136123818193</v>
      </c>
      <c r="F84" s="5" t="n">
        <f aca="false">IF(AND(ISNUMBER(F76),F76&lt;&gt;0),F77/F76-1,"")</f>
        <v>-0.0585409762347398</v>
      </c>
      <c r="G84" s="5" t="n">
        <f aca="false">IF(AND(ISNUMBER(G76),G76&lt;&gt;0),G77/G76-1,"")</f>
        <v>-0.0531447614782286</v>
      </c>
      <c r="H84" s="5" t="n">
        <f aca="false">IF(AND(ISNUMBER(H76),H76&lt;&gt;0),H77/H76-1,"")</f>
        <v>-0.0479679636323935</v>
      </c>
      <c r="I84" s="3"/>
    </row>
    <row r="85" customFormat="false" ht="15" hidden="false" customHeight="false" outlineLevel="0" collapsed="false">
      <c r="A85" s="3" t="s">
        <v>145</v>
      </c>
      <c r="B85" s="3"/>
      <c r="C85" s="3"/>
      <c r="D85" s="3"/>
      <c r="E85" s="3"/>
      <c r="F85" s="3"/>
      <c r="G85" s="3"/>
      <c r="H85" s="3"/>
      <c r="I85" s="3"/>
    </row>
    <row r="86" customFormat="false" ht="15" hidden="false" customHeight="false" outlineLevel="0" collapsed="false">
      <c r="A86" s="4" t="s">
        <v>155</v>
      </c>
      <c r="B86" s="4" t="s">
        <v>136</v>
      </c>
      <c r="C86" s="8" t="n">
        <v>2.79627753576196</v>
      </c>
      <c r="D86" s="8" t="n">
        <v>3.26659320907884</v>
      </c>
      <c r="E86" s="8" t="n">
        <v>13.0841784414233</v>
      </c>
      <c r="F86" s="8" t="n">
        <v>9.12971358518884</v>
      </c>
      <c r="G86" s="8" t="n">
        <v>6.45609292154995</v>
      </c>
      <c r="H86" s="8" t="n">
        <v>2.59446291459858</v>
      </c>
      <c r="I86" s="3"/>
    </row>
    <row r="87" customFormat="false" ht="15" hidden="false" customHeight="false" outlineLevel="0" collapsed="false">
      <c r="A87" s="3"/>
      <c r="B87" s="4" t="s">
        <v>137</v>
      </c>
      <c r="C87" s="8" t="n">
        <v>3.25461377462862</v>
      </c>
      <c r="D87" s="8" t="n">
        <v>5.47780728723395</v>
      </c>
      <c r="E87" s="8" t="n">
        <v>19.7241179193939</v>
      </c>
      <c r="F87" s="8" t="n">
        <v>16.2179553846597</v>
      </c>
      <c r="G87" s="8" t="n">
        <v>14.0154427214376</v>
      </c>
      <c r="H87" s="8" t="n">
        <v>10.0596096132571</v>
      </c>
      <c r="I87" s="3"/>
    </row>
    <row r="88" customFormat="false" ht="15" hidden="false" customHeight="false" outlineLevel="0" collapsed="false">
      <c r="A88" s="3"/>
      <c r="B88" s="4" t="s">
        <v>138</v>
      </c>
      <c r="C88" s="8" t="n">
        <f aca="false">IF(AND(ISNUMBER(C87),ISNUMBER(C86)),C87-C86,"")</f>
        <v>0.45833623886666</v>
      </c>
      <c r="D88" s="8" t="n">
        <f aca="false">IF(AND(ISNUMBER(D87),ISNUMBER(D86)),D87-D86,"")</f>
        <v>2.21121407815511</v>
      </c>
      <c r="E88" s="8" t="n">
        <f aca="false">IF(AND(ISNUMBER(E87),ISNUMBER(E86)),E87-E86,"")</f>
        <v>6.6399394779706</v>
      </c>
      <c r="F88" s="8" t="n">
        <f aca="false">IF(AND(ISNUMBER(F87),ISNUMBER(F86)),F87-F86,"")</f>
        <v>7.08824179947086</v>
      </c>
      <c r="G88" s="8" t="n">
        <f aca="false">IF(AND(ISNUMBER(G87),ISNUMBER(G86)),G87-G86,"")</f>
        <v>7.55934979988765</v>
      </c>
      <c r="H88" s="8" t="n">
        <f aca="false">IF(AND(ISNUMBER(H87),ISNUMBER(H86)),H87-H86,"")</f>
        <v>7.46514669865852</v>
      </c>
      <c r="I88" s="3"/>
    </row>
    <row r="89" customFormat="false" ht="28.35" hidden="false" customHeight="false" outlineLevel="0" collapsed="false">
      <c r="A89" s="3"/>
      <c r="B89" s="4" t="s">
        <v>139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3"/>
    </row>
    <row r="90" customFormat="false" ht="28.35" hidden="false" customHeight="false" outlineLevel="0" collapsed="false">
      <c r="A90" s="3"/>
      <c r="B90" s="4" t="s">
        <v>140</v>
      </c>
      <c r="C90" s="8" t="n">
        <v>0.45833623886666</v>
      </c>
      <c r="D90" s="8" t="n">
        <v>2.21121407815511</v>
      </c>
      <c r="E90" s="8" t="n">
        <v>6.6399394779706</v>
      </c>
      <c r="F90" s="8" t="n">
        <v>7.08824179947086</v>
      </c>
      <c r="G90" s="8" t="n">
        <v>7.55934979988765</v>
      </c>
      <c r="H90" s="8" t="n">
        <v>7.46514669865852</v>
      </c>
      <c r="I90" s="3"/>
    </row>
    <row r="91" customFormat="false" ht="28.35" hidden="false" customHeight="false" outlineLevel="0" collapsed="false">
      <c r="A91" s="3"/>
      <c r="B91" s="4" t="s">
        <v>141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3"/>
    </row>
    <row r="92" customFormat="false" ht="28.35" hidden="false" customHeight="false" outlineLevel="0" collapsed="false">
      <c r="A92" s="3"/>
      <c r="B92" s="4" t="s">
        <v>142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3"/>
    </row>
    <row r="93" customFormat="false" ht="15" hidden="false" customHeight="false" outlineLevel="0" collapsed="false">
      <c r="A93" s="3"/>
      <c r="B93" s="4" t="s">
        <v>143</v>
      </c>
      <c r="C93" s="8" t="n">
        <f aca="false">IF(ISNUMBER(C88),C88-SUM(C89:C92),"")</f>
        <v>0</v>
      </c>
      <c r="D93" s="8" t="n">
        <f aca="false">IF(ISNUMBER(D88),D88-SUM(D89:D92),"")</f>
        <v>0</v>
      </c>
      <c r="E93" s="8" t="n">
        <f aca="false">IF(ISNUMBER(E88),E88-SUM(E89:E92),"")</f>
        <v>0</v>
      </c>
      <c r="F93" s="8" t="n">
        <f aca="false">IF(ISNUMBER(F88),F88-SUM(F89:F92),"")</f>
        <v>0</v>
      </c>
      <c r="G93" s="8" t="n">
        <f aca="false">IF(ISNUMBER(G88),G88-SUM(G89:G92),"")</f>
        <v>0</v>
      </c>
      <c r="H93" s="8" t="n">
        <f aca="false">IF(ISNUMBER(H88),H88-SUM(H89:H92),"")</f>
        <v>0</v>
      </c>
      <c r="I93" s="4" t="s">
        <v>144</v>
      </c>
    </row>
    <row r="94" customFormat="false" ht="15" hidden="false" customHeight="false" outlineLevel="0" collapsed="false">
      <c r="A94" s="3"/>
      <c r="B94" s="4" t="s">
        <v>147</v>
      </c>
      <c r="C94" s="5" t="n">
        <f aca="false">IF(AND(ISNUMBER(C86),C86&lt;&gt;0),C87/C86-1,"")</f>
        <v>0.163909423512129</v>
      </c>
      <c r="D94" s="5" t="n">
        <f aca="false">IF(AND(ISNUMBER(D86),D86&lt;&gt;0),D87/D86-1,"")</f>
        <v>0.676917490677898</v>
      </c>
      <c r="E94" s="5" t="n">
        <f aca="false">IF(AND(ISNUMBER(E86),E86&lt;&gt;0),E87/E86-1,"")</f>
        <v>0.507478517485605</v>
      </c>
      <c r="F94" s="5" t="n">
        <f aca="false">IF(AND(ISNUMBER(F86),F86&lt;&gt;0),F87/F86-1,"")</f>
        <v>0.776392570624574</v>
      </c>
      <c r="G94" s="5" t="n">
        <f aca="false">IF(AND(ISNUMBER(G86),G86&lt;&gt;0),G87/G86-1,"")</f>
        <v>1.17088615231282</v>
      </c>
      <c r="H94" s="5" t="n">
        <f aca="false">IF(AND(ISNUMBER(H86),H86&lt;&gt;0),H87/H86-1,"")</f>
        <v>2.8773379864686</v>
      </c>
      <c r="I94" s="3"/>
    </row>
    <row r="95" customFormat="false" ht="15" hidden="false" customHeight="false" outlineLevel="0" collapsed="false">
      <c r="A95" s="3" t="s">
        <v>145</v>
      </c>
      <c r="B95" s="3"/>
      <c r="C95" s="3"/>
      <c r="D95" s="3"/>
      <c r="E95" s="3"/>
      <c r="F95" s="3"/>
      <c r="G95" s="3"/>
      <c r="H95" s="3"/>
      <c r="I95" s="3"/>
    </row>
    <row r="96" customFormat="false" ht="15" hidden="false" customHeight="false" outlineLevel="0" collapsed="false">
      <c r="A96" s="4" t="s">
        <v>156</v>
      </c>
      <c r="B96" s="4" t="s">
        <v>136</v>
      </c>
      <c r="C96" s="5" t="n">
        <v>0.189510837962309</v>
      </c>
      <c r="D96" s="5" t="n">
        <v>0.0982710834759363</v>
      </c>
      <c r="E96" s="5" t="n">
        <v>0.117109488603026</v>
      </c>
      <c r="F96" s="5" t="n">
        <v>0.0701145336116227</v>
      </c>
      <c r="G96" s="5" t="n">
        <v>0.0434178261998577</v>
      </c>
      <c r="H96" s="5" t="n">
        <v>0.0163975886456371</v>
      </c>
      <c r="I96" s="3"/>
    </row>
    <row r="97" customFormat="false" ht="15" hidden="false" customHeight="false" outlineLevel="0" collapsed="false">
      <c r="A97" s="3"/>
      <c r="B97" s="4" t="s">
        <v>137</v>
      </c>
      <c r="C97" s="5" t="n">
        <v>0.220573450162012</v>
      </c>
      <c r="D97" s="5" t="n">
        <v>0.164792498708666</v>
      </c>
      <c r="E97" s="5" t="n">
        <v>0.176540038262788</v>
      </c>
      <c r="F97" s="5" t="n">
        <v>0.124550936600493</v>
      </c>
      <c r="G97" s="5" t="n">
        <v>0.0942551576607959</v>
      </c>
      <c r="H97" s="5" t="n">
        <v>0.0635789933422146</v>
      </c>
      <c r="I97" s="3"/>
    </row>
    <row r="98" customFormat="false" ht="15" hidden="false" customHeight="false" outlineLevel="0" collapsed="false">
      <c r="A98" s="3"/>
      <c r="B98" s="4" t="s">
        <v>138</v>
      </c>
      <c r="C98" s="5" t="n">
        <f aca="false">IF(AND(ISNUMBER(C97),ISNUMBER(C96)),C97-C96,"")</f>
        <v>0.031062612199703</v>
      </c>
      <c r="D98" s="5" t="n">
        <f aca="false">IF(AND(ISNUMBER(D97),ISNUMBER(D96)),D97-D96,"")</f>
        <v>0.0665214152327297</v>
      </c>
      <c r="E98" s="5" t="n">
        <f aca="false">IF(AND(ISNUMBER(E97),ISNUMBER(E96)),E97-E96,"")</f>
        <v>0.059430549659762</v>
      </c>
      <c r="F98" s="5" t="n">
        <f aca="false">IF(AND(ISNUMBER(F97),ISNUMBER(F96)),F97-F96,"")</f>
        <v>0.0544364029888703</v>
      </c>
      <c r="G98" s="5" t="n">
        <f aca="false">IF(AND(ISNUMBER(G97),ISNUMBER(G96)),G97-G96,"")</f>
        <v>0.0508373314609382</v>
      </c>
      <c r="H98" s="5" t="n">
        <f aca="false">IF(AND(ISNUMBER(H97),ISNUMBER(H96)),H97-H96,"")</f>
        <v>0.0471814046965775</v>
      </c>
      <c r="I98" s="3"/>
    </row>
    <row r="99" customFormat="false" ht="28.35" hidden="false" customHeight="false" outlineLevel="0" collapsed="false">
      <c r="A99" s="3"/>
      <c r="B99" s="4" t="s">
        <v>139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3"/>
    </row>
    <row r="100" customFormat="false" ht="28.35" hidden="false" customHeight="false" outlineLevel="0" collapsed="false">
      <c r="A100" s="3"/>
      <c r="B100" s="4" t="s">
        <v>140</v>
      </c>
      <c r="C100" s="5" t="n">
        <v>0.031062612199703</v>
      </c>
      <c r="D100" s="5" t="n">
        <v>0.0665214152327297</v>
      </c>
      <c r="E100" s="5" t="n">
        <v>0.059430549659762</v>
      </c>
      <c r="F100" s="5" t="n">
        <v>0.0544364029888703</v>
      </c>
      <c r="G100" s="5" t="n">
        <v>0.0508373314609382</v>
      </c>
      <c r="H100" s="5" t="n">
        <v>0.0471814046965775</v>
      </c>
      <c r="I100" s="3"/>
    </row>
    <row r="101" customFormat="false" ht="28.35" hidden="false" customHeight="false" outlineLevel="0" collapsed="false">
      <c r="A101" s="3"/>
      <c r="B101" s="4" t="s">
        <v>141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3"/>
    </row>
    <row r="102" customFormat="false" ht="28.35" hidden="false" customHeight="false" outlineLevel="0" collapsed="false">
      <c r="A102" s="3"/>
      <c r="B102" s="4" t="s">
        <v>142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3"/>
    </row>
    <row r="103" customFormat="false" ht="15" hidden="false" customHeight="false" outlineLevel="0" collapsed="false">
      <c r="A103" s="3"/>
      <c r="B103" s="4" t="s">
        <v>143</v>
      </c>
      <c r="C103" s="5" t="n">
        <f aca="false">IF(ISNUMBER(C98),C98-SUM(C99:C102),"")</f>
        <v>0</v>
      </c>
      <c r="D103" s="5" t="n">
        <f aca="false">IF(ISNUMBER(D98),D98-SUM(D99:D102),"")</f>
        <v>0</v>
      </c>
      <c r="E103" s="5" t="n">
        <f aca="false">IF(ISNUMBER(E98),E98-SUM(E99:E102),"")</f>
        <v>0</v>
      </c>
      <c r="F103" s="5" t="n">
        <f aca="false">IF(ISNUMBER(F98),F98-SUM(F99:F102),"")</f>
        <v>0</v>
      </c>
      <c r="G103" s="5" t="n">
        <f aca="false">IF(ISNUMBER(G98),G98-SUM(G99:G102),"")</f>
        <v>0</v>
      </c>
      <c r="H103" s="5" t="n">
        <f aca="false">IF(ISNUMBER(H98),H98-SUM(H99:H102),"")</f>
        <v>0</v>
      </c>
      <c r="I103" s="4" t="s">
        <v>144</v>
      </c>
    </row>
    <row r="104" customFormat="false" ht="15" hidden="false" customHeight="false" outlineLevel="0" collapsed="false">
      <c r="A104" s="3" t="s">
        <v>145</v>
      </c>
      <c r="B104" s="3"/>
      <c r="C104" s="3"/>
      <c r="D104" s="3"/>
      <c r="E104" s="3"/>
      <c r="F104" s="3"/>
      <c r="G104" s="3"/>
      <c r="H104" s="3"/>
      <c r="I104" s="3"/>
    </row>
    <row r="105" customFormat="false" ht="28.35" hidden="false" customHeight="false" outlineLevel="0" collapsed="false">
      <c r="A105" s="4" t="s">
        <v>157</v>
      </c>
      <c r="B105" s="4" t="s">
        <v>136</v>
      </c>
      <c r="C105" s="8" t="n">
        <v>-66.4411657848026</v>
      </c>
      <c r="D105" s="8" t="n">
        <v>-42.1226707158289</v>
      </c>
      <c r="E105" s="8" t="n">
        <v>-22.2716629626746</v>
      </c>
      <c r="F105" s="8" t="n">
        <v>-16.7076576582005</v>
      </c>
      <c r="G105" s="8" t="n">
        <v>-12.7040694990336</v>
      </c>
      <c r="H105" s="8" t="n">
        <v>-10.0544787766386</v>
      </c>
      <c r="I105" s="3"/>
    </row>
    <row r="106" customFormat="false" ht="15" hidden="false" customHeight="false" outlineLevel="0" collapsed="false">
      <c r="A106" s="3"/>
      <c r="B106" s="4" t="s">
        <v>137</v>
      </c>
      <c r="C106" s="8" t="n">
        <v>-56.8680171870515</v>
      </c>
      <c r="D106" s="8" t="n">
        <v>-38.9673352356179</v>
      </c>
      <c r="E106" s="8" t="n">
        <v>-21.4029213857755</v>
      </c>
      <c r="F106" s="8" t="n">
        <v>-16.3845289112269</v>
      </c>
      <c r="G106" s="8" t="n">
        <v>-12.5756807107566</v>
      </c>
      <c r="H106" s="8" t="n">
        <v>-10.027662357318</v>
      </c>
      <c r="I106" s="3"/>
    </row>
    <row r="107" customFormat="false" ht="15" hidden="false" customHeight="false" outlineLevel="0" collapsed="false">
      <c r="A107" s="3"/>
      <c r="B107" s="4" t="s">
        <v>138</v>
      </c>
      <c r="C107" s="8" t="n">
        <f aca="false">IF(AND(ISNUMBER(C106),ISNUMBER(C105)),C106-C105,"")</f>
        <v>9.57314859775111</v>
      </c>
      <c r="D107" s="8" t="n">
        <f aca="false">IF(AND(ISNUMBER(D106),ISNUMBER(D105)),D106-D105,"")</f>
        <v>3.155335480211</v>
      </c>
      <c r="E107" s="8" t="n">
        <f aca="false">IF(AND(ISNUMBER(E106),ISNUMBER(E105)),E106-E105,"")</f>
        <v>0.868741576899101</v>
      </c>
      <c r="F107" s="8" t="n">
        <f aca="false">IF(AND(ISNUMBER(F106),ISNUMBER(F105)),F106-F105,"")</f>
        <v>0.323128746973598</v>
      </c>
      <c r="G107" s="8" t="n">
        <f aca="false">IF(AND(ISNUMBER(G106),ISNUMBER(G105)),G106-G105,"")</f>
        <v>0.128388788277</v>
      </c>
      <c r="H107" s="8" t="n">
        <f aca="false">IF(AND(ISNUMBER(H106),ISNUMBER(H105)),H106-H105,"")</f>
        <v>0.0268164193205998</v>
      </c>
      <c r="I107" s="3"/>
    </row>
    <row r="108" customFormat="false" ht="28.35" hidden="false" customHeight="false" outlineLevel="0" collapsed="false">
      <c r="A108" s="3"/>
      <c r="B108" s="4" t="s">
        <v>139</v>
      </c>
      <c r="C108" s="8" t="n">
        <v>9.57314859775111</v>
      </c>
      <c r="D108" s="8" t="n">
        <v>3.155335480211</v>
      </c>
      <c r="E108" s="8" t="n">
        <v>0.868741576899101</v>
      </c>
      <c r="F108" s="8" t="n">
        <v>0.323128746973598</v>
      </c>
      <c r="G108" s="8" t="n">
        <v>0.128388788277</v>
      </c>
      <c r="H108" s="8" t="n">
        <v>0.0268164193205998</v>
      </c>
      <c r="I108" s="3"/>
    </row>
    <row r="109" customFormat="false" ht="28.35" hidden="false" customHeight="false" outlineLevel="0" collapsed="false">
      <c r="A109" s="3"/>
      <c r="B109" s="4" t="s">
        <v>140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3"/>
    </row>
    <row r="110" customFormat="false" ht="28.35" hidden="false" customHeight="false" outlineLevel="0" collapsed="false">
      <c r="A110" s="3"/>
      <c r="B110" s="4" t="s">
        <v>141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3"/>
    </row>
    <row r="111" customFormat="false" ht="28.35" hidden="false" customHeight="false" outlineLevel="0" collapsed="false">
      <c r="A111" s="3"/>
      <c r="B111" s="4" t="s">
        <v>142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3"/>
    </row>
    <row r="112" customFormat="false" ht="15" hidden="false" customHeight="false" outlineLevel="0" collapsed="false">
      <c r="A112" s="3"/>
      <c r="B112" s="4" t="s">
        <v>143</v>
      </c>
      <c r="C112" s="8" t="n">
        <f aca="false">IF(ISNUMBER(C107),C107-SUM(C108:C111),"")</f>
        <v>0</v>
      </c>
      <c r="D112" s="8" t="n">
        <f aca="false">IF(ISNUMBER(D107),D107-SUM(D108:D111),"")</f>
        <v>0</v>
      </c>
      <c r="E112" s="8" t="n">
        <f aca="false">IF(ISNUMBER(E107),E107-SUM(E108:E111),"")</f>
        <v>0</v>
      </c>
      <c r="F112" s="8" t="n">
        <f aca="false">IF(ISNUMBER(F107),F107-SUM(F108:F111),"")</f>
        <v>0</v>
      </c>
      <c r="G112" s="8" t="n">
        <f aca="false">IF(ISNUMBER(G107),G107-SUM(G108:G111),"")</f>
        <v>0</v>
      </c>
      <c r="H112" s="8" t="n">
        <f aca="false">IF(ISNUMBER(H107),H107-SUM(H108:H111),"")</f>
        <v>0</v>
      </c>
      <c r="I112" s="4" t="s">
        <v>144</v>
      </c>
    </row>
    <row r="113" customFormat="false" ht="15" hidden="false" customHeight="false" outlineLevel="0" collapsed="false">
      <c r="A113" s="3" t="s">
        <v>145</v>
      </c>
      <c r="B113" s="3"/>
      <c r="C113" s="3"/>
      <c r="D113" s="3"/>
      <c r="E113" s="3"/>
      <c r="F113" s="3"/>
      <c r="G113" s="3"/>
      <c r="H113" s="3"/>
      <c r="I113" s="3"/>
    </row>
    <row r="114" customFormat="false" ht="28.35" hidden="false" customHeight="false" outlineLevel="0" collapsed="false">
      <c r="A114" s="4" t="s">
        <v>158</v>
      </c>
      <c r="B114" s="4" t="s">
        <v>136</v>
      </c>
      <c r="C114" s="8" t="n">
        <v>-66.4411657848026</v>
      </c>
      <c r="D114" s="8" t="n">
        <v>-24.8294892415447</v>
      </c>
      <c r="E114" s="8" t="n">
        <v>-17.81959768477</v>
      </c>
      <c r="F114" s="8" t="n">
        <v>-12.9526187767674</v>
      </c>
      <c r="G114" s="8" t="n">
        <v>-9.58656864827731</v>
      </c>
      <c r="H114" s="8" t="n">
        <v>-7.8399876205549</v>
      </c>
      <c r="I114" s="3"/>
    </row>
    <row r="115" customFormat="false" ht="15" hidden="false" customHeight="false" outlineLevel="0" collapsed="false">
      <c r="A115" s="3"/>
      <c r="B115" s="4" t="s">
        <v>137</v>
      </c>
      <c r="C115" s="8" t="n">
        <v>-56.8680171870515</v>
      </c>
      <c r="D115" s="8" t="n">
        <v>-22.969555694408</v>
      </c>
      <c r="E115" s="8" t="n">
        <v>-17.0751278528588</v>
      </c>
      <c r="F115" s="8" t="n">
        <v>-12.6287529556256</v>
      </c>
      <c r="G115" s="8" t="n">
        <v>-9.39382235876495</v>
      </c>
      <c r="H115" s="8" t="n">
        <v>-7.70093963340709</v>
      </c>
      <c r="I115" s="3"/>
    </row>
    <row r="116" customFormat="false" ht="15" hidden="false" customHeight="false" outlineLevel="0" collapsed="false">
      <c r="A116" s="3"/>
      <c r="B116" s="4" t="s">
        <v>138</v>
      </c>
      <c r="C116" s="8" t="n">
        <f aca="false">IF(AND(ISNUMBER(C115),ISNUMBER(C114)),C115-C114,"")</f>
        <v>9.57314859775111</v>
      </c>
      <c r="D116" s="8" t="n">
        <f aca="false">IF(AND(ISNUMBER(D115),ISNUMBER(D114)),D115-D114,"")</f>
        <v>1.8599335471367</v>
      </c>
      <c r="E116" s="8" t="n">
        <f aca="false">IF(AND(ISNUMBER(E115),ISNUMBER(E114)),E115-E114,"")</f>
        <v>0.7444698319112</v>
      </c>
      <c r="F116" s="8" t="n">
        <f aca="false">IF(AND(ISNUMBER(F115),ISNUMBER(F114)),F115-F114,"")</f>
        <v>0.3238658211418</v>
      </c>
      <c r="G116" s="8" t="n">
        <f aca="false">IF(AND(ISNUMBER(G115),ISNUMBER(G114)),G115-G114,"")</f>
        <v>0.19274628951236</v>
      </c>
      <c r="H116" s="8" t="n">
        <f aca="false">IF(AND(ISNUMBER(H115),ISNUMBER(H114)),H115-H114,"")</f>
        <v>0.139047987147809</v>
      </c>
      <c r="I116" s="3"/>
    </row>
    <row r="117" customFormat="false" ht="28.35" hidden="false" customHeight="false" outlineLevel="0" collapsed="false">
      <c r="A117" s="3"/>
      <c r="B117" s="4" t="s">
        <v>139</v>
      </c>
      <c r="C117" s="8" t="n">
        <v>9.57314859775111</v>
      </c>
      <c r="D117" s="8" t="n">
        <v>1.8599335471367</v>
      </c>
      <c r="E117" s="8" t="n">
        <v>0.695081701726497</v>
      </c>
      <c r="F117" s="8" t="n">
        <v>0.250505699900399</v>
      </c>
      <c r="G117" s="8" t="n">
        <v>0.0968829659331103</v>
      </c>
      <c r="H117" s="8" t="n">
        <v>0.02091012375395</v>
      </c>
      <c r="I117" s="3"/>
    </row>
    <row r="118" customFormat="false" ht="28.35" hidden="false" customHeight="false" outlineLevel="0" collapsed="false">
      <c r="A118" s="3"/>
      <c r="B118" s="4" t="s">
        <v>140</v>
      </c>
      <c r="C118" s="8" t="n">
        <v>0</v>
      </c>
      <c r="D118" s="8" t="n">
        <v>0</v>
      </c>
      <c r="E118" s="8" t="n">
        <v>0.0513927874612996</v>
      </c>
      <c r="F118" s="8" t="n">
        <v>0.0748068985142005</v>
      </c>
      <c r="G118" s="8" t="n">
        <v>0.0968420201792615</v>
      </c>
      <c r="H118" s="8" t="n">
        <v>0.1184537929066</v>
      </c>
      <c r="I118" s="3"/>
    </row>
    <row r="119" customFormat="false" ht="28.35" hidden="false" customHeight="false" outlineLevel="0" collapsed="false">
      <c r="A119" s="3"/>
      <c r="B119" s="4" t="s">
        <v>141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3"/>
    </row>
    <row r="120" customFormat="false" ht="28.35" hidden="false" customHeight="false" outlineLevel="0" collapsed="false">
      <c r="A120" s="3"/>
      <c r="B120" s="4" t="s">
        <v>142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3"/>
    </row>
    <row r="121" customFormat="false" ht="15" hidden="false" customHeight="false" outlineLevel="0" collapsed="false">
      <c r="A121" s="3"/>
      <c r="B121" s="4" t="s">
        <v>143</v>
      </c>
      <c r="C121" s="8" t="n">
        <f aca="false">IF(ISNUMBER(C116),C116-SUM(C117:C120),"")</f>
        <v>0</v>
      </c>
      <c r="D121" s="8" t="n">
        <f aca="false">IF(ISNUMBER(D116),D116-SUM(D117:D120),"")</f>
        <v>0</v>
      </c>
      <c r="E121" s="8" t="n">
        <f aca="false">IF(ISNUMBER(E116),E116-SUM(E117:E120),"")</f>
        <v>-0.00200465727659704</v>
      </c>
      <c r="F121" s="8" t="n">
        <f aca="false">IF(ISNUMBER(F116),F116-SUM(F117:F120),"")</f>
        <v>-0.0014467772728004</v>
      </c>
      <c r="G121" s="8" t="n">
        <f aca="false">IF(ISNUMBER(G116),G116-SUM(G117:G120),"")</f>
        <v>-0.000978696600011375</v>
      </c>
      <c r="H121" s="8" t="n">
        <f aca="false">IF(ISNUMBER(H116),H116-SUM(H117:H120),"")</f>
        <v>-0.000315929512740148</v>
      </c>
      <c r="I121" s="4" t="s">
        <v>144</v>
      </c>
    </row>
    <row r="122" customFormat="false" ht="15" hidden="false" customHeight="false" outlineLevel="0" collapsed="false">
      <c r="A122" s="3" t="s">
        <v>145</v>
      </c>
      <c r="B122" s="3"/>
      <c r="C122" s="3"/>
      <c r="D122" s="3"/>
      <c r="E122" s="3"/>
      <c r="F122" s="3"/>
      <c r="G122" s="3"/>
      <c r="H122" s="3"/>
      <c r="I122" s="3"/>
    </row>
    <row r="123" customFormat="false" ht="28.35" hidden="false" customHeight="false" outlineLevel="0" collapsed="false">
      <c r="A123" s="4" t="s">
        <v>159</v>
      </c>
      <c r="B123" s="4" t="s">
        <v>136</v>
      </c>
      <c r="C123" s="5" t="n">
        <v>0.357650584747695</v>
      </c>
      <c r="D123" s="5" t="n">
        <v>0.359666154359006</v>
      </c>
      <c r="E123" s="5" t="n">
        <v>0.254946743210703</v>
      </c>
      <c r="F123" s="5" t="n">
        <v>0.295765007465006</v>
      </c>
      <c r="G123" s="5" t="n">
        <v>0.387471141172531</v>
      </c>
      <c r="H123" s="5" t="n">
        <v>0.456842925927943</v>
      </c>
      <c r="I123" s="3"/>
    </row>
    <row r="124" customFormat="false" ht="15" hidden="false" customHeight="false" outlineLevel="0" collapsed="false">
      <c r="A124" s="3"/>
      <c r="B124" s="4" t="s">
        <v>137</v>
      </c>
      <c r="C124" s="5" t="n">
        <v>0.357650584747695</v>
      </c>
      <c r="D124" s="5" t="n">
        <v>0.359666154359006</v>
      </c>
      <c r="E124" s="5" t="n">
        <v>0.254946743210703</v>
      </c>
      <c r="F124" s="5" t="n">
        <v>0.295765007465006</v>
      </c>
      <c r="G124" s="5" t="n">
        <v>0.387471141172531</v>
      </c>
      <c r="H124" s="5" t="n">
        <v>0.456842925927943</v>
      </c>
      <c r="I124" s="3"/>
    </row>
    <row r="125" customFormat="false" ht="15" hidden="false" customHeight="false" outlineLevel="0" collapsed="false">
      <c r="A125" s="3"/>
      <c r="B125" s="4" t="s">
        <v>138</v>
      </c>
      <c r="C125" s="5" t="n">
        <f aca="false">IF(AND(ISNUMBER(C124),ISNUMBER(C123)),C124-C123,"")</f>
        <v>0</v>
      </c>
      <c r="D125" s="5" t="n">
        <f aca="false">IF(AND(ISNUMBER(D124),ISNUMBER(D123)),D124-D123,"")</f>
        <v>0</v>
      </c>
      <c r="E125" s="5" t="n">
        <f aca="false">IF(AND(ISNUMBER(E124),ISNUMBER(E123)),E124-E123,"")</f>
        <v>0</v>
      </c>
      <c r="F125" s="5" t="n">
        <f aca="false">IF(AND(ISNUMBER(F124),ISNUMBER(F123)),F124-F123,"")</f>
        <v>0</v>
      </c>
      <c r="G125" s="5" t="n">
        <f aca="false">IF(AND(ISNUMBER(G124),ISNUMBER(G123)),G124-G123,"")</f>
        <v>0</v>
      </c>
      <c r="H125" s="5" t="n">
        <f aca="false">IF(AND(ISNUMBER(H124),ISNUMBER(H123)),H124-H123,"")</f>
        <v>0</v>
      </c>
      <c r="I125" s="3"/>
    </row>
    <row r="126" customFormat="false" ht="28.35" hidden="false" customHeight="false" outlineLevel="0" collapsed="false">
      <c r="A126" s="3"/>
      <c r="B126" s="4" t="s">
        <v>139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3"/>
    </row>
    <row r="127" customFormat="false" ht="28.35" hidden="false" customHeight="false" outlineLevel="0" collapsed="false">
      <c r="A127" s="3"/>
      <c r="B127" s="4" t="s">
        <v>140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3"/>
    </row>
    <row r="128" customFormat="false" ht="28.35" hidden="false" customHeight="false" outlineLevel="0" collapsed="false">
      <c r="A128" s="3"/>
      <c r="B128" s="4" t="s">
        <v>141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3"/>
    </row>
    <row r="129" customFormat="false" ht="28.35" hidden="false" customHeight="false" outlineLevel="0" collapsed="false">
      <c r="A129" s="3"/>
      <c r="B129" s="4" t="s">
        <v>142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3"/>
    </row>
    <row r="130" customFormat="false" ht="15" hidden="false" customHeight="false" outlineLevel="0" collapsed="false">
      <c r="A130" s="3"/>
      <c r="B130" s="4" t="s">
        <v>143</v>
      </c>
      <c r="C130" s="5" t="n">
        <f aca="false">IF(ISNUMBER(C125),C125-SUM(C126:C129),"")</f>
        <v>0</v>
      </c>
      <c r="D130" s="5" t="n">
        <f aca="false">IF(ISNUMBER(D125),D125-SUM(D126:D129),"")</f>
        <v>0</v>
      </c>
      <c r="E130" s="5" t="n">
        <f aca="false">IF(ISNUMBER(E125),E125-SUM(E126:E129),"")</f>
        <v>0</v>
      </c>
      <c r="F130" s="5" t="n">
        <f aca="false">IF(ISNUMBER(F125),F125-SUM(F126:F129),"")</f>
        <v>0</v>
      </c>
      <c r="G130" s="5" t="n">
        <f aca="false">IF(ISNUMBER(G125),G125-SUM(G126:G129),"")</f>
        <v>0</v>
      </c>
      <c r="H130" s="5" t="n">
        <f aca="false">IF(ISNUMBER(H125),H125-SUM(H126:H129),"")</f>
        <v>0</v>
      </c>
      <c r="I130" s="4" t="s">
        <v>144</v>
      </c>
    </row>
    <row r="131" customFormat="false" ht="15" hidden="false" customHeight="false" outlineLevel="0" collapsed="false">
      <c r="A131" s="3" t="s">
        <v>145</v>
      </c>
      <c r="B131" s="3"/>
      <c r="C131" s="3"/>
      <c r="D131" s="3"/>
      <c r="E131" s="3"/>
      <c r="F131" s="3"/>
      <c r="G131" s="3"/>
      <c r="H131" s="3"/>
      <c r="I131" s="3"/>
    </row>
    <row r="132" customFormat="false" ht="15" hidden="false" customHeight="false" outlineLevel="0" collapsed="false">
      <c r="A132" s="4" t="s">
        <v>160</v>
      </c>
      <c r="B132" s="4" t="s">
        <v>136</v>
      </c>
      <c r="C132" s="8" t="n">
        <v>12</v>
      </c>
      <c r="D132" s="8" t="n">
        <v>34.8483313406875</v>
      </c>
      <c r="E132" s="8" t="n">
        <v>111.721878221999</v>
      </c>
      <c r="F132" s="8" t="n">
        <v>130.806834285166</v>
      </c>
      <c r="G132" s="8" t="n">
        <v>140.775447504037</v>
      </c>
      <c r="H132" s="8" t="n">
        <v>126.007907232123</v>
      </c>
      <c r="I132" s="3"/>
    </row>
    <row r="133" customFormat="false" ht="15" hidden="false" customHeight="false" outlineLevel="0" collapsed="false">
      <c r="A133" s="3"/>
      <c r="B133" s="4" t="s">
        <v>137</v>
      </c>
      <c r="C133" s="8" t="n">
        <v>12</v>
      </c>
      <c r="D133" s="8" t="n">
        <v>33.648128462528</v>
      </c>
      <c r="E133" s="8" t="n">
        <v>109.253840930325</v>
      </c>
      <c r="F133" s="8" t="n">
        <v>125.657265814756</v>
      </c>
      <c r="G133" s="8" t="n">
        <v>130.970005422957</v>
      </c>
      <c r="H133" s="8" t="n">
        <v>108.329963026403</v>
      </c>
      <c r="I133" s="3"/>
    </row>
    <row r="134" customFormat="false" ht="15" hidden="false" customHeight="false" outlineLevel="0" collapsed="false">
      <c r="A134" s="3"/>
      <c r="B134" s="4" t="s">
        <v>138</v>
      </c>
      <c r="C134" s="8" t="n">
        <f aca="false">IF(AND(ISNUMBER(C133),ISNUMBER(C132)),C133-C132,"")</f>
        <v>0</v>
      </c>
      <c r="D134" s="8" t="n">
        <f aca="false">IF(AND(ISNUMBER(D133),ISNUMBER(D132)),D133-D132,"")</f>
        <v>-1.2002028781595</v>
      </c>
      <c r="E134" s="8" t="n">
        <f aca="false">IF(AND(ISNUMBER(E133),ISNUMBER(E132)),E133-E132,"")</f>
        <v>-2.46803729167401</v>
      </c>
      <c r="F134" s="8" t="n">
        <f aca="false">IF(AND(ISNUMBER(F133),ISNUMBER(F132)),F133-F132,"")</f>
        <v>-5.14956847040999</v>
      </c>
      <c r="G134" s="8" t="n">
        <f aca="false">IF(AND(ISNUMBER(G133),ISNUMBER(G132)),G133-G132,"")</f>
        <v>-9.80544208108</v>
      </c>
      <c r="H134" s="8" t="n">
        <f aca="false">IF(AND(ISNUMBER(H133),ISNUMBER(H132)),H133-H132,"")</f>
        <v>-17.67794420572</v>
      </c>
      <c r="I134" s="3"/>
    </row>
    <row r="135" customFormat="false" ht="28.35" hidden="false" customHeight="false" outlineLevel="0" collapsed="false">
      <c r="A135" s="3"/>
      <c r="B135" s="4" t="s">
        <v>139</v>
      </c>
      <c r="C135" s="8" t="n">
        <v>0</v>
      </c>
      <c r="D135" s="8" t="n">
        <v>-1.2002028781595</v>
      </c>
      <c r="E135" s="8" t="n">
        <v>-2.46803729167401</v>
      </c>
      <c r="F135" s="8" t="n">
        <v>-5.14956847040999</v>
      </c>
      <c r="G135" s="8" t="n">
        <v>-9.80544208108</v>
      </c>
      <c r="H135" s="8" t="n">
        <v>-17.67794420572</v>
      </c>
      <c r="I135" s="3"/>
    </row>
    <row r="136" customFormat="false" ht="28.35" hidden="false" customHeight="false" outlineLevel="0" collapsed="false">
      <c r="A136" s="3"/>
      <c r="B136" s="4" t="s">
        <v>140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3"/>
    </row>
    <row r="137" customFormat="false" ht="28.35" hidden="false" customHeight="false" outlineLevel="0" collapsed="false">
      <c r="A137" s="3"/>
      <c r="B137" s="4" t="s">
        <v>141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0</v>
      </c>
      <c r="I137" s="3"/>
    </row>
    <row r="138" customFormat="false" ht="28.35" hidden="false" customHeight="false" outlineLevel="0" collapsed="false">
      <c r="A138" s="3"/>
      <c r="B138" s="4" t="s">
        <v>142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3"/>
    </row>
    <row r="139" customFormat="false" ht="15" hidden="false" customHeight="false" outlineLevel="0" collapsed="false">
      <c r="A139" s="3"/>
      <c r="B139" s="4" t="s">
        <v>143</v>
      </c>
      <c r="C139" s="8" t="n">
        <f aca="false">IF(ISNUMBER(C134),C134-SUM(C135:C138),"")</f>
        <v>0</v>
      </c>
      <c r="D139" s="8" t="n">
        <f aca="false">IF(ISNUMBER(D134),D134-SUM(D135:D138),"")</f>
        <v>0</v>
      </c>
      <c r="E139" s="8" t="n">
        <f aca="false">IF(ISNUMBER(E134),E134-SUM(E135:E138),"")</f>
        <v>0</v>
      </c>
      <c r="F139" s="8" t="n">
        <f aca="false">IF(ISNUMBER(F134),F134-SUM(F135:F138),"")</f>
        <v>0</v>
      </c>
      <c r="G139" s="8" t="n">
        <f aca="false">IF(ISNUMBER(G134),G134-SUM(G135:G138),"")</f>
        <v>0</v>
      </c>
      <c r="H139" s="8" t="n">
        <f aca="false">IF(ISNUMBER(H134),H134-SUM(H135:H138),"")</f>
        <v>0</v>
      </c>
      <c r="I139" s="4" t="s">
        <v>144</v>
      </c>
    </row>
    <row r="140" customFormat="false" ht="15" hidden="false" customHeight="false" outlineLevel="0" collapsed="false">
      <c r="A140" s="3" t="s">
        <v>145</v>
      </c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false" outlineLevel="0" collapsed="false">
      <c r="A141" s="3" t="s">
        <v>161</v>
      </c>
      <c r="B141" s="4" t="s">
        <v>136</v>
      </c>
      <c r="C141" s="5" t="n">
        <v>0.464588930001521</v>
      </c>
      <c r="D141" s="5" t="n">
        <v>0.546292905482132</v>
      </c>
      <c r="E141" s="5" t="n">
        <v>0.702035424255094</v>
      </c>
      <c r="F141" s="5" t="n">
        <v>0.669023969660593</v>
      </c>
      <c r="G141" s="5" t="n">
        <v>0.611046613436648</v>
      </c>
      <c r="H141" s="5" t="n">
        <v>0.50938347879306</v>
      </c>
      <c r="I141" s="3"/>
    </row>
    <row r="142" customFormat="false" ht="15" hidden="false" customHeight="false" outlineLevel="0" collapsed="false">
      <c r="A142" s="3"/>
      <c r="B142" s="4" t="s">
        <v>137</v>
      </c>
      <c r="C142" s="5" t="n">
        <v>0.464588930001521</v>
      </c>
      <c r="D142" s="5" t="n">
        <v>0.530517151472215</v>
      </c>
      <c r="E142" s="5" t="n">
        <v>0.687681683756324</v>
      </c>
      <c r="F142" s="5" t="n">
        <v>0.644747912130589</v>
      </c>
      <c r="G142" s="5" t="n">
        <v>0.572123911786309</v>
      </c>
      <c r="H142" s="5" t="n">
        <v>0.445482180109761</v>
      </c>
      <c r="I142" s="3"/>
    </row>
    <row r="143" customFormat="false" ht="15" hidden="false" customHeight="false" outlineLevel="0" collapsed="false">
      <c r="A143" s="3"/>
      <c r="B143" s="4" t="s">
        <v>138</v>
      </c>
      <c r="C143" s="5" t="n">
        <f aca="false">IF(AND(ISNUMBER(C142),ISNUMBER(C141)),C142-C141,"")</f>
        <v>0</v>
      </c>
      <c r="D143" s="5" t="n">
        <f aca="false">IF(AND(ISNUMBER(D142),ISNUMBER(D141)),D142-D141,"")</f>
        <v>-0.015775754009917</v>
      </c>
      <c r="E143" s="5" t="n">
        <f aca="false">IF(AND(ISNUMBER(E142),ISNUMBER(E141)),E142-E141,"")</f>
        <v>-0.01435374049877</v>
      </c>
      <c r="F143" s="5" t="n">
        <f aca="false">IF(AND(ISNUMBER(F142),ISNUMBER(F141)),F142-F141,"")</f>
        <v>-0.0242760575300039</v>
      </c>
      <c r="G143" s="5" t="n">
        <f aca="false">IF(AND(ISNUMBER(G142),ISNUMBER(G141)),G142-G141,"")</f>
        <v>-0.0389227016503391</v>
      </c>
      <c r="H143" s="5" t="n">
        <f aca="false">IF(AND(ISNUMBER(H142),ISNUMBER(H141)),H142-H141,"")</f>
        <v>-0.063901298683299</v>
      </c>
      <c r="I143" s="3"/>
    </row>
    <row r="144" customFormat="false" ht="28.35" hidden="false" customHeight="false" outlineLevel="0" collapsed="false">
      <c r="A144" s="3"/>
      <c r="B144" s="4" t="s">
        <v>139</v>
      </c>
      <c r="C144" s="5" t="n">
        <v>0</v>
      </c>
      <c r="D144" s="5" t="n">
        <v>-0.015775754009917</v>
      </c>
      <c r="E144" s="5" t="n">
        <v>-0.01435374049877</v>
      </c>
      <c r="F144" s="5" t="n">
        <v>-0.024276057530004</v>
      </c>
      <c r="G144" s="5" t="n">
        <v>-0.0389227016503391</v>
      </c>
      <c r="H144" s="5" t="n">
        <v>-0.063901298683299</v>
      </c>
      <c r="I144" s="3"/>
    </row>
    <row r="145" customFormat="false" ht="28.35" hidden="false" customHeight="false" outlineLevel="0" collapsed="false">
      <c r="A145" s="3"/>
      <c r="B145" s="4" t="s">
        <v>140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3"/>
    </row>
    <row r="146" customFormat="false" ht="28.35" hidden="false" customHeight="false" outlineLevel="0" collapsed="false">
      <c r="A146" s="3"/>
      <c r="B146" s="4" t="s">
        <v>141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3"/>
    </row>
    <row r="147" customFormat="false" ht="28.35" hidden="false" customHeight="false" outlineLevel="0" collapsed="false">
      <c r="A147" s="3"/>
      <c r="B147" s="4" t="s">
        <v>142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3"/>
    </row>
    <row r="148" customFormat="false" ht="15" hidden="false" customHeight="false" outlineLevel="0" collapsed="false">
      <c r="A148" s="3"/>
      <c r="B148" s="4" t="s">
        <v>143</v>
      </c>
      <c r="C148" s="5" t="n">
        <f aca="false">IF(ISNUMBER(C143),C143-SUM(C144:C147),"")</f>
        <v>0</v>
      </c>
      <c r="D148" s="5" t="n">
        <f aca="false">IF(ISNUMBER(D143),D143-SUM(D144:D147),"")</f>
        <v>0</v>
      </c>
      <c r="E148" s="5" t="n">
        <f aca="false">IF(ISNUMBER(E143),E143-SUM(E144:E147),"")</f>
        <v>0</v>
      </c>
      <c r="F148" s="5" t="n">
        <f aca="false">IF(ISNUMBER(F143),F143-SUM(F144:F147),"")</f>
        <v>0</v>
      </c>
      <c r="G148" s="5" t="n">
        <f aca="false">IF(ISNUMBER(G143),G143-SUM(G144:G147),"")</f>
        <v>0</v>
      </c>
      <c r="H148" s="5" t="n">
        <f aca="false">IF(ISNUMBER(H143),H143-SUM(H144:H147),"")</f>
        <v>0</v>
      </c>
      <c r="I148" s="4" t="s">
        <v>144</v>
      </c>
    </row>
    <row r="149" customFormat="false" ht="15" hidden="false" customHeight="false" outlineLevel="0" collapsed="false">
      <c r="A149" s="3" t="s">
        <v>145</v>
      </c>
      <c r="B149" s="3"/>
      <c r="C149" s="3"/>
      <c r="D149" s="3"/>
      <c r="E149" s="3"/>
      <c r="F149" s="3"/>
      <c r="G149" s="3"/>
      <c r="H149" s="3"/>
      <c r="I149" s="3"/>
    </row>
    <row r="150" customFormat="false" ht="15" hidden="false" customHeight="false" outlineLevel="0" collapsed="false">
      <c r="A150" s="3" t="s">
        <v>162</v>
      </c>
      <c r="B150" s="4" t="s">
        <v>136</v>
      </c>
      <c r="C150" s="8" t="n">
        <v>10.842680382442</v>
      </c>
      <c r="D150" s="8" t="n">
        <v>33.6910117231295</v>
      </c>
      <c r="E150" s="8" t="n">
        <v>110.564558604441</v>
      </c>
      <c r="F150" s="8" t="n">
        <v>129.649514667608</v>
      </c>
      <c r="G150" s="8" t="n">
        <v>139.618127886479</v>
      </c>
      <c r="H150" s="8" t="n">
        <v>124.850587614565</v>
      </c>
      <c r="I150" s="3"/>
    </row>
    <row r="151" customFormat="false" ht="15" hidden="false" customHeight="false" outlineLevel="0" collapsed="false">
      <c r="A151" s="3"/>
      <c r="B151" s="4" t="s">
        <v>137</v>
      </c>
      <c r="C151" s="8" t="n">
        <v>10.093142775495</v>
      </c>
      <c r="D151" s="8" t="n">
        <v>31.741271238023</v>
      </c>
      <c r="E151" s="8" t="n">
        <v>107.34698370582</v>
      </c>
      <c r="F151" s="8" t="n">
        <v>123.750408590251</v>
      </c>
      <c r="G151" s="8" t="n">
        <v>129.063148198452</v>
      </c>
      <c r="H151" s="8" t="n">
        <v>106.423105801898</v>
      </c>
      <c r="I151" s="3"/>
    </row>
    <row r="152" customFormat="false" ht="15" hidden="false" customHeight="false" outlineLevel="0" collapsed="false">
      <c r="A152" s="3"/>
      <c r="B152" s="4" t="s">
        <v>138</v>
      </c>
      <c r="C152" s="8" t="n">
        <f aca="false">IF(AND(ISNUMBER(C151),ISNUMBER(C150)),C151-C150,"")</f>
        <v>-0.749537606946999</v>
      </c>
      <c r="D152" s="8" t="n">
        <f aca="false">IF(AND(ISNUMBER(D151),ISNUMBER(D150)),D151-D150,"")</f>
        <v>-1.9497404851065</v>
      </c>
      <c r="E152" s="8" t="n">
        <f aca="false">IF(AND(ISNUMBER(E151),ISNUMBER(E150)),E151-E150,"")</f>
        <v>-3.21757489862101</v>
      </c>
      <c r="F152" s="8" t="n">
        <f aca="false">IF(AND(ISNUMBER(F151),ISNUMBER(F150)),F151-F150,"")</f>
        <v>-5.899106077357</v>
      </c>
      <c r="G152" s="8" t="n">
        <f aca="false">IF(AND(ISNUMBER(G151),ISNUMBER(G150)),G151-G150,"")</f>
        <v>-10.554979688027</v>
      </c>
      <c r="H152" s="8" t="n">
        <f aca="false">IF(AND(ISNUMBER(H151),ISNUMBER(H150)),H151-H150,"")</f>
        <v>-18.427481812667</v>
      </c>
      <c r="I152" s="3"/>
    </row>
    <row r="153" customFormat="false" ht="28.35" hidden="false" customHeight="false" outlineLevel="0" collapsed="false">
      <c r="A153" s="3"/>
      <c r="B153" s="4" t="s">
        <v>139</v>
      </c>
      <c r="C153" s="8" t="n">
        <v>0</v>
      </c>
      <c r="D153" s="8" t="n">
        <v>-1.2002028781595</v>
      </c>
      <c r="E153" s="8" t="n">
        <v>-2.46803729167401</v>
      </c>
      <c r="F153" s="8" t="n">
        <v>-5.14956847041</v>
      </c>
      <c r="G153" s="8" t="n">
        <v>-9.80544208107997</v>
      </c>
      <c r="H153" s="8" t="n">
        <v>-17.67794420572</v>
      </c>
      <c r="I153" s="3"/>
    </row>
    <row r="154" customFormat="false" ht="28.35" hidden="false" customHeight="false" outlineLevel="0" collapsed="false">
      <c r="A154" s="3"/>
      <c r="B154" s="4" t="s">
        <v>140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3"/>
    </row>
    <row r="155" customFormat="false" ht="28.35" hidden="false" customHeight="false" outlineLevel="0" collapsed="false">
      <c r="A155" s="3"/>
      <c r="B155" s="4" t="s">
        <v>141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3"/>
    </row>
    <row r="156" customFormat="false" ht="28.35" hidden="false" customHeight="false" outlineLevel="0" collapsed="false">
      <c r="A156" s="3"/>
      <c r="B156" s="4" t="s">
        <v>142</v>
      </c>
      <c r="C156" s="8" t="n">
        <v>-0.749537606946999</v>
      </c>
      <c r="D156" s="8" t="n">
        <v>-0.749537606947101</v>
      </c>
      <c r="E156" s="8" t="n">
        <v>-0.749537606947001</v>
      </c>
      <c r="F156" s="8" t="n">
        <v>-0.749537606947001</v>
      </c>
      <c r="G156" s="8" t="n">
        <v>-0.749537606947001</v>
      </c>
      <c r="H156" s="8" t="n">
        <v>-0.749537606947001</v>
      </c>
      <c r="I156" s="3"/>
    </row>
    <row r="157" customFormat="false" ht="15" hidden="false" customHeight="false" outlineLevel="0" collapsed="false">
      <c r="A157" s="3"/>
      <c r="B157" s="4" t="s">
        <v>143</v>
      </c>
      <c r="C157" s="8" t="n">
        <f aca="false">IF(ISNUMBER(C152),C152-SUM(C153:C156),"")</f>
        <v>0</v>
      </c>
      <c r="D157" s="8" t="n">
        <f aca="false">IF(ISNUMBER(D152),D152-SUM(D153:D156),"")</f>
        <v>1.03472785895065E-013</v>
      </c>
      <c r="E157" s="8" t="n">
        <f aca="false">IF(ISNUMBER(E152),E152-SUM(E153:E156),"")</f>
        <v>0</v>
      </c>
      <c r="F157" s="8" t="n">
        <f aca="false">IF(ISNUMBER(F152),F152-SUM(F153:F156),"")</f>
        <v>0</v>
      </c>
      <c r="G157" s="8" t="n">
        <f aca="false">IF(ISNUMBER(G152),G152-SUM(G153:G156),"")</f>
        <v>0</v>
      </c>
      <c r="H157" s="8" t="n">
        <f aca="false">IF(ISNUMBER(H152),H152-SUM(H153:H156),"")</f>
        <v>0</v>
      </c>
      <c r="I157" s="4" t="s">
        <v>144</v>
      </c>
    </row>
    <row r="158" customFormat="false" ht="15" hidden="false" customHeight="false" outlineLevel="0" collapsed="false">
      <c r="A158" s="3" t="s">
        <v>145</v>
      </c>
      <c r="B158" s="3"/>
      <c r="C158" s="3"/>
      <c r="D158" s="3"/>
      <c r="E158" s="3"/>
      <c r="F158" s="3"/>
      <c r="G158" s="3"/>
      <c r="H158" s="3"/>
      <c r="I158" s="3"/>
    </row>
    <row r="159" customFormat="false" ht="28.35" hidden="false" customHeight="false" outlineLevel="0" collapsed="false">
      <c r="A159" s="4" t="s">
        <v>163</v>
      </c>
      <c r="B159" s="4" t="s">
        <v>136</v>
      </c>
      <c r="C159" s="9"/>
      <c r="D159" s="9" t="n">
        <v>0</v>
      </c>
      <c r="E159" s="9" t="n">
        <v>38.433249412048</v>
      </c>
      <c r="F159" s="9" t="n">
        <v>173.311380534672</v>
      </c>
      <c r="G159" s="9" t="n">
        <v>310.936002727395</v>
      </c>
      <c r="H159" s="9" t="n">
        <v>442.844811653528</v>
      </c>
      <c r="I159" s="3"/>
    </row>
    <row r="160" customFormat="false" ht="15" hidden="false" customHeight="false" outlineLevel="0" collapsed="false">
      <c r="A160" s="3"/>
      <c r="B160" s="4" t="s">
        <v>137</v>
      </c>
      <c r="C160" s="9"/>
      <c r="D160" s="9" t="n">
        <v>0</v>
      </c>
      <c r="E160" s="9" t="n">
        <v>38.433249412048</v>
      </c>
      <c r="F160" s="9" t="n">
        <v>173.311380534672</v>
      </c>
      <c r="G160" s="9" t="n">
        <v>310.936002727395</v>
      </c>
      <c r="H160" s="9" t="n">
        <v>442.844811653528</v>
      </c>
      <c r="I160" s="3"/>
    </row>
    <row r="161" customFormat="false" ht="15" hidden="false" customHeight="false" outlineLevel="0" collapsed="false">
      <c r="A161" s="3"/>
      <c r="B161" s="4" t="s">
        <v>138</v>
      </c>
      <c r="C161" s="9" t="str">
        <f aca="false">IF(AND(ISNUMBER(C160),ISNUMBER(C159)),C160-C159,"")</f>
        <v/>
      </c>
      <c r="D161" s="9" t="n">
        <f aca="false">IF(AND(ISNUMBER(D160),ISNUMBER(D159)),D160-D159,"")</f>
        <v>0</v>
      </c>
      <c r="E161" s="9" t="n">
        <f aca="false">IF(AND(ISNUMBER(E160),ISNUMBER(E159)),E160-E159,"")</f>
        <v>0</v>
      </c>
      <c r="F161" s="9" t="n">
        <f aca="false">IF(AND(ISNUMBER(F160),ISNUMBER(F159)),F160-F159,"")</f>
        <v>0</v>
      </c>
      <c r="G161" s="9" t="n">
        <f aca="false">IF(AND(ISNUMBER(G160),ISNUMBER(G159)),G160-G159,"")</f>
        <v>0</v>
      </c>
      <c r="H161" s="9" t="n">
        <f aca="false">IF(AND(ISNUMBER(H160),ISNUMBER(H159)),H160-H159,"")</f>
        <v>0</v>
      </c>
      <c r="I161" s="3"/>
    </row>
    <row r="162" customFormat="false" ht="28.35" hidden="false" customHeight="false" outlineLevel="0" collapsed="false">
      <c r="A162" s="3"/>
      <c r="B162" s="4" t="s">
        <v>139</v>
      </c>
      <c r="C162" s="9"/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3"/>
    </row>
    <row r="163" customFormat="false" ht="28.35" hidden="false" customHeight="false" outlineLevel="0" collapsed="false">
      <c r="A163" s="3"/>
      <c r="B163" s="4" t="s">
        <v>140</v>
      </c>
      <c r="C163" s="9"/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3"/>
    </row>
    <row r="164" customFormat="false" ht="28.35" hidden="false" customHeight="false" outlineLevel="0" collapsed="false">
      <c r="A164" s="3"/>
      <c r="B164" s="4" t="s">
        <v>141</v>
      </c>
      <c r="C164" s="9"/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3"/>
    </row>
    <row r="165" customFormat="false" ht="28.35" hidden="false" customHeight="false" outlineLevel="0" collapsed="false">
      <c r="A165" s="3"/>
      <c r="B165" s="4" t="s">
        <v>142</v>
      </c>
      <c r="C165" s="9"/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3"/>
    </row>
    <row r="166" customFormat="false" ht="15" hidden="false" customHeight="false" outlineLevel="0" collapsed="false">
      <c r="A166" s="3"/>
      <c r="B166" s="4" t="s">
        <v>143</v>
      </c>
      <c r="C166" s="9" t="str">
        <f aca="false">IF(ISNUMBER(C161),C161-SUM(C162:C165),"")</f>
        <v/>
      </c>
      <c r="D166" s="9" t="n">
        <f aca="false">IF(ISNUMBER(D161),D161-SUM(D162:D165),"")</f>
        <v>0</v>
      </c>
      <c r="E166" s="9" t="n">
        <f aca="false">IF(ISNUMBER(E161),E161-SUM(E162:E165),"")</f>
        <v>0</v>
      </c>
      <c r="F166" s="9" t="n">
        <f aca="false">IF(ISNUMBER(F161),F161-SUM(F162:F165),"")</f>
        <v>0</v>
      </c>
      <c r="G166" s="9" t="n">
        <f aca="false">IF(ISNUMBER(G161),G161-SUM(G162:G165),"")</f>
        <v>0</v>
      </c>
      <c r="H166" s="9" t="n">
        <f aca="false">IF(ISNUMBER(H161),H161-SUM(H162:H165),"")</f>
        <v>0</v>
      </c>
      <c r="I166" s="4" t="s">
        <v>144</v>
      </c>
    </row>
    <row r="167" customFormat="false" ht="15" hidden="false" customHeight="false" outlineLevel="0" collapsed="false">
      <c r="A167" s="3" t="s">
        <v>145</v>
      </c>
      <c r="B167" s="3"/>
      <c r="C167" s="3"/>
      <c r="D167" s="3"/>
      <c r="E167" s="3"/>
      <c r="F167" s="3"/>
      <c r="G167" s="3"/>
      <c r="H167" s="3"/>
      <c r="I167" s="3"/>
    </row>
    <row r="168" customFormat="false" ht="55.2" hidden="false" customHeight="false" outlineLevel="0" collapsed="false">
      <c r="A168" s="3" t="s">
        <v>164</v>
      </c>
      <c r="B168" s="4" t="s">
        <v>136</v>
      </c>
      <c r="C168" s="7" t="n">
        <v>1.2390372618626</v>
      </c>
      <c r="D168" s="7" t="n">
        <v>1.11791590049691</v>
      </c>
      <c r="E168" s="7" t="n">
        <v>1.47004375661903</v>
      </c>
      <c r="F168" s="7" t="n">
        <v>1.22503646384919</v>
      </c>
      <c r="G168" s="7" t="n">
        <v>1.05003125472788</v>
      </c>
      <c r="H168" s="7"/>
      <c r="I168" s="3"/>
    </row>
    <row r="169" customFormat="false" ht="15" hidden="false" customHeight="false" outlineLevel="0" collapsed="false">
      <c r="A169" s="3"/>
      <c r="B169" s="4" t="s">
        <v>137</v>
      </c>
      <c r="C169" s="7" t="n">
        <v>1.2390372618626</v>
      </c>
      <c r="D169" s="7" t="n">
        <v>1.11791590049691</v>
      </c>
      <c r="E169" s="7" t="n">
        <v>1.47004375661903</v>
      </c>
      <c r="F169" s="7" t="n">
        <v>1.22503646384919</v>
      </c>
      <c r="G169" s="7" t="n">
        <v>1.05003125472788</v>
      </c>
      <c r="H169" s="7"/>
      <c r="I169" s="3"/>
    </row>
    <row r="170" customFormat="false" ht="15" hidden="false" customHeight="false" outlineLevel="0" collapsed="false">
      <c r="A170" s="3"/>
      <c r="B170" s="4" t="s">
        <v>138</v>
      </c>
      <c r="C170" s="7" t="n">
        <f aca="false">IF(AND(ISNUMBER(C169),ISNUMBER(C168)),C169-C168,"")</f>
        <v>0</v>
      </c>
      <c r="D170" s="7" t="n">
        <f aca="false">IF(AND(ISNUMBER(D169),ISNUMBER(D168)),D169-D168,"")</f>
        <v>0</v>
      </c>
      <c r="E170" s="7" t="n">
        <f aca="false">IF(AND(ISNUMBER(E169),ISNUMBER(E168)),E169-E168,"")</f>
        <v>0</v>
      </c>
      <c r="F170" s="7" t="n">
        <f aca="false">IF(AND(ISNUMBER(F169),ISNUMBER(F168)),F169-F168,"")</f>
        <v>0</v>
      </c>
      <c r="G170" s="7" t="n">
        <f aca="false">IF(AND(ISNUMBER(G169),ISNUMBER(G168)),G169-G168,"")</f>
        <v>0</v>
      </c>
      <c r="H170" s="7" t="str">
        <f aca="false">IF(AND(ISNUMBER(H169),ISNUMBER(H168)),H169-H168,"")</f>
        <v/>
      </c>
      <c r="I170" s="3"/>
    </row>
    <row r="171" customFormat="false" ht="28.35" hidden="false" customHeight="false" outlineLevel="0" collapsed="false">
      <c r="A171" s="3"/>
      <c r="B171" s="4" t="s">
        <v>139</v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/>
      <c r="I171" s="3"/>
    </row>
    <row r="172" customFormat="false" ht="28.35" hidden="false" customHeight="false" outlineLevel="0" collapsed="false">
      <c r="A172" s="3"/>
      <c r="B172" s="4" t="s">
        <v>140</v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/>
      <c r="I172" s="3"/>
    </row>
    <row r="173" customFormat="false" ht="28.35" hidden="false" customHeight="false" outlineLevel="0" collapsed="false">
      <c r="A173" s="3"/>
      <c r="B173" s="4" t="s">
        <v>141</v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/>
      <c r="I173" s="3"/>
    </row>
    <row r="174" customFormat="false" ht="28.35" hidden="false" customHeight="false" outlineLevel="0" collapsed="false">
      <c r="A174" s="3"/>
      <c r="B174" s="4" t="s">
        <v>142</v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/>
      <c r="I174" s="3"/>
    </row>
    <row r="175" customFormat="false" ht="15" hidden="false" customHeight="false" outlineLevel="0" collapsed="false">
      <c r="A175" s="3"/>
      <c r="B175" s="4" t="s">
        <v>143</v>
      </c>
      <c r="C175" s="7" t="n">
        <f aca="false">IF(ISNUMBER(C170),C170-SUM(C171:C174),"")</f>
        <v>0</v>
      </c>
      <c r="D175" s="7" t="n">
        <f aca="false">IF(ISNUMBER(D170),D170-SUM(D171:D174),"")</f>
        <v>0</v>
      </c>
      <c r="E175" s="7" t="n">
        <f aca="false">IF(ISNUMBER(E170),E170-SUM(E171:E174),"")</f>
        <v>0</v>
      </c>
      <c r="F175" s="7" t="n">
        <f aca="false">IF(ISNUMBER(F170),F170-SUM(F171:F174),"")</f>
        <v>0</v>
      </c>
      <c r="G175" s="7" t="n">
        <f aca="false">IF(ISNUMBER(G170),G170-SUM(G171:G174),"")</f>
        <v>0</v>
      </c>
      <c r="H175" s="7" t="str">
        <f aca="false">IF(ISNUMBER(H170),H170-SUM(H171:H174),"")</f>
        <v/>
      </c>
      <c r="I175" s="4" t="s">
        <v>144</v>
      </c>
    </row>
    <row r="176" customFormat="false" ht="15" hidden="false" customHeight="false" outlineLevel="0" collapsed="false">
      <c r="A176" s="3" t="s">
        <v>145</v>
      </c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false" outlineLevel="0" collapsed="false">
      <c r="A177" s="4" t="s">
        <v>165</v>
      </c>
      <c r="B177" s="4" t="s">
        <v>166</v>
      </c>
      <c r="C177" s="5" t="n">
        <f aca="false">C39/C49</f>
        <v>0.588235294117647</v>
      </c>
      <c r="D177" s="5" t="n">
        <f aca="false">D39/D49</f>
        <v>0.727270969139257</v>
      </c>
      <c r="E177" s="5" t="n">
        <f aca="false">E39/E49</f>
        <v>0.875882988589644</v>
      </c>
      <c r="F177" s="5" t="n">
        <f aca="false">F39/F49</f>
        <v>0.829517390324035</v>
      </c>
      <c r="G177" s="5" t="n">
        <f aca="false">G39/G49</f>
        <v>0.749494696893239</v>
      </c>
      <c r="H177" s="5" t="n">
        <f aca="false">H39/H49</f>
        <v>0.613475692464089</v>
      </c>
      <c r="I177" s="4" t="s">
        <v>167</v>
      </c>
    </row>
    <row r="178" customFormat="false" ht="15" hidden="false" customHeight="false" outlineLevel="0" collapsed="false">
      <c r="A178" s="3"/>
      <c r="B178" s="4" t="s">
        <v>168</v>
      </c>
      <c r="C178" s="5" t="n">
        <f aca="false">C40/C50</f>
        <v>0.588235294117647</v>
      </c>
      <c r="D178" s="5" t="n">
        <f aca="false">D40/D50</f>
        <v>0.702223207115036</v>
      </c>
      <c r="E178" s="5" t="n">
        <f aca="false">E40/E50</f>
        <v>0.85653394153293</v>
      </c>
      <c r="F178" s="5" t="n">
        <f aca="false">F40/F50</f>
        <v>0.796861171539955</v>
      </c>
      <c r="G178" s="5" t="n">
        <f aca="false">G40/G50</f>
        <v>0.697290090402804</v>
      </c>
      <c r="H178" s="5" t="n">
        <f aca="false">H40/H50</f>
        <v>0.527409751832539</v>
      </c>
      <c r="I178" s="3"/>
    </row>
    <row r="179" customFormat="false" ht="15" hidden="false" customHeight="false" outlineLevel="0" collapsed="false">
      <c r="A179" s="3"/>
      <c r="B179" s="4" t="s">
        <v>169</v>
      </c>
      <c r="C179" s="5" t="n">
        <f aca="false">C178-C177</f>
        <v>0</v>
      </c>
      <c r="D179" s="5" t="n">
        <f aca="false">D178-D177</f>
        <v>-0.0250477620242207</v>
      </c>
      <c r="E179" s="5" t="n">
        <f aca="false">E178-E177</f>
        <v>-0.0193490470567143</v>
      </c>
      <c r="F179" s="5" t="n">
        <f aca="false">F178-F177</f>
        <v>-0.0326562187840797</v>
      </c>
      <c r="G179" s="5" t="n">
        <f aca="false">G178-G177</f>
        <v>-0.0522046064904353</v>
      </c>
      <c r="H179" s="5" t="n">
        <f aca="false">H178-H177</f>
        <v>-0.0860659406315494</v>
      </c>
      <c r="I179" s="3"/>
    </row>
    <row r="180" customFormat="false" ht="15" hidden="false" customHeight="false" outlineLevel="0" collapsed="false">
      <c r="A180" s="3" t="s">
        <v>145</v>
      </c>
      <c r="B180" s="3"/>
      <c r="C180" s="3"/>
      <c r="D180" s="3"/>
      <c r="E180" s="3"/>
      <c r="F180" s="3"/>
      <c r="G180" s="3"/>
      <c r="H180" s="3"/>
      <c r="I180" s="3"/>
    </row>
    <row r="181" customFormat="false" ht="28.35" hidden="false" customHeight="false" outlineLevel="0" collapsed="false">
      <c r="A181" s="4" t="s">
        <v>170</v>
      </c>
      <c r="B181" s="4" t="s">
        <v>171</v>
      </c>
      <c r="C181" s="3" t="s">
        <v>172</v>
      </c>
      <c r="D181" s="3" t="s">
        <v>172</v>
      </c>
      <c r="E181" s="3"/>
      <c r="F181" s="3"/>
      <c r="G181" s="3"/>
      <c r="H181" s="3"/>
      <c r="I181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174</v>
      </c>
      <c r="B1" s="1" t="s">
        <v>175</v>
      </c>
      <c r="C1" s="1" t="s">
        <v>176</v>
      </c>
      <c r="D1" s="1" t="s">
        <v>177</v>
      </c>
    </row>
    <row r="2" customFormat="false" ht="82.05" hidden="false" customHeight="false" outlineLevel="0" collapsed="false">
      <c r="A2" s="3" t="s">
        <v>178</v>
      </c>
      <c r="B2" s="4" t="s">
        <v>179</v>
      </c>
      <c r="C2" s="3" t="s">
        <v>180</v>
      </c>
      <c r="D2" s="4" t="s">
        <v>181</v>
      </c>
    </row>
    <row r="3" customFormat="false" ht="95.5" hidden="false" customHeight="false" outlineLevel="0" collapsed="false">
      <c r="A3" s="3" t="s">
        <v>182</v>
      </c>
      <c r="B3" s="3" t="s">
        <v>183</v>
      </c>
      <c r="C3" s="4" t="s">
        <v>184</v>
      </c>
      <c r="D3" s="3" t="s">
        <v>185</v>
      </c>
    </row>
    <row r="4" customFormat="false" ht="68.65" hidden="false" customHeight="false" outlineLevel="0" collapsed="false">
      <c r="A4" s="4" t="s">
        <v>186</v>
      </c>
      <c r="B4" s="4" t="s">
        <v>187</v>
      </c>
      <c r="C4" s="4" t="s">
        <v>188</v>
      </c>
      <c r="D4" s="4" t="s">
        <v>189</v>
      </c>
    </row>
    <row r="5" customFormat="false" ht="82.05" hidden="false" customHeight="false" outlineLevel="0" collapsed="false">
      <c r="A5" s="4" t="s">
        <v>190</v>
      </c>
      <c r="B5" s="3" t="s">
        <v>191</v>
      </c>
      <c r="C5" s="4" t="s">
        <v>192</v>
      </c>
      <c r="D5" s="3" t="s">
        <v>193</v>
      </c>
    </row>
    <row r="6" customFormat="false" ht="28.35" hidden="false" customHeight="false" outlineLevel="0" collapsed="false">
      <c r="A6" s="3" t="s">
        <v>194</v>
      </c>
      <c r="B6" s="4" t="s">
        <v>195</v>
      </c>
      <c r="C6" s="4" t="s">
        <v>196</v>
      </c>
      <c r="D6" s="4" t="s">
        <v>197</v>
      </c>
    </row>
    <row r="7" customFormat="false" ht="68.65" hidden="false" customHeight="false" outlineLevel="0" collapsed="false">
      <c r="A7" s="3" t="s">
        <v>198</v>
      </c>
      <c r="B7" s="4" t="s">
        <v>199</v>
      </c>
      <c r="C7" s="4" t="s">
        <v>200</v>
      </c>
      <c r="D7" s="4" t="s">
        <v>201</v>
      </c>
    </row>
    <row r="8" customFormat="false" ht="15" hidden="false" customHeight="false" outlineLevel="0" collapsed="false">
      <c r="A8" s="3" t="s">
        <v>202</v>
      </c>
      <c r="B8" s="4" t="s">
        <v>203</v>
      </c>
      <c r="C8" s="3" t="s">
        <v>36</v>
      </c>
      <c r="D8" s="4" t="s">
        <v>197</v>
      </c>
    </row>
    <row r="9" customFormat="false" ht="95.5" hidden="false" customHeight="false" outlineLevel="0" collapsed="false">
      <c r="A9" s="4" t="s">
        <v>204</v>
      </c>
      <c r="B9" s="3" t="s">
        <v>205</v>
      </c>
      <c r="C9" s="4" t="s">
        <v>206</v>
      </c>
      <c r="D9" s="3" t="s">
        <v>36</v>
      </c>
    </row>
    <row r="10" customFormat="false" ht="68.65" hidden="false" customHeight="false" outlineLevel="0" collapsed="false">
      <c r="A10" s="4" t="s">
        <v>207</v>
      </c>
      <c r="B10" s="3" t="s">
        <v>208</v>
      </c>
      <c r="C10" s="3" t="s">
        <v>36</v>
      </c>
      <c r="D10" s="3" t="s">
        <v>36</v>
      </c>
    </row>
    <row r="11" customFormat="false" ht="41.75" hidden="false" customHeight="false" outlineLevel="0" collapsed="false">
      <c r="A11" s="4" t="s">
        <v>209</v>
      </c>
      <c r="B11" s="3" t="s">
        <v>210</v>
      </c>
      <c r="C11" s="3" t="s">
        <v>36</v>
      </c>
      <c r="D11" s="3" t="s">
        <v>36</v>
      </c>
    </row>
    <row r="12" customFormat="false" ht="41.75" hidden="false" customHeight="false" outlineLevel="0" collapsed="false">
      <c r="A12" s="3" t="s">
        <v>211</v>
      </c>
      <c r="B12" s="4" t="s">
        <v>212</v>
      </c>
      <c r="C12" s="4" t="s">
        <v>213</v>
      </c>
      <c r="D12" s="4" t="s">
        <v>214</v>
      </c>
    </row>
    <row r="13" customFormat="false" ht="82.05" hidden="false" customHeight="false" outlineLevel="0" collapsed="false">
      <c r="A13" s="3" t="s">
        <v>215</v>
      </c>
      <c r="B13" s="3" t="s">
        <v>216</v>
      </c>
      <c r="C13" s="3" t="s">
        <v>36</v>
      </c>
      <c r="D13" s="4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218</v>
      </c>
      <c r="B1" s="2" t="s">
        <v>5</v>
      </c>
      <c r="C1" s="2" t="s">
        <v>6</v>
      </c>
      <c r="D1" s="1" t="s">
        <v>2</v>
      </c>
    </row>
    <row r="2" customFormat="false" ht="41.75" hidden="false" customHeight="false" outlineLevel="0" collapsed="false">
      <c r="A2" s="3" t="s">
        <v>219</v>
      </c>
      <c r="B2" s="3" t="n">
        <v>0.63609601991434</v>
      </c>
      <c r="C2" s="3" t="n">
        <v>0.184347357556488</v>
      </c>
      <c r="D2" s="4" t="s">
        <v>220</v>
      </c>
    </row>
    <row r="3" customFormat="false" ht="41.75" hidden="false" customHeight="false" outlineLevel="0" collapsed="false">
      <c r="A3" s="3" t="s">
        <v>119</v>
      </c>
      <c r="B3" s="4" t="s">
        <v>83</v>
      </c>
      <c r="C3" s="3" t="n">
        <v>0.153326589039698</v>
      </c>
      <c r="D3" s="3" t="s">
        <v>221</v>
      </c>
    </row>
    <row r="4" customFormat="false" ht="15" hidden="false" customHeight="false" outlineLevel="0" collapsed="false">
      <c r="A4" s="3" t="s">
        <v>121</v>
      </c>
      <c r="B4" s="4" t="s">
        <v>83</v>
      </c>
      <c r="C4" s="3" t="n">
        <v>0.190702969330916</v>
      </c>
      <c r="D4" s="3"/>
    </row>
    <row r="5" customFormat="false" ht="41.75" hidden="false" customHeight="false" outlineLevel="0" collapsed="false">
      <c r="A5" s="4" t="s">
        <v>222</v>
      </c>
      <c r="B5" s="3" t="n">
        <f aca="false">1/(1+0.7)</f>
        <v>0.588235294117647</v>
      </c>
      <c r="C5" s="3" t="n">
        <f aca="false">1/(1+0.7)</f>
        <v>0.588235294117647</v>
      </c>
      <c r="D5" s="4" t="s">
        <v>223</v>
      </c>
    </row>
    <row r="6" customFormat="false" ht="55.2" hidden="false" customHeight="false" outlineLevel="0" collapsed="false">
      <c r="A6" s="3" t="s">
        <v>224</v>
      </c>
      <c r="B6" s="3" t="n">
        <v>0.0906847035646163</v>
      </c>
      <c r="C6" s="3" t="n">
        <v>0.202980591668232</v>
      </c>
      <c r="D6" s="4" t="s">
        <v>225</v>
      </c>
    </row>
    <row r="7" customFormat="false" ht="28.35" hidden="false" customHeight="false" outlineLevel="0" collapsed="false">
      <c r="A7" s="3" t="s">
        <v>226</v>
      </c>
      <c r="B7" s="3" t="n">
        <v>1.15731961755801</v>
      </c>
      <c r="C7" s="3" t="n">
        <v>1.90685722450505</v>
      </c>
      <c r="D7" s="4" t="s">
        <v>227</v>
      </c>
    </row>
    <row r="8" customFormat="false" ht="28.35" hidden="false" customHeight="false" outlineLevel="0" collapsed="false">
      <c r="A8" s="3" t="s">
        <v>228</v>
      </c>
      <c r="B8" s="3" t="n">
        <f aca="false">12/B7</f>
        <v>10.3687864769116</v>
      </c>
      <c r="C8" s="3" t="n">
        <f aca="false">12/C7</f>
        <v>6.29307734516661</v>
      </c>
      <c r="D8" s="4" t="s">
        <v>229</v>
      </c>
    </row>
    <row r="9" customFormat="false" ht="55.2" hidden="false" customHeight="false" outlineLevel="0" collapsed="false">
      <c r="A9" s="3" t="s">
        <v>230</v>
      </c>
      <c r="B9" s="3"/>
      <c r="C9" s="3"/>
      <c r="D9" s="3" t="s">
        <v>231</v>
      </c>
    </row>
    <row r="10" customFormat="false" ht="68.65" hidden="false" customHeight="false" outlineLevel="0" collapsed="false">
      <c r="A10" s="3" t="s">
        <v>232</v>
      </c>
      <c r="B10" s="3"/>
      <c r="C10" s="3"/>
      <c r="D10" s="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2026-10-22T06:43:31Z</dcterms:created>
  <dc:creator>openpyxl</dc:creator>
  <dc:description/>
  <dc:language>en-US</dc:language>
  <cp:lastModifiedBy/>
  <dcterms:modified xsi:type="dcterms:W3CDTF">2026-10-22T06:43:31Z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