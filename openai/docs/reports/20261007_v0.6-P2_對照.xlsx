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或變動列" sheetId="1" state="visible" r:id="rId1"/>
    <sheet xmlns:r="http://schemas.openxmlformats.org/officeDocument/2006/relationships" name="②關鍵輸出FY2025-2030" sheetId="2" state="visible" r:id="rId2"/>
    <sheet xmlns:r="http://schemas.openxmlformats.org/officeDocument/2006/relationships" name="③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2" customWidth="1" min="3" max="3"/>
    <col width="26" customWidth="1" min="4" max="4"/>
    <col width="40" customWidth="1" min="5" max="5"/>
    <col width="60" customWidth="1" min="6" max="6"/>
    <col width="50" customWidth="1" min="7" max="7"/>
  </cols>
  <sheetData>
    <row r="1">
      <c r="A1" s="1" t="inlineStr">
        <is>
          <t>① 本段（S2／v0.6-P2）新增或變動的每一列（前值＝S1 版 v0.6-P1.1；後值＝本版）</t>
        </is>
      </c>
    </row>
    <row r="3">
      <c r="A3" s="2" t="inlineStr">
        <is>
          <t>頁</t>
        </is>
      </c>
      <c r="B3" s="2" t="inlineStr">
        <is>
          <t>列名</t>
        </is>
      </c>
      <c r="C3" s="2" t="inlineStr">
        <is>
          <t>ID／編號</t>
        </is>
      </c>
      <c r="D3" s="2" t="inlineStr">
        <is>
          <t>前值</t>
        </is>
      </c>
      <c r="E3" s="2" t="inlineStr">
        <is>
          <t>後值</t>
        </is>
      </c>
      <c r="F3" s="2" t="inlineStr">
        <is>
          <t>來源／標記／公式</t>
        </is>
      </c>
      <c r="G3" s="2" t="inlineStr">
        <is>
          <t>說明</t>
        </is>
      </c>
    </row>
    <row r="4">
      <c r="A4" s="3" t="inlineStr">
        <is>
          <t>SRC_OAI</t>
        </is>
      </c>
      <c r="B4" s="3" t="inlineStr">
        <is>
          <t>API 價格事件 1 牌價：top 層 輸入（GPT-5.6 Sol）</t>
        </is>
      </c>
      <c r="C4" s="3" t="inlineStr">
        <is>
          <t>SRC_OAI_113</t>
        </is>
      </c>
      <c r="D4" s="3" t="inlineStr">
        <is>
          <t>—（新增）</t>
        </is>
      </c>
      <c r="E4" s="3" t="n">
        <v>5</v>
      </c>
      <c r="F4" s="3" t="inlineStr">
        <is>
          <t>Verified；openai.com 2026-07-30 GPT-5.6 降價公告；GPT-6 Sol/Luna 2026-09-22 發布（Techzine、MarkTechPost）；GPT-6 Astra 2026-09-03；日期 2026-07-09</t>
        </is>
      </c>
      <c r="G4" s="3" t="inlineStr">
        <is>
          <t>07-09 GPT-5.6 Sol 輸入；N3a 層級角色＝top（GPT-6 Astra 上市前）</t>
        </is>
      </c>
    </row>
    <row r="5">
      <c r="A5" s="3" t="inlineStr">
        <is>
          <t>SRC_OAI</t>
        </is>
      </c>
      <c r="B5" s="3" t="inlineStr">
        <is>
          <t>API 價格事件 1 牌價：top 層 輸出（GPT-5.6 Sol）</t>
        </is>
      </c>
      <c r="C5" s="3" t="inlineStr">
        <is>
          <t>SRC_OAI_114</t>
        </is>
      </c>
      <c r="D5" s="3" t="inlineStr">
        <is>
          <t>—（新增）</t>
        </is>
      </c>
      <c r="E5" s="3" t="n">
        <v>30</v>
      </c>
      <c r="F5" s="3" t="inlineStr">
        <is>
          <t>Verified；openai.com 2026-07-30 GPT-5.6 降價公告；GPT-6 Sol/Luna 2026-09-22 發布（Techzine、MarkTechPost）；GPT-6 Astra 2026-09-03；日期 2026-07-09</t>
        </is>
      </c>
      <c r="G5" s="3" t="inlineStr">
        <is>
          <t>07-09 GPT-5.6 Sol 輸出；層級角色＝top</t>
        </is>
      </c>
    </row>
    <row r="6">
      <c r="A6" s="3" t="inlineStr">
        <is>
          <t>SRC_OAI</t>
        </is>
      </c>
      <c r="B6" s="3" t="inlineStr">
        <is>
          <t>API 價格事件 1 牌價：mid 層 輸入（GPT-5.6 Terra）</t>
        </is>
      </c>
      <c r="C6" s="3" t="inlineStr">
        <is>
          <t>SRC_OAI_115</t>
        </is>
      </c>
      <c r="D6" s="3" t="inlineStr">
        <is>
          <t>—（新增）</t>
        </is>
      </c>
      <c r="E6" s="3" t="n">
        <v>2.5</v>
      </c>
      <c r="F6" s="3" t="inlineStr">
        <is>
          <t>Verified；openai.com 2026-07-30 GPT-5.6 降價公告；GPT-6 Sol/Luna 2026-09-22 發布（Techzine、MarkTechPost）；GPT-6 Astra 2026-09-03；日期 2026-07-09</t>
        </is>
      </c>
      <c r="G6" s="3" t="inlineStr">
        <is>
          <t>07-09 GPT-5.6 Terra 輸入；層級角色＝mid</t>
        </is>
      </c>
    </row>
    <row r="7">
      <c r="A7" s="3" t="inlineStr">
        <is>
          <t>SRC_OAI</t>
        </is>
      </c>
      <c r="B7" s="3" t="inlineStr">
        <is>
          <t>API 價格事件 1 牌價：mid 層 輸出（GPT-5.6 Terra）</t>
        </is>
      </c>
      <c r="C7" s="3" t="inlineStr">
        <is>
          <t>SRC_OAI_116</t>
        </is>
      </c>
      <c r="D7" s="3" t="inlineStr">
        <is>
          <t>—（新增）</t>
        </is>
      </c>
      <c r="E7" s="3" t="n">
        <v>15</v>
      </c>
      <c r="F7" s="3" t="inlineStr">
        <is>
          <t>Verified；openai.com 2026-07-30 GPT-5.6 降價公告；GPT-6 Sol/Luna 2026-09-22 發布（Techzine、MarkTechPost）；GPT-6 Astra 2026-09-03；日期 2026-07-09</t>
        </is>
      </c>
      <c r="G7" s="3" t="inlineStr">
        <is>
          <t>07-09 GPT-5.6 Terra 輸出；層級角色＝mid</t>
        </is>
      </c>
    </row>
    <row r="8">
      <c r="A8" s="3" t="inlineStr">
        <is>
          <t>SRC_OAI</t>
        </is>
      </c>
      <c r="B8" s="3" t="inlineStr">
        <is>
          <t>API 價格事件 1 牌價：low 層 輸入（GPT-5.6 Luna）</t>
        </is>
      </c>
      <c r="C8" s="3" t="inlineStr">
        <is>
          <t>SRC_OAI_117</t>
        </is>
      </c>
      <c r="D8" s="3" t="inlineStr">
        <is>
          <t>—（新增）</t>
        </is>
      </c>
      <c r="E8" s="3" t="n">
        <v>1</v>
      </c>
      <c r="F8" s="3" t="inlineStr">
        <is>
          <t>Verified；openai.com 2026-07-30 GPT-5.6 降價公告；GPT-6 Sol/Luna 2026-09-22 發布（Techzine、MarkTechPost）；GPT-6 Astra 2026-09-03；日期 2026-07-09</t>
        </is>
      </c>
      <c r="G8" s="3" t="inlineStr">
        <is>
          <t>07-09 GPT-5.6 Luna 輸入；層級角色＝low</t>
        </is>
      </c>
    </row>
    <row r="9">
      <c r="A9" s="3" t="inlineStr">
        <is>
          <t>SRC_OAI</t>
        </is>
      </c>
      <c r="B9" s="3" t="inlineStr">
        <is>
          <t>API 價格事件 1 牌價：low 層 輸出（GPT-5.6 Luna）</t>
        </is>
      </c>
      <c r="C9" s="3" t="inlineStr">
        <is>
          <t>SRC_OAI_118</t>
        </is>
      </c>
      <c r="D9" s="3" t="inlineStr">
        <is>
          <t>—（新增）</t>
        </is>
      </c>
      <c r="E9" s="3" t="n">
        <v>6</v>
      </c>
      <c r="F9" s="3" t="inlineStr">
        <is>
          <t>Verified；openai.com 2026-07-30 GPT-5.6 降價公告；GPT-6 Sol/Luna 2026-09-22 發布（Techzine、MarkTechPost）；GPT-6 Astra 2026-09-03；日期 2026-07-09</t>
        </is>
      </c>
      <c r="G9" s="3" t="inlineStr">
        <is>
          <t>07-09 GPT-5.6 Luna 輸出；層級角色＝low</t>
        </is>
      </c>
    </row>
    <row r="10">
      <c r="A10" s="3" t="inlineStr">
        <is>
          <t>SRC_OAI</t>
        </is>
      </c>
      <c r="B10" s="3" t="inlineStr">
        <is>
          <t>API 價格事件 2 牌價：mid 層 輸入（Terra 降價）</t>
        </is>
      </c>
      <c r="C10" s="3" t="inlineStr">
        <is>
          <t>SRC_OAI_119</t>
        </is>
      </c>
      <c r="D10" s="3" t="inlineStr">
        <is>
          <t>—（新增）</t>
        </is>
      </c>
      <c r="E10" s="3" t="n">
        <v>2</v>
      </c>
      <c r="F10" s="3" t="inlineStr">
        <is>
          <t>Verified；openai.com 2026-07-30 GPT-5.6 降價公告；GPT-6 Sol/Luna 2026-09-22 發布（Techzine、MarkTechPost）；GPT-6 Astra 2026-09-03；日期 2026-07-30</t>
        </is>
      </c>
      <c r="G10" s="3" t="inlineStr">
        <is>
          <t>07-30 Terra 降價後輸入（−20%）</t>
        </is>
      </c>
    </row>
    <row r="11">
      <c r="A11" s="3" t="inlineStr">
        <is>
          <t>SRC_OAI</t>
        </is>
      </c>
      <c r="B11" s="3" t="inlineStr">
        <is>
          <t>API 價格事件 2 牌價：mid 層 輸出（Terra 降價）</t>
        </is>
      </c>
      <c r="C11" s="3" t="inlineStr">
        <is>
          <t>SRC_OAI_120</t>
        </is>
      </c>
      <c r="D11" s="3" t="inlineStr">
        <is>
          <t>—（新增）</t>
        </is>
      </c>
      <c r="E11" s="3" t="n">
        <v>12</v>
      </c>
      <c r="F11" s="3" t="inlineStr">
        <is>
          <t>Verified；openai.com 2026-07-30 GPT-5.6 降價公告；GPT-6 Sol/Luna 2026-09-22 發布（Techzine、MarkTechPost）；GPT-6 Astra 2026-09-03；日期 2026-07-30</t>
        </is>
      </c>
      <c r="G11" s="3" t="inlineStr">
        <is>
          <t>07-30 Terra 降價後輸出（−20%）</t>
        </is>
      </c>
    </row>
    <row r="12">
      <c r="A12" s="3" t="inlineStr">
        <is>
          <t>SRC_OAI</t>
        </is>
      </c>
      <c r="B12" s="3" t="inlineStr">
        <is>
          <t>API 價格事件 2 牌價：low 層 輸入（Luna 降價）</t>
        </is>
      </c>
      <c r="C12" s="3" t="inlineStr">
        <is>
          <t>SRC_OAI_121</t>
        </is>
      </c>
      <c r="D12" s="3" t="inlineStr">
        <is>
          <t>—（新增）</t>
        </is>
      </c>
      <c r="E12" s="3" t="n">
        <v>0.2</v>
      </c>
      <c r="F12" s="3" t="inlineStr">
        <is>
          <t>Verified；openai.com 2026-07-30 GPT-5.6 降價公告；GPT-6 Sol/Luna 2026-09-22 發布（Techzine、MarkTechPost）；GPT-6 Astra 2026-09-03；日期 2026-07-30</t>
        </is>
      </c>
      <c r="G12" s="3" t="inlineStr">
        <is>
          <t>07-30 Luna 降價後輸入（−80%）</t>
        </is>
      </c>
    </row>
    <row r="13">
      <c r="A13" s="3" t="inlineStr">
        <is>
          <t>SRC_OAI</t>
        </is>
      </c>
      <c r="B13" s="3" t="inlineStr">
        <is>
          <t>API 價格事件 2 牌價：low 層 輸出（Luna 降價）</t>
        </is>
      </c>
      <c r="C13" s="3" t="inlineStr">
        <is>
          <t>SRC_OAI_122</t>
        </is>
      </c>
      <c r="D13" s="3" t="inlineStr">
        <is>
          <t>—（新增）</t>
        </is>
      </c>
      <c r="E13" s="3" t="n">
        <v>1.2</v>
      </c>
      <c r="F13" s="3" t="inlineStr">
        <is>
          <t>Verified；openai.com 2026-07-30 GPT-5.6 降價公告；GPT-6 Sol/Luna 2026-09-22 發布（Techzine、MarkTechPost）；GPT-6 Astra 2026-09-03；日期 2026-07-30</t>
        </is>
      </c>
      <c r="G13" s="3" t="inlineStr">
        <is>
          <t>07-30 Luna 降價後輸出（−80%）</t>
        </is>
      </c>
    </row>
    <row r="14">
      <c r="A14" s="3" t="inlineStr">
        <is>
          <t>SRC_OAI</t>
        </is>
      </c>
      <c r="B14" s="3" t="inlineStr">
        <is>
          <t>API 價格事件 3 牌價：top 層 輸入（Sol 促銷）</t>
        </is>
      </c>
      <c r="C14" s="3" t="inlineStr">
        <is>
          <t>SRC_OAI_123</t>
        </is>
      </c>
      <c r="D14" s="3" t="inlineStr">
        <is>
          <t>—（新增）</t>
        </is>
      </c>
      <c r="E14" s="3" t="n">
        <v>4</v>
      </c>
      <c r="F14" s="3" t="inlineStr">
        <is>
          <t>Verified；openai.com 2026-07-30 GPT-5.6 降價公告；GPT-6 Sol/Luna 2026-09-22 發布（Techzine、MarkTechPost）；GPT-6 Astra 2026-09-03；日期 2026-08-22</t>
        </is>
      </c>
      <c r="G14" s="3" t="inlineStr">
        <is>
          <t>08-22 Sol 促銷輸入</t>
        </is>
      </c>
    </row>
    <row r="15">
      <c r="A15" s="3" t="inlineStr">
        <is>
          <t>SRC_OAI</t>
        </is>
      </c>
      <c r="B15" s="3" t="inlineStr">
        <is>
          <t>API 價格事件 3 牌價：top 層 輸出（Sol 促銷）</t>
        </is>
      </c>
      <c r="C15" s="3" t="inlineStr">
        <is>
          <t>SRC_OAI_124</t>
        </is>
      </c>
      <c r="D15" s="3" t="inlineStr">
        <is>
          <t>—（新增）</t>
        </is>
      </c>
      <c r="E15" s="3" t="n">
        <v>20</v>
      </c>
      <c r="F15" s="3" t="inlineStr">
        <is>
          <t>Verified；openai.com 2026-07-30 GPT-5.6 降價公告；GPT-6 Sol/Luna 2026-09-22 發布（Techzine、MarkTechPost）；GPT-6 Astra 2026-09-03；日期 2026-08-22</t>
        </is>
      </c>
      <c r="G15" s="3" t="inlineStr">
        <is>
          <t>08-22 Sol 促銷輸出</t>
        </is>
      </c>
    </row>
    <row r="16">
      <c r="A16" s="3" t="inlineStr">
        <is>
          <t>SRC_OAI</t>
        </is>
      </c>
      <c r="B16" s="3" t="inlineStr">
        <is>
          <t>API 價格事件 2 公告日（Excel 日期序列值）</t>
        </is>
      </c>
      <c r="C16" s="3" t="inlineStr">
        <is>
          <t>SRC_OAI_125</t>
        </is>
      </c>
      <c r="D16" s="3" t="inlineStr">
        <is>
          <t>—（新增）</t>
        </is>
      </c>
      <c r="E16" s="3" t="n">
        <v>46233</v>
      </c>
      <c r="F16" s="3" t="inlineStr">
        <is>
          <t>Verified；openai.com 2026-07-30 GPT-5.6 降價公告；GPT-6 Sol/Luna 2026-09-22 發布（Techzine、MarkTechPost）；GPT-6 Astra 2026-09-03；日期 2026-07-30</t>
        </is>
      </c>
      <c r="G16" s="3" t="inlineStr">
        <is>
          <t>2026-07-30（Terra、Luna 降價）；公告日＝生效日（v0.5 事件清單未區分）；序列值 46233＝2026-07-30</t>
        </is>
      </c>
    </row>
    <row r="17">
      <c r="A17" s="3" t="inlineStr">
        <is>
          <t>SRC_OAI</t>
        </is>
      </c>
      <c r="B17" s="3" t="inlineStr">
        <is>
          <t>API 價格事件 3 公告日（Excel 日期序列值）</t>
        </is>
      </c>
      <c r="C17" s="3" t="inlineStr">
        <is>
          <t>SRC_OAI_126</t>
        </is>
      </c>
      <c r="D17" s="3" t="inlineStr">
        <is>
          <t>—（新增）</t>
        </is>
      </c>
      <c r="E17" s="3" t="n">
        <v>46256</v>
      </c>
      <c r="F17" s="3" t="inlineStr">
        <is>
          <t>Verified；openai.com 2026-07-30 GPT-5.6 降價公告；GPT-6 Sol/Luna 2026-09-22 發布（Techzine、MarkTechPost）；GPT-6 Astra 2026-09-03；日期 2026-08-22</t>
        </is>
      </c>
      <c r="G17" s="3" t="inlineStr">
        <is>
          <t>2026-08-22（Sol 促銷）；公告日＝生效日（v0.5 事件清單未區分）；序列值 46256＝2026-08-22</t>
        </is>
      </c>
    </row>
    <row r="18">
      <c r="A18" s="3" t="inlineStr">
        <is>
          <t>SRC_OAI</t>
        </is>
      </c>
      <c r="B18" s="3" t="inlineStr">
        <is>
          <t>API 價格事件 4 公告日（Excel 日期序列值）</t>
        </is>
      </c>
      <c r="C18" s="3" t="inlineStr">
        <is>
          <t>SRC_OAI_127</t>
        </is>
      </c>
      <c r="D18" s="3" t="inlineStr">
        <is>
          <t>—（新增）</t>
        </is>
      </c>
      <c r="E18" s="3" t="n">
        <v>46268</v>
      </c>
      <c r="F18" s="3" t="inlineStr">
        <is>
          <t>Verified；openai.com 2026-07-30 GPT-5.6 降價公告；GPT-6 Sol/Luna 2026-09-22 發布（Techzine、MarkTechPost）；GPT-6 Astra 2026-09-03；日期 2026-09-03</t>
        </is>
      </c>
      <c r="G18" s="3" t="inlineStr">
        <is>
          <t>2026-09-03（GPT-6 Astra 上市（top 層價格上升））；公告日＝生效日（v0.5 事件清單未區分）；序列值 46268＝2026-09-03</t>
        </is>
      </c>
    </row>
    <row r="19">
      <c r="A19" s="3" t="inlineStr">
        <is>
          <t>SRC_OAI</t>
        </is>
      </c>
      <c r="B19" s="3" t="inlineStr">
        <is>
          <t>API 價格事件 5 公告日（Excel 日期序列值）</t>
        </is>
      </c>
      <c r="C19" s="3" t="inlineStr">
        <is>
          <t>SRC_OAI_128</t>
        </is>
      </c>
      <c r="D19" s="3" t="inlineStr">
        <is>
          <t>—（新增）</t>
        </is>
      </c>
      <c r="E19" s="3" t="n">
        <v>46287</v>
      </c>
      <c r="F19" s="3" t="inlineStr">
        <is>
          <t>Verified；openai.com 2026-07-30 GPT-5.6 降價公告；GPT-6 Sol/Luna 2026-09-22 發布（Techzine、MarkTechPost）；GPT-6 Astra 2026-09-03；日期 2026-09-22</t>
        </is>
      </c>
      <c r="G19" s="3" t="inlineStr">
        <is>
          <t>2026-09-22（GPT-6 Sol／Luna 上市（mid、low 層降價））；公告日＝生效日（v0.5 事件清單未區分）；序列值 46287＝2026-09-22</t>
        </is>
      </c>
    </row>
    <row r="20">
      <c r="A20" s="3" t="inlineStr">
        <is>
          <t>Inputs</t>
        </is>
      </c>
      <c r="B20" s="3" t="inlineStr">
        <is>
          <t>價格事件 2（07-30）生效日偏移</t>
        </is>
      </c>
      <c r="C20" s="3" t="inlineStr">
        <is>
          <t>INP_246</t>
        </is>
      </c>
      <c r="D20" s="3" t="inlineStr">
        <is>
          <t>—（新增）</t>
        </is>
      </c>
      <c r="E20" s="3" t="inlineStr">
        <is>
          <t>0（-91～91）</t>
        </is>
      </c>
      <c r="F20" s="3" t="inlineStr">
        <is>
          <t>Assumed；E8c</t>
        </is>
      </c>
      <c r="G20" s="3" t="inlineStr">
        <is>
          <t>基準 0＝SRC_OAI 公告日（Verified）；區間 ±91 天（±1 季，Assumed；S2 工作單預設）。偏移後日期限於 FY2026 內</t>
        </is>
      </c>
    </row>
    <row r="21">
      <c r="A21" s="3" t="inlineStr">
        <is>
          <t>Inputs</t>
        </is>
      </c>
      <c r="B21" s="3" t="inlineStr">
        <is>
          <t>價格事件 3（08-22）生效日偏移</t>
        </is>
      </c>
      <c r="C21" s="3" t="inlineStr">
        <is>
          <t>INP_247</t>
        </is>
      </c>
      <c r="D21" s="3" t="inlineStr">
        <is>
          <t>—（新增）</t>
        </is>
      </c>
      <c r="E21" s="3" t="inlineStr">
        <is>
          <t>0（-91～91）</t>
        </is>
      </c>
      <c r="F21" s="3" t="inlineStr">
        <is>
          <t>Assumed；E8c</t>
        </is>
      </c>
      <c r="G21" s="3" t="inlineStr">
        <is>
          <t>基準 0＝SRC_OAI 公告日（Verified）；區間 ±91 天（±1 季，Assumed；S2 工作單預設）。偏移後日期限於 FY2026 內</t>
        </is>
      </c>
    </row>
    <row r="22">
      <c r="A22" s="3" t="inlineStr">
        <is>
          <t>Inputs</t>
        </is>
      </c>
      <c r="B22" s="3" t="inlineStr">
        <is>
          <t>價格事件 4（09-03）生效日偏移</t>
        </is>
      </c>
      <c r="C22" s="3" t="inlineStr">
        <is>
          <t>INP_248</t>
        </is>
      </c>
      <c r="D22" s="3" t="inlineStr">
        <is>
          <t>—（新增）</t>
        </is>
      </c>
      <c r="E22" s="3" t="inlineStr">
        <is>
          <t>0（-91～91）</t>
        </is>
      </c>
      <c r="F22" s="3" t="inlineStr">
        <is>
          <t>Assumed；E8c</t>
        </is>
      </c>
      <c r="G22" s="3" t="inlineStr">
        <is>
          <t>基準 0＝SRC_OAI 公告日（Verified）；區間 ±91 天（±1 季，Assumed；S2 工作單預設）。偏移後日期限於 FY2026 內</t>
        </is>
      </c>
    </row>
    <row r="23">
      <c r="A23" s="3" t="inlineStr">
        <is>
          <t>Inputs</t>
        </is>
      </c>
      <c r="B23" s="3" t="inlineStr">
        <is>
          <t>價格事件 5（09-22）生效日偏移</t>
        </is>
      </c>
      <c r="C23" s="3" t="inlineStr">
        <is>
          <t>INP_249</t>
        </is>
      </c>
      <c r="D23" s="3" t="inlineStr">
        <is>
          <t>—（新增）</t>
        </is>
      </c>
      <c r="E23" s="3" t="inlineStr">
        <is>
          <t>0（-91～91）</t>
        </is>
      </c>
      <c r="F23" s="3" t="inlineStr">
        <is>
          <t>Assumed；E8c</t>
        </is>
      </c>
      <c r="G23" s="3" t="inlineStr">
        <is>
          <t>基準 0＝SRC_OAI 公告日（Verified）；區間 ±91 天（±1 季，Assumed；S2 工作單預設）。偏移後日期限於 FY2026 內</t>
        </is>
      </c>
    </row>
    <row r="24">
      <c r="A24" s="3" t="inlineStr">
        <is>
          <t>Inputs</t>
        </is>
      </c>
      <c r="B24" s="3" t="inlineStr">
        <is>
          <t>FY2026 起日（定義常數；Excel 日期序列值）</t>
        </is>
      </c>
      <c r="C24" s="3" t="inlineStr">
        <is>
          <t>INP_250</t>
        </is>
      </c>
      <c r="D24" s="3" t="inlineStr">
        <is>
          <t>—（新增）</t>
        </is>
      </c>
      <c r="E24" s="3" t="inlineStr">
        <is>
          <t>46023（46023～46023）</t>
        </is>
      </c>
      <c r="F24" s="3" t="inlineStr">
        <is>
          <t>Decision；E6</t>
        </is>
      </c>
      <c r="G24" s="3" t="inlineStr">
        <is>
          <t>來源：定義常數；區間不適用（低＝高）；E6：公式內不得含常數，故進 Inputs。用途：46023＝2026-01-01；價格事件天數加權的年度起點</t>
        </is>
      </c>
    </row>
    <row r="25">
      <c r="A25" s="3" t="inlineStr">
        <is>
          <t>Inputs</t>
        </is>
      </c>
      <c r="B25" s="3" t="inlineStr">
        <is>
          <t>每年天數（定義常數）</t>
        </is>
      </c>
      <c r="C25" s="3" t="inlineStr">
        <is>
          <t>INP_251</t>
        </is>
      </c>
      <c r="D25" s="3" t="inlineStr">
        <is>
          <t>—（新增）</t>
        </is>
      </c>
      <c r="E25" s="3" t="inlineStr">
        <is>
          <t>365（365～365）</t>
        </is>
      </c>
      <c r="F25" s="3" t="inlineStr">
        <is>
          <t>Decision；E6</t>
        </is>
      </c>
      <c r="G25" s="3" t="inlineStr">
        <is>
          <t>來源：定義常數；區間不適用（低＝高）；E6：公式內不得含常數，故進 Inputs。用途：每日→年換算與 FY2026 天數加權的分母（2026 為 365 天）</t>
        </is>
      </c>
    </row>
    <row r="26">
      <c r="A26" s="3" t="inlineStr">
        <is>
          <t>Inputs</t>
        </is>
      </c>
      <c r="B26" s="3" t="inlineStr">
        <is>
          <t>每年月數（定義常數）</t>
        </is>
      </c>
      <c r="C26" s="3" t="inlineStr">
        <is>
          <t>INP_252</t>
        </is>
      </c>
      <c r="D26" s="3" t="inlineStr">
        <is>
          <t>—（新增）</t>
        </is>
      </c>
      <c r="E26" s="3" t="inlineStr">
        <is>
          <t>12（12～12）</t>
        </is>
      </c>
      <c r="F26" s="3" t="inlineStr">
        <is>
          <t>Decision；E6</t>
        </is>
      </c>
      <c r="G26" s="3" t="inlineStr">
        <is>
          <t>來源：定義常數；區間不適用（低＝高）；E6：公式內不得含常數，故進 Inputs。用途：月 ARPU → 年營收</t>
        </is>
      </c>
    </row>
    <row r="27">
      <c r="A27" s="3" t="inlineStr">
        <is>
          <t>Inputs</t>
        </is>
      </c>
      <c r="B27" s="3" t="inlineStr">
        <is>
          <t>單位換算：$M → $B 的除數（定義常數）</t>
        </is>
      </c>
      <c r="C27" s="3" t="inlineStr">
        <is>
          <t>INP_253</t>
        </is>
      </c>
      <c r="D27" s="3" t="inlineStr">
        <is>
          <t>—（新增）</t>
        </is>
      </c>
      <c r="E27" s="3" t="inlineStr">
        <is>
          <t>1000（1000～1000）</t>
        </is>
      </c>
      <c r="F27" s="3" t="inlineStr">
        <is>
          <t>Decision；E6</t>
        </is>
      </c>
      <c r="G27" s="3" t="inlineStr">
        <is>
          <t>來源：定義常數；區間不適用（低＝高）；E6：公式內不得含常數，故進 Inputs。用途：人數（M）× $ → $M；T token × $/M token → $M</t>
        </is>
      </c>
    </row>
    <row r="28">
      <c r="A28" s="3" t="inlineStr">
        <is>
          <t>Inputs</t>
        </is>
      </c>
      <c r="B28" s="3" t="inlineStr">
        <is>
          <t>單位換算：T token → M token 的乘數（定義常數）</t>
        </is>
      </c>
      <c r="C28" s="3" t="inlineStr">
        <is>
          <t>INP_254</t>
        </is>
      </c>
      <c r="D28" s="3" t="inlineStr">
        <is>
          <t>—（新增）</t>
        </is>
      </c>
      <c r="E28" s="3" t="inlineStr">
        <is>
          <t>1000000（1000000～1000000）</t>
        </is>
      </c>
      <c r="F28" s="3" t="inlineStr">
        <is>
          <t>Decision；E6</t>
        </is>
      </c>
      <c r="G28" s="3" t="inlineStr">
        <is>
          <t>來源：定義常數；區間不適用（低＝高）；E6：公式內不得含常數，故進 Inputs。用途：與 Tokenomics IF_AllocDemand（M tok/年）並列</t>
        </is>
      </c>
    </row>
    <row r="29">
      <c r="A29" s="3" t="inlineStr">
        <is>
          <t>Inputs</t>
        </is>
      </c>
      <c r="B29" s="3" t="inlineStr">
        <is>
          <t>FY2026 獨立推估：下半年月數（定義常數）</t>
        </is>
      </c>
      <c r="C29" s="3" t="inlineStr">
        <is>
          <t>INP_255</t>
        </is>
      </c>
      <c r="D29" s="3" t="inlineStr">
        <is>
          <t>—（新增）</t>
        </is>
      </c>
      <c r="E29" s="3" t="inlineStr">
        <is>
          <t>6（6～6）</t>
        </is>
      </c>
      <c r="F29" s="3" t="inlineStr">
        <is>
          <t>Decision；E6</t>
        </is>
      </c>
      <c r="G29" s="3" t="inlineStr">
        <is>
          <t>來源：定義常數；區間不適用（低＝高）；E6：公式內不得含常數，故進 Inputs。用途：v0.5 fy2026Independent：Q1＋Q2＋下半年以 2026-08 ARR 外推</t>
        </is>
      </c>
    </row>
    <row r="30">
      <c r="A30" s="3" t="inlineStr">
        <is>
          <t>Checks</t>
        </is>
      </c>
      <c r="B30" s="3" t="inlineStr">
        <is>
          <t>SRC_OAI 列數</t>
        </is>
      </c>
      <c r="C30" s="3" t="inlineStr">
        <is>
          <t>C01</t>
        </is>
      </c>
      <c r="D30" s="3" t="inlineStr">
        <is>
          <t>106（OK）</t>
        </is>
      </c>
      <c r="E30" s="3" t="inlineStr">
        <is>
          <t>122（OK）</t>
        </is>
      </c>
      <c r="F30" s="3" t="inlineStr">
        <is>
          <t>列數隨新增列改變</t>
        </is>
      </c>
      <c r="G30" s="3" t="inlineStr">
        <is>
          <t>預期變動</t>
        </is>
      </c>
    </row>
    <row r="31">
      <c r="A31" s="3" t="inlineStr">
        <is>
          <t>Checks</t>
        </is>
      </c>
      <c r="B31" s="3" t="inlineStr">
        <is>
          <t>Inputs 列數</t>
        </is>
      </c>
      <c r="C31" s="3" t="inlineStr">
        <is>
          <t>C05</t>
        </is>
      </c>
      <c r="D31" s="3" t="inlineStr">
        <is>
          <t>233（OK）</t>
        </is>
      </c>
      <c r="E31" s="3" t="inlineStr">
        <is>
          <t>243（OK）</t>
        </is>
      </c>
      <c r="F31" s="3" t="inlineStr">
        <is>
          <t>列數隨新增列改變</t>
        </is>
      </c>
      <c r="G31" s="3" t="inlineStr">
        <is>
          <t>預期變動</t>
        </is>
      </c>
    </row>
    <row r="32">
      <c r="A32" s="3" t="inlineStr">
        <is>
          <t>Checks</t>
        </is>
      </c>
      <c r="B32" s="3" t="inlineStr">
        <is>
          <t>E8c：listPriceFYAvg 2026 區間尚未傳遞（待 P2 事件時點 Inputs）</t>
        </is>
      </c>
      <c r="C32" s="3" t="inlineStr">
        <is>
          <t>C27</t>
        </is>
      </c>
      <c r="D32" s="3" t="inlineStr">
        <is>
          <t>待 P2（WARN）</t>
        </is>
      </c>
      <c r="E32" s="3" t="inlineStr">
        <is>
          <t>退役（編號保留不重用）</t>
        </is>
      </c>
      <c r="F32" s="3" t="inlineStr">
        <is>
          <t>E8c 由事件時點 Inputs 傳遞 2026 區間，WARN 撤除</t>
        </is>
      </c>
      <c r="G32" s="3" t="inlineStr"/>
    </row>
    <row r="33">
      <c r="A33" s="3" t="inlineStr">
        <is>
          <t>Checks</t>
        </is>
      </c>
      <c r="B33" s="3" t="inlineStr">
        <is>
          <t>P2：2025 模型營收總額 − SRC 實際營收（$B；v0.5 校準恆等式）</t>
        </is>
      </c>
      <c r="C33" s="3" t="inlineStr">
        <is>
          <t>C28</t>
        </is>
      </c>
      <c r="D33" s="3" t="inlineStr">
        <is>
          <t>—（新增）</t>
        </is>
      </c>
      <c r="E33" s="3" t="inlineStr">
        <is>
          <t>0（OK）</t>
        </is>
      </c>
      <c r="F33" s="3" t="inlineStr">
        <is>
          <t>P2 檢查</t>
        </is>
      </c>
      <c r="G33" s="3" t="inlineStr"/>
    </row>
    <row r="34">
      <c r="A34" s="3" t="inlineStr">
        <is>
          <t>Checks</t>
        </is>
      </c>
      <c r="B34" s="3" t="inlineStr">
        <is>
          <t>P2：2025 API 計費比例 ∈ (0,1]（違反數）</t>
        </is>
      </c>
      <c r="C34" s="3" t="inlineStr">
        <is>
          <t>C29</t>
        </is>
      </c>
      <c r="D34" s="3" t="inlineStr">
        <is>
          <t>—（新增）</t>
        </is>
      </c>
      <c r="E34" s="3" t="inlineStr">
        <is>
          <t>0（OK）</t>
        </is>
      </c>
      <c r="F34" s="3" t="inlineStr">
        <is>
          <t>P2 檢查</t>
        </is>
      </c>
      <c r="G34" s="3" t="inlineStr"/>
    </row>
    <row r="35">
      <c r="A35" s="3" t="inlineStr">
        <is>
          <t>Checks</t>
        </is>
      </c>
      <c r="B35" s="3" t="inlineStr">
        <is>
          <t>P2：方案模型組合 luna＋sol＋astra≠1 的方案數</t>
        </is>
      </c>
      <c r="C35" s="3" t="inlineStr">
        <is>
          <t>C30</t>
        </is>
      </c>
      <c r="D35" s="3" t="inlineStr">
        <is>
          <t>—（新增）</t>
        </is>
      </c>
      <c r="E35" s="3" t="inlineStr">
        <is>
          <t>0（OK）</t>
        </is>
      </c>
      <c r="F35" s="3" t="inlineStr">
        <is>
          <t>P2 檢查</t>
        </is>
      </c>
      <c r="G35" s="3" t="inlineStr"/>
    </row>
    <row r="36">
      <c r="A36" s="3" t="inlineStr">
        <is>
          <t>Checks</t>
        </is>
      </c>
      <c r="B36" s="3" t="inlineStr">
        <is>
          <t>P2：token 層級拆分合計 vs 拆分前總量（違反年數）</t>
        </is>
      </c>
      <c r="C36" s="3" t="inlineStr">
        <is>
          <t>C31</t>
        </is>
      </c>
      <c r="D36" s="3" t="inlineStr">
        <is>
          <t>—（新增）</t>
        </is>
      </c>
      <c r="E36" s="3" t="inlineStr">
        <is>
          <t>0（OK）</t>
        </is>
      </c>
      <c r="F36" s="3" t="inlineStr">
        <is>
          <t>P2 檢查</t>
        </is>
      </c>
      <c r="G36" s="3" t="inlineStr"/>
    </row>
    <row r="37">
      <c r="A37" s="3" t="inlineStr">
        <is>
          <t>Checks</t>
        </is>
      </c>
      <c r="B37" s="3" t="inlineStr">
        <is>
          <t>P2：消費端＋企業端＋其他 − 總額（各年絕對值合計，$B）</t>
        </is>
      </c>
      <c r="C37" s="3" t="inlineStr">
        <is>
          <t>C32</t>
        </is>
      </c>
      <c r="D37" s="3" t="inlineStr">
        <is>
          <t>—（新增）</t>
        </is>
      </c>
      <c r="E37" s="3" t="inlineStr">
        <is>
          <t>0（OK）</t>
        </is>
      </c>
      <c r="F37" s="3" t="inlineStr">
        <is>
          <t>P2 檢查</t>
        </is>
      </c>
      <c r="G37" s="3" t="inlineStr"/>
    </row>
    <row r="38">
      <c r="A38" s="3" t="inlineStr">
        <is>
          <t>Checks</t>
        </is>
      </c>
      <c r="B38" s="3" t="inlineStr">
        <is>
          <t>P2：Microsoft 分成累計超出上限的部分（$B）</t>
        </is>
      </c>
      <c r="C38" s="3" t="inlineStr">
        <is>
          <t>C33</t>
        </is>
      </c>
      <c r="D38" s="3" t="inlineStr">
        <is>
          <t>—（新增）</t>
        </is>
      </c>
      <c r="E38" s="3" t="inlineStr">
        <is>
          <t>0（OK）</t>
        </is>
      </c>
      <c r="F38" s="3" t="inlineStr">
        <is>
          <t>P2 檢查</t>
        </is>
      </c>
      <c r="G38" s="3" t="inlineStr"/>
    </row>
    <row r="39">
      <c r="A39" s="3" t="inlineStr">
        <is>
          <t>Checks</t>
        </is>
      </c>
      <c r="B39" s="3" t="inlineStr">
        <is>
          <t>E8c：價格事件生效日順序違反數（基準／提前／延後三欄）</t>
        </is>
      </c>
      <c r="C39" s="3" t="inlineStr">
        <is>
          <t>C34</t>
        </is>
      </c>
      <c r="D39" s="3" t="inlineStr">
        <is>
          <t>—（新增）</t>
        </is>
      </c>
      <c r="E39" s="3" t="inlineStr">
        <is>
          <t>0（OK）</t>
        </is>
      </c>
      <c r="F39" s="3" t="inlineStr">
        <is>
          <t>P2 檢查</t>
        </is>
      </c>
      <c r="G39" s="3" t="inlineStr"/>
    </row>
    <row r="40">
      <c r="A40" s="3" t="inlineStr">
        <is>
          <t>Checks</t>
        </is>
      </c>
      <c r="B40" s="3" t="inlineStr">
        <is>
          <t>E8c：2026 牌價區間 低 ≤ 基準 ≤ 高 的違反數（6 列）</t>
        </is>
      </c>
      <c r="C40" s="3" t="inlineStr">
        <is>
          <t>C35</t>
        </is>
      </c>
      <c r="D40" s="3" t="inlineStr">
        <is>
          <t>—（新增）</t>
        </is>
      </c>
      <c r="E40" s="3" t="inlineStr">
        <is>
          <t>0（OK）</t>
        </is>
      </c>
      <c r="F40" s="3" t="inlineStr">
        <is>
          <t>P2 檢查</t>
        </is>
      </c>
      <c r="G40" s="3" t="inlineStr"/>
    </row>
    <row r="41">
      <c r="A41" s="3" t="inlineStr">
        <is>
          <t>Checks</t>
        </is>
      </c>
      <c r="B41" s="3" t="inlineStr">
        <is>
          <t>D11：Inputs 情境 base 列＝各參數基準值（違反數）</t>
        </is>
      </c>
      <c r="C41" s="3" t="inlineStr">
        <is>
          <t>C36</t>
        </is>
      </c>
      <c r="D41" s="3" t="inlineStr">
        <is>
          <t>—（新增）</t>
        </is>
      </c>
      <c r="E41" s="3" t="inlineStr">
        <is>
          <t>0（OK）</t>
        </is>
      </c>
      <c r="F41" s="3" t="inlineStr">
        <is>
          <t>P2 檢查</t>
        </is>
      </c>
      <c r="G41" s="3" t="inlineStr"/>
    </row>
    <row r="42">
      <c r="A42" s="3" t="inlineStr">
        <is>
          <t>Checks</t>
        </is>
      </c>
      <c r="B42" s="3" t="inlineStr">
        <is>
          <t>P2 預覽：2025 token 合計 ÷ Tokenomics IF_AllocDemand</t>
        </is>
      </c>
      <c r="C42" s="3" t="inlineStr">
        <is>
          <t>C37</t>
        </is>
      </c>
      <c r="D42" s="3" t="inlineStr">
        <is>
          <t>—（新增）</t>
        </is>
      </c>
      <c r="E42" s="3" t="inlineStr">
        <is>
          <t>0.844365450322589（INFO）</t>
        </is>
      </c>
      <c r="F42" s="3" t="inlineStr">
        <is>
          <t>P2 檢查</t>
        </is>
      </c>
      <c r="G42" s="3" t="inlineStr"/>
    </row>
    <row r="43">
      <c r="A43" s="3" t="inlineStr">
        <is>
          <t>Checks</t>
        </is>
      </c>
      <c r="B43" s="3" t="inlineStr">
        <is>
          <t>P2 預覽：2025 未校準差距（$B）＝訂閱＋廣告＋其他＋處理 token×單價 − 實際</t>
        </is>
      </c>
      <c r="C43" s="3" t="inlineStr">
        <is>
          <t>C38</t>
        </is>
      </c>
      <c r="D43" s="3" t="inlineStr">
        <is>
          <t>—（新增）</t>
        </is>
      </c>
      <c r="E43" s="3" t="inlineStr">
        <is>
          <t>1.02870549883871（INFO）</t>
        </is>
      </c>
      <c r="F43" s="3" t="inlineStr">
        <is>
          <t>P2 檢查</t>
        </is>
      </c>
      <c r="G43" s="3" t="inlineStr"/>
    </row>
    <row r="44">
      <c r="A44" s="3" t="inlineStr">
        <is>
          <t>Checks</t>
        </is>
      </c>
      <c r="B44" s="3" t="inlineStr">
        <is>
          <t>P2 預覽：2030 淨營收（$B）</t>
        </is>
      </c>
      <c r="C44" s="3" t="inlineStr">
        <is>
          <t>C39</t>
        </is>
      </c>
      <c r="D44" s="3" t="inlineStr">
        <is>
          <t>—（新增）</t>
        </is>
      </c>
      <c r="E44" s="3" t="inlineStr">
        <is>
          <t>126.38309270298（INFO）</t>
        </is>
      </c>
      <c r="F44" s="3" t="inlineStr">
        <is>
          <t>P2 檢查</t>
        </is>
      </c>
      <c r="G44" s="3" t="inlineStr"/>
    </row>
    <row r="45">
      <c r="A45" s="3" t="inlineStr">
        <is>
          <t>Map_v05</t>
        </is>
      </c>
      <c r="B45" s="3" t="inlineStr">
        <is>
          <t>tokenRevenue.api.listPriceFYAvg.in.top.v.1</t>
        </is>
      </c>
      <c r="C45" s="3" t="inlineStr">
        <is>
          <t>—</t>
        </is>
      </c>
      <c r="D45" s="3" t="inlineStr">
        <is>
          <t>P2（FY 平均牌價 2026：priceEvents 月加權）</t>
        </is>
      </c>
      <c r="E45" s="3" t="inlineStr">
        <is>
          <t>Revenue R01–R06 的 2026 欄（P2 實作：價格事件時點天數加權，Revenue 第七節；E8c）</t>
        </is>
      </c>
      <c r="F45" s="3" t="inlineStr">
        <is>
          <t>去處文字改指本段實作位置</t>
        </is>
      </c>
      <c r="G45" s="3" t="inlineStr">
        <is>
          <t>去處類別不變（公式）</t>
        </is>
      </c>
    </row>
    <row r="46">
      <c r="A46" s="3" t="inlineStr">
        <is>
          <t>Map_v05</t>
        </is>
      </c>
      <c r="B46" s="3" t="inlineStr">
        <is>
          <t>tokenRevenue.api.listPriceFYAvg.in.top.lo.1</t>
        </is>
      </c>
      <c r="C46" s="3" t="inlineStr">
        <is>
          <t>—</t>
        </is>
      </c>
      <c r="D46" s="3" t="inlineStr">
        <is>
          <t>P2（FY 平均牌價 2026：priceEvents 月加權）</t>
        </is>
      </c>
      <c r="E46" s="3" t="inlineStr">
        <is>
          <t>Revenue R01–R06 的 2026 欄（P2 實作：價格事件時點天數加權，Revenue 第七節；E8c）</t>
        </is>
      </c>
      <c r="F46" s="3" t="inlineStr">
        <is>
          <t>去處文字改指本段實作位置</t>
        </is>
      </c>
      <c r="G46" s="3" t="inlineStr">
        <is>
          <t>去處類別不變（公式）</t>
        </is>
      </c>
    </row>
    <row r="47">
      <c r="A47" s="3" t="inlineStr">
        <is>
          <t>Map_v05</t>
        </is>
      </c>
      <c r="B47" s="3" t="inlineStr">
        <is>
          <t>tokenRevenue.api.listPriceFYAvg.in.top.hi.1</t>
        </is>
      </c>
      <c r="C47" s="3" t="inlineStr">
        <is>
          <t>—</t>
        </is>
      </c>
      <c r="D47" s="3" t="inlineStr">
        <is>
          <t>P2（FY 平均牌價 2026：priceEvents 月加權）</t>
        </is>
      </c>
      <c r="E47" s="3" t="inlineStr">
        <is>
          <t>Revenue R01–R06 的 2026 欄（P2 實作：價格事件時點天數加權，Revenue 第七節；E8c）</t>
        </is>
      </c>
      <c r="F47" s="3" t="inlineStr">
        <is>
          <t>去處文字改指本段實作位置</t>
        </is>
      </c>
      <c r="G47" s="3" t="inlineStr">
        <is>
          <t>去處類別不變（公式）</t>
        </is>
      </c>
    </row>
    <row r="48">
      <c r="A48" s="3" t="inlineStr">
        <is>
          <t>Map_v05</t>
        </is>
      </c>
      <c r="B48" s="3" t="inlineStr">
        <is>
          <t>tokenRevenue.api.listPriceFYAvg.in.mid.v.1</t>
        </is>
      </c>
      <c r="C48" s="3" t="inlineStr">
        <is>
          <t>—</t>
        </is>
      </c>
      <c r="D48" s="3" t="inlineStr">
        <is>
          <t>P2（FY 平均牌價 2026：priceEvents 月加權）</t>
        </is>
      </c>
      <c r="E48" s="3" t="inlineStr">
        <is>
          <t>Revenue R01–R06 的 2026 欄（P2 實作：價格事件時點天數加權，Revenue 第七節；E8c）</t>
        </is>
      </c>
      <c r="F48" s="3" t="inlineStr">
        <is>
          <t>去處文字改指本段實作位置</t>
        </is>
      </c>
      <c r="G48" s="3" t="inlineStr">
        <is>
          <t>去處類別不變（公式）</t>
        </is>
      </c>
    </row>
    <row r="49">
      <c r="A49" s="3" t="inlineStr">
        <is>
          <t>Map_v05</t>
        </is>
      </c>
      <c r="B49" s="3" t="inlineStr">
        <is>
          <t>tokenRevenue.api.listPriceFYAvg.in.mid.lo.1</t>
        </is>
      </c>
      <c r="C49" s="3" t="inlineStr">
        <is>
          <t>—</t>
        </is>
      </c>
      <c r="D49" s="3" t="inlineStr">
        <is>
          <t>P2（FY 平均牌價 2026：priceEvents 月加權）</t>
        </is>
      </c>
      <c r="E49" s="3" t="inlineStr">
        <is>
          <t>Revenue R01–R06 的 2026 欄（P2 實作：價格事件時點天數加權，Revenue 第七節；E8c）</t>
        </is>
      </c>
      <c r="F49" s="3" t="inlineStr">
        <is>
          <t>去處文字改指本段實作位置</t>
        </is>
      </c>
      <c r="G49" s="3" t="inlineStr">
        <is>
          <t>去處類別不變（公式）</t>
        </is>
      </c>
    </row>
    <row r="50">
      <c r="A50" s="3" t="inlineStr">
        <is>
          <t>Map_v05</t>
        </is>
      </c>
      <c r="B50" s="3" t="inlineStr">
        <is>
          <t>tokenRevenue.api.listPriceFYAvg.in.mid.hi.1</t>
        </is>
      </c>
      <c r="C50" s="3" t="inlineStr">
        <is>
          <t>—</t>
        </is>
      </c>
      <c r="D50" s="3" t="inlineStr">
        <is>
          <t>P2（FY 平均牌價 2026：priceEvents 月加權）</t>
        </is>
      </c>
      <c r="E50" s="3" t="inlineStr">
        <is>
          <t>Revenue R01–R06 的 2026 欄（P2 實作：價格事件時點天數加權，Revenue 第七節；E8c）</t>
        </is>
      </c>
      <c r="F50" s="3" t="inlineStr">
        <is>
          <t>去處文字改指本段實作位置</t>
        </is>
      </c>
      <c r="G50" s="3" t="inlineStr">
        <is>
          <t>去處類別不變（公式）</t>
        </is>
      </c>
    </row>
    <row r="51">
      <c r="A51" s="3" t="inlineStr">
        <is>
          <t>Map_v05</t>
        </is>
      </c>
      <c r="B51" s="3" t="inlineStr">
        <is>
          <t>tokenRevenue.api.listPriceFYAvg.in.low.v.1</t>
        </is>
      </c>
      <c r="C51" s="3" t="inlineStr">
        <is>
          <t>—</t>
        </is>
      </c>
      <c r="D51" s="3" t="inlineStr">
        <is>
          <t>P2（FY 平均牌價 2026：priceEvents 月加權）</t>
        </is>
      </c>
      <c r="E51" s="3" t="inlineStr">
        <is>
          <t>Revenue R01–R06 的 2026 欄（P2 實作：價格事件時點天數加權，Revenue 第七節；E8c）</t>
        </is>
      </c>
      <c r="F51" s="3" t="inlineStr">
        <is>
          <t>去處文字改指本段實作位置</t>
        </is>
      </c>
      <c r="G51" s="3" t="inlineStr">
        <is>
          <t>去處類別不變（公式）</t>
        </is>
      </c>
    </row>
    <row r="52">
      <c r="A52" s="3" t="inlineStr">
        <is>
          <t>Map_v05</t>
        </is>
      </c>
      <c r="B52" s="3" t="inlineStr">
        <is>
          <t>tokenRevenue.api.listPriceFYAvg.in.low.lo.1</t>
        </is>
      </c>
      <c r="C52" s="3" t="inlineStr">
        <is>
          <t>—</t>
        </is>
      </c>
      <c r="D52" s="3" t="inlineStr">
        <is>
          <t>P2（FY 平均牌價 2026：priceEvents 月加權）</t>
        </is>
      </c>
      <c r="E52" s="3" t="inlineStr">
        <is>
          <t>Revenue R01–R06 的 2026 欄（P2 實作：價格事件時點天數加權，Revenue 第七節；E8c）</t>
        </is>
      </c>
      <c r="F52" s="3" t="inlineStr">
        <is>
          <t>去處文字改指本段實作位置</t>
        </is>
      </c>
      <c r="G52" s="3" t="inlineStr">
        <is>
          <t>去處類別不變（公式）</t>
        </is>
      </c>
    </row>
    <row r="53">
      <c r="A53" s="3" t="inlineStr">
        <is>
          <t>Map_v05</t>
        </is>
      </c>
      <c r="B53" s="3" t="inlineStr">
        <is>
          <t>tokenRevenue.api.listPriceFYAvg.in.low.hi.1</t>
        </is>
      </c>
      <c r="C53" s="3" t="inlineStr">
        <is>
          <t>—</t>
        </is>
      </c>
      <c r="D53" s="3" t="inlineStr">
        <is>
          <t>P2（FY 平均牌價 2026：priceEvents 月加權）</t>
        </is>
      </c>
      <c r="E53" s="3" t="inlineStr">
        <is>
          <t>Revenue R01–R06 的 2026 欄（P2 實作：價格事件時點天數加權，Revenue 第七節；E8c）</t>
        </is>
      </c>
      <c r="F53" s="3" t="inlineStr">
        <is>
          <t>去處文字改指本段實作位置</t>
        </is>
      </c>
      <c r="G53" s="3" t="inlineStr">
        <is>
          <t>去處類別不變（公式）</t>
        </is>
      </c>
    </row>
    <row r="54">
      <c r="A54" s="3" t="inlineStr">
        <is>
          <t>Map_v05</t>
        </is>
      </c>
      <c r="B54" s="3" t="inlineStr">
        <is>
          <t>tokenRevenue.api.listPriceFYAvg.out.top.v.1</t>
        </is>
      </c>
      <c r="C54" s="3" t="inlineStr">
        <is>
          <t>—</t>
        </is>
      </c>
      <c r="D54" s="3" t="inlineStr">
        <is>
          <t>P2（FY 平均牌價 2026：priceEvents 月加權）</t>
        </is>
      </c>
      <c r="E54" s="3" t="inlineStr">
        <is>
          <t>Revenue R01–R06 的 2026 欄（P2 實作：價格事件時點天數加權，Revenue 第七節；E8c）</t>
        </is>
      </c>
      <c r="F54" s="3" t="inlineStr">
        <is>
          <t>去處文字改指本段實作位置</t>
        </is>
      </c>
      <c r="G54" s="3" t="inlineStr">
        <is>
          <t>去處類別不變（公式）</t>
        </is>
      </c>
    </row>
    <row r="55">
      <c r="A55" s="3" t="inlineStr">
        <is>
          <t>Map_v05</t>
        </is>
      </c>
      <c r="B55" s="3" t="inlineStr">
        <is>
          <t>tokenRevenue.api.listPriceFYAvg.out.top.lo.1</t>
        </is>
      </c>
      <c r="C55" s="3" t="inlineStr">
        <is>
          <t>—</t>
        </is>
      </c>
      <c r="D55" s="3" t="inlineStr">
        <is>
          <t>P2（FY 平均牌價 2026：priceEvents 月加權）</t>
        </is>
      </c>
      <c r="E55" s="3" t="inlineStr">
        <is>
          <t>Revenue R01–R06 的 2026 欄（P2 實作：價格事件時點天數加權，Revenue 第七節；E8c）</t>
        </is>
      </c>
      <c r="F55" s="3" t="inlineStr">
        <is>
          <t>去處文字改指本段實作位置</t>
        </is>
      </c>
      <c r="G55" s="3" t="inlineStr">
        <is>
          <t>去處類別不變（公式）</t>
        </is>
      </c>
    </row>
    <row r="56">
      <c r="A56" s="3" t="inlineStr">
        <is>
          <t>Map_v05</t>
        </is>
      </c>
      <c r="B56" s="3" t="inlineStr">
        <is>
          <t>tokenRevenue.api.listPriceFYAvg.out.top.hi.1</t>
        </is>
      </c>
      <c r="C56" s="3" t="inlineStr">
        <is>
          <t>—</t>
        </is>
      </c>
      <c r="D56" s="3" t="inlineStr">
        <is>
          <t>P2（FY 平均牌價 2026：priceEvents 月加權）</t>
        </is>
      </c>
      <c r="E56" s="3" t="inlineStr">
        <is>
          <t>Revenue R01–R06 的 2026 欄（P2 實作：價格事件時點天數加權，Revenue 第七節；E8c）</t>
        </is>
      </c>
      <c r="F56" s="3" t="inlineStr">
        <is>
          <t>去處文字改指本段實作位置</t>
        </is>
      </c>
      <c r="G56" s="3" t="inlineStr">
        <is>
          <t>去處類別不變（公式）</t>
        </is>
      </c>
    </row>
    <row r="57">
      <c r="A57" s="3" t="inlineStr">
        <is>
          <t>Map_v05</t>
        </is>
      </c>
      <c r="B57" s="3" t="inlineStr">
        <is>
          <t>tokenRevenue.api.listPriceFYAvg.out.mid.v.1</t>
        </is>
      </c>
      <c r="C57" s="3" t="inlineStr">
        <is>
          <t>—</t>
        </is>
      </c>
      <c r="D57" s="3" t="inlineStr">
        <is>
          <t>P2（FY 平均牌價 2026：priceEvents 月加權）</t>
        </is>
      </c>
      <c r="E57" s="3" t="inlineStr">
        <is>
          <t>Revenue R01–R06 的 2026 欄（P2 實作：價格事件時點天數加權，Revenue 第七節；E8c）</t>
        </is>
      </c>
      <c r="F57" s="3" t="inlineStr">
        <is>
          <t>去處文字改指本段實作位置</t>
        </is>
      </c>
      <c r="G57" s="3" t="inlineStr">
        <is>
          <t>去處類別不變（公式）</t>
        </is>
      </c>
    </row>
    <row r="58">
      <c r="A58" s="3" t="inlineStr">
        <is>
          <t>Map_v05</t>
        </is>
      </c>
      <c r="B58" s="3" t="inlineStr">
        <is>
          <t>tokenRevenue.api.listPriceFYAvg.out.mid.lo.1</t>
        </is>
      </c>
      <c r="C58" s="3" t="inlineStr">
        <is>
          <t>—</t>
        </is>
      </c>
      <c r="D58" s="3" t="inlineStr">
        <is>
          <t>P2（FY 平均牌價 2026：priceEvents 月加權）</t>
        </is>
      </c>
      <c r="E58" s="3" t="inlineStr">
        <is>
          <t>Revenue R01–R06 的 2026 欄（P2 實作：價格事件時點天數加權，Revenue 第七節；E8c）</t>
        </is>
      </c>
      <c r="F58" s="3" t="inlineStr">
        <is>
          <t>去處文字改指本段實作位置</t>
        </is>
      </c>
      <c r="G58" s="3" t="inlineStr">
        <is>
          <t>去處類別不變（公式）</t>
        </is>
      </c>
    </row>
    <row r="59">
      <c r="A59" s="3" t="inlineStr">
        <is>
          <t>Map_v05</t>
        </is>
      </c>
      <c r="B59" s="3" t="inlineStr">
        <is>
          <t>tokenRevenue.api.listPriceFYAvg.out.mid.hi.1</t>
        </is>
      </c>
      <c r="C59" s="3" t="inlineStr">
        <is>
          <t>—</t>
        </is>
      </c>
      <c r="D59" s="3" t="inlineStr">
        <is>
          <t>P2（FY 平均牌價 2026：priceEvents 月加權）</t>
        </is>
      </c>
      <c r="E59" s="3" t="inlineStr">
        <is>
          <t>Revenue R01–R06 的 2026 欄（P2 實作：價格事件時點天數加權，Revenue 第七節；E8c）</t>
        </is>
      </c>
      <c r="F59" s="3" t="inlineStr">
        <is>
          <t>去處文字改指本段實作位置</t>
        </is>
      </c>
      <c r="G59" s="3" t="inlineStr">
        <is>
          <t>去處類別不變（公式）</t>
        </is>
      </c>
    </row>
    <row r="60">
      <c r="A60" s="3" t="inlineStr">
        <is>
          <t>Map_v05</t>
        </is>
      </c>
      <c r="B60" s="3" t="inlineStr">
        <is>
          <t>tokenRevenue.api.listPriceFYAvg.out.low.v.1</t>
        </is>
      </c>
      <c r="C60" s="3" t="inlineStr">
        <is>
          <t>—</t>
        </is>
      </c>
      <c r="D60" s="3" t="inlineStr">
        <is>
          <t>P2（FY 平均牌價 2026：priceEvents 月加權）</t>
        </is>
      </c>
      <c r="E60" s="3" t="inlineStr">
        <is>
          <t>Revenue R01–R06 的 2026 欄（P2 實作：價格事件時點天數加權，Revenue 第七節；E8c）</t>
        </is>
      </c>
      <c r="F60" s="3" t="inlineStr">
        <is>
          <t>去處文字改指本段實作位置</t>
        </is>
      </c>
      <c r="G60" s="3" t="inlineStr">
        <is>
          <t>去處類別不變（公式）</t>
        </is>
      </c>
    </row>
    <row r="61">
      <c r="A61" s="3" t="inlineStr">
        <is>
          <t>Map_v05</t>
        </is>
      </c>
      <c r="B61" s="3" t="inlineStr">
        <is>
          <t>tokenRevenue.api.listPriceFYAvg.out.low.lo.1</t>
        </is>
      </c>
      <c r="C61" s="3" t="inlineStr">
        <is>
          <t>—</t>
        </is>
      </c>
      <c r="D61" s="3" t="inlineStr">
        <is>
          <t>P2（FY 平均牌價 2026：priceEvents 月加權）</t>
        </is>
      </c>
      <c r="E61" s="3" t="inlineStr">
        <is>
          <t>Revenue R01–R06 的 2026 欄（P2 實作：價格事件時點天數加權，Revenue 第七節；E8c）</t>
        </is>
      </c>
      <c r="F61" s="3" t="inlineStr">
        <is>
          <t>去處文字改指本段實作位置</t>
        </is>
      </c>
      <c r="G61" s="3" t="inlineStr">
        <is>
          <t>去處類別不變（公式）</t>
        </is>
      </c>
    </row>
    <row r="62">
      <c r="A62" s="3" t="inlineStr">
        <is>
          <t>Map_v05</t>
        </is>
      </c>
      <c r="B62" s="3" t="inlineStr">
        <is>
          <t>tokenRevenue.api.listPriceFYAvg.out.low.hi.1</t>
        </is>
      </c>
      <c r="C62" s="3" t="inlineStr">
        <is>
          <t>—</t>
        </is>
      </c>
      <c r="D62" s="3" t="inlineStr">
        <is>
          <t>P2（FY 平均牌價 2026：priceEvents 月加權）</t>
        </is>
      </c>
      <c r="E62" s="3" t="inlineStr">
        <is>
          <t>Revenue R01–R06 的 2026 欄（P2 實作：價格事件時點天數加權，Revenue 第七節；E8c）</t>
        </is>
      </c>
      <c r="F62" s="3" t="inlineStr">
        <is>
          <t>去處文字改指本段實作位置</t>
        </is>
      </c>
      <c r="G62" s="3" t="inlineStr">
        <is>
          <t>去處類別不變（公式）</t>
        </is>
      </c>
    </row>
    <row r="63">
      <c r="A63" s="3" t="inlineStr">
        <is>
          <t>Map_v05</t>
        </is>
      </c>
      <c r="B63" s="3" t="inlineStr">
        <is>
          <t>tokenRevenue.api.tokenMix.low.v.0</t>
        </is>
      </c>
      <c r="C63" s="3" t="inlineStr">
        <is>
          <t>—</t>
        </is>
      </c>
      <c r="D63" s="3" t="inlineStr">
        <is>
          <t>P2（low＝1−top−mid）</t>
        </is>
      </c>
      <c r="E63" s="3" t="inlineStr">
        <is>
          <t>Revenue R12（P2 實作：low＝1−top−mid）</t>
        </is>
      </c>
      <c r="F63" s="3" t="inlineStr">
        <is>
          <t>去處文字改指本段實作位置</t>
        </is>
      </c>
      <c r="G63" s="3" t="inlineStr">
        <is>
          <t>去處類別不變（公式）</t>
        </is>
      </c>
    </row>
    <row r="64">
      <c r="A64" s="3" t="inlineStr">
        <is>
          <t>Map_v05</t>
        </is>
      </c>
      <c r="B64" s="3" t="inlineStr">
        <is>
          <t>tokenRevenue.api.tokenMix.low.v.1</t>
        </is>
      </c>
      <c r="C64" s="3" t="inlineStr">
        <is>
          <t>—</t>
        </is>
      </c>
      <c r="D64" s="3" t="inlineStr">
        <is>
          <t>P2（low＝1−top−mid）</t>
        </is>
      </c>
      <c r="E64" s="3" t="inlineStr">
        <is>
          <t>Revenue R12（P2 實作：low＝1−top−mid）</t>
        </is>
      </c>
      <c r="F64" s="3" t="inlineStr">
        <is>
          <t>去處文字改指本段實作位置</t>
        </is>
      </c>
      <c r="G64" s="3" t="inlineStr">
        <is>
          <t>去處類別不變（公式）</t>
        </is>
      </c>
    </row>
    <row r="65">
      <c r="A65" s="3" t="inlineStr">
        <is>
          <t>Map_v05</t>
        </is>
      </c>
      <c r="B65" s="3" t="inlineStr">
        <is>
          <t>tokenRevenue.api.tokenMix.low.lo.0</t>
        </is>
      </c>
      <c r="C65" s="3" t="inlineStr">
        <is>
          <t>—</t>
        </is>
      </c>
      <c r="D65" s="3" t="inlineStr">
        <is>
          <t>P2（low＝1−top−mid）</t>
        </is>
      </c>
      <c r="E65" s="3" t="inlineStr">
        <is>
          <t>Revenue R12（P2 實作：low＝1−top−mid）</t>
        </is>
      </c>
      <c r="F65" s="3" t="inlineStr">
        <is>
          <t>去處文字改指本段實作位置</t>
        </is>
      </c>
      <c r="G65" s="3" t="inlineStr">
        <is>
          <t>去處類別不變（公式）</t>
        </is>
      </c>
    </row>
    <row r="66">
      <c r="A66" s="3" t="inlineStr">
        <is>
          <t>Map_v05</t>
        </is>
      </c>
      <c r="B66" s="3" t="inlineStr">
        <is>
          <t>tokenRevenue.api.tokenMix.low.lo.1</t>
        </is>
      </c>
      <c r="C66" s="3" t="inlineStr">
        <is>
          <t>—</t>
        </is>
      </c>
      <c r="D66" s="3" t="inlineStr">
        <is>
          <t>P2（low＝1−top−mid）</t>
        </is>
      </c>
      <c r="E66" s="3" t="inlineStr">
        <is>
          <t>Revenue R12（P2 實作：low＝1−top−mid）</t>
        </is>
      </c>
      <c r="F66" s="3" t="inlineStr">
        <is>
          <t>去處文字改指本段實作位置</t>
        </is>
      </c>
      <c r="G66" s="3" t="inlineStr">
        <is>
          <t>去處類別不變（公式）</t>
        </is>
      </c>
    </row>
    <row r="67">
      <c r="A67" s="3" t="inlineStr">
        <is>
          <t>Map_v05</t>
        </is>
      </c>
      <c r="B67" s="3" t="inlineStr">
        <is>
          <t>tokenRevenue.api.tokenMix.low.hi.0</t>
        </is>
      </c>
      <c r="C67" s="3" t="inlineStr">
        <is>
          <t>—</t>
        </is>
      </c>
      <c r="D67" s="3" t="inlineStr">
        <is>
          <t>P2（low＝1−top−mid）</t>
        </is>
      </c>
      <c r="E67" s="3" t="inlineStr">
        <is>
          <t>Revenue R12（P2 實作：low＝1−top−mid）</t>
        </is>
      </c>
      <c r="F67" s="3" t="inlineStr">
        <is>
          <t>去處文字改指本段實作位置</t>
        </is>
      </c>
      <c r="G67" s="3" t="inlineStr">
        <is>
          <t>去處類別不變（公式）</t>
        </is>
      </c>
    </row>
    <row r="68">
      <c r="A68" s="3" t="inlineStr">
        <is>
          <t>Map_v05</t>
        </is>
      </c>
      <c r="B68" s="3" t="inlineStr">
        <is>
          <t>tokenRevenue.api.tokenMix.low.hi.1</t>
        </is>
      </c>
      <c r="C68" s="3" t="inlineStr">
        <is>
          <t>—</t>
        </is>
      </c>
      <c r="D68" s="3" t="inlineStr">
        <is>
          <t>P2（low＝1−top−mid）</t>
        </is>
      </c>
      <c r="E68" s="3" t="inlineStr">
        <is>
          <t>Revenue R12（P2 實作：low＝1−top−mid）</t>
        </is>
      </c>
      <c r="F68" s="3" t="inlineStr">
        <is>
          <t>去處文字改指本段實作位置</t>
        </is>
      </c>
      <c r="G68" s="3" t="inlineStr">
        <is>
          <t>去處類別不變（公式）</t>
        </is>
      </c>
    </row>
    <row r="69">
      <c r="A69" s="3" t="inlineStr">
        <is>
          <t>Map_v05</t>
        </is>
      </c>
      <c r="B69" s="3" t="inlineStr">
        <is>
          <t>tokenRevenue.api.tokenMix.low.tag</t>
        </is>
      </c>
      <c r="C69" s="3" t="inlineStr">
        <is>
          <t>—</t>
        </is>
      </c>
      <c r="D69" s="3" t="inlineStr">
        <is>
          <t>P2（low＝1−top−mid）</t>
        </is>
      </c>
      <c r="E69" s="3" t="inlineStr">
        <is>
          <t>Revenue R12（P2 實作：low＝1−top−mid）</t>
        </is>
      </c>
      <c r="F69" s="3" t="inlineStr">
        <is>
          <t>去處文字改指本段實作位置</t>
        </is>
      </c>
      <c r="G69" s="3" t="inlineStr">
        <is>
          <t>去處類別不變（公式）</t>
        </is>
      </c>
    </row>
    <row r="70">
      <c r="A70" s="3" t="inlineStr">
        <is>
          <t>Map_v05</t>
        </is>
      </c>
      <c r="B70" s="3" t="inlineStr">
        <is>
          <t>tokenRevenue.api.tokenMix.low.src</t>
        </is>
      </c>
      <c r="C70" s="3" t="inlineStr">
        <is>
          <t>—</t>
        </is>
      </c>
      <c r="D70" s="3" t="inlineStr">
        <is>
          <t>P2（low＝1−top−mid）</t>
        </is>
      </c>
      <c r="E70" s="3" t="inlineStr">
        <is>
          <t>Revenue R12（P2 實作：low＝1−top−mid）</t>
        </is>
      </c>
      <c r="F70" s="3" t="inlineStr">
        <is>
          <t>去處文字改指本段實作位置</t>
        </is>
      </c>
      <c r="G70" s="3" t="inlineStr">
        <is>
          <t>去處類別不變（公式）</t>
        </is>
      </c>
    </row>
    <row r="71">
      <c r="A71" s="3" t="inlineStr">
        <is>
          <t>Map_v05</t>
        </is>
      </c>
      <c r="B71" s="3" t="inlineStr">
        <is>
          <t>tokenRevenue.comparison.fy2026Independent.v</t>
        </is>
      </c>
      <c r="C71" s="3" t="inlineStr">
        <is>
          <t>—</t>
        </is>
      </c>
      <c r="D71" s="3" t="inlineStr">
        <is>
          <t>P2（FY2026 獨立推估：Q1＋Q2＋下半年 ARR 外推）</t>
        </is>
      </c>
      <c r="E71" s="3" t="inlineStr">
        <is>
          <t>Revenue R41（P2 實作：FY2026 獨立推估＝Q1＋Q2＋ARR×下半年月數÷12）</t>
        </is>
      </c>
      <c r="F71" s="3" t="inlineStr">
        <is>
          <t>去處文字改指本段實作位置</t>
        </is>
      </c>
      <c r="G71" s="3" t="inlineStr">
        <is>
          <t>去處類別不變（公式）</t>
        </is>
      </c>
    </row>
    <row r="72">
      <c r="A72" s="3" t="inlineStr">
        <is>
          <t>Map_v05</t>
        </is>
      </c>
      <c r="B72" s="3" t="inlineStr">
        <is>
          <t>tokenRevenue.comparison.fy2026Independent.lo</t>
        </is>
      </c>
      <c r="C72" s="3" t="inlineStr">
        <is>
          <t>—</t>
        </is>
      </c>
      <c r="D72" s="3" t="inlineStr">
        <is>
          <t>P2（FY2026 獨立推估：Q1＋Q2＋下半年 ARR 外推）</t>
        </is>
      </c>
      <c r="E72" s="3" t="inlineStr">
        <is>
          <t>Revenue R41（P2 實作：FY2026 獨立推估＝Q1＋Q2＋ARR×下半年月數÷12）</t>
        </is>
      </c>
      <c r="F72" s="3" t="inlineStr">
        <is>
          <t>去處文字改指本段實作位置</t>
        </is>
      </c>
      <c r="G72" s="3" t="inlineStr">
        <is>
          <t>去處類別不變（公式）</t>
        </is>
      </c>
    </row>
    <row r="73">
      <c r="A73" s="3" t="inlineStr">
        <is>
          <t>Map_v05</t>
        </is>
      </c>
      <c r="B73" s="3" t="inlineStr">
        <is>
          <t>tokenRevenue.comparison.fy2026Independent.hi</t>
        </is>
      </c>
      <c r="C73" s="3" t="inlineStr">
        <is>
          <t>—</t>
        </is>
      </c>
      <c r="D73" s="3" t="inlineStr">
        <is>
          <t>P2（FY2026 獨立推估：Q1＋Q2＋下半年 ARR 外推）</t>
        </is>
      </c>
      <c r="E73" s="3" t="inlineStr">
        <is>
          <t>Revenue R41（P2 實作：FY2026 獨立推估＝Q1＋Q2＋ARR×下半年月數÷12）</t>
        </is>
      </c>
      <c r="F73" s="3" t="inlineStr">
        <is>
          <t>去處文字改指本段實作位置</t>
        </is>
      </c>
      <c r="G73" s="3" t="inlineStr">
        <is>
          <t>去處類別不變（公式）</t>
        </is>
      </c>
    </row>
    <row r="74">
      <c r="A74" s="3" t="inlineStr">
        <is>
          <t>Map_v05</t>
        </is>
      </c>
      <c r="B74" s="3" t="inlineStr">
        <is>
          <t>tokenRevenue.comparison.fy2026Independent.tag</t>
        </is>
      </c>
      <c r="C74" s="3" t="inlineStr">
        <is>
          <t>—</t>
        </is>
      </c>
      <c r="D74" s="3" t="inlineStr">
        <is>
          <t>P2（FY2026 獨立推估：Q1＋Q2＋下半年 ARR 外推）</t>
        </is>
      </c>
      <c r="E74" s="3" t="inlineStr">
        <is>
          <t>Revenue R41（P2 實作：FY2026 獨立推估＝Q1＋Q2＋ARR×下半年月數÷12）</t>
        </is>
      </c>
      <c r="F74" s="3" t="inlineStr">
        <is>
          <t>去處文字改指本段實作位置</t>
        </is>
      </c>
      <c r="G74" s="3" t="inlineStr">
        <is>
          <t>去處類別不變（公式）</t>
        </is>
      </c>
    </row>
    <row r="75">
      <c r="A75" s="3" t="inlineStr">
        <is>
          <t>Map_v05</t>
        </is>
      </c>
      <c r="B75" s="3" t="inlineStr">
        <is>
          <t>tokenRevenue.comparison.fy2026Independent.src</t>
        </is>
      </c>
      <c r="C75" s="3" t="inlineStr">
        <is>
          <t>—</t>
        </is>
      </c>
      <c r="D75" s="3" t="inlineStr">
        <is>
          <t>P2（FY2026 獨立推估：Q1＋Q2＋下半年 ARR 外推）</t>
        </is>
      </c>
      <c r="E75" s="3" t="inlineStr">
        <is>
          <t>Revenue R41（P2 實作：FY2026 獨立推估＝Q1＋Q2＋ARR×下半年月數÷12）</t>
        </is>
      </c>
      <c r="F75" s="3" t="inlineStr">
        <is>
          <t>去處文字改指本段實作位置</t>
        </is>
      </c>
      <c r="G75" s="3" t="inlineStr">
        <is>
          <t>去處類別不變（公式）</t>
        </is>
      </c>
    </row>
    <row r="76">
      <c r="A76" s="3" t="inlineStr">
        <is>
          <t>Demand</t>
        </is>
      </c>
      <c r="B76" s="3" t="inlineStr">
        <is>
          <t>遷移率 μ（Plus→Go）</t>
        </is>
      </c>
      <c r="C76" s="3" t="inlineStr">
        <is>
          <t>D01</t>
        </is>
      </c>
      <c r="D76" s="3" t="inlineStr">
        <is>
          <t>—（新頁）</t>
        </is>
      </c>
      <c r="E76" s="3" t="inlineStr">
        <is>
          <t>、0.2413、0.2413、0.2413、0.2413、0.2413</t>
        </is>
      </c>
      <c r="F76" s="3">
        <f>INP_013*(1-SRC_OAI_037/INP_073)</f>
        <v/>
      </c>
      <c r="G76" s="3" t="inlineStr">
        <is>
          <t>計畫幅度（Inputs 基準 0.3）×（1 − 公司計畫 Plus ÷ 無遷移 Plus 2026）；2026 起各年同值（v0.5）</t>
        </is>
      </c>
    </row>
    <row r="77">
      <c r="A77" s="3" t="inlineStr">
        <is>
          <t>Demand</t>
        </is>
      </c>
      <c r="B77" s="3" t="inlineStr">
        <is>
          <t>Go 額外新增倍數 λ</t>
        </is>
      </c>
      <c r="C77" s="3" t="inlineStr">
        <is>
          <t>D02</t>
        </is>
      </c>
      <c r="D77" s="3" t="inlineStr">
        <is>
          <t>—（新頁）</t>
        </is>
      </c>
      <c r="E77" s="3" t="inlineStr">
        <is>
          <t>、1.95、1.95、1.95、1.95、1.95</t>
        </is>
      </c>
      <c r="F77" s="3">
        <f>INP_013*(SRC_OAI_036-INP_073*(1-SRC_OAI_037/INP_073)-INP_065)/INP_065</f>
        <v/>
      </c>
      <c r="G77" s="3" t="inlineStr">
        <is>
          <t>＝計畫幅度 ×（公司計畫 Go −（無遷移 Plus 2026 − 公司計畫 Plus）− 無遷移 Go 2026）÷ 無遷移 Go 2026；計畫幅度＝1 時，2026 Go 恰等於公司計畫 112M（v0.5；與 v0.5 寫法代數相同）</t>
        </is>
      </c>
    </row>
    <row r="78">
      <c r="A78" s="3" t="inlineStr">
        <is>
          <t>Demand</t>
        </is>
      </c>
      <c r="B78" s="3" t="inlineStr">
        <is>
          <t>Free 人數</t>
        </is>
      </c>
      <c r="C78" s="3" t="inlineStr">
        <is>
          <t>D03</t>
        </is>
      </c>
      <c r="D78" s="3" t="inlineStr">
        <is>
          <t>—（新頁）</t>
        </is>
      </c>
      <c r="E78" s="3" t="inlineStr">
        <is>
          <t>600、950、1250、1500、1700、1850</t>
        </is>
      </c>
      <c r="F78" s="3">
        <f>V9_Free2026</f>
        <v/>
      </c>
      <c r="G78" s="3" t="inlineStr">
        <is>
          <t>2025、2027+ Inputs；2026＝SRC WAU × 換算係數（Derived_V9 V01）</t>
        </is>
      </c>
    </row>
    <row r="79">
      <c r="A79" s="3" t="inlineStr">
        <is>
          <t>Demand</t>
        </is>
      </c>
      <c r="B79" s="3" t="inlineStr">
        <is>
          <t>Go 人數</t>
        </is>
      </c>
      <c r="C79" s="3" t="inlineStr">
        <is>
          <t>D04</t>
        </is>
      </c>
      <c r="D79" s="3" t="inlineStr">
        <is>
          <t>—（新頁）</t>
        </is>
      </c>
      <c r="E79" s="3" t="inlineStr">
        <is>
          <t>2、40.6、77.45、117、147.5、177.7</t>
        </is>
      </c>
      <c r="F79" s="3">
        <f>INP_065*(1+E9)+INP_073*E8</f>
        <v/>
      </c>
      <c r="G79" s="3" t="inlineStr">
        <is>
          <t>2026 起＝無遷移 Go ×（1＋λ）＋無遷移 Plus × μ</t>
        </is>
      </c>
    </row>
    <row r="80">
      <c r="A80" s="3" t="inlineStr">
        <is>
          <t>Demand</t>
        </is>
      </c>
      <c r="B80" s="3" t="inlineStr">
        <is>
          <t>Plus 人數</t>
        </is>
      </c>
      <c r="C80" s="3" t="inlineStr">
        <is>
          <t>D05</t>
        </is>
      </c>
      <c r="D80" s="3" t="inlineStr">
        <is>
          <t>—（新頁）</t>
        </is>
      </c>
      <c r="E80" s="3" t="inlineStr">
        <is>
          <t>30、34.9、39.45、43.25、46.28、48.56</t>
        </is>
      </c>
      <c r="F80" s="3">
        <f>INP_073*(1-E8)</f>
        <v/>
      </c>
      <c r="G80" s="3" t="inlineStr">
        <is>
          <t>2025＝Derived_V9 V02（SRC 35M × 換算係數）；2026 起＝無遷移 Plus ×（1 − μ）</t>
        </is>
      </c>
    </row>
    <row r="81">
      <c r="A81" s="3" t="inlineStr">
        <is>
          <t>Demand</t>
        </is>
      </c>
      <c r="B81" s="3" t="inlineStr">
        <is>
          <t>Pro 人數</t>
        </is>
      </c>
      <c r="C81" s="3" t="inlineStr">
        <is>
          <t>D06</t>
        </is>
      </c>
      <c r="D81" s="3" t="inlineStr">
        <is>
          <t>—（新頁）</t>
        </is>
      </c>
      <c r="E81" s="3" t="inlineStr">
        <is>
          <t>0.2823、0.5645、0.8065、1.048、1.242、1.411</t>
        </is>
      </c>
      <c r="F81" s="3">
        <f>V9_Pro2026</f>
        <v/>
      </c>
      <c r="G81" s="3" t="inlineStr">
        <is>
          <t>V12／V15：占比 × 付費總數（Derived_V9 V03、V04、V10–V13；付費總數口徑＝無遷移基準，沿用 P1 已審公式）</t>
        </is>
      </c>
    </row>
    <row r="82">
      <c r="A82" s="3" t="inlineStr">
        <is>
          <t>Demand</t>
        </is>
      </c>
      <c r="B82" s="3" t="inlineStr">
        <is>
          <t>企業席位人數</t>
        </is>
      </c>
      <c r="C82" s="3" t="inlineStr">
        <is>
          <t>D07</t>
        </is>
      </c>
      <c r="D82" s="3" t="inlineStr">
        <is>
          <t>—（新頁）</t>
        </is>
      </c>
      <c r="E82" s="3" t="inlineStr">
        <is>
          <t>3、14、26、38、48、56</t>
        </is>
      </c>
      <c r="F82" s="3">
        <f>INP_089</f>
        <v/>
      </c>
      <c r="G82" s="3" t="inlineStr">
        <is>
          <t>Inputs</t>
        </is>
      </c>
    </row>
    <row r="83">
      <c r="A83" s="3" t="inlineStr">
        <is>
          <t>Demand</t>
        </is>
      </c>
      <c r="B83" s="3" t="inlineStr">
        <is>
          <t>付費人數合計（Go＋Plus＋Pro＋席位）</t>
        </is>
      </c>
      <c r="C83" s="3" t="inlineStr">
        <is>
          <t>D08</t>
        </is>
      </c>
      <c r="D83" s="3" t="inlineStr">
        <is>
          <t>—（新頁）</t>
        </is>
      </c>
      <c r="E83" s="3" t="inlineStr">
        <is>
          <t>35.28、90.06、143.7、199.3、243、283.7</t>
        </is>
      </c>
      <c r="F83" s="3">
        <f>E11+E12+E13+E14</f>
        <v/>
      </c>
      <c r="G83" s="3" t="n"/>
    </row>
    <row r="84">
      <c r="A84" s="3" t="inlineStr">
        <is>
          <t>Demand</t>
        </is>
      </c>
      <c r="B84" s="3" t="inlineStr">
        <is>
          <t>消費端付費人數（Go＋Plus＋Pro）</t>
        </is>
      </c>
      <c r="C84" s="3" t="inlineStr">
        <is>
          <t>D09</t>
        </is>
      </c>
      <c r="D84" s="3" t="inlineStr">
        <is>
          <t>—（新頁）</t>
        </is>
      </c>
      <c r="E84" s="3" t="inlineStr">
        <is>
          <t>32.28、76.06、117.7、161.3、195、227.7</t>
        </is>
      </c>
      <c r="F84" s="3">
        <f>E11+E12+E13</f>
        <v/>
      </c>
      <c r="G84" s="3" t="n"/>
    </row>
    <row r="85">
      <c r="A85" s="3" t="inlineStr">
        <is>
          <t>Demand</t>
        </is>
      </c>
      <c r="B85" s="3" t="inlineStr">
        <is>
          <t>Free 每日任務數</t>
        </is>
      </c>
      <c r="C85" s="3" t="inlineStr">
        <is>
          <t>D10</t>
        </is>
      </c>
      <c r="D85" s="3" t="inlineStr">
        <is>
          <t>—（新頁）</t>
        </is>
      </c>
      <c r="E85" s="3" t="inlineStr">
        <is>
          <t>1.7、1.7、1.87、2.057、2.263、2.489</t>
        </is>
      </c>
      <c r="F85" s="3">
        <f>INP_103</f>
        <v/>
      </c>
      <c r="G85" s="3" t="inlineStr">
        <is>
          <t>2027 起 ×（1＋每日任務數年增率）</t>
        </is>
      </c>
    </row>
    <row r="86">
      <c r="A86" s="3" t="inlineStr">
        <is>
          <t>Demand</t>
        </is>
      </c>
      <c r="B86" s="3" t="inlineStr">
        <is>
          <t>Go 每日任務數</t>
        </is>
      </c>
      <c r="C86" s="3" t="inlineStr">
        <is>
          <t>D11</t>
        </is>
      </c>
      <c r="D86" s="3" t="inlineStr">
        <is>
          <t>—（新頁）</t>
        </is>
      </c>
      <c r="E86" s="3" t="inlineStr">
        <is>
          <t>5.3、5.7、6.27、6.897、7.587、8.345</t>
        </is>
      </c>
      <c r="F86" s="3">
        <f>INP_105</f>
        <v/>
      </c>
      <c r="G86" s="3" t="inlineStr">
        <is>
          <t>2027 起 ×（1＋每日任務數年增率）</t>
        </is>
      </c>
    </row>
    <row r="87">
      <c r="A87" s="3" t="inlineStr">
        <is>
          <t>Demand</t>
        </is>
      </c>
      <c r="B87" s="3" t="inlineStr">
        <is>
          <t>Plus 每日任務數</t>
        </is>
      </c>
      <c r="C87" s="3" t="inlineStr">
        <is>
          <t>D12</t>
        </is>
      </c>
      <c r="D87" s="3" t="inlineStr">
        <is>
          <t>—（新頁）</t>
        </is>
      </c>
      <c r="E87" s="3" t="inlineStr">
        <is>
          <t>13.4、17.9、19.69、21.66、23.82、26.21</t>
        </is>
      </c>
      <c r="F87" s="3">
        <f>INP_107</f>
        <v/>
      </c>
      <c r="G87" s="3" t="inlineStr">
        <is>
          <t>2027 起 ×（1＋每日任務數年增率）</t>
        </is>
      </c>
    </row>
    <row r="88">
      <c r="A88" s="3" t="inlineStr">
        <is>
          <t>Demand</t>
        </is>
      </c>
      <c r="B88" s="3" t="inlineStr">
        <is>
          <t>Pro 每日任務數</t>
        </is>
      </c>
      <c r="C88" s="3" t="inlineStr">
        <is>
          <t>D13</t>
        </is>
      </c>
      <c r="D88" s="3" t="inlineStr">
        <is>
          <t>—（新頁）</t>
        </is>
      </c>
      <c r="E88" s="3" t="inlineStr">
        <is>
          <t>41、51.4、56.54、62.19、68.41、75.25</t>
        </is>
      </c>
      <c r="F88" s="3">
        <f>INP_109</f>
        <v/>
      </c>
      <c r="G88" s="3" t="inlineStr">
        <is>
          <t>2027 起 ×（1＋每日任務數年增率）</t>
        </is>
      </c>
    </row>
    <row r="89">
      <c r="A89" s="3" t="inlineStr">
        <is>
          <t>Demand</t>
        </is>
      </c>
      <c r="B89" s="3" t="inlineStr">
        <is>
          <t>企業席位 每日任務數</t>
        </is>
      </c>
      <c r="C89" s="3" t="inlineStr">
        <is>
          <t>D14</t>
        </is>
      </c>
      <c r="D89" s="3" t="inlineStr">
        <is>
          <t>—（新頁）</t>
        </is>
      </c>
      <c r="E89" s="3" t="inlineStr">
        <is>
          <t>10.7、14.3、15.73、17.3、19.03、20.94</t>
        </is>
      </c>
      <c r="F89" s="3">
        <f>INP_111</f>
        <v/>
      </c>
      <c r="G89" s="3" t="inlineStr">
        <is>
          <t>2027 起 ×（1＋每日任務數年增率）</t>
        </is>
      </c>
    </row>
    <row r="90">
      <c r="A90" s="3" t="inlineStr">
        <is>
          <t>Demand</t>
        </is>
      </c>
      <c r="B90" s="3" t="inlineStr">
        <is>
          <t>Free 每任務 token</t>
        </is>
      </c>
      <c r="C90" s="3" t="inlineStr">
        <is>
          <t>D15</t>
        </is>
      </c>
      <c r="D90" s="3" t="inlineStr">
        <is>
          <t>—（新頁）</t>
        </is>
      </c>
      <c r="E90" s="3" t="inlineStr">
        <is>
          <t>2、2.94、3.381、3.888、4.471、5.142</t>
        </is>
      </c>
      <c r="F90" s="3">
        <f>INP_113</f>
        <v/>
      </c>
      <c r="G90" s="3" t="inlineStr">
        <is>
          <t>2027 起 ×（1＋每任務 token 年增率；D11 情境軸）</t>
        </is>
      </c>
    </row>
    <row r="91">
      <c r="A91" s="3" t="inlineStr">
        <is>
          <t>Demand</t>
        </is>
      </c>
      <c r="B91" s="3" t="inlineStr">
        <is>
          <t>Go 每任務 token</t>
        </is>
      </c>
      <c r="C91" s="3" t="inlineStr">
        <is>
          <t>D16</t>
        </is>
      </c>
      <c r="D91" s="3" t="inlineStr">
        <is>
          <t>—（新頁）</t>
        </is>
      </c>
      <c r="E91" s="3" t="inlineStr">
        <is>
          <t>3、4.39、5.048、5.806、6.677、7.678</t>
        </is>
      </c>
      <c r="F91" s="3">
        <f>INP_115</f>
        <v/>
      </c>
      <c r="G91" s="3" t="inlineStr">
        <is>
          <t>2027 起 ×（1＋每任務 token 年增率；D11 情境軸）</t>
        </is>
      </c>
    </row>
    <row r="92">
      <c r="A92" s="3" t="inlineStr">
        <is>
          <t>Demand</t>
        </is>
      </c>
      <c r="B92" s="3" t="inlineStr">
        <is>
          <t>Plus 每任務 token</t>
        </is>
      </c>
      <c r="C92" s="3" t="inlineStr">
        <is>
          <t>D17</t>
        </is>
      </c>
      <c r="D92" s="3" t="inlineStr">
        <is>
          <t>—（新頁）</t>
        </is>
      </c>
      <c r="E92" s="3" t="inlineStr">
        <is>
          <t>4、6.15、7.072、8.133、9.353、10.76</t>
        </is>
      </c>
      <c r="F92" s="3">
        <f>INP_117</f>
        <v/>
      </c>
      <c r="G92" s="3" t="inlineStr">
        <is>
          <t>2027 起 ×（1＋每任務 token 年增率；D11 情境軸）</t>
        </is>
      </c>
    </row>
    <row r="93">
      <c r="A93" s="3" t="inlineStr">
        <is>
          <t>Demand</t>
        </is>
      </c>
      <c r="B93" s="3" t="inlineStr">
        <is>
          <t>Pro 每任務 token</t>
        </is>
      </c>
      <c r="C93" s="3" t="inlineStr">
        <is>
          <t>D18</t>
        </is>
      </c>
      <c r="D93" s="3" t="inlineStr">
        <is>
          <t>—（新頁）</t>
        </is>
      </c>
      <c r="E93" s="3" t="inlineStr">
        <is>
          <t>10、15.6、17.94、20.63、23.73、27.28</t>
        </is>
      </c>
      <c r="F93" s="3">
        <f>INP_119</f>
        <v/>
      </c>
      <c r="G93" s="3" t="inlineStr">
        <is>
          <t>2027 起 ×（1＋每任務 token 年增率；D11 情境軸）</t>
        </is>
      </c>
    </row>
    <row r="94">
      <c r="A94" s="3" t="inlineStr">
        <is>
          <t>Demand</t>
        </is>
      </c>
      <c r="B94" s="3" t="inlineStr">
        <is>
          <t>企業席位 每任務 token</t>
        </is>
      </c>
      <c r="C94" s="3" t="inlineStr">
        <is>
          <t>D19</t>
        </is>
      </c>
      <c r="D94" s="3" t="inlineStr">
        <is>
          <t>—（新頁）</t>
        </is>
      </c>
      <c r="E94" s="3" t="inlineStr">
        <is>
          <t>4、5.94、6.831、7.856、9.034、10.39</t>
        </is>
      </c>
      <c r="F94" s="3">
        <f>INP_121</f>
        <v/>
      </c>
      <c r="G94" s="3" t="inlineStr">
        <is>
          <t>2027 起 ×（1＋每任務 token 年增率；D11 情境軸）</t>
        </is>
      </c>
    </row>
    <row r="95">
      <c r="A95" s="3" t="inlineStr">
        <is>
          <t>Demand</t>
        </is>
      </c>
      <c r="B95" s="3" t="inlineStr">
        <is>
          <t>Free token</t>
        </is>
      </c>
      <c r="C95" s="3" t="inlineStr">
        <is>
          <t>D20</t>
        </is>
      </c>
      <c r="D95" s="3" t="inlineStr">
        <is>
          <t>—（新頁）</t>
        </is>
      </c>
      <c r="E95" s="3" t="inlineStr">
        <is>
          <t>744.6、1733、2885、4379、6278、8642</t>
        </is>
      </c>
      <c r="F95" s="3">
        <f>E10*E18*E23*INP_251/INP_239</f>
        <v/>
      </c>
      <c r="G95" s="3" t="inlineStr">
        <is>
          <t>人數（M）× 每日任務 × 每任務 token（K）× 每年天數 ÷ 1000（B→T）</t>
        </is>
      </c>
    </row>
    <row r="96">
      <c r="A96" s="3" t="inlineStr">
        <is>
          <t>Demand</t>
        </is>
      </c>
      <c r="B96" s="3" t="inlineStr">
        <is>
          <t>Go token</t>
        </is>
      </c>
      <c r="C96" s="3" t="inlineStr">
        <is>
          <t>D21</t>
        </is>
      </c>
      <c r="D96" s="3" t="inlineStr">
        <is>
          <t>—（新頁）</t>
        </is>
      </c>
      <c r="E96" s="3" t="inlineStr">
        <is>
          <t>11.61、370.8、894.8、1710、2727、4156</t>
        </is>
      </c>
      <c r="F96" s="3">
        <f>E11*E19*E24*INP_251/INP_239</f>
        <v/>
      </c>
      <c r="G96" s="3" t="inlineStr">
        <is>
          <t>人數（M）× 每日任務 × 每任務 token（K）× 每年天數 ÷ 1000（B→T）</t>
        </is>
      </c>
    </row>
    <row r="97">
      <c r="A97" s="3" t="inlineStr">
        <is>
          <t>Demand</t>
        </is>
      </c>
      <c r="B97" s="3" t="inlineStr">
        <is>
          <t>Plus token</t>
        </is>
      </c>
      <c r="C97" s="3" t="inlineStr">
        <is>
          <t>D22</t>
        </is>
      </c>
      <c r="D97" s="3" t="inlineStr">
        <is>
          <t>—（新頁）</t>
        </is>
      </c>
      <c r="E97" s="3" t="inlineStr">
        <is>
          <t>586.9、1402、2005、2781、3764、4996</t>
        </is>
      </c>
      <c r="F97" s="3">
        <f>E12*E20*E25*INP_251/INP_239</f>
        <v/>
      </c>
      <c r="G97" s="3" t="inlineStr">
        <is>
          <t>人數（M）× 每日任務 × 每任務 token（K）× 每年天數 ÷ 1000（B→T）</t>
        </is>
      </c>
    </row>
    <row r="98">
      <c r="A98" s="3" t="inlineStr">
        <is>
          <t>Demand</t>
        </is>
      </c>
      <c r="B98" s="3" t="inlineStr">
        <is>
          <t>Pro token</t>
        </is>
      </c>
      <c r="C98" s="3" t="inlineStr">
        <is>
          <t>D23</t>
        </is>
      </c>
      <c r="D98" s="3" t="inlineStr">
        <is>
          <t>—（新頁）</t>
        </is>
      </c>
      <c r="E98" s="3" t="inlineStr">
        <is>
          <t>42.24、165.2、298.6、491、735.8、1058</t>
        </is>
      </c>
      <c r="F98" s="3">
        <f>E13*E21*E26*INP_251/INP_239</f>
        <v/>
      </c>
      <c r="G98" s="3" t="inlineStr">
        <is>
          <t>人數（M）× 每日任務 × 每任務 token（K）× 每年天數 ÷ 1000（B→T）</t>
        </is>
      </c>
    </row>
    <row r="99">
      <c r="A99" s="3" t="inlineStr">
        <is>
          <t>Demand</t>
        </is>
      </c>
      <c r="B99" s="3" t="inlineStr">
        <is>
          <t>企業席位 token</t>
        </is>
      </c>
      <c r="C99" s="3" t="inlineStr">
        <is>
          <t>D24</t>
        </is>
      </c>
      <c r="D99" s="3" t="inlineStr">
        <is>
          <t>—（新頁）</t>
        </is>
      </c>
      <c r="E99" s="3" t="inlineStr">
        <is>
          <t>46.87、434.1、1020、1885、3013、4446</t>
        </is>
      </c>
      <c r="F99" s="3">
        <f>E14*E22*E27*INP_251/INP_239</f>
        <v/>
      </c>
      <c r="G99" s="3" t="inlineStr">
        <is>
          <t>人數（M）× 每日任務 × 每任務 token（K）× 每年天數 ÷ 1000（B→T）</t>
        </is>
      </c>
    </row>
    <row r="100">
      <c r="A100" s="3" t="inlineStr">
        <is>
          <t>Demand</t>
        </is>
      </c>
      <c r="B100" s="3" t="inlineStr">
        <is>
          <t>訂閱＋Free token 合計</t>
        </is>
      </c>
      <c r="C100" s="3" t="inlineStr">
        <is>
          <t>D25</t>
        </is>
      </c>
      <c r="D100" s="3" t="inlineStr">
        <is>
          <t>—（新頁）</t>
        </is>
      </c>
      <c r="E100" s="3" t="inlineStr">
        <is>
          <t>1432、4105、7103、1.125e+04、1.652e+04、2.33e+04</t>
        </is>
      </c>
      <c r="F100" s="3">
        <f>E28+E29+E30+E31+E32</f>
        <v/>
      </c>
      <c r="G100" s="3" t="inlineStr">
        <is>
          <t>workbook 口徑（v0.5 未校正）</t>
        </is>
      </c>
    </row>
    <row r="101">
      <c r="A101" s="3" t="inlineStr">
        <is>
          <t>Demand</t>
        </is>
      </c>
      <c r="B101" s="3" t="inlineStr">
        <is>
          <t>價格反應底數 p/p前（組合有效單價）</t>
        </is>
      </c>
      <c r="C101" s="3" t="inlineStr">
        <is>
          <t>D26</t>
        </is>
      </c>
      <c r="D101" s="3" t="inlineStr">
        <is>
          <t>—（新頁）</t>
        </is>
      </c>
      <c r="E101" s="3" t="inlineStr">
        <is>
          <t>、1.418、0.6426、0.6464、0.6503、0.6541</t>
        </is>
      </c>
      <c r="F101" s="3">
        <f>Revenue!E21/Revenue!D21</f>
        <v/>
      </c>
      <c r="G101" s="3" t="inlineStr">
        <is>
          <t>＝Revenue 組合有效單價 ÷ 前一年；價格反應只在年度 ≥ 彈性起算年（Inputs 2027）生效：底數^(ε×(年度≥起算年))</t>
        </is>
      </c>
    </row>
    <row r="102">
      <c r="A102" s="3" t="inlineStr">
        <is>
          <t>Demand</t>
        </is>
      </c>
      <c r="B102" s="3" t="inlineStr">
        <is>
          <t>API 每任務 token</t>
        </is>
      </c>
      <c r="C102" s="3" t="inlineStr">
        <is>
          <t>D27</t>
        </is>
      </c>
      <c r="D102" s="3" t="inlineStr">
        <is>
          <t>—（新頁）</t>
        </is>
      </c>
      <c r="E102" s="3" t="inlineStr">
        <is>
          <t>10、12、15.76、20.12、25.18、30.89</t>
        </is>
      </c>
      <c r="F102" s="3">
        <f>D36*(1+INP_041)*E35^(INP_049*(E$6&gt;=INP_004))</f>
        <v/>
      </c>
      <c r="G102" s="3" t="inlineStr">
        <is>
          <t>層級正規化（只影響任務數與每任務 token 的水準拆分，不影響營收）</t>
        </is>
      </c>
    </row>
    <row r="103">
      <c r="A103" s="3" t="inlineStr">
        <is>
          <t>Demand</t>
        </is>
      </c>
      <c r="B103" s="3" t="inlineStr">
        <is>
          <t>API 任務數</t>
        </is>
      </c>
      <c r="C103" s="3" t="inlineStr">
        <is>
          <t>D28</t>
        </is>
      </c>
      <c r="D103" s="3" t="inlineStr">
        <is>
          <t>—（新頁）</t>
        </is>
      </c>
      <c r="E103" s="3" t="inlineStr">
        <is>
          <t>210.6、492.8、973.8、1784、3014、4869</t>
        </is>
      </c>
      <c r="F103" s="3">
        <f>D37*(1+INP_033)*E35^(INP_048*(E$6&gt;=INP_004))</f>
        <v/>
      </c>
      <c r="G103" s="3" t="inlineStr">
        <is>
          <t>2025＝計費 token ÷ 每任務 token；之後 ×（1＋成長）× 價格反應</t>
        </is>
      </c>
    </row>
    <row r="104">
      <c r="A104" s="3" t="inlineStr">
        <is>
          <t>Demand</t>
        </is>
      </c>
      <c r="B104" s="3" t="inlineStr">
        <is>
          <t>API 計費 token</t>
        </is>
      </c>
      <c r="C104" s="3" t="inlineStr">
        <is>
          <t>D29</t>
        </is>
      </c>
      <c r="D104" s="3" t="inlineStr">
        <is>
          <t>—（新頁）</t>
        </is>
      </c>
      <c r="E104" s="3" t="inlineStr">
        <is>
          <t>2106、5913、1.534e+04、3.589e+04、7.59e+04、1.504e+05</t>
        </is>
      </c>
      <c r="F104" s="3">
        <f>E37*E36</f>
        <v/>
      </c>
      <c r="G104" s="3" t="inlineStr">
        <is>
          <t>2025：（FY2025 實際營收 − 訂閱 − 廣告 − 其他）÷ 組合有效單價（v0.5 校準，唯一倒推）；之後＝任務數 × 每任務 token</t>
        </is>
      </c>
    </row>
    <row r="105">
      <c r="A105" s="3" t="inlineStr">
        <is>
          <t>Demand</t>
        </is>
      </c>
      <c r="B105" s="3" t="inlineStr">
        <is>
          <t>API token：頂層（Astra）</t>
        </is>
      </c>
      <c r="C105" s="3" t="inlineStr">
        <is>
          <t>D30</t>
        </is>
      </c>
      <c r="D105" s="3" t="inlineStr">
        <is>
          <t>—（新頁）</t>
        </is>
      </c>
      <c r="E105" s="3" t="inlineStr">
        <is>
          <t>842.3、887、2302、5384、1.138e+04、2.256e+04</t>
        </is>
      </c>
      <c r="F105" s="3">
        <f>E38*Revenue!E18</f>
        <v/>
      </c>
      <c r="G105" s="3" t="inlineStr">
        <is>
          <t>計費 token × 層級占比（Revenue）</t>
        </is>
      </c>
    </row>
    <row r="106">
      <c r="A106" s="3" t="inlineStr">
        <is>
          <t>Demand</t>
        </is>
      </c>
      <c r="B106" s="3" t="inlineStr">
        <is>
          <t>API token：中層（Sol）</t>
        </is>
      </c>
      <c r="C106" s="3" t="inlineStr">
        <is>
          <t>D31</t>
        </is>
      </c>
      <c r="D106" s="3" t="inlineStr">
        <is>
          <t>—（新頁）</t>
        </is>
      </c>
      <c r="E106" s="3" t="inlineStr">
        <is>
          <t>842.3、2661、6905、1.615e+04、3.415e+04、6.767e+04</t>
        </is>
      </c>
      <c r="F106" s="3">
        <f>E38*Revenue!E19</f>
        <v/>
      </c>
      <c r="G106" s="3" t="inlineStr">
        <is>
          <t>計費 token × 層級占比（Revenue）</t>
        </is>
      </c>
    </row>
    <row r="107">
      <c r="A107" s="3" t="inlineStr">
        <is>
          <t>Demand</t>
        </is>
      </c>
      <c r="B107" s="3" t="inlineStr">
        <is>
          <t>API token：低層（Luna）</t>
        </is>
      </c>
      <c r="C107" s="3" t="inlineStr">
        <is>
          <t>D32</t>
        </is>
      </c>
      <c r="D107" s="3" t="inlineStr">
        <is>
          <t>—（新頁）</t>
        </is>
      </c>
      <c r="E107" s="3" t="inlineStr">
        <is>
          <t>421.2、2365、6138、1.436e+04、3.036e+04、6.015e+04</t>
        </is>
      </c>
      <c r="F107" s="3">
        <f>E38*Revenue!E20</f>
        <v/>
      </c>
      <c r="G107" s="3" t="inlineStr">
        <is>
          <t>計費 token × 層級占比（Revenue）</t>
        </is>
      </c>
    </row>
    <row r="108">
      <c r="A108" s="3" t="inlineStr">
        <is>
          <t>Demand</t>
        </is>
      </c>
      <c r="B108" s="3" t="inlineStr">
        <is>
          <t>免費 token：頂層（Astra）</t>
        </is>
      </c>
      <c r="C108" s="3" t="inlineStr">
        <is>
          <t>D33</t>
        </is>
      </c>
      <c r="D108" s="3" t="inlineStr">
        <is>
          <t>—（新頁）</t>
        </is>
      </c>
      <c r="E108" s="3" t="inlineStr">
        <is>
          <t>0、0、0、0、0、0</t>
        </is>
      </c>
      <c r="F108" s="3">
        <f>E28*INP_157</f>
        <v/>
      </c>
      <c r="G108" s="3" t="inlineStr">
        <is>
          <t>Free token × 方案模型組合（Inputs astra 占比；v0.5 inferenceCost.usage）</t>
        </is>
      </c>
    </row>
    <row r="109">
      <c r="A109" s="3" t="inlineStr">
        <is>
          <t>Demand</t>
        </is>
      </c>
      <c r="B109" s="3" t="inlineStr">
        <is>
          <t>免費 token：中層（Sol）</t>
        </is>
      </c>
      <c r="C109" s="3" t="inlineStr">
        <is>
          <t>D34</t>
        </is>
      </c>
      <c r="D109" s="3" t="inlineStr">
        <is>
          <t>—（新頁）</t>
        </is>
      </c>
      <c r="E109" s="3" t="inlineStr">
        <is>
          <t>74.46、173.3、288.5、437.9、627.8、864.2</t>
        </is>
      </c>
      <c r="F109" s="3">
        <f>E28*INP_156</f>
        <v/>
      </c>
      <c r="G109" s="3" t="inlineStr">
        <is>
          <t>Free token × 方案模型組合（Inputs sol 占比；v0.5 inferenceCost.usage）</t>
        </is>
      </c>
    </row>
    <row r="110">
      <c r="A110" s="3" t="inlineStr">
        <is>
          <t>Demand</t>
        </is>
      </c>
      <c r="B110" s="3" t="inlineStr">
        <is>
          <t>免費 token：低層（Luna）</t>
        </is>
      </c>
      <c r="C110" s="3" t="inlineStr">
        <is>
          <t>D35</t>
        </is>
      </c>
      <c r="D110" s="3" t="inlineStr">
        <is>
          <t>—（新頁）</t>
        </is>
      </c>
      <c r="E110" s="3" t="inlineStr">
        <is>
          <t>670.1、1560、2596、3941、5650、7778</t>
        </is>
      </c>
      <c r="F110" s="3">
        <f>E28*INP_155</f>
        <v/>
      </c>
      <c r="G110" s="3" t="inlineStr">
        <is>
          <t>Free token × 方案模型組合（Inputs luna 占比；v0.5 inferenceCost.usage）</t>
        </is>
      </c>
    </row>
    <row r="111">
      <c r="A111" s="3" t="inlineStr">
        <is>
          <t>Demand</t>
        </is>
      </c>
      <c r="B111" s="3" t="inlineStr">
        <is>
          <t>付費 token：頂層（Astra）</t>
        </is>
      </c>
      <c r="C111" s="3" t="inlineStr">
        <is>
          <t>D36</t>
        </is>
      </c>
      <c r="D111" s="3" t="inlineStr">
        <is>
          <t>—（新頁）</t>
        </is>
      </c>
      <c r="E111" s="3" t="inlineStr">
        <is>
          <t>890.9、1045、2572、5813、1.202e+04、2.345e+04</t>
        </is>
      </c>
      <c r="F111" s="3">
        <f>E29*INP_162+E30*INP_167+E31*INP_172+E32*INP_177+E39</f>
        <v/>
      </c>
      <c r="G111" s="3" t="inlineStr">
        <is>
          <t>Σ 付費方案 token × 方案模型組合 ＋ API 該層級 token</t>
        </is>
      </c>
    </row>
    <row r="112">
      <c r="A112" s="3" t="inlineStr">
        <is>
          <t>Demand</t>
        </is>
      </c>
      <c r="B112" s="3" t="inlineStr">
        <is>
          <t>付費 token：中層（Sol）</t>
        </is>
      </c>
      <c r="C112" s="3" t="inlineStr">
        <is>
          <t>D37</t>
        </is>
      </c>
      <c r="D112" s="3" t="inlineStr">
        <is>
          <t>—（新頁）</t>
        </is>
      </c>
      <c r="E112" s="3" t="inlineStr">
        <is>
          <t>1248、3923、9054、1.955e+04、3.915e+04、7.471e+04</t>
        </is>
      </c>
      <c r="F112" s="3">
        <f>E29*INP_161+E30*INP_166+E31*INP_171+E32*INP_176+E40</f>
        <v/>
      </c>
      <c r="G112" s="3" t="inlineStr">
        <is>
          <t>Σ 付費方案 token × 方案模型組合 ＋ API 該層級 token</t>
        </is>
      </c>
    </row>
    <row r="113">
      <c r="A113" s="3" t="inlineStr">
        <is>
          <t>Demand</t>
        </is>
      </c>
      <c r="B113" s="3" t="inlineStr">
        <is>
          <t>付費 token：低層（Luna）</t>
        </is>
      </c>
      <c r="C113" s="3" t="inlineStr">
        <is>
          <t>D38</t>
        </is>
      </c>
      <c r="D113" s="3" t="inlineStr">
        <is>
          <t>—（新頁）</t>
        </is>
      </c>
      <c r="E113" s="3" t="inlineStr">
        <is>
          <t>654.7、3318、7936、1.74e+04、3.497e+04、6.687e+04</t>
        </is>
      </c>
      <c r="F113" s="3">
        <f>E29*INP_160+E30*INP_165+E31*INP_170+E32*INP_175+E41</f>
        <v/>
      </c>
      <c r="G113" s="3" t="inlineStr">
        <is>
          <t>Σ 付費方案 token × 方案模型組合 ＋ API 該層級 token</t>
        </is>
      </c>
    </row>
    <row r="114">
      <c r="A114" s="3" t="inlineStr">
        <is>
          <t>Demand</t>
        </is>
      </c>
      <c r="B114" s="3" t="inlineStr">
        <is>
          <t>免費 token 合計</t>
        </is>
      </c>
      <c r="C114" s="3" t="inlineStr">
        <is>
          <t>D39</t>
        </is>
      </c>
      <c r="D114" s="3" t="inlineStr">
        <is>
          <t>—（新頁）</t>
        </is>
      </c>
      <c r="E114" s="3" t="inlineStr">
        <is>
          <t>744.6、1733、2885、4379、6278、8642</t>
        </is>
      </c>
      <c r="F114" s="3">
        <f>E43+E44+E45</f>
        <v/>
      </c>
      <c r="G114" s="3" t="n"/>
    </row>
    <row r="115">
      <c r="A115" s="3" t="inlineStr">
        <is>
          <t>Demand</t>
        </is>
      </c>
      <c r="B115" s="3" t="inlineStr">
        <is>
          <t>付費 token 合計</t>
        </is>
      </c>
      <c r="C115" s="3" t="inlineStr">
        <is>
          <t>D40</t>
        </is>
      </c>
      <c r="D115" s="3" t="inlineStr">
        <is>
          <t>—（新頁）</t>
        </is>
      </c>
      <c r="E115" s="3" t="inlineStr">
        <is>
          <t>2793、8286、1.956e+04、4.276e+04、8.613e+04、1.65e+05</t>
        </is>
      </c>
      <c r="F115" s="3">
        <f>E46+E47+E48</f>
        <v/>
      </c>
      <c r="G115" s="3" t="n"/>
    </row>
    <row r="116">
      <c r="A116" s="3" t="inlineStr">
        <is>
          <t>Demand</t>
        </is>
      </c>
      <c r="B116" s="3" t="inlineStr">
        <is>
          <t>token 合計（付費＋免費）</t>
        </is>
      </c>
      <c r="C116" s="3" t="inlineStr">
        <is>
          <t>D41</t>
        </is>
      </c>
      <c r="D116" s="3" t="inlineStr">
        <is>
          <t>—（新頁）</t>
        </is>
      </c>
      <c r="E116" s="3" t="inlineStr">
        <is>
          <t>3538、1.002e+04、2.245e+04、4.714e+04、9.241e+04、1.737e+05</t>
        </is>
      </c>
      <c r="F116" s="3">
        <f>E49+E50</f>
        <v/>
      </c>
      <c r="G116" s="3" t="n"/>
    </row>
    <row r="117">
      <c r="A117" s="3" t="inlineStr">
        <is>
          <t>Demand</t>
        </is>
      </c>
      <c r="B117" s="3" t="inlineStr">
        <is>
          <t>對照：訂閱＋免費＋API 計費 token（應＝合計）</t>
        </is>
      </c>
      <c r="C117" s="3" t="inlineStr">
        <is>
          <t>D42</t>
        </is>
      </c>
      <c r="D117" s="3" t="inlineStr">
        <is>
          <t>—（新頁）</t>
        </is>
      </c>
      <c r="E117" s="3" t="inlineStr">
        <is>
          <t>3538、1.002e+04、2.245e+04、4.714e+04、9.241e+04、1.737e+05</t>
        </is>
      </c>
      <c r="F117" s="3">
        <f>E33+E38</f>
        <v/>
      </c>
      <c r="G117" s="3" t="inlineStr">
        <is>
          <t>層級拆分前的總量；與上一列之差應為 0（Checks）</t>
        </is>
      </c>
    </row>
    <row r="118">
      <c r="A118" s="3" t="inlineStr">
        <is>
          <t>Demand</t>
        </is>
      </c>
      <c r="B118" s="3" t="inlineStr">
        <is>
          <t>Tokenomics IF_AllocDemand（需求 D 合計，2025）</t>
        </is>
      </c>
      <c r="C118" s="3" t="inlineStr">
        <is>
          <t>D43</t>
        </is>
      </c>
      <c r="D118" s="3" t="inlineStr">
        <is>
          <t>—（新頁）</t>
        </is>
      </c>
      <c r="E118" s="3" t="inlineStr">
        <is>
          <t>4.19e+09、、、、、</t>
        </is>
      </c>
      <c r="F118" s="3">
        <f>TK_IF_AllocDemand</f>
        <v/>
      </c>
      <c r="G118" s="3" t="inlineStr">
        <is>
          <t>TK 快照；口徑：API＋ChatGPT；付費＋免費 token</t>
        </is>
      </c>
    </row>
    <row r="119">
      <c r="A119" s="3" t="inlineStr">
        <is>
          <t>Demand</t>
        </is>
      </c>
      <c r="B119" s="3" t="inlineStr">
        <is>
          <t>本模型 2025 token 合計</t>
        </is>
      </c>
      <c r="C119" s="3" t="inlineStr">
        <is>
          <t>D44</t>
        </is>
      </c>
      <c r="D119" s="3" t="inlineStr">
        <is>
          <t>—（新頁）</t>
        </is>
      </c>
      <c r="E119" s="3" t="inlineStr">
        <is>
          <t>3.538e+09、、、、、</t>
        </is>
      </c>
      <c r="F119" s="3">
        <f>D51*INP_254</f>
        <v/>
      </c>
      <c r="G119" s="3" t="inlineStr">
        <is>
          <t>T × 10^6（Inputs 定義常數）</t>
        </is>
      </c>
    </row>
    <row r="120">
      <c r="A120" s="3" t="inlineStr">
        <is>
          <t>Demand</t>
        </is>
      </c>
      <c r="B120" s="3" t="inlineStr">
        <is>
          <t>差距：本模型 − Tokenomics</t>
        </is>
      </c>
      <c r="C120" s="3" t="inlineStr">
        <is>
          <t>D45</t>
        </is>
      </c>
      <c r="D120" s="3" t="inlineStr">
        <is>
          <t>—（新頁）</t>
        </is>
      </c>
      <c r="E120" s="3" t="inlineStr">
        <is>
          <t>-6.521e+08、、、、、</t>
        </is>
      </c>
      <c r="F120" s="3">
        <f>D55-D54</f>
        <v/>
      </c>
      <c r="G120" s="3" t="n"/>
    </row>
    <row r="121">
      <c r="A121" s="3" t="inlineStr">
        <is>
          <t>Demand</t>
        </is>
      </c>
      <c r="B121" s="3" t="inlineStr">
        <is>
          <t>比值：本模型 ÷ Tokenomics</t>
        </is>
      </c>
      <c r="C121" s="3" t="inlineStr">
        <is>
          <t>D46</t>
        </is>
      </c>
      <c r="D121" s="3" t="inlineStr">
        <is>
          <t>—（新頁）</t>
        </is>
      </c>
      <c r="E121" s="3" t="inlineStr">
        <is>
          <t>0.8444、、、、、</t>
        </is>
      </c>
      <c r="F121" s="3">
        <f>D55/D54</f>
        <v/>
      </c>
      <c r="G121" s="3" t="n"/>
    </row>
    <row r="122">
      <c r="A122" s="3" t="inlineStr">
        <is>
          <t>Demand</t>
        </is>
      </c>
      <c r="B122" s="3" t="inlineStr">
        <is>
          <t>API 處理 token（揭露推估，FY2025）</t>
        </is>
      </c>
      <c r="C122" s="3" t="inlineStr">
        <is>
          <t>D47</t>
        </is>
      </c>
      <c r="D122" s="3" t="inlineStr">
        <is>
          <t>—（新頁）</t>
        </is>
      </c>
      <c r="E122" s="3" t="inlineStr">
        <is>
          <t>2628、、、、、</t>
        </is>
      </c>
      <c r="F122" s="3">
        <f>V9_ApiTok</f>
        <v/>
      </c>
      <c r="G122" s="3" t="inlineStr">
        <is>
          <t>Derived_V9 V22：Inputs 每分鐘 5B × 525,600 ÷ 1000</t>
        </is>
      </c>
    </row>
    <row r="123">
      <c r="A123" s="3" t="inlineStr">
        <is>
          <t>Demand</t>
        </is>
      </c>
      <c r="B123" s="3" t="inlineStr">
        <is>
          <t>API 計費比例＝計費 token ÷ 處理 token（2025）</t>
        </is>
      </c>
      <c r="C123" s="3" t="inlineStr">
        <is>
          <t>D48</t>
        </is>
      </c>
      <c r="D123" s="3" t="inlineStr">
        <is>
          <t>—（新頁）</t>
        </is>
      </c>
      <c r="E123" s="3" t="inlineStr">
        <is>
          <t>0.8013、、、、、</t>
        </is>
      </c>
      <c r="F123" s="3">
        <f>D38/D58</f>
        <v/>
      </c>
      <c r="G123" s="3" t="inlineStr">
        <is>
          <t>v0.5 檢查項；計費 token 為營收倒推值</t>
        </is>
      </c>
    </row>
    <row r="124">
      <c r="A124" s="3" t="inlineStr">
        <is>
          <t>Revenue</t>
        </is>
      </c>
      <c r="B124" s="3" t="inlineStr">
        <is>
          <t>頂層（Astra） 輸入牌價</t>
        </is>
      </c>
      <c r="C124" s="3" t="inlineStr">
        <is>
          <t>R01</t>
        </is>
      </c>
      <c r="D124" s="3" t="inlineStr">
        <is>
          <t>—（新頁）</t>
        </is>
      </c>
      <c r="E124" s="3" t="inlineStr">
        <is>
          <t>2.5、6.611、4.628、3.239、2.268、1.587</t>
        </is>
      </c>
      <c r="F124" s="3">
        <f>D65</f>
        <v/>
      </c>
      <c r="G124" s="3" t="inlineStr">
        <is>
          <t>2025 Inputs（Analogy）；2026＝事件時點天數加權（下方第六節）；2027 起 ×（1＋年變動率）</t>
        </is>
      </c>
    </row>
    <row r="125">
      <c r="A125" s="3" t="inlineStr">
        <is>
          <t>Revenue</t>
        </is>
      </c>
      <c r="B125" s="3" t="inlineStr">
        <is>
          <t>頂層（Astra） 輸出牌價</t>
        </is>
      </c>
      <c r="C125" s="3" t="inlineStr">
        <is>
          <t>R02</t>
        </is>
      </c>
      <c r="D125" s="3" t="inlineStr">
        <is>
          <t>—（新頁）</t>
        </is>
      </c>
      <c r="E125" s="3" t="inlineStr">
        <is>
          <t>14、36.25、25.37、17.76、12.43、8.703</t>
        </is>
      </c>
      <c r="F125" s="3">
        <f>D66</f>
        <v/>
      </c>
      <c r="G125" s="3" t="inlineStr">
        <is>
          <t>2025 Inputs（Analogy）；2026＝事件時點天數加權（下方第六節）；2027 起 ×（1＋年變動率）</t>
        </is>
      </c>
    </row>
    <row r="126">
      <c r="A126" s="3" t="inlineStr">
        <is>
          <t>Revenue</t>
        </is>
      </c>
      <c r="B126" s="3" t="inlineStr">
        <is>
          <t>中層（Sol） 輸入牌價</t>
        </is>
      </c>
      <c r="C126" s="3" t="inlineStr">
        <is>
          <t>R03</t>
        </is>
      </c>
      <c r="D126" s="3" t="inlineStr">
        <is>
          <t>—（新頁）</t>
        </is>
      </c>
      <c r="E126" s="3" t="inlineStr">
        <is>
          <t>1.5、2.288、1.373、0.8236、0.4941、0.2965</t>
        </is>
      </c>
      <c r="F126" s="3">
        <f>D67</f>
        <v/>
      </c>
      <c r="G126" s="3" t="inlineStr">
        <is>
          <t>2025 Inputs（Analogy）；2026＝事件時點天數加權（下方第六節）；2027 起 ×（1＋年變動率）</t>
        </is>
      </c>
    </row>
    <row r="127">
      <c r="A127" s="3" t="inlineStr">
        <is>
          <t>Revenue</t>
        </is>
      </c>
      <c r="B127" s="3" t="inlineStr">
        <is>
          <t>中層（Sol） 輸出牌價</t>
        </is>
      </c>
      <c r="C127" s="3" t="inlineStr">
        <is>
          <t>R04</t>
        </is>
      </c>
      <c r="D127" s="3" t="inlineStr">
        <is>
          <t>—（新頁）</t>
        </is>
      </c>
      <c r="E127" s="3" t="inlineStr">
        <is>
          <t>8、13.17、7.904、4.742、2.845、1.707</t>
        </is>
      </c>
      <c r="F127" s="3">
        <f>D68</f>
        <v/>
      </c>
      <c r="G127" s="3" t="inlineStr">
        <is>
          <t>2025 Inputs（Analogy）；2026＝事件時點天數加權（下方第六節）；2027 起 ×（1＋年變動率）</t>
        </is>
      </c>
    </row>
    <row r="128">
      <c r="A128" s="3" t="inlineStr">
        <is>
          <t>Revenue</t>
        </is>
      </c>
      <c r="B128" s="3" t="inlineStr">
        <is>
          <t>低層（Luna） 輸入牌價</t>
        </is>
      </c>
      <c r="C128" s="3" t="inlineStr">
        <is>
          <t>R05</t>
        </is>
      </c>
      <c r="D128" s="3" t="inlineStr">
        <is>
          <t>—（新頁）</t>
        </is>
      </c>
      <c r="E128" s="3" t="inlineStr">
        <is>
          <t>0.2、0.6326、0.3796、0.2277、0.1366、0.08199</t>
        </is>
      </c>
      <c r="F128" s="3">
        <f>D69</f>
        <v/>
      </c>
      <c r="G128" s="3" t="inlineStr">
        <is>
          <t>2025 Inputs（Analogy）；2026＝事件時點天數加權（下方第六節）；2027 起 ×（1＋年變動率）</t>
        </is>
      </c>
    </row>
    <row r="129">
      <c r="A129" s="3" t="inlineStr">
        <is>
          <t>Revenue</t>
        </is>
      </c>
      <c r="B129" s="3" t="inlineStr">
        <is>
          <t>低層（Luna） 輸出牌價</t>
        </is>
      </c>
      <c r="C129" s="3" t="inlineStr">
        <is>
          <t>R06</t>
        </is>
      </c>
      <c r="D129" s="3" t="inlineStr">
        <is>
          <t>—（新頁）</t>
        </is>
      </c>
      <c r="E129" s="3" t="inlineStr">
        <is>
          <t>1、3.768、2.261、1.356、0.8139、0.4883</t>
        </is>
      </c>
      <c r="F129" s="3">
        <f>D70</f>
        <v/>
      </c>
      <c r="G129" s="3" t="inlineStr">
        <is>
          <t>2025 Inputs（Analogy）；2026＝事件時點天數加權（下方第六節）；2027 起 ×（1＋年變動率）</t>
        </is>
      </c>
    </row>
    <row r="130">
      <c r="A130" s="3" t="inlineStr">
        <is>
          <t>Revenue</t>
        </is>
      </c>
      <c r="B130" s="3" t="inlineStr">
        <is>
          <t>頂層（Astra）每 token 單價</t>
        </is>
      </c>
      <c r="C130" s="3" t="inlineStr">
        <is>
          <t>R07</t>
        </is>
      </c>
      <c r="D130" s="3" t="inlineStr">
        <is>
          <t>—（新頁）</t>
        </is>
      </c>
      <c r="E130" s="3" t="inlineStr">
        <is>
          <t>3.81、9.92、6.944、4.861、3.403、2.382</t>
        </is>
      </c>
      <c r="F130" s="3">
        <f>(1-INP_028)*(INP_029*SRC_OAI_030+(1-INP_029))*E8+INP_028*E9</f>
        <v/>
      </c>
      <c r="G130" s="3" t="inlineStr">
        <is>
          <t>（1−輸出占比）×（快取命中 × 快取價比 ＋（1−快取命中））× 輸入價 ＋ 輸出占比 × 輸出價</t>
        </is>
      </c>
    </row>
    <row r="131">
      <c r="A131" s="3" t="inlineStr">
        <is>
          <t>Revenue</t>
        </is>
      </c>
      <c r="B131" s="3" t="inlineStr">
        <is>
          <t>中層（Sol）每 token 單價</t>
        </is>
      </c>
      <c r="C131" s="3" t="inlineStr">
        <is>
          <t>R08</t>
        </is>
      </c>
      <c r="D131" s="3" t="inlineStr">
        <is>
          <t>—（新頁）</t>
        </is>
      </c>
      <c r="E131" s="3" t="inlineStr">
        <is>
          <t>2.206、3.559、2.135、1.281、0.7687、0.4612</t>
        </is>
      </c>
      <c r="F131" s="3">
        <f>(1-INP_028)*(INP_029*SRC_OAI_030+(1-INP_029))*E10+INP_028*E11</f>
        <v/>
      </c>
      <c r="G131" s="3" t="inlineStr">
        <is>
          <t>（1−輸出占比）×（快取命中 × 快取價比 ＋（1−快取命中））× 輸入價 ＋ 輸出占比 × 輸出價</t>
        </is>
      </c>
    </row>
    <row r="132">
      <c r="A132" s="3" t="inlineStr">
        <is>
          <t>Revenue</t>
        </is>
      </c>
      <c r="B132" s="3" t="inlineStr">
        <is>
          <t>低層（Luna）每 token 單價</t>
        </is>
      </c>
      <c r="C132" s="3" t="inlineStr">
        <is>
          <t>R09</t>
        </is>
      </c>
      <c r="D132" s="3" t="inlineStr">
        <is>
          <t>—（新頁）</t>
        </is>
      </c>
      <c r="E132" s="3" t="inlineStr">
        <is>
          <t>0.2808、1.009、0.6055、0.3633、0.218、0.1308</t>
        </is>
      </c>
      <c r="F132" s="3">
        <f>(1-INP_028)*(INP_029*SRC_OAI_030+(1-INP_029))*E12+INP_028*E13</f>
        <v/>
      </c>
      <c r="G132" s="3" t="inlineStr">
        <is>
          <t>（1−輸出占比）×（快取命中 × 快取價比 ＋（1−快取命中））× 輸入價 ＋ 輸出占比 × 輸出價</t>
        </is>
      </c>
    </row>
    <row r="133">
      <c r="A133" s="3" t="inlineStr">
        <is>
          <t>Revenue</t>
        </is>
      </c>
      <c r="B133" s="3" t="inlineStr">
        <is>
          <t>API token 組合：頂層</t>
        </is>
      </c>
      <c r="C133" s="3" t="inlineStr">
        <is>
          <t>R10</t>
        </is>
      </c>
      <c r="D133" s="3" t="inlineStr">
        <is>
          <t>—（新頁）</t>
        </is>
      </c>
      <c r="E133" s="3" t="inlineStr">
        <is>
          <t>0.4、0.15、0.15、0.15、0.15、0.15</t>
        </is>
      </c>
      <c r="F133" s="3">
        <f>INP_025</f>
        <v/>
      </c>
      <c r="G133" s="3" t="inlineStr">
        <is>
          <t>Inputs（2025、2026；2027 起沿用 2026，v0.5 以最後一值延伸）</t>
        </is>
      </c>
    </row>
    <row r="134">
      <c r="A134" s="3" t="inlineStr">
        <is>
          <t>Revenue</t>
        </is>
      </c>
      <c r="B134" s="3" t="inlineStr">
        <is>
          <t>API token 組合：中層</t>
        </is>
      </c>
      <c r="C134" s="3" t="inlineStr">
        <is>
          <t>R11</t>
        </is>
      </c>
      <c r="D134" s="3" t="inlineStr">
        <is>
          <t>—（新頁）</t>
        </is>
      </c>
      <c r="E134" s="3" t="inlineStr">
        <is>
          <t>0.4、0.45、0.45、0.45、0.45、0.45</t>
        </is>
      </c>
      <c r="F134" s="3">
        <f>INP_027</f>
        <v/>
      </c>
      <c r="G134" s="3" t="inlineStr">
        <is>
          <t>同上</t>
        </is>
      </c>
    </row>
    <row r="135">
      <c r="A135" s="3" t="inlineStr">
        <is>
          <t>Revenue</t>
        </is>
      </c>
      <c r="B135" s="3" t="inlineStr">
        <is>
          <t>API token 組合：低層</t>
        </is>
      </c>
      <c r="C135" s="3" t="inlineStr">
        <is>
          <t>R12</t>
        </is>
      </c>
      <c r="D135" s="3" t="inlineStr">
        <is>
          <t>—（新頁）</t>
        </is>
      </c>
      <c r="E135" s="3" t="inlineStr">
        <is>
          <t>0.2、0.4、0.4、0.4、0.4、0.4</t>
        </is>
      </c>
      <c r="F135" s="3">
        <f>(1-E18-E19)</f>
        <v/>
      </c>
      <c r="G135" s="3" t="inlineStr">
        <is>
          <t>＝1 − 頂層 − 中層（v0.5：不另輸入）</t>
        </is>
      </c>
    </row>
    <row r="136">
      <c r="A136" s="3" t="inlineStr">
        <is>
          <t>Revenue</t>
        </is>
      </c>
      <c r="B136" s="3" t="inlineStr">
        <is>
          <t>組合有效單價（扣折扣）</t>
        </is>
      </c>
      <c r="C136" s="3" t="inlineStr">
        <is>
          <t>R13</t>
        </is>
      </c>
      <c r="D136" s="3" t="inlineStr">
        <is>
          <t>—（新頁）</t>
        </is>
      </c>
      <c r="E136" s="3" t="inlineStr">
        <is>
          <t>1.97、2.794、1.796、1.161、0.7548、0.4937</t>
        </is>
      </c>
      <c r="F136" s="3">
        <f>(E18*E15+E19*E16+E20*E17)*(1-INP_030)</f>
        <v/>
      </c>
      <c r="G136" s="3" t="inlineStr">
        <is>
          <t>Σ 層級占比 × 每 token 單價 ×（1 − 加權折扣）</t>
        </is>
      </c>
    </row>
    <row r="137">
      <c r="A137" s="3" t="inlineStr">
        <is>
          <t>Revenue</t>
        </is>
      </c>
      <c r="B137" s="3" t="inlineStr">
        <is>
          <t>Go 訂閱營收</t>
        </is>
      </c>
      <c r="C137" s="3" t="inlineStr">
        <is>
          <t>R14</t>
        </is>
      </c>
      <c r="D137" s="3" t="inlineStr">
        <is>
          <t>—（新頁）</t>
        </is>
      </c>
      <c r="E137" s="3" t="inlineStr">
        <is>
          <t>0.144、2.923、5.576、8.424、10.62、12.79</t>
        </is>
      </c>
      <c r="F137" s="3">
        <f>Demand!E11*INP_096*INP_252/INP_253</f>
        <v/>
      </c>
      <c r="G137" s="3" t="inlineStr">
        <is>
          <t>ARPU：plus、pro 2025 一欄、2026 起一欄（v0.5 以最後一值延伸）；go、seats 全期一欄</t>
        </is>
      </c>
    </row>
    <row r="138">
      <c r="A138" s="3" t="inlineStr">
        <is>
          <t>Revenue</t>
        </is>
      </c>
      <c r="B138" s="3" t="inlineStr">
        <is>
          <t>Plus 訂閱營收</t>
        </is>
      </c>
      <c r="C138" s="3" t="inlineStr">
        <is>
          <t>R15</t>
        </is>
      </c>
      <c r="D138" s="3" t="inlineStr">
        <is>
          <t>—（新頁）</t>
        </is>
      </c>
      <c r="E138" s="3" t="inlineStr">
        <is>
          <t>7.02、7.957、8.995、9.86、10.55、11.07</t>
        </is>
      </c>
      <c r="F138" s="3">
        <f>Demand!E12*INP_098*INP_252/INP_253</f>
        <v/>
      </c>
      <c r="G138" s="3" t="inlineStr">
        <is>
          <t>ARPU：plus、pro 2025 一欄、2026 起一欄（v0.5 以最後一值延伸）；go、seats 全期一欄</t>
        </is>
      </c>
    </row>
    <row r="139">
      <c r="A139" s="3" t="inlineStr">
        <is>
          <t>Revenue</t>
        </is>
      </c>
      <c r="B139" s="3" t="inlineStr">
        <is>
          <t>Pro 訂閱營收</t>
        </is>
      </c>
      <c r="C139" s="3" t="inlineStr">
        <is>
          <t>R16</t>
        </is>
      </c>
      <c r="D139" s="3" t="inlineStr">
        <is>
          <t>—（新頁）</t>
        </is>
      </c>
      <c r="E139" s="3" t="inlineStr">
        <is>
          <t>0.6774、1.016、1.452、1.887、2.235、2.54</t>
        </is>
      </c>
      <c r="F139" s="3">
        <f>Demand!E13*INP_100*INP_252/INP_253</f>
        <v/>
      </c>
      <c r="G139" s="3" t="inlineStr">
        <is>
          <t>ARPU：plus、pro 2025 一欄、2026 起一欄（v0.5 以最後一值延伸）；go、seats 全期一欄</t>
        </is>
      </c>
    </row>
    <row r="140">
      <c r="A140" s="3" t="inlineStr">
        <is>
          <t>Revenue</t>
        </is>
      </c>
      <c r="B140" s="3" t="inlineStr">
        <is>
          <t>企業席位 訂閱營收</t>
        </is>
      </c>
      <c r="C140" s="3" t="inlineStr">
        <is>
          <t>R17</t>
        </is>
      </c>
      <c r="D140" s="3" t="inlineStr">
        <is>
          <t>—（新頁）</t>
        </is>
      </c>
      <c r="E140" s="3" t="inlineStr">
        <is>
          <t>1.08、5.04、9.36、13.68、17.28、20.16</t>
        </is>
      </c>
      <c r="F140" s="3">
        <f>Demand!E14*INP_101*INP_252/INP_253</f>
        <v/>
      </c>
      <c r="G140" s="3" t="inlineStr">
        <is>
          <t>ARPU：plus、pro 2025 一欄、2026 起一欄（v0.5 以最後一值延伸）；go、seats 全期一欄</t>
        </is>
      </c>
    </row>
    <row r="141">
      <c r="A141" s="3" t="inlineStr">
        <is>
          <t>Revenue</t>
        </is>
      </c>
      <c r="B141" s="3" t="inlineStr">
        <is>
          <t>訂閱合計</t>
        </is>
      </c>
      <c r="C141" s="3" t="inlineStr">
        <is>
          <t>R18</t>
        </is>
      </c>
      <c r="D141" s="3" t="inlineStr">
        <is>
          <t>—（新頁）</t>
        </is>
      </c>
      <c r="E141" s="3" t="inlineStr">
        <is>
          <t>8.921、16.94、25.38、33.85、40.69、46.57</t>
        </is>
      </c>
      <c r="F141" s="3">
        <f>E23+E24+E25+E26</f>
        <v/>
      </c>
      <c r="G141" s="3" t="n"/>
    </row>
    <row r="142">
      <c r="A142" s="3" t="inlineStr">
        <is>
          <t>Revenue</t>
        </is>
      </c>
      <c r="B142" s="3" t="inlineStr">
        <is>
          <t>廣告曝光用戶（Free＋Go）</t>
        </is>
      </c>
      <c r="C142" s="3" t="inlineStr">
        <is>
          <t>R19</t>
        </is>
      </c>
      <c r="D142" s="3" t="inlineStr">
        <is>
          <t>—（新頁）</t>
        </is>
      </c>
      <c r="E142" s="3" t="inlineStr">
        <is>
          <t>0、247.7、464.6、646.8、831.4、1014</t>
        </is>
      </c>
      <c r="F142" s="3">
        <f>(Demand!E10+Demand!E11)*INP_125</f>
        <v/>
      </c>
      <c r="G142" s="3" t="inlineStr">
        <is>
          <t>曝光占比 Inputs（Andy 2026-09-29：2027→2030 不宜 8 倍）</t>
        </is>
      </c>
    </row>
    <row r="143">
      <c r="A143" s="3" t="inlineStr">
        <is>
          <t>Revenue</t>
        </is>
      </c>
      <c r="B143" s="3" t="inlineStr">
        <is>
          <t>廣告營收</t>
        </is>
      </c>
      <c r="C143" s="3" t="inlineStr">
        <is>
          <t>R20</t>
        </is>
      </c>
      <c r="D143" s="3" t="inlineStr">
        <is>
          <t>—（新頁）</t>
        </is>
      </c>
      <c r="E143" s="3" t="inlineStr">
        <is>
          <t>0、0.7429、1.858、2.911、4.157、5.576</t>
        </is>
      </c>
      <c r="F143" s="3">
        <f>E29*INP_131/INP_253</f>
        <v/>
      </c>
      <c r="G143" s="3" t="inlineStr">
        <is>
          <t>每曝光用戶年收入 Inputs（Analogy；上限參照 Meta ARPP）</t>
        </is>
      </c>
    </row>
    <row r="144">
      <c r="A144" s="3" t="inlineStr">
        <is>
          <t>Revenue</t>
        </is>
      </c>
      <c r="B144" s="3" t="inlineStr">
        <is>
          <t>其他營收（授權、一次性交易）</t>
        </is>
      </c>
      <c r="C144" s="3" t="inlineStr">
        <is>
          <t>R21</t>
        </is>
      </c>
      <c r="D144" s="3" t="inlineStr">
        <is>
          <t>—（新頁）</t>
        </is>
      </c>
      <c r="E144" s="3" t="inlineStr">
        <is>
          <t>0、0、0、0、0、0</t>
        </is>
      </c>
      <c r="F144" s="3">
        <f>INP_136</f>
        <v/>
      </c>
      <c r="G144" s="3" t="inlineStr">
        <is>
          <t>Inputs（v0.5 residual，維持 0）</t>
        </is>
      </c>
    </row>
    <row r="145">
      <c r="A145" s="3" t="inlineStr">
        <is>
          <t>Revenue</t>
        </is>
      </c>
      <c r="B145" s="3" t="inlineStr">
        <is>
          <t>2025 校準：API 營收＝實際營收 − 訂閱 − 廣告 − 其他</t>
        </is>
      </c>
      <c r="C145" s="3" t="inlineStr">
        <is>
          <t>R22</t>
        </is>
      </c>
      <c r="D145" s="3" t="inlineStr">
        <is>
          <t>—（新頁）</t>
        </is>
      </c>
      <c r="E145" s="3" t="inlineStr">
        <is>
          <t>4.149、、、、、</t>
        </is>
      </c>
      <c r="F145" s="3">
        <f>SRC_OAI_002-D27-D30-D31</f>
        <v/>
      </c>
      <c r="G145" s="3" t="inlineStr">
        <is>
          <t>v0.5 calibration：2025 API 為唯一倒推項</t>
        </is>
      </c>
    </row>
    <row r="146">
      <c r="A146" s="3" t="inlineStr">
        <is>
          <t>Revenue</t>
        </is>
      </c>
      <c r="B146" s="3" t="inlineStr">
        <is>
          <t>API 營收</t>
        </is>
      </c>
      <c r="C146" s="3" t="inlineStr">
        <is>
          <t>R23</t>
        </is>
      </c>
      <c r="D146" s="3" t="inlineStr">
        <is>
          <t>—（新頁）</t>
        </is>
      </c>
      <c r="E146" s="3" t="inlineStr">
        <is>
          <t>4.149、16.52、27.55、41.66、57.29、74.24</t>
        </is>
      </c>
      <c r="F146" s="3">
        <f>Demand!E38*E21/INP_253</f>
        <v/>
      </c>
      <c r="G146" s="3" t="inlineStr">
        <is>
          <t>計費 token × 組合有效單價 ÷ 1000</t>
        </is>
      </c>
    </row>
    <row r="147">
      <c r="A147" s="3" t="inlineStr">
        <is>
          <t>Revenue</t>
        </is>
      </c>
      <c r="B147" s="3" t="inlineStr">
        <is>
          <t>API 營收：頂層（Astra）</t>
        </is>
      </c>
      <c r="C147" s="3" t="inlineStr">
        <is>
          <t>R24</t>
        </is>
      </c>
      <c r="D147" s="3" t="inlineStr">
        <is>
          <t>—（新頁）</t>
        </is>
      </c>
      <c r="E147" s="3" t="inlineStr">
        <is>
          <t>2.567、7.039、12.79、20.94、30.99、42.98</t>
        </is>
      </c>
      <c r="F147" s="3">
        <f>Demand!E38*E18*E15*(1-INP_030)/INP_253</f>
        <v/>
      </c>
      <c r="G147" s="3" t="n"/>
    </row>
    <row r="148">
      <c r="A148" s="3" t="inlineStr">
        <is>
          <t>Revenue</t>
        </is>
      </c>
      <c r="B148" s="3" t="inlineStr">
        <is>
          <t>API 營收：中層（Sol）</t>
        </is>
      </c>
      <c r="C148" s="3" t="inlineStr">
        <is>
          <t>R25</t>
        </is>
      </c>
      <c r="D148" s="3" t="inlineStr">
        <is>
          <t>—（新頁）</t>
        </is>
      </c>
      <c r="E148" s="3" t="inlineStr">
        <is>
          <t>1.487、7.576、11.79、16.55、21、24.97</t>
        </is>
      </c>
      <c r="F148" s="3">
        <f>Demand!E38*E19*E16*(1-INP_030)/INP_253</f>
        <v/>
      </c>
      <c r="G148" s="3" t="n"/>
    </row>
    <row r="149">
      <c r="A149" s="3" t="inlineStr">
        <is>
          <t>Revenue</t>
        </is>
      </c>
      <c r="B149" s="3" t="inlineStr">
        <is>
          <t>API 營收：低層（Luna）</t>
        </is>
      </c>
      <c r="C149" s="3" t="inlineStr">
        <is>
          <t>R26</t>
        </is>
      </c>
      <c r="D149" s="3" t="inlineStr">
        <is>
          <t>—（新頁）</t>
        </is>
      </c>
      <c r="E149" s="3" t="inlineStr">
        <is>
          <t>0.09461、1.91、2.973、4.173、5.294、6.294</t>
        </is>
      </c>
      <c r="F149" s="3">
        <f>Demand!E38*E20*E17*(1-INP_030)/INP_253</f>
        <v/>
      </c>
      <c r="G149" s="3" t="n"/>
    </row>
    <row r="150">
      <c r="A150" s="3" t="inlineStr">
        <is>
          <t>Revenue</t>
        </is>
      </c>
      <c r="B150" s="3" t="inlineStr">
        <is>
          <t>總額（訂閱＋API＋廣告＋其他）</t>
        </is>
      </c>
      <c r="C150" s="3" t="inlineStr">
        <is>
          <t>R27</t>
        </is>
      </c>
      <c r="D150" s="3" t="inlineStr">
        <is>
          <t>—（新頁）</t>
        </is>
      </c>
      <c r="E150" s="3" t="inlineStr">
        <is>
          <t>13.07、34.2、54.8、78.42、102.1、126.4</t>
        </is>
      </c>
      <c r="F150" s="3">
        <f>E27+E34+E30+E31</f>
        <v/>
      </c>
      <c r="G150" s="3" t="inlineStr">
        <is>
          <t>容量上限（V1a）於 P3 加入</t>
        </is>
      </c>
    </row>
    <row r="151">
      <c r="A151" s="3" t="inlineStr">
        <is>
          <t>Revenue</t>
        </is>
      </c>
      <c r="B151" s="3" t="inlineStr">
        <is>
          <t>Microsoft 分成</t>
        </is>
      </c>
      <c r="C151" s="3" t="inlineStr">
        <is>
          <t>R28</t>
        </is>
      </c>
      <c r="D151" s="3" t="inlineStr">
        <is>
          <t>—（新頁）</t>
        </is>
      </c>
      <c r="E151" s="3" t="inlineStr">
        <is>
          <t>2.614、6.841、10.96、15.68、4.515、0</t>
        </is>
      </c>
      <c r="F151" s="3">
        <f>SRC_OAI_009*E38*(E$6&lt;INP_011)+(E$6&gt;=INP_011)*(E$6&lt;=SRC_OAI_011)*MIN(SRC_OAI_009*E38,SRC_OAI_010-D40)</f>
        <v/>
      </c>
      <c r="G151" s="3" t="inlineStr">
        <is>
          <t>起算年前：比率 × 總額；起算年至付款終年：MIN（比率 × 總額，上限 − 前一年累計）；之後 0（v0.5；以邏輯值相乘表示各期間）</t>
        </is>
      </c>
    </row>
    <row r="152">
      <c r="A152" s="3" t="inlineStr">
        <is>
          <t>Revenue</t>
        </is>
      </c>
      <c r="B152" s="3" t="inlineStr">
        <is>
          <t>Microsoft 分成累計（自起算年）</t>
        </is>
      </c>
      <c r="C152" s="3" t="inlineStr">
        <is>
          <t>R29</t>
        </is>
      </c>
      <c r="D152" s="3" t="inlineStr">
        <is>
          <t>—（新頁）</t>
        </is>
      </c>
      <c r="E152" s="3" t="inlineStr">
        <is>
          <t>0、6.841、17.8、33.48、38、38</t>
        </is>
      </c>
      <c r="F152" s="3">
        <f>D40+E39*(E$6&gt;=INP_011)</f>
        <v/>
      </c>
      <c r="G152" s="3" t="inlineStr">
        <is>
          <t>上限累計自 Inputs 起算年（N2a）</t>
        </is>
      </c>
    </row>
    <row r="153">
      <c r="A153" s="3" t="inlineStr">
        <is>
          <t>Revenue</t>
        </is>
      </c>
      <c r="B153" s="3" t="inlineStr">
        <is>
          <t>淨額（總額 − Microsoft 分成）</t>
        </is>
      </c>
      <c r="C153" s="3" t="inlineStr">
        <is>
          <t>R30</t>
        </is>
      </c>
      <c r="D153" s="3" t="inlineStr">
        <is>
          <t>—（新頁）</t>
        </is>
      </c>
      <c r="E153" s="3" t="inlineStr">
        <is>
          <t>10.46、27.36、43.84、62.74、97.61、126.4</t>
        </is>
      </c>
      <c r="F153" s="3">
        <f>E38-E39</f>
        <v/>
      </c>
      <c r="G153" s="3" t="inlineStr">
        <is>
          <t>估值與命題用淨額</t>
        </is>
      </c>
    </row>
    <row r="154">
      <c r="A154" s="3" t="inlineStr">
        <is>
          <t>Revenue</t>
        </is>
      </c>
      <c r="B154" s="3" t="inlineStr">
        <is>
          <t>消費端（Go＋Plus＋Pro＋廣告）</t>
        </is>
      </c>
      <c r="C154" s="3" t="inlineStr">
        <is>
          <t>R31</t>
        </is>
      </c>
      <c r="D154" s="3" t="inlineStr">
        <is>
          <t>—（新頁）</t>
        </is>
      </c>
      <c r="E154" s="3" t="inlineStr">
        <is>
          <t>7.841、12.64、17.88、23.08、27.56、31.98</t>
        </is>
      </c>
      <c r="F154" s="3">
        <f>E23+E24+E25+E30</f>
        <v/>
      </c>
      <c r="G154" s="3" t="n"/>
    </row>
    <row r="155">
      <c r="A155" s="3" t="inlineStr">
        <is>
          <t>Revenue</t>
        </is>
      </c>
      <c r="B155" s="3" t="inlineStr">
        <is>
          <t>企業端（席位＋API）</t>
        </is>
      </c>
      <c r="C155" s="3" t="inlineStr">
        <is>
          <t>R32</t>
        </is>
      </c>
      <c r="D155" s="3" t="inlineStr">
        <is>
          <t>—（新頁）</t>
        </is>
      </c>
      <c r="E155" s="3" t="inlineStr">
        <is>
          <t>5.229、21.56、36.91、55.34、74.57、94.4</t>
        </is>
      </c>
      <c r="F155" s="3">
        <f>E26+E34</f>
        <v/>
      </c>
      <c r="G155" s="3" t="n"/>
    </row>
    <row r="156">
      <c r="A156" s="3" t="inlineStr">
        <is>
          <t>Revenue</t>
        </is>
      </c>
      <c r="B156" s="3" t="inlineStr">
        <is>
          <t>企業端占（消費端＋企業端）</t>
        </is>
      </c>
      <c r="C156" s="3" t="inlineStr">
        <is>
          <t>R33</t>
        </is>
      </c>
      <c r="D156" s="3" t="inlineStr">
        <is>
          <t>—（新頁）</t>
        </is>
      </c>
      <c r="E156" s="3" t="inlineStr">
        <is>
          <t>0.4、0.6305、0.6737、0.7057、0.7301、0.7469</t>
        </is>
      </c>
      <c r="F156" s="3">
        <f>E43/(E42+E43)</f>
        <v/>
      </c>
      <c r="G156" s="3" t="inlineStr">
        <is>
          <t>對照：CFO 2026 年初消費／企業 60／40（SRC_OAI_007）</t>
        </is>
      </c>
    </row>
    <row r="157">
      <c r="A157" s="3" t="inlineStr">
        <is>
          <t>Revenue</t>
        </is>
      </c>
      <c r="B157" s="3" t="inlineStr">
        <is>
          <t>檢查：消費端＋企業端＋其他 − 總額（應為 0）</t>
        </is>
      </c>
      <c r="C157" s="3" t="inlineStr">
        <is>
          <t>R34</t>
        </is>
      </c>
      <c r="D157" s="3" t="inlineStr">
        <is>
          <t>—（新頁）</t>
        </is>
      </c>
      <c r="E157" s="3" t="inlineStr">
        <is>
          <t>0、0、0、0、0、0</t>
        </is>
      </c>
      <c r="F157" s="3">
        <f>E42+E43+E31-E38</f>
        <v/>
      </c>
      <c r="G157" s="3" t="n"/>
    </row>
    <row r="158">
      <c r="A158" s="3" t="inlineStr">
        <is>
          <t>Revenue</t>
        </is>
      </c>
      <c r="B158" s="3" t="inlineStr">
        <is>
          <t>總額年增率</t>
        </is>
      </c>
      <c r="C158" s="3" t="inlineStr">
        <is>
          <t>R35</t>
        </is>
      </c>
      <c r="D158" s="3" t="inlineStr">
        <is>
          <t>—（新頁）</t>
        </is>
      </c>
      <c r="E158" s="3" t="inlineStr">
        <is>
          <t>、1.617、0.602、0.4312、0.3022、0.2375</t>
        </is>
      </c>
      <c r="F158" s="3">
        <f>(E38-D38)/D38</f>
        <v/>
      </c>
      <c r="G158" s="3" t="n"/>
    </row>
    <row r="159">
      <c r="A159" s="3" t="inlineStr">
        <is>
          <t>Revenue</t>
        </is>
      </c>
      <c r="B159" s="3" t="inlineStr">
        <is>
          <t>廣告占總額</t>
        </is>
      </c>
      <c r="C159" s="3" t="inlineStr">
        <is>
          <t>R36</t>
        </is>
      </c>
      <c r="D159" s="3" t="inlineStr">
        <is>
          <t>—（新頁）</t>
        </is>
      </c>
      <c r="E159" s="3" t="inlineStr">
        <is>
          <t>0、0.02172、0.03392、0.03711、0.0407、0.04412</t>
        </is>
      </c>
      <c r="F159" s="3">
        <f>E30/E38</f>
        <v/>
      </c>
      <c r="G159" s="3" t="n"/>
    </row>
    <row r="160">
      <c r="A160" s="3" t="inlineStr">
        <is>
          <t>Revenue</t>
        </is>
      </c>
      <c r="B160" s="3" t="inlineStr">
        <is>
          <t>2025：模型總額 − SRC 實際營收（v0.5 校準方式，應為 0）</t>
        </is>
      </c>
      <c r="C160" s="3" t="inlineStr">
        <is>
          <t>R37</t>
        </is>
      </c>
      <c r="D160" s="3" t="inlineStr">
        <is>
          <t>—（新頁）</t>
        </is>
      </c>
      <c r="E160" s="3" t="inlineStr">
        <is>
          <t>0、、、、、</t>
        </is>
      </c>
      <c r="F160" s="3">
        <f>D38-SRC_OAI_002</f>
        <v/>
      </c>
      <c r="G160" s="3" t="inlineStr">
        <is>
          <t>2025 API 為倒推項，總額恆等於 SRC 13.07</t>
        </is>
      </c>
    </row>
    <row r="161">
      <c r="A161" s="3" t="inlineStr">
        <is>
          <t>Revenue</t>
        </is>
      </c>
      <c r="B161" s="3" t="inlineStr">
        <is>
          <t>2025 未校準總額：API 改以處理 token × 組合有效單價</t>
        </is>
      </c>
      <c r="C161" s="3" t="inlineStr">
        <is>
          <t>R38</t>
        </is>
      </c>
      <c r="D161" s="3" t="inlineStr">
        <is>
          <t>—（新頁）</t>
        </is>
      </c>
      <c r="E161" s="3" t="inlineStr">
        <is>
          <t>14.1、、、、、</t>
        </is>
      </c>
      <c r="F161" s="3">
        <f>D27+D30+D31+V9_ApiTok*D21/INP_253</f>
        <v/>
      </c>
      <c r="G161" s="3" t="inlineStr">
        <is>
          <t>處理 token＝Derived_V9 V22（2,628T）；顯示自下而上口徑與實際的差距</t>
        </is>
      </c>
    </row>
    <row r="162">
      <c r="A162" s="3" t="inlineStr">
        <is>
          <t>Revenue</t>
        </is>
      </c>
      <c r="B162" s="3" t="inlineStr">
        <is>
          <t>2025 未校準差距：未校準總額 − SRC 實際營收</t>
        </is>
      </c>
      <c r="C162" s="3" t="inlineStr">
        <is>
          <t>R39</t>
        </is>
      </c>
      <c r="D162" s="3" t="inlineStr">
        <is>
          <t>—（新頁）</t>
        </is>
      </c>
      <c r="E162" s="3" t="inlineStr">
        <is>
          <t>1.029、、、、、</t>
        </is>
      </c>
      <c r="F162" s="3">
        <f>D50-SRC_OAI_002</f>
        <v/>
      </c>
      <c r="G162" s="3" t="n"/>
    </row>
    <row r="163">
      <c r="A163" s="3" t="inlineStr">
        <is>
          <t>Revenue</t>
        </is>
      </c>
      <c r="B163" s="3" t="inlineStr">
        <is>
          <t>2025 未校準差距（占實際）</t>
        </is>
      </c>
      <c r="C163" s="3" t="inlineStr">
        <is>
          <t>R40</t>
        </is>
      </c>
      <c r="D163" s="3" t="inlineStr">
        <is>
          <t>—（新頁）</t>
        </is>
      </c>
      <c r="E163" s="3" t="inlineStr">
        <is>
          <t>0.07871、、、、、</t>
        </is>
      </c>
      <c r="F163" s="3">
        <f>D51/SRC_OAI_002</f>
        <v/>
      </c>
      <c r="G163" s="3" t="n"/>
    </row>
    <row r="164">
      <c r="A164" s="3" t="inlineStr">
        <is>
          <t>Revenue</t>
        </is>
      </c>
      <c r="B164" s="3" t="inlineStr">
        <is>
          <t>FY2026 獨立推估＝Q1＋Q2＋2026-08 ARR × 下半年月數 ÷ 12</t>
        </is>
      </c>
      <c r="C164" s="3" t="inlineStr">
        <is>
          <t>R41</t>
        </is>
      </c>
      <c r="D164" s="3" t="inlineStr">
        <is>
          <t>—（新頁）</t>
        </is>
      </c>
      <c r="E164" s="3" t="inlineStr">
        <is>
          <t>、32.4、、、、</t>
        </is>
      </c>
      <c r="F164" s="3">
        <f>SRC_OAI_004+SRC_OAI_005+SRC_OAI_006*INP_255/INP_252</f>
        <v/>
      </c>
      <c r="G164" s="3" t="inlineStr">
        <is>
          <t>v0.5 fy2026Independent（Derived）；v0.5 值 32.9（31–36）的下半年外推細節未記錄，本列為最簡口徑</t>
        </is>
      </c>
    </row>
    <row r="165">
      <c r="A165" s="3" t="inlineStr">
        <is>
          <t>Revenue</t>
        </is>
      </c>
      <c r="B165" s="3" t="inlineStr">
        <is>
          <t>2026：模型總額 − 獨立推估</t>
        </is>
      </c>
      <c r="C165" s="3" t="inlineStr">
        <is>
          <t>R42</t>
        </is>
      </c>
      <c r="D165" s="3" t="inlineStr">
        <is>
          <t>—（新頁）</t>
        </is>
      </c>
      <c r="E165" s="3" t="inlineStr">
        <is>
          <t>、1.804、、、、</t>
        </is>
      </c>
      <c r="F165" s="3">
        <f>E38-E53</f>
        <v/>
      </c>
      <c r="G165" s="3" t="n"/>
    </row>
    <row r="166">
      <c r="A166" s="3" t="inlineStr">
        <is>
          <t>Revenue</t>
        </is>
      </c>
      <c r="B166" s="3" t="inlineStr">
        <is>
          <t>2026 下半年隱含（模型全年 − 上半年實際）</t>
        </is>
      </c>
      <c r="C166" s="3" t="inlineStr">
        <is>
          <t>R43</t>
        </is>
      </c>
      <c r="D166" s="3" t="inlineStr">
        <is>
          <t>—（新頁）</t>
        </is>
      </c>
      <c r="E166" s="3" t="inlineStr">
        <is>
          <t>、21.8、、、、</t>
        </is>
      </c>
      <c r="F166" s="3">
        <f>E38-SRC_OAI_004-SRC_OAI_005</f>
        <v/>
      </c>
      <c r="G166" s="3" t="n"/>
    </row>
    <row r="167">
      <c r="A167" s="3" t="inlineStr">
        <is>
          <t>Revenue</t>
        </is>
      </c>
      <c r="B167" s="3" t="inlineStr">
        <is>
          <t>對照：管理層營收目標（只對照，D4c）</t>
        </is>
      </c>
      <c r="C167" s="3" t="inlineStr">
        <is>
          <t>R44</t>
        </is>
      </c>
      <c r="D167" s="3" t="inlineStr">
        <is>
          <t>—（新頁）</t>
        </is>
      </c>
      <c r="E167" s="3" t="inlineStr">
        <is>
          <t>、36、、、、350</t>
        </is>
      </c>
      <c r="F167" s="3">
        <f>SRC_OAI_043</f>
        <v/>
      </c>
      <c r="G167" s="3" t="inlineStr">
        <is>
          <t>7 月投資人簡報（SRC_OAI_043、044）；不驅動任何計算</t>
        </is>
      </c>
    </row>
    <row r="168">
      <c r="A168" s="3" t="inlineStr">
        <is>
          <t>Revenue</t>
        </is>
      </c>
      <c r="B168" s="3" t="inlineStr">
        <is>
          <t>模型總額 − 管理層目標</t>
        </is>
      </c>
      <c r="C168" s="3" t="inlineStr">
        <is>
          <t>R45</t>
        </is>
      </c>
      <c r="D168" s="3" t="inlineStr">
        <is>
          <t>—（新頁）</t>
        </is>
      </c>
      <c r="E168" s="3" t="inlineStr">
        <is>
          <t>、-1.796、、、、-223.6</t>
        </is>
      </c>
      <c r="F168" s="3">
        <f>E38-E56</f>
        <v/>
      </c>
      <c r="G168" s="3" t="n"/>
    </row>
    <row r="169">
      <c r="A169" s="3" t="inlineStr">
        <is>
          <t>Revenue</t>
        </is>
      </c>
      <c r="B169" s="3" t="inlineStr">
        <is>
          <t>價格事件 2 之後占 FY2026 的比例（天數加權）</t>
        </is>
      </c>
      <c r="C169" s="3" t="inlineStr">
        <is>
          <t>E2</t>
        </is>
      </c>
      <c r="D169" s="3" t="inlineStr">
        <is>
          <t>—（新頁）</t>
        </is>
      </c>
      <c r="E169" s="3" t="inlineStr">
        <is>
          <t>0.4247、0.674、0.1753、、、</t>
        </is>
      </c>
      <c r="F169" s="3">
        <f>(INP_250+INP_251-MAX(INP_250,MIN(INP_250+INP_251,SRC_OAI_125+Inputs!$F$238)))/INP_251</f>
        <v/>
      </c>
      <c r="G169" s="3" t="inlineStr">
        <is>
          <t>＝（年底次日 − 生效日）÷ 365；生效日＝SRC 公告日＋Inputs 偏移，限於 FY2026 內</t>
        </is>
      </c>
    </row>
    <row r="170">
      <c r="A170" s="3" t="inlineStr">
        <is>
          <t>Revenue</t>
        </is>
      </c>
      <c r="B170" s="3" t="inlineStr">
        <is>
          <t>價格事件 3 之後占 FY2026 的比例（天數加權）</t>
        </is>
      </c>
      <c r="C170" s="3" t="inlineStr">
        <is>
          <t>E3</t>
        </is>
      </c>
      <c r="D170" s="3" t="inlineStr">
        <is>
          <t>—（新頁）</t>
        </is>
      </c>
      <c r="E170" s="3" t="inlineStr">
        <is>
          <t>0.3616、0.611、0.1123、、、</t>
        </is>
      </c>
      <c r="F170" s="3">
        <f>(INP_250+INP_251-MAX(INP_250,MIN(INP_250+INP_251,SRC_OAI_126+Inputs!$F$239)))/INP_251</f>
        <v/>
      </c>
      <c r="G170" s="3" t="inlineStr">
        <is>
          <t>＝（年底次日 − 生效日）÷ 365；生效日＝SRC 公告日＋Inputs 偏移，限於 FY2026 內</t>
        </is>
      </c>
    </row>
    <row r="171">
      <c r="A171" s="3" t="inlineStr">
        <is>
          <t>Revenue</t>
        </is>
      </c>
      <c r="B171" s="3" t="inlineStr">
        <is>
          <t>價格事件 4 之後占 FY2026 的比例（天數加權）</t>
        </is>
      </c>
      <c r="C171" s="3" t="inlineStr">
        <is>
          <t>E4</t>
        </is>
      </c>
      <c r="D171" s="3" t="inlineStr">
        <is>
          <t>—（新頁）</t>
        </is>
      </c>
      <c r="E171" s="3" t="inlineStr">
        <is>
          <t>0.3288、0.5781、0.07945、、、</t>
        </is>
      </c>
      <c r="F171" s="3">
        <f>(INP_250+INP_251-MAX(INP_250,MIN(INP_250+INP_251,SRC_OAI_127+Inputs!$F$240)))/INP_251</f>
        <v/>
      </c>
      <c r="G171" s="3" t="inlineStr">
        <is>
          <t>＝（年底次日 − 生效日）÷ 365；生效日＝SRC 公告日＋Inputs 偏移，限於 FY2026 內</t>
        </is>
      </c>
    </row>
    <row r="172">
      <c r="A172" s="3" t="inlineStr">
        <is>
          <t>Revenue</t>
        </is>
      </c>
      <c r="B172" s="3" t="inlineStr">
        <is>
          <t>價格事件 5 之後占 FY2026 的比例（天數加權）</t>
        </is>
      </c>
      <c r="C172" s="3" t="inlineStr">
        <is>
          <t>E5</t>
        </is>
      </c>
      <c r="D172" s="3" t="inlineStr">
        <is>
          <t>—（新頁）</t>
        </is>
      </c>
      <c r="E172" s="3" t="inlineStr">
        <is>
          <t>0.2767、0.526、0.0274、、、</t>
        </is>
      </c>
      <c r="F172" s="3">
        <f>(INP_250+INP_251-MAX(INP_250,MIN(INP_250+INP_251,SRC_OAI_128+Inputs!$F$241)))/INP_251</f>
        <v/>
      </c>
      <c r="G172" s="3" t="inlineStr">
        <is>
          <t>＝（年底次日 − 生效日）÷ 365；生效日＝SRC 公告日＋Inputs 偏移，限於 FY2026 內</t>
        </is>
      </c>
    </row>
    <row r="173">
      <c r="A173" s="3" t="inlineStr">
        <is>
          <t>Revenue</t>
        </is>
      </c>
      <c r="B173" s="3" t="inlineStr">
        <is>
          <t>FY2026 平均牌價：頂層（Astra） 輸入</t>
        </is>
      </c>
      <c r="C173" s="3" t="inlineStr">
        <is>
          <t>PTI</t>
        </is>
      </c>
      <c r="D173" s="3" t="inlineStr">
        <is>
          <t>—（新頁）</t>
        </is>
      </c>
      <c r="E173" s="3" t="inlineStr">
        <is>
          <t>6.611、7.858、5.364、5.364、7.858、</t>
        </is>
      </c>
      <c r="F173" s="3">
        <f>SRC_OAI_113+(SRC_OAI_123-SRC_OAI_113)*E62+(SRC_OAI_013-SRC_OAI_123)*E63</f>
        <v/>
      </c>
      <c r="G173" s="3" t="inlineStr">
        <is>
          <t>期初（1/1 至首次變價）回填事件 1 價（GPT-5.6 Sol）；事件 3、4 依序變價；事件 4、5 後＝2026-09-25 牌價快照</t>
        </is>
      </c>
    </row>
    <row r="174">
      <c r="A174" s="3" t="inlineStr">
        <is>
          <t>Revenue</t>
        </is>
      </c>
      <c r="B174" s="3" t="inlineStr">
        <is>
          <t>FY2026 平均牌價：頂層（Astra） 輸出</t>
        </is>
      </c>
      <c r="C174" s="3" t="inlineStr">
        <is>
          <t>PTO</t>
        </is>
      </c>
      <c r="D174" s="3" t="inlineStr">
        <is>
          <t>—（新頁）</t>
        </is>
      </c>
      <c r="E174" s="3" t="inlineStr">
        <is>
          <t>36.25、41.23、31.26、31.26、41.23、</t>
        </is>
      </c>
      <c r="F174" s="3">
        <f>SRC_OAI_114+(SRC_OAI_124-SRC_OAI_114)*E62+(SRC_OAI_015-SRC_OAI_124)*E63</f>
        <v/>
      </c>
      <c r="G174" s="3" t="inlineStr">
        <is>
          <t>期初（1/1 至首次變價）回填事件 1 價（GPT-5.6 Sol）；事件 3、4 依序變價；事件 4、5 後＝2026-09-25 牌價快照</t>
        </is>
      </c>
    </row>
    <row r="175">
      <c r="A175" s="3" t="inlineStr">
        <is>
          <t>Revenue</t>
        </is>
      </c>
      <c r="B175" s="3" t="inlineStr">
        <is>
          <t>FY2026 平均牌價：中層（Sol） 輸入</t>
        </is>
      </c>
      <c r="C175" s="3" t="inlineStr">
        <is>
          <t>PMI</t>
        </is>
      </c>
      <c r="D175" s="3" t="inlineStr">
        <is>
          <t>—（新頁）</t>
        </is>
      </c>
      <c r="E175" s="3" t="inlineStr">
        <is>
          <t>2.288、2.163、2.412、2.163、2.412、</t>
        </is>
      </c>
      <c r="F175" s="3">
        <f>SRC_OAI_115+(SRC_OAI_119-SRC_OAI_115)*E61+(SRC_OAI_016-SRC_OAI_119)*E64</f>
        <v/>
      </c>
      <c r="G175" s="3" t="inlineStr">
        <is>
          <t>期初（1/1 至首次變價）回填事件 1 價（GPT-5.6 Terra）；事件 2、5 依序變價；事件 4、5 後＝2026-09-25 牌價快照</t>
        </is>
      </c>
    </row>
    <row r="176">
      <c r="A176" s="3" t="inlineStr">
        <is>
          <t>Revenue</t>
        </is>
      </c>
      <c r="B176" s="3" t="inlineStr">
        <is>
          <t>FY2026 平均牌價：中層（Sol） 輸出</t>
        </is>
      </c>
      <c r="C176" s="3" t="inlineStr">
        <is>
          <t>PMO</t>
        </is>
      </c>
      <c r="D176" s="3" t="inlineStr">
        <is>
          <t>—（新頁）</t>
        </is>
      </c>
      <c r="E176" s="3" t="inlineStr">
        <is>
          <t>13.17、11.93、14.42、11.93、14.42、</t>
        </is>
      </c>
      <c r="F176" s="3">
        <f>SRC_OAI_116+(SRC_OAI_120-SRC_OAI_116)*E61+(SRC_OAI_018-SRC_OAI_120)*E64</f>
        <v/>
      </c>
      <c r="G176" s="3" t="inlineStr">
        <is>
          <t>期初（1/1 至首次變價）回填事件 1 價（GPT-5.6 Terra）；事件 2、5 依序變價；事件 4、5 後＝2026-09-25 牌價快照</t>
        </is>
      </c>
    </row>
    <row r="177">
      <c r="A177" s="3" t="inlineStr">
        <is>
          <t>Revenue</t>
        </is>
      </c>
      <c r="B177" s="3" t="inlineStr">
        <is>
          <t>FY2026 平均牌價：低層（Luna） 輸入</t>
        </is>
      </c>
      <c r="C177" s="3" t="inlineStr">
        <is>
          <t>PLI</t>
        </is>
      </c>
      <c r="D177" s="3" t="inlineStr">
        <is>
          <t>—（新頁）</t>
        </is>
      </c>
      <c r="E177" s="3" t="inlineStr">
        <is>
          <t>0.6326、0.4082、0.857、0.4082、0.857、</t>
        </is>
      </c>
      <c r="F177" s="3">
        <f>SRC_OAI_117+(SRC_OAI_121-SRC_OAI_117)*E61+(SRC_OAI_019-SRC_OAI_121)*E64</f>
        <v/>
      </c>
      <c r="G177" s="3" t="inlineStr">
        <is>
          <t>期初（1/1 至首次變價）回填事件 1 價（GPT-5.6 Luna）；事件 2、5 依序變價；事件 4、5 後＝2026-09-25 牌價快照</t>
        </is>
      </c>
    </row>
    <row r="178">
      <c r="A178" s="3" t="inlineStr">
        <is>
          <t>Revenue</t>
        </is>
      </c>
      <c r="B178" s="3" t="inlineStr">
        <is>
          <t>FY2026 平均牌價：低層（Luna） 輸出</t>
        </is>
      </c>
      <c r="C178" s="3" t="inlineStr">
        <is>
          <t>PLO</t>
        </is>
      </c>
      <c r="D178" s="3" t="inlineStr">
        <is>
          <t>—（新頁）</t>
        </is>
      </c>
      <c r="E178" s="3" t="inlineStr">
        <is>
          <t>3.768、2.397、5.139、2.397、5.139、</t>
        </is>
      </c>
      <c r="F178" s="3">
        <f>SRC_OAI_118+(SRC_OAI_122-SRC_OAI_118)*E61+(SRC_OAI_021-SRC_OAI_122)*E64</f>
        <v/>
      </c>
      <c r="G178" s="3" t="inlineStr">
        <is>
          <t>期初（1/1 至首次變價）回填事件 1 價（GPT-5.6 Luna）；事件 2、5 依序變價；事件 4、5 後＝2026-09-25 牌價快照</t>
        </is>
      </c>
    </row>
    <row r="179">
      <c r="A179" s="3" t="inlineStr">
        <is>
          <t>README</t>
        </is>
      </c>
      <c r="B179" s="3" t="inlineStr">
        <is>
          <t>標題、本版範圍、列數、Demand／Revenue 說明</t>
        </is>
      </c>
      <c r="C179" s="3" t="inlineStr">
        <is>
          <t>—</t>
        </is>
      </c>
      <c r="D179" s="3" t="inlineStr">
        <is>
          <t>v0.6-P1.1</t>
        </is>
      </c>
      <c r="E179" s="3" t="inlineStr">
        <is>
          <t>v0.6-P2</t>
        </is>
      </c>
      <c r="F179" s="3" t="inlineStr">
        <is>
          <t>builder</t>
        </is>
      </c>
      <c r="G17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</cols>
  <sheetData>
    <row r="1">
      <c r="A1" s="1" t="inlineStr">
        <is>
          <t>② 本段關鍵輸出（FY2025–FY2030；$B、T token；容量上限 V1a 於 P3 加入，本表未截頂）</t>
        </is>
      </c>
    </row>
    <row r="3">
      <c r="A3" s="2" t="inlineStr">
        <is>
          <t>區塊</t>
        </is>
      </c>
      <c r="B3" s="2" t="inlineStr">
        <is>
          <t>項目</t>
        </is>
      </c>
      <c r="C3" s="2" t="inlineStr">
        <is>
          <t>單位</t>
        </is>
      </c>
      <c r="D3" s="2" t="n">
        <v>2025</v>
      </c>
      <c r="E3" s="2" t="n">
        <v>2026</v>
      </c>
      <c r="F3" s="2" t="n">
        <v>2027</v>
      </c>
      <c r="G3" s="2" t="n">
        <v>2028</v>
      </c>
      <c r="H3" s="2" t="n">
        <v>2029</v>
      </c>
      <c r="I3" s="2" t="n">
        <v>2030</v>
      </c>
      <c r="J3" s="2" t="inlineStr">
        <is>
          <t>具名範圍</t>
        </is>
      </c>
    </row>
    <row r="4">
      <c r="A4" t="inlineStr">
        <is>
          <t>訂閱營收</t>
        </is>
      </c>
      <c r="B4" t="inlineStr">
        <is>
          <t>Go</t>
        </is>
      </c>
      <c r="C4" t="inlineStr">
        <is>
          <t>$B</t>
        </is>
      </c>
      <c r="D4" s="4" t="n">
        <v>0.144</v>
      </c>
      <c r="E4" s="4" t="n">
        <v>2.9232</v>
      </c>
      <c r="F4" s="4" t="n">
        <v>5.57624347826087</v>
      </c>
      <c r="G4" s="4" t="n">
        <v>8.424313043478261</v>
      </c>
      <c r="H4" s="4" t="n">
        <v>10.61780869565217</v>
      </c>
      <c r="I4" s="4" t="n">
        <v>12.79393043478261</v>
      </c>
      <c r="J4" t="inlineStr">
        <is>
          <t>REV_Sub_Go</t>
        </is>
      </c>
    </row>
    <row r="5">
      <c r="A5" t="inlineStr">
        <is>
          <t>訂閱營收</t>
        </is>
      </c>
      <c r="B5" t="inlineStr">
        <is>
          <t>Plus</t>
        </is>
      </c>
      <c r="C5" t="inlineStr">
        <is>
          <t>$B</t>
        </is>
      </c>
      <c r="D5" s="4" t="n">
        <v>7.019999999999998</v>
      </c>
      <c r="E5" s="4" t="n">
        <v>7.957200000000001</v>
      </c>
      <c r="F5" s="4" t="n">
        <v>8.995095652173914</v>
      </c>
      <c r="G5" s="4" t="n">
        <v>9.860008695652173</v>
      </c>
      <c r="H5" s="4" t="n">
        <v>10.55193913043478</v>
      </c>
      <c r="I5" s="4" t="n">
        <v>11.07088695652174</v>
      </c>
      <c r="J5" t="inlineStr">
        <is>
          <t>REV_Sub_Plus</t>
        </is>
      </c>
    </row>
    <row r="6">
      <c r="A6" t="inlineStr">
        <is>
          <t>訂閱營收</t>
        </is>
      </c>
      <c r="B6" t="inlineStr">
        <is>
          <t>Pro</t>
        </is>
      </c>
      <c r="C6" t="inlineStr">
        <is>
          <t>$B</t>
        </is>
      </c>
      <c r="D6" s="4" t="n">
        <v>0.6774193548387096</v>
      </c>
      <c r="E6" s="4" t="n">
        <v>1.016129032258065</v>
      </c>
      <c r="F6" s="4" t="n">
        <v>1.451612903225806</v>
      </c>
      <c r="G6" s="4" t="n">
        <v>1.887096774193548</v>
      </c>
      <c r="H6" s="4" t="n">
        <v>2.235483870967742</v>
      </c>
      <c r="I6" s="4" t="n">
        <v>2.540322580645161</v>
      </c>
      <c r="J6" t="inlineStr">
        <is>
          <t>REV_Sub_Pro</t>
        </is>
      </c>
    </row>
    <row r="7">
      <c r="A7" t="inlineStr">
        <is>
          <t>訂閱營收</t>
        </is>
      </c>
      <c r="B7" t="inlineStr">
        <is>
          <t>企業席位</t>
        </is>
      </c>
      <c r="C7" t="inlineStr">
        <is>
          <t>$B</t>
        </is>
      </c>
      <c r="D7" s="4" t="n">
        <v>1.08</v>
      </c>
      <c r="E7" s="4" t="n">
        <v>5.04</v>
      </c>
      <c r="F7" s="4" t="n">
        <v>9.359999999999999</v>
      </c>
      <c r="G7" s="4" t="n">
        <v>13.68</v>
      </c>
      <c r="H7" s="4" t="n">
        <v>17.28</v>
      </c>
      <c r="I7" s="4" t="n">
        <v>20.16</v>
      </c>
      <c r="J7" t="inlineStr">
        <is>
          <t>REV_Sub_Seats</t>
        </is>
      </c>
    </row>
    <row r="8">
      <c r="A8" t="inlineStr">
        <is>
          <t>訂閱營收</t>
        </is>
      </c>
      <c r="B8" t="inlineStr">
        <is>
          <t>訂閱合計</t>
        </is>
      </c>
      <c r="C8" t="inlineStr">
        <is>
          <t>$B</t>
        </is>
      </c>
      <c r="D8" s="4" t="n">
        <v>8.921419354838708</v>
      </c>
      <c r="E8" s="4" t="n">
        <v>16.93652903225806</v>
      </c>
      <c r="F8" s="4" t="n">
        <v>25.38295203366059</v>
      </c>
      <c r="G8" s="4" t="n">
        <v>33.85141851332398</v>
      </c>
      <c r="H8" s="4" t="n">
        <v>40.6852316970547</v>
      </c>
      <c r="I8" s="4" t="n">
        <v>46.56513997194951</v>
      </c>
      <c r="J8" t="inlineStr">
        <is>
          <t>REV_Sub</t>
        </is>
      </c>
    </row>
    <row r="9">
      <c r="A9" t="inlineStr">
        <is>
          <t>API 營收</t>
        </is>
      </c>
      <c r="B9" t="inlineStr">
        <is>
          <t>頂層（Astra）</t>
        </is>
      </c>
      <c r="C9" t="inlineStr">
        <is>
          <t>$B</t>
        </is>
      </c>
      <c r="D9" s="4" t="n">
        <v>2.567424510763518</v>
      </c>
      <c r="E9" s="4" t="n">
        <v>7.039130029772696</v>
      </c>
      <c r="F9" s="4" t="n">
        <v>12.78624613526329</v>
      </c>
      <c r="G9" s="4" t="n">
        <v>20.93577065516601</v>
      </c>
      <c r="H9" s="4" t="n">
        <v>30.98905929122153</v>
      </c>
      <c r="I9" s="4" t="n">
        <v>42.98035120437375</v>
      </c>
      <c r="J9" t="inlineStr">
        <is>
          <t>REV_API_Top</t>
        </is>
      </c>
    </row>
    <row r="10">
      <c r="A10" t="inlineStr">
        <is>
          <t>API 營收</t>
        </is>
      </c>
      <c r="B10" t="inlineStr">
        <is>
          <t>中層（Sol）</t>
        </is>
      </c>
      <c r="C10" t="inlineStr">
        <is>
          <t>$B</t>
        </is>
      </c>
      <c r="D10" s="4" t="n">
        <v>1.486545530379087</v>
      </c>
      <c r="E10" s="4" t="n">
        <v>7.575626588056855</v>
      </c>
      <c r="F10" s="4" t="n">
        <v>11.79494289461234</v>
      </c>
      <c r="G10" s="4" t="n">
        <v>16.55369483204901</v>
      </c>
      <c r="H10" s="4" t="n">
        <v>21.002335698423</v>
      </c>
      <c r="I10" s="4" t="n">
        <v>24.96792052448432</v>
      </c>
      <c r="J10" t="inlineStr">
        <is>
          <t>REV_API_Mid</t>
        </is>
      </c>
    </row>
    <row r="11">
      <c r="A11" t="inlineStr">
        <is>
          <t>API 營收</t>
        </is>
      </c>
      <c r="B11" t="inlineStr">
        <is>
          <t>低層（Luna）</t>
        </is>
      </c>
      <c r="C11" t="inlineStr">
        <is>
          <t>$B</t>
        </is>
      </c>
      <c r="D11" s="4" t="n">
        <v>0.09461060401868711</v>
      </c>
      <c r="E11" s="4" t="n">
        <v>1.909545779858503</v>
      </c>
      <c r="F11" s="4" t="n">
        <v>2.973085218269207</v>
      </c>
      <c r="G11" s="4" t="n">
        <v>4.172597175979956</v>
      </c>
      <c r="H11" s="4" t="n">
        <v>5.29394117224858</v>
      </c>
      <c r="I11" s="4" t="n">
        <v>6.293523936955393</v>
      </c>
      <c r="J11" t="inlineStr">
        <is>
          <t>REV_API_Low</t>
        </is>
      </c>
    </row>
    <row r="12">
      <c r="A12" t="inlineStr">
        <is>
          <t>API 營收</t>
        </is>
      </c>
      <c r="B12" t="inlineStr">
        <is>
          <t>API 合計</t>
        </is>
      </c>
      <c r="C12" t="inlineStr">
        <is>
          <t>$B</t>
        </is>
      </c>
      <c r="D12" s="4" t="n">
        <v>4.148580645161292</v>
      </c>
      <c r="E12" s="4" t="n">
        <v>16.52430239768806</v>
      </c>
      <c r="F12" s="4" t="n">
        <v>27.55427424814483</v>
      </c>
      <c r="G12" s="4" t="n">
        <v>41.66206266319498</v>
      </c>
      <c r="H12" s="4" t="n">
        <v>57.2853361618931</v>
      </c>
      <c r="I12" s="4" t="n">
        <v>74.24179566581347</v>
      </c>
      <c r="J12" t="inlineStr">
        <is>
          <t>REV_API</t>
        </is>
      </c>
    </row>
    <row r="13">
      <c r="A13" t="inlineStr">
        <is>
          <t>其他</t>
        </is>
      </c>
      <c r="B13" t="inlineStr">
        <is>
          <t>廣告</t>
        </is>
      </c>
      <c r="C13" t="inlineStr">
        <is>
          <t>$B</t>
        </is>
      </c>
      <c r="D13" s="4" t="n">
        <v>0</v>
      </c>
      <c r="E13" s="4" t="n">
        <v>0.742950000000003</v>
      </c>
      <c r="F13" s="4" t="n">
        <v>1.858426956521739</v>
      </c>
      <c r="G13" s="4" t="n">
        <v>2.910607826086957</v>
      </c>
      <c r="H13" s="4" t="n">
        <v>4.156806521739131</v>
      </c>
      <c r="I13" s="4" t="n">
        <v>5.576157065217392</v>
      </c>
      <c r="J13" t="inlineStr">
        <is>
          <t>REV_Ads</t>
        </is>
      </c>
    </row>
    <row r="14">
      <c r="A14" t="inlineStr">
        <is>
          <t>其他</t>
        </is>
      </c>
      <c r="B14" t="inlineStr">
        <is>
          <t>其他營收</t>
        </is>
      </c>
      <c r="C14" t="inlineStr">
        <is>
          <t>$B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t="inlineStr">
        <is>
          <t>REV_Other</t>
        </is>
      </c>
    </row>
    <row r="15">
      <c r="A15" t="inlineStr">
        <is>
          <t>合計</t>
        </is>
      </c>
      <c r="B15" t="inlineStr">
        <is>
          <t>營收總額</t>
        </is>
      </c>
      <c r="C15" t="inlineStr">
        <is>
          <t>$B</t>
        </is>
      </c>
      <c r="D15" s="4" t="n">
        <v>13.07</v>
      </c>
      <c r="E15" s="4" t="n">
        <v>34.20378142994613</v>
      </c>
      <c r="F15" s="4" t="n">
        <v>54.79565323832716</v>
      </c>
      <c r="G15" s="4" t="n">
        <v>78.42408900260591</v>
      </c>
      <c r="H15" s="4" t="n">
        <v>102.1273743806869</v>
      </c>
      <c r="I15" s="4" t="n">
        <v>126.3830927029804</v>
      </c>
      <c r="J15" t="inlineStr">
        <is>
          <t>REV_Gross</t>
        </is>
      </c>
    </row>
    <row r="16">
      <c r="A16" t="inlineStr">
        <is>
          <t>合計</t>
        </is>
      </c>
      <c r="B16" t="inlineStr">
        <is>
          <t>Microsoft 分成</t>
        </is>
      </c>
      <c r="C16" t="inlineStr">
        <is>
          <t>$B</t>
        </is>
      </c>
      <c r="D16" s="4" t="n">
        <v>2.614</v>
      </c>
      <c r="E16" s="4" t="n">
        <v>6.840756285989226</v>
      </c>
      <c r="F16" s="4" t="n">
        <v>10.95913064766543</v>
      </c>
      <c r="G16" s="4" t="n">
        <v>15.68481780052118</v>
      </c>
      <c r="H16" s="4" t="n">
        <v>4.515295265824157</v>
      </c>
      <c r="I16" s="4" t="n">
        <v>0</v>
      </c>
      <c r="J16" t="inlineStr">
        <is>
          <t>REV_MSShare</t>
        </is>
      </c>
    </row>
    <row r="17">
      <c r="A17" t="inlineStr">
        <is>
          <t>合計</t>
        </is>
      </c>
      <c r="B17" t="inlineStr">
        <is>
          <t>Microsoft 分成累計</t>
        </is>
      </c>
      <c r="C17" t="inlineStr">
        <is>
          <t>$B</t>
        </is>
      </c>
      <c r="D17" s="4" t="n">
        <v>0</v>
      </c>
      <c r="E17" s="4" t="n">
        <v>6.840756285989226</v>
      </c>
      <c r="F17" s="4" t="n">
        <v>17.79988693365466</v>
      </c>
      <c r="G17" s="4" t="n">
        <v>33.48470473417584</v>
      </c>
      <c r="H17" s="4" t="n">
        <v>38</v>
      </c>
      <c r="I17" s="4" t="n">
        <v>38</v>
      </c>
      <c r="J17" t="inlineStr">
        <is>
          <t>REV_MSCum</t>
        </is>
      </c>
    </row>
    <row r="18">
      <c r="A18" t="inlineStr">
        <is>
          <t>合計</t>
        </is>
      </c>
      <c r="B18" t="inlineStr">
        <is>
          <t>淨額（估值與命題用）</t>
        </is>
      </c>
      <c r="C18" t="inlineStr">
        <is>
          <t>$B</t>
        </is>
      </c>
      <c r="D18" s="4" t="n">
        <v>10.456</v>
      </c>
      <c r="E18" s="4" t="n">
        <v>27.3630251439569</v>
      </c>
      <c r="F18" s="4" t="n">
        <v>43.83652259066172</v>
      </c>
      <c r="G18" s="4" t="n">
        <v>62.73927120208473</v>
      </c>
      <c r="H18" s="4" t="n">
        <v>97.61207911486275</v>
      </c>
      <c r="I18" s="4" t="n">
        <v>126.3830927029804</v>
      </c>
      <c r="J18" t="inlineStr">
        <is>
          <t>REV_Net</t>
        </is>
      </c>
    </row>
    <row r="19">
      <c r="A19" t="inlineStr">
        <is>
          <t>token 量</t>
        </is>
      </c>
      <c r="B19" t="inlineStr">
        <is>
          <t>付費：頂層</t>
        </is>
      </c>
      <c r="C19" t="inlineStr">
        <is>
          <t>T</t>
        </is>
      </c>
      <c r="D19" s="4" t="n">
        <v>890.9161439766854</v>
      </c>
      <c r="E19" s="4" t="n">
        <v>1044.880117784063</v>
      </c>
      <c r="F19" s="4" t="n">
        <v>2572.31897043162</v>
      </c>
      <c r="G19" s="4" t="n">
        <v>5813.448763218514</v>
      </c>
      <c r="H19" s="4" t="n">
        <v>12017.45824838958</v>
      </c>
      <c r="I19" s="4" t="n">
        <v>23451.58537476408</v>
      </c>
      <c r="J19" t="inlineStr">
        <is>
          <t>DEM_Tok_Paid_Top</t>
        </is>
      </c>
    </row>
    <row r="20">
      <c r="A20" t="inlineStr">
        <is>
          <t>token 量</t>
        </is>
      </c>
      <c r="B20" t="inlineStr">
        <is>
          <t>付費：中層</t>
        </is>
      </c>
      <c r="C20" t="inlineStr">
        <is>
          <t>T</t>
        </is>
      </c>
      <c r="D20" s="4" t="n">
        <v>1247.806785912169</v>
      </c>
      <c r="E20" s="4" t="n">
        <v>3922.680049430413</v>
      </c>
      <c r="F20" s="4" t="n">
        <v>9054.427677517244</v>
      </c>
      <c r="G20" s="4" t="n">
        <v>19547.09243318084</v>
      </c>
      <c r="H20" s="4" t="n">
        <v>39146.51202313045</v>
      </c>
      <c r="I20" s="4" t="n">
        <v>74708.98042095121</v>
      </c>
      <c r="J20" t="inlineStr">
        <is>
          <t>DEM_Tok_Paid_Mid</t>
        </is>
      </c>
    </row>
    <row r="21">
      <c r="A21" t="inlineStr">
        <is>
          <t>token 量</t>
        </is>
      </c>
      <c r="B21" t="inlineStr">
        <is>
          <t>付費：低層</t>
        </is>
      </c>
      <c r="C21" t="inlineStr">
        <is>
          <t>T</t>
        </is>
      </c>
      <c r="D21" s="4" t="n">
        <v>654.7371800528587</v>
      </c>
      <c r="E21" s="4" t="n">
        <v>3318.007652163144</v>
      </c>
      <c r="F21" s="4" t="n">
        <v>7935.925423593147</v>
      </c>
      <c r="G21" s="4" t="n">
        <v>17398.14689734347</v>
      </c>
      <c r="H21" s="4" t="n">
        <v>34970.5186956773</v>
      </c>
      <c r="I21" s="4" t="n">
        <v>66871.12728212459</v>
      </c>
      <c r="J21" t="inlineStr">
        <is>
          <t>DEM_Tok_Paid_Low</t>
        </is>
      </c>
    </row>
    <row r="22">
      <c r="A22" t="inlineStr">
        <is>
          <t>token 量</t>
        </is>
      </c>
      <c r="B22" t="inlineStr">
        <is>
          <t>付費合計</t>
        </is>
      </c>
      <c r="C22" t="inlineStr">
        <is>
          <t>T</t>
        </is>
      </c>
      <c r="D22" s="4" t="n">
        <v>2793.460109941713</v>
      </c>
      <c r="E22" s="4" t="n">
        <v>8285.56781937762</v>
      </c>
      <c r="F22" s="4" t="n">
        <v>19562.67207154201</v>
      </c>
      <c r="G22" s="4" t="n">
        <v>42758.68809374282</v>
      </c>
      <c r="H22" s="4" t="n">
        <v>86134.48896719734</v>
      </c>
      <c r="I22" s="4" t="n">
        <v>165031.6930778399</v>
      </c>
      <c r="J22" t="inlineStr">
        <is>
          <t>DEM_Tok_Paid</t>
        </is>
      </c>
    </row>
    <row r="23">
      <c r="A23" t="inlineStr">
        <is>
          <t>token 量</t>
        </is>
      </c>
      <c r="B23" t="inlineStr">
        <is>
          <t>免費：頂層</t>
        </is>
      </c>
      <c r="C23" t="inlineStr">
        <is>
          <t>T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t="inlineStr">
        <is>
          <t>DEM_Tok_Free_Top</t>
        </is>
      </c>
    </row>
    <row r="24">
      <c r="A24" t="inlineStr">
        <is>
          <t>token 量</t>
        </is>
      </c>
      <c r="B24" t="inlineStr">
        <is>
          <t>免費：中層</t>
        </is>
      </c>
      <c r="C24" t="inlineStr">
        <is>
          <t>T</t>
        </is>
      </c>
      <c r="D24" s="4" t="n">
        <v>74.46000000000001</v>
      </c>
      <c r="E24" s="4" t="n">
        <v>173.3056500000008</v>
      </c>
      <c r="F24" s="4" t="n">
        <v>288.46269375</v>
      </c>
      <c r="G24" s="4" t="n">
        <v>437.8863691125</v>
      </c>
      <c r="H24" s="4" t="n">
        <v>627.7830911842876</v>
      </c>
      <c r="I24" s="4" t="n">
        <v>864.2172818494288</v>
      </c>
      <c r="J24" t="inlineStr">
        <is>
          <t>DEM_Tok_Free_Mid</t>
        </is>
      </c>
    </row>
    <row r="25">
      <c r="A25" t="inlineStr">
        <is>
          <t>token 量</t>
        </is>
      </c>
      <c r="B25" t="inlineStr">
        <is>
          <t>免費：低層</t>
        </is>
      </c>
      <c r="C25" t="inlineStr">
        <is>
          <t>T</t>
        </is>
      </c>
      <c r="D25" s="4" t="n">
        <v>670.14</v>
      </c>
      <c r="E25" s="4" t="n">
        <v>1559.750850000007</v>
      </c>
      <c r="F25" s="4" t="n">
        <v>2596.16424375</v>
      </c>
      <c r="G25" s="4" t="n">
        <v>3940.9773220125</v>
      </c>
      <c r="H25" s="4" t="n">
        <v>5650.047820658589</v>
      </c>
      <c r="I25" s="4" t="n">
        <v>7777.955536644859</v>
      </c>
      <c r="J25" t="inlineStr">
        <is>
          <t>DEM_Tok_Free_Low</t>
        </is>
      </c>
    </row>
    <row r="26">
      <c r="A26" t="inlineStr">
        <is>
          <t>token 量</t>
        </is>
      </c>
      <c r="B26" t="inlineStr">
        <is>
          <t>免費合計</t>
        </is>
      </c>
      <c r="C26" t="inlineStr">
        <is>
          <t>T</t>
        </is>
      </c>
      <c r="D26" s="4" t="n">
        <v>744.6</v>
      </c>
      <c r="E26" s="4" t="n">
        <v>1733.056500000007</v>
      </c>
      <c r="F26" s="4" t="n">
        <v>2884.626937500001</v>
      </c>
      <c r="G26" s="4" t="n">
        <v>4378.863691125</v>
      </c>
      <c r="H26" s="4" t="n">
        <v>6277.830911842876</v>
      </c>
      <c r="I26" s="4" t="n">
        <v>8642.172818494288</v>
      </c>
      <c r="J26" t="inlineStr">
        <is>
          <t>DEM_Tok_Free</t>
        </is>
      </c>
    </row>
    <row r="27">
      <c r="A27" t="inlineStr">
        <is>
          <t>token 量</t>
        </is>
      </c>
      <c r="B27" t="inlineStr">
        <is>
          <t>合計</t>
        </is>
      </c>
      <c r="C27" t="inlineStr">
        <is>
          <t>T</t>
        </is>
      </c>
      <c r="D27" s="4" t="n">
        <v>3538.060109941713</v>
      </c>
      <c r="E27" s="4" t="n">
        <v>10018.62431937763</v>
      </c>
      <c r="F27" s="4" t="n">
        <v>22447.29900904201</v>
      </c>
      <c r="G27" s="4" t="n">
        <v>47137.55178486782</v>
      </c>
      <c r="H27" s="4" t="n">
        <v>92412.31987904021</v>
      </c>
      <c r="I27" s="4" t="n">
        <v>173673.8658963342</v>
      </c>
      <c r="J27" t="inlineStr">
        <is>
          <t>DEM_Tok_Total</t>
        </is>
      </c>
    </row>
    <row r="28">
      <c r="A28" t="inlineStr">
        <is>
          <t>token 量（方案）</t>
        </is>
      </c>
      <c r="B28" t="inlineStr">
        <is>
          <t>Free</t>
        </is>
      </c>
      <c r="C28" t="inlineStr">
        <is>
          <t>T</t>
        </is>
      </c>
      <c r="D28" s="4" t="n">
        <v>744.6</v>
      </c>
      <c r="E28" s="4" t="n">
        <v>1733.056500000007</v>
      </c>
      <c r="F28" s="4" t="n">
        <v>2884.6269375</v>
      </c>
      <c r="G28" s="4" t="n">
        <v>4378.863691125</v>
      </c>
      <c r="H28" s="4" t="n">
        <v>6277.830911842876</v>
      </c>
      <c r="I28" s="4" t="n">
        <v>8642.172818494288</v>
      </c>
      <c r="J28" t="inlineStr">
        <is>
          <t>DEM_Tok_Plan_Free</t>
        </is>
      </c>
    </row>
    <row r="29">
      <c r="A29" t="inlineStr">
        <is>
          <t>token 量（方案）</t>
        </is>
      </c>
      <c r="B29" t="inlineStr">
        <is>
          <t>Go</t>
        </is>
      </c>
      <c r="C29" t="inlineStr">
        <is>
          <t>T</t>
        </is>
      </c>
      <c r="D29" s="4" t="n">
        <v>11.607</v>
      </c>
      <c r="E29" s="4" t="n">
        <v>370.815837</v>
      </c>
      <c r="F29" s="4" t="n">
        <v>894.8124082424999</v>
      </c>
      <c r="G29" s="4" t="n">
        <v>1710.075526219087</v>
      </c>
      <c r="H29" s="4" t="n">
        <v>2726.504486951367</v>
      </c>
      <c r="I29" s="4" t="n">
        <v>4155.907100618123</v>
      </c>
      <c r="J29" t="inlineStr">
        <is>
          <t>DEM_Tok_Plan_Go</t>
        </is>
      </c>
    </row>
    <row r="30">
      <c r="A30" t="inlineStr">
        <is>
          <t>token 量（方案）</t>
        </is>
      </c>
      <c r="B30" t="inlineStr">
        <is>
          <t>Plus</t>
        </is>
      </c>
      <c r="C30" t="inlineStr">
        <is>
          <t>T</t>
        </is>
      </c>
      <c r="D30" s="4" t="n">
        <v>586.9199999999998</v>
      </c>
      <c r="E30" s="4" t="n">
        <v>1402.3177725</v>
      </c>
      <c r="F30" s="4" t="n">
        <v>2005.314414675</v>
      </c>
      <c r="G30" s="4" t="n">
        <v>2780.638382118094</v>
      </c>
      <c r="H30" s="4" t="n">
        <v>3764.350188704258</v>
      </c>
      <c r="I30" s="4" t="n">
        <v>4996.094938975356</v>
      </c>
      <c r="J30" t="inlineStr">
        <is>
          <t>DEM_Tok_Plan_Plus</t>
        </is>
      </c>
    </row>
    <row r="31">
      <c r="A31" t="inlineStr">
        <is>
          <t>token 量（方案）</t>
        </is>
      </c>
      <c r="B31" t="inlineStr">
        <is>
          <t>Pro</t>
        </is>
      </c>
      <c r="C31" t="inlineStr">
        <is>
          <t>T</t>
        </is>
      </c>
      <c r="D31" s="4" t="n">
        <v>42.2399193548387</v>
      </c>
      <c r="E31" s="4" t="n">
        <v>165.2178387096774</v>
      </c>
      <c r="F31" s="4" t="n">
        <v>298.5722370967742</v>
      </c>
      <c r="G31" s="4" t="n">
        <v>491.0020439056452</v>
      </c>
      <c r="H31" s="4" t="n">
        <v>735.7854474866056</v>
      </c>
      <c r="I31" s="4" t="n">
        <v>1057.691580761996</v>
      </c>
      <c r="J31" t="inlineStr">
        <is>
          <t>DEM_Tok_Plan_Pro</t>
        </is>
      </c>
    </row>
    <row r="32">
      <c r="A32" t="inlineStr">
        <is>
          <t>token 量（方案）</t>
        </is>
      </c>
      <c r="B32" t="inlineStr">
        <is>
          <t>企業席位</t>
        </is>
      </c>
      <c r="C32" t="inlineStr">
        <is>
          <t>T</t>
        </is>
      </c>
      <c r="D32" s="4" t="n">
        <v>46.86599999999999</v>
      </c>
      <c r="E32" s="4" t="n">
        <v>434.0536200000001</v>
      </c>
      <c r="F32" s="4" t="n">
        <v>1019.7159687</v>
      </c>
      <c r="G32" s="4" t="n">
        <v>1885.2979467465</v>
      </c>
      <c r="H32" s="4" t="n">
        <v>3012.50766648546</v>
      </c>
      <c r="I32" s="4" t="n">
        <v>4445.95923112146</v>
      </c>
      <c r="J32" t="inlineStr">
        <is>
          <t>DEM_Tok_Plan_Seats</t>
        </is>
      </c>
    </row>
    <row r="33">
      <c r="A33" t="inlineStr">
        <is>
          <t>token 量（方案）</t>
        </is>
      </c>
      <c r="B33" t="inlineStr">
        <is>
          <t>API 計費</t>
        </is>
      </c>
      <c r="C33" t="inlineStr">
        <is>
          <t>T</t>
        </is>
      </c>
      <c r="D33" s="4" t="n">
        <v>2105.827190586875</v>
      </c>
      <c r="E33" s="4" t="n">
        <v>5913.162751167943</v>
      </c>
      <c r="F33" s="4" t="n">
        <v>15344.25704282774</v>
      </c>
      <c r="G33" s="4" t="n">
        <v>35891.6741947535</v>
      </c>
      <c r="H33" s="4" t="n">
        <v>75895.34117756964</v>
      </c>
      <c r="I33" s="4" t="n">
        <v>150376.0402263629</v>
      </c>
      <c r="J33" t="inlineStr">
        <is>
          <t>DEM_Tok_API</t>
        </is>
      </c>
    </row>
    <row r="34">
      <c r="A34" t="inlineStr">
        <is>
          <t>人數</t>
        </is>
      </c>
      <c r="B34" t="inlineStr">
        <is>
          <t>Free</t>
        </is>
      </c>
      <c r="C34" t="inlineStr">
        <is>
          <t>M</t>
        </is>
      </c>
      <c r="D34" s="4" t="n">
        <v>600</v>
      </c>
      <c r="E34" s="4" t="n">
        <v>950.000000000004</v>
      </c>
      <c r="F34" s="4" t="n">
        <v>1250</v>
      </c>
      <c r="G34" s="4" t="n">
        <v>1500</v>
      </c>
      <c r="H34" s="4" t="n">
        <v>1700</v>
      </c>
      <c r="I34" s="4" t="n">
        <v>1850</v>
      </c>
      <c r="J34" t="inlineStr">
        <is>
          <t>DEM_Users_Free</t>
        </is>
      </c>
    </row>
    <row r="35">
      <c r="A35" t="inlineStr">
        <is>
          <t>人數</t>
        </is>
      </c>
      <c r="B35" t="inlineStr">
        <is>
          <t>Go</t>
        </is>
      </c>
      <c r="C35" t="inlineStr">
        <is>
          <t>M</t>
        </is>
      </c>
      <c r="D35" s="4" t="n">
        <v>2</v>
      </c>
      <c r="E35" s="4" t="n">
        <v>40.6</v>
      </c>
      <c r="F35" s="4" t="n">
        <v>77.44782608695652</v>
      </c>
      <c r="G35" s="4" t="n">
        <v>117.004347826087</v>
      </c>
      <c r="H35" s="4" t="n">
        <v>147.4695652173913</v>
      </c>
      <c r="I35" s="4" t="n">
        <v>177.6934782608696</v>
      </c>
      <c r="J35" t="inlineStr">
        <is>
          <t>DEM_Users_Go</t>
        </is>
      </c>
    </row>
    <row r="36">
      <c r="A36" t="inlineStr">
        <is>
          <t>人數</t>
        </is>
      </c>
      <c r="B36" t="inlineStr">
        <is>
          <t>Plus</t>
        </is>
      </c>
      <c r="C36" t="inlineStr">
        <is>
          <t>M</t>
        </is>
      </c>
      <c r="D36" s="4" t="n">
        <v>29.99999999999999</v>
      </c>
      <c r="E36" s="4" t="n">
        <v>34.9</v>
      </c>
      <c r="F36" s="4" t="n">
        <v>39.45217391304347</v>
      </c>
      <c r="G36" s="4" t="n">
        <v>43.24565217391304</v>
      </c>
      <c r="H36" s="4" t="n">
        <v>46.28043478260869</v>
      </c>
      <c r="I36" s="4" t="n">
        <v>48.55652173913043</v>
      </c>
      <c r="J36" t="inlineStr">
        <is>
          <t>DEM_Users_Plus</t>
        </is>
      </c>
    </row>
    <row r="37">
      <c r="A37" t="inlineStr">
        <is>
          <t>人數</t>
        </is>
      </c>
      <c r="B37" t="inlineStr">
        <is>
          <t>Pro</t>
        </is>
      </c>
      <c r="C37" t="inlineStr">
        <is>
          <t>M</t>
        </is>
      </c>
      <c r="D37" s="4" t="n">
        <v>0.282258064516129</v>
      </c>
      <c r="E37" s="4" t="n">
        <v>0.564516129032258</v>
      </c>
      <c r="F37" s="4" t="n">
        <v>0.8064516129032258</v>
      </c>
      <c r="G37" s="4" t="n">
        <v>1.048387096774194</v>
      </c>
      <c r="H37" s="4" t="n">
        <v>1.241935483870968</v>
      </c>
      <c r="I37" s="4" t="n">
        <v>1.411290322580645</v>
      </c>
      <c r="J37" t="inlineStr">
        <is>
          <t>DEM_Users_Pro</t>
        </is>
      </c>
    </row>
    <row r="38">
      <c r="A38" t="inlineStr">
        <is>
          <t>人數</t>
        </is>
      </c>
      <c r="B38" t="inlineStr">
        <is>
          <t>企業席位</t>
        </is>
      </c>
      <c r="C38" t="inlineStr">
        <is>
          <t>M</t>
        </is>
      </c>
      <c r="D38" s="4" t="n">
        <v>3</v>
      </c>
      <c r="E38" s="4" t="n">
        <v>14</v>
      </c>
      <c r="F38" s="4" t="n">
        <v>26</v>
      </c>
      <c r="G38" s="4" t="n">
        <v>38</v>
      </c>
      <c r="H38" s="4" t="n">
        <v>48</v>
      </c>
      <c r="I38" s="4" t="n">
        <v>56</v>
      </c>
      <c r="J38" t="inlineStr">
        <is>
          <t>DEM_Users_Seats</t>
        </is>
      </c>
    </row>
    <row r="39">
      <c r="A39" t="inlineStr">
        <is>
          <t>人數</t>
        </is>
      </c>
      <c r="B39" t="inlineStr">
        <is>
          <t>付費合計</t>
        </is>
      </c>
      <c r="C39" t="inlineStr">
        <is>
          <t>M</t>
        </is>
      </c>
      <c r="D39" s="4" t="n">
        <v>35.28225806451612</v>
      </c>
      <c r="E39" s="4" t="n">
        <v>90.06451612903226</v>
      </c>
      <c r="F39" s="4" t="n">
        <v>143.7064516129032</v>
      </c>
      <c r="G39" s="4" t="n">
        <v>199.2983870967742</v>
      </c>
      <c r="H39" s="4" t="n">
        <v>242.991935483871</v>
      </c>
      <c r="I39" s="4" t="n">
        <v>283.6612903225806</v>
      </c>
      <c r="J39" t="inlineStr">
        <is>
          <t>DEM_Users_Paid</t>
        </is>
      </c>
    </row>
    <row r="40">
      <c r="A40" t="inlineStr">
        <is>
          <t>單價</t>
        </is>
      </c>
      <c r="B40" t="inlineStr">
        <is>
          <t>API 組合有效單價（扣折扣）</t>
        </is>
      </c>
      <c r="C40" t="inlineStr">
        <is>
          <t>$/M</t>
        </is>
      </c>
      <c r="D40" s="4" t="n">
        <v>1.970048000000001</v>
      </c>
      <c r="E40" s="4" t="n">
        <v>2.79449477260274</v>
      </c>
      <c r="F40" s="4" t="n">
        <v>1.795738573150685</v>
      </c>
      <c r="G40" s="4" t="n">
        <v>1.16077234060274</v>
      </c>
      <c r="H40" s="4" t="n">
        <v>0.7547938420602739</v>
      </c>
      <c r="I40" s="4" t="n">
        <v>0.4937076116252055</v>
      </c>
      <c r="J40" t="inlineStr">
        <is>
          <t>REV_ApiPrice</t>
        </is>
      </c>
    </row>
    <row r="42">
      <c r="A42" s="1" t="inlineStr">
        <is>
          <t>2025 對 SRC 實際與 Tokenomics 的差距</t>
        </is>
      </c>
    </row>
    <row r="43">
      <c r="B43" t="inlineStr">
        <is>
          <t>2025 模型總額 − SRC 實際 13.07（v0.5 校準方式，恆為 0）</t>
        </is>
      </c>
      <c r="C43" t="inlineStr">
        <is>
          <t>$B</t>
        </is>
      </c>
      <c r="D43" s="4" t="n">
        <v>0</v>
      </c>
    </row>
    <row r="44">
      <c r="B44" t="inlineStr">
        <is>
          <t>2025 未校準差距（API 改用處理 token 2,628T × 單價）</t>
        </is>
      </c>
      <c r="C44" t="inlineStr">
        <is>
          <t>$B</t>
        </is>
      </c>
      <c r="D44" s="4" t="n">
        <v>1.028705498838709</v>
      </c>
    </row>
    <row r="45">
      <c r="B45" t="inlineStr">
        <is>
          <t>2025 API 計費比例（計費 ÷ 處理 token）</t>
        </is>
      </c>
      <c r="C45" t="inlineStr">
        <is>
          <t>比例</t>
        </is>
      </c>
      <c r="D45" s="4" t="n">
        <v>0.8013041060071822</v>
      </c>
    </row>
    <row r="46">
      <c r="B46" t="inlineStr">
        <is>
          <t>2025 token 合計 − TK IF_AllocDemand</t>
        </is>
      </c>
      <c r="C46" t="inlineStr">
        <is>
          <t>M tok/年</t>
        </is>
      </c>
      <c r="D46" s="4" t="n">
        <v>-652139890.0582871</v>
      </c>
    </row>
    <row r="47">
      <c r="B47" t="inlineStr">
        <is>
          <t>2025 token 合計 ÷ TK IF_AllocDemand</t>
        </is>
      </c>
      <c r="C47" t="inlineStr">
        <is>
          <t>倍</t>
        </is>
      </c>
      <c r="D47" s="4" t="n">
        <v>0.8443654503225891</v>
      </c>
    </row>
    <row r="48">
      <c r="B48" t="inlineStr">
        <is>
          <t>FY2026 獨立推估（Q1＋Q2＋ARR×6/12）</t>
        </is>
      </c>
      <c r="C48" t="inlineStr">
        <is>
          <t>$B</t>
        </is>
      </c>
      <c r="D48" s="4" t="n">
        <v>32.4</v>
      </c>
    </row>
    <row r="49">
      <c r="B49" t="inlineStr">
        <is>
          <t>2026 模型總額 − 獨立推估</t>
        </is>
      </c>
      <c r="C49" t="inlineStr">
        <is>
          <t>$B</t>
        </is>
      </c>
      <c r="D49" s="4" t="n">
        <v>1.803781429946127</v>
      </c>
    </row>
    <row r="50">
      <c r="B50" t="inlineStr">
        <is>
          <t>2026 模型總額 − 管理層目標 36</t>
        </is>
      </c>
      <c r="C50" t="inlineStr">
        <is>
          <t>$B</t>
        </is>
      </c>
      <c r="D50" s="4" t="n">
        <v>-1.796218570053874</v>
      </c>
    </row>
    <row r="51">
      <c r="B51" t="inlineStr">
        <is>
          <t>2030 模型總額 − 管理層目標 350</t>
        </is>
      </c>
      <c r="C51" t="inlineStr">
        <is>
          <t>$B</t>
        </is>
      </c>
      <c r="D51" s="4" t="n">
        <v>-223.6169072970196</v>
      </c>
    </row>
    <row r="53">
      <c r="A53" s="1" t="inlineStr">
        <is>
          <t>2026 API 牌價（事件時點天數加權；區間＝事件時點 ±1 季）</t>
        </is>
      </c>
    </row>
    <row r="54">
      <c r="A54" s="2" t="inlineStr">
        <is>
          <t>層級</t>
        </is>
      </c>
      <c r="B54" s="2" t="inlineStr">
        <is>
          <t>輸入／輸出</t>
        </is>
      </c>
      <c r="C54" s="2" t="inlineStr">
        <is>
          <t>單位</t>
        </is>
      </c>
      <c r="D54" s="2" t="inlineStr">
        <is>
          <t>基準</t>
        </is>
      </c>
      <c r="E54" s="2" t="inlineStr">
        <is>
          <t>低</t>
        </is>
      </c>
      <c r="F54" s="2" t="inlineStr">
        <is>
          <t>高</t>
        </is>
      </c>
      <c r="G54" s="2" t="inlineStr">
        <is>
          <t>v0.5 基準</t>
        </is>
      </c>
      <c r="H54" s="2" t="inlineStr">
        <is>
          <t>v0.5 低</t>
        </is>
      </c>
      <c r="I54" s="2" t="inlineStr">
        <is>
          <t>v0.5 高</t>
        </is>
      </c>
    </row>
    <row r="55">
      <c r="A55" t="inlineStr">
        <is>
          <t>Top</t>
        </is>
      </c>
      <c r="B55" t="inlineStr">
        <is>
          <t>In</t>
        </is>
      </c>
      <c r="C55" t="inlineStr">
        <is>
          <t>$/M</t>
        </is>
      </c>
      <c r="D55" s="4" t="n">
        <v>6.610958904109589</v>
      </c>
      <c r="E55" s="4" t="n">
        <v>5.364383561643836</v>
      </c>
      <c r="F55" s="4" t="n">
        <v>7.857534246575343</v>
      </c>
      <c r="G55" s="4" t="n">
        <v>6.6</v>
      </c>
      <c r="H55" s="4" t="n">
        <v>5</v>
      </c>
      <c r="I55" s="4" t="n">
        <v>7.5</v>
      </c>
    </row>
    <row r="56">
      <c r="A56" t="inlineStr">
        <is>
          <t>Top</t>
        </is>
      </c>
      <c r="B56" t="inlineStr">
        <is>
          <t>Out</t>
        </is>
      </c>
      <c r="C56" t="inlineStr">
        <is>
          <t>$/M</t>
        </is>
      </c>
      <c r="D56" s="4" t="n">
        <v>36.24657534246575</v>
      </c>
      <c r="E56" s="4" t="n">
        <v>31.26027397260274</v>
      </c>
      <c r="F56" s="4" t="n">
        <v>41.23287671232876</v>
      </c>
      <c r="G56" s="4" t="n">
        <v>35.8</v>
      </c>
      <c r="H56" s="4" t="n">
        <v>28</v>
      </c>
      <c r="I56" s="4" t="n">
        <v>40</v>
      </c>
    </row>
    <row r="57">
      <c r="A57" t="inlineStr">
        <is>
          <t>Mid</t>
        </is>
      </c>
      <c r="B57" t="inlineStr">
        <is>
          <t>In</t>
        </is>
      </c>
      <c r="C57" t="inlineStr">
        <is>
          <t>$/M</t>
        </is>
      </c>
      <c r="D57" s="4" t="n">
        <v>2.287671232876712</v>
      </c>
      <c r="E57" s="4" t="n">
        <v>2.163013698630137</v>
      </c>
      <c r="F57" s="4" t="n">
        <v>2.412328767123288</v>
      </c>
      <c r="G57" s="4" t="n">
        <v>2.29</v>
      </c>
      <c r="H57" s="4" t="n">
        <v>2</v>
      </c>
      <c r="I57" s="4" t="n">
        <v>2.5</v>
      </c>
    </row>
    <row r="58">
      <c r="A58" t="inlineStr">
        <is>
          <t>Mid</t>
        </is>
      </c>
      <c r="B58" t="inlineStr">
        <is>
          <t>Out</t>
        </is>
      </c>
      <c r="C58" t="inlineStr">
        <is>
          <t>$/M</t>
        </is>
      </c>
      <c r="D58" s="4" t="n">
        <v>13.17260273972603</v>
      </c>
      <c r="E58" s="4" t="n">
        <v>11.92602739726027</v>
      </c>
      <c r="F58" s="4" t="n">
        <v>14.41917808219178</v>
      </c>
      <c r="G58" s="4" t="n">
        <v>13.25</v>
      </c>
      <c r="H58" s="4" t="n">
        <v>11</v>
      </c>
      <c r="I58" s="4" t="n">
        <v>15</v>
      </c>
    </row>
    <row r="59">
      <c r="A59" t="inlineStr">
        <is>
          <t>Low</t>
        </is>
      </c>
      <c r="B59" t="inlineStr">
        <is>
          <t>In</t>
        </is>
      </c>
      <c r="C59" t="inlineStr">
        <is>
          <t>$/M</t>
        </is>
      </c>
      <c r="D59" s="4" t="n">
        <v>0.6326027397260274</v>
      </c>
      <c r="E59" s="4" t="n">
        <v>0.4082191780821917</v>
      </c>
      <c r="F59" s="4" t="n">
        <v>0.856986301369863</v>
      </c>
      <c r="G59" s="4" t="n">
        <v>0.64</v>
      </c>
      <c r="H59" s="4" t="n">
        <v>0.4</v>
      </c>
      <c r="I59" s="4" t="n">
        <v>0.8</v>
      </c>
    </row>
    <row r="60">
      <c r="A60" t="inlineStr">
        <is>
          <t>Low</t>
        </is>
      </c>
      <c r="B60" t="inlineStr">
        <is>
          <t>Out</t>
        </is>
      </c>
      <c r="C60" t="inlineStr">
        <is>
          <t>$/M</t>
        </is>
      </c>
      <c r="D60" s="4" t="n">
        <v>3.767945205479453</v>
      </c>
      <c r="E60" s="4" t="n">
        <v>2.396712328767124</v>
      </c>
      <c r="F60" s="4" t="n">
        <v>5.139178082191781</v>
      </c>
      <c r="G60" s="4" t="n">
        <v>3.83</v>
      </c>
      <c r="H60" s="4" t="n">
        <v>2.5</v>
      </c>
      <c r="I60" s="4" t="n">
        <v>5</v>
      </c>
    </row>
    <row r="62">
      <c r="A62" s="1" t="inlineStr">
        <is>
          <t>事件時點敏感度（$B）</t>
        </is>
      </c>
    </row>
    <row r="63">
      <c r="A63" s="2" t="inlineStr">
        <is>
          <t>情境</t>
        </is>
      </c>
      <c r="B63" s="2" t="inlineStr">
        <is>
          <t>項目</t>
        </is>
      </c>
      <c r="C63" s="2" t="inlineStr"/>
      <c r="D63" s="2" t="n">
        <v>2025</v>
      </c>
      <c r="E63" s="2" t="n">
        <v>2026</v>
      </c>
      <c r="F63" s="2" t="n">
        <v>2027</v>
      </c>
      <c r="G63" s="2" t="n">
        <v>2028</v>
      </c>
      <c r="H63" s="2" t="n">
        <v>2029</v>
      </c>
      <c r="I63" s="2" t="n">
        <v>2030</v>
      </c>
    </row>
    <row r="64">
      <c r="A64" t="inlineStr">
        <is>
          <t>基準（公告日）</t>
        </is>
      </c>
      <c r="B64" t="inlineStr">
        <is>
          <t>總額</t>
        </is>
      </c>
      <c r="D64" s="4" t="n">
        <v>13.07</v>
      </c>
      <c r="E64" s="4" t="n">
        <v>34.20378142994613</v>
      </c>
      <c r="F64" s="4" t="n">
        <v>54.79565323832716</v>
      </c>
      <c r="G64" s="4" t="n">
        <v>78.42408900260591</v>
      </c>
      <c r="H64" s="4" t="n">
        <v>102.1273743806869</v>
      </c>
      <c r="I64" s="4" t="n">
        <v>126.3830927029804</v>
      </c>
    </row>
    <row r="65">
      <c r="A65" t="inlineStr">
        <is>
          <t>基準（公告日）</t>
        </is>
      </c>
      <c r="B65" t="inlineStr">
        <is>
          <t>淨額</t>
        </is>
      </c>
      <c r="D65" s="4" t="n">
        <v>10.456</v>
      </c>
      <c r="E65" s="4" t="n">
        <v>27.3630251439569</v>
      </c>
      <c r="F65" s="4" t="n">
        <v>43.83652259066172</v>
      </c>
      <c r="G65" s="4" t="n">
        <v>62.73927120208473</v>
      </c>
      <c r="H65" s="4" t="n">
        <v>97.61207911486275</v>
      </c>
      <c r="I65" s="4" t="n">
        <v>126.3830927029804</v>
      </c>
    </row>
    <row r="66">
      <c r="A66" t="inlineStr">
        <is>
          <t>全部提前一季</t>
        </is>
      </c>
      <c r="B66" t="inlineStr">
        <is>
          <t>總額</t>
        </is>
      </c>
      <c r="D66" s="4" t="n">
        <v>13.07</v>
      </c>
      <c r="E66" s="4" t="n">
        <v>33.94037591769412</v>
      </c>
      <c r="F66" s="4" t="n">
        <v>54.35642454664696</v>
      </c>
      <c r="G66" s="4" t="n">
        <v>77.75997522078545</v>
      </c>
      <c r="H66" s="4" t="n">
        <v>101.2142179306838</v>
      </c>
      <c r="I66" s="4" t="n">
        <v>125.1996419437763</v>
      </c>
    </row>
    <row r="67">
      <c r="A67" t="inlineStr">
        <is>
          <t>全部提前一季</t>
        </is>
      </c>
      <c r="B67" t="inlineStr">
        <is>
          <t>淨額</t>
        </is>
      </c>
      <c r="D67" s="4" t="n">
        <v>10.456</v>
      </c>
      <c r="E67" s="4" t="n">
        <v>27.1523007341553</v>
      </c>
      <c r="F67" s="4" t="n">
        <v>43.48513963731757</v>
      </c>
      <c r="G67" s="4" t="n">
        <v>62.20798017662836</v>
      </c>
      <c r="H67" s="4" t="n">
        <v>96.4255730677091</v>
      </c>
      <c r="I67" s="4" t="n">
        <v>125.1996419437763</v>
      </c>
    </row>
    <row r="68">
      <c r="A68" t="inlineStr">
        <is>
          <t>全部延後一季</t>
        </is>
      </c>
      <c r="B68" t="inlineStr">
        <is>
          <t>總額</t>
        </is>
      </c>
      <c r="D68" s="4" t="n">
        <v>13.07</v>
      </c>
      <c r="E68" s="4" t="n">
        <v>34.46718694219811</v>
      </c>
      <c r="F68" s="4" t="n">
        <v>55.23488193000735</v>
      </c>
      <c r="G68" s="4" t="n">
        <v>79.08820278442639</v>
      </c>
      <c r="H68" s="4" t="n">
        <v>103.0405308306901</v>
      </c>
      <c r="I68" s="4" t="n">
        <v>127.5665434621844</v>
      </c>
    </row>
    <row r="69">
      <c r="A69" t="inlineStr">
        <is>
          <t>全部延後一季</t>
        </is>
      </c>
      <c r="B69" t="inlineStr">
        <is>
          <t>淨額</t>
        </is>
      </c>
      <c r="D69" s="4" t="n">
        <v>10.456</v>
      </c>
      <c r="E69" s="4" t="n">
        <v>27.57374955375849</v>
      </c>
      <c r="F69" s="4" t="n">
        <v>44.18790554400589</v>
      </c>
      <c r="G69" s="4" t="n">
        <v>63.27056222754111</v>
      </c>
      <c r="H69" s="4" t="n">
        <v>98.79858516201645</v>
      </c>
      <c r="I69" s="4" t="n">
        <v>127.5665434621844</v>
      </c>
    </row>
    <row r="70">
      <c r="A70" t="inlineStr">
        <is>
          <t>年中一次性生效（替代）</t>
        </is>
      </c>
      <c r="B70" t="inlineStr">
        <is>
          <t>總額</t>
        </is>
      </c>
      <c r="D70" s="4" t="n">
        <v>13.07</v>
      </c>
      <c r="E70" s="4" t="n">
        <v>34.41195119791492</v>
      </c>
      <c r="F70" s="4" t="n">
        <v>55.14277632641515</v>
      </c>
      <c r="G70" s="4" t="n">
        <v>78.94893911179494</v>
      </c>
      <c r="H70" s="4" t="n">
        <v>102.8490432808218</v>
      </c>
      <c r="I70" s="4" t="n">
        <v>127.3183755975552</v>
      </c>
    </row>
    <row r="71">
      <c r="A71" t="inlineStr">
        <is>
          <t>年中一次性生效（替代）</t>
        </is>
      </c>
      <c r="B71" t="inlineStr">
        <is>
          <t>淨額</t>
        </is>
      </c>
      <c r="D71" s="4" t="n">
        <v>10.456</v>
      </c>
      <c r="E71" s="4" t="n">
        <v>27.52956095833194</v>
      </c>
      <c r="F71" s="4" t="n">
        <v>44.11422106113211</v>
      </c>
      <c r="G71" s="4" t="n">
        <v>63.15915128943595</v>
      </c>
      <c r="H71" s="4" t="n">
        <v>98.54977660804684</v>
      </c>
      <c r="I71" s="4" t="n">
        <v>127.3183755975552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0" customWidth="1" min="3" max="3"/>
    <col width="36" customWidth="1" min="4" max="4"/>
    <col width="60" customWidth="1" min="5" max="5"/>
  </cols>
  <sheetData>
    <row r="1">
      <c r="A1" s="1" t="inlineStr">
        <is>
          <t>③ 已套用的預設（工作單 S2 預設表 → r6 → 最保守常見口徑）</t>
        </is>
      </c>
    </row>
    <row r="3">
      <c r="A3" s="2" t="inlineStr">
        <is>
          <t>#</t>
        </is>
      </c>
      <c r="B3" s="2" t="inlineStr">
        <is>
          <t>問題</t>
        </is>
      </c>
      <c r="C3" s="2" t="inlineStr">
        <is>
          <t>採用的預設</t>
        </is>
      </c>
      <c r="D3" s="2" t="inlineStr">
        <is>
          <t>替代選項</t>
        </is>
      </c>
      <c r="E3" s="2" t="inlineStr">
        <is>
          <t>對結果的影響方向（量化）</t>
        </is>
      </c>
    </row>
    <row r="4">
      <c r="A4" s="3" t="n">
        <v>1</v>
      </c>
      <c r="B4" s="3" t="inlineStr">
        <is>
          <t>2026 價格事件時點（E8c）</t>
        </is>
      </c>
      <c r="C4" s="3" t="inlineStr">
        <is>
          <t>SRC_OAI 公告日為基準（Verified；公告日＝生效日）；區間＝基準 ±1 季（±91 天，Assumed；Inputs INP_246–249）；FY 平均價以天數加權（工作單預設）</t>
        </is>
      </c>
      <c r="D4" s="3" t="inlineStr">
        <is>
          <t>年中一次性生效</t>
        </is>
      </c>
      <c r="E4" s="3" t="inlineStr">
        <is>
          <t>年中一次性：2026 組合有效單價 2.794→2.830 $/M（+1.3%）、2026 總額 +0.21B、2030 淨額 +0.94B；全部提前一季：2026 總額 −0.26B、2030 淨額 −1.18B；全部延後一季：+0.26B／+1.18B</t>
        </is>
      </c>
    </row>
    <row r="5">
      <c r="A5" s="3" t="n">
        <v>2</v>
      </c>
      <c r="B5" s="3" t="inlineStr">
        <is>
          <t>事件 1（07-09）之前的 2026 價格</t>
        </is>
      </c>
      <c r="C5" s="3" t="inlineStr">
        <is>
          <t>以事件 1 價格（GPT-5.6 Sol／Terra／Luna）回填 1/1 起（與 v0.5 月加權相同作法）</t>
        </is>
      </c>
      <c r="D5" s="3" t="inlineStr">
        <is>
          <t>以 2025 FY 平均價銜接至首次變價</t>
        </is>
      </c>
      <c r="E5" s="3" t="inlineStr">
        <is>
          <t>未量化；資料缺口（2026 上半年牌價未登錄）</t>
        </is>
      </c>
    </row>
    <row r="6">
      <c r="A6" s="3" t="n">
        <v>3</v>
      </c>
      <c r="B6" s="3" t="inlineStr">
        <is>
          <t>事件 4、5 之後的價格</t>
        </is>
      </c>
      <c r="C6" s="3" t="inlineStr">
        <is>
          <t>引用既有 2026-09-25 牌價快照列（SRC_OAI_013–021），不另登事件價</t>
        </is>
      </c>
      <c r="D6" s="3" t="inlineStr">
        <is>
          <t>另登事件價列</t>
        </is>
      </c>
      <c r="E6" s="3" t="inlineStr">
        <is>
          <t>無（數值相同）</t>
        </is>
      </c>
    </row>
    <row r="7">
      <c r="A7" s="3" t="n">
        <v>4</v>
      </c>
      <c r="B7" s="3" t="inlineStr">
        <is>
          <t>天數加權 vs v0.5 月加權</t>
        </is>
      </c>
      <c r="C7" s="3" t="inlineStr">
        <is>
          <t>天數加權（工作單預設）</t>
        </is>
      </c>
      <c r="D7" s="3" t="inlineStr">
        <is>
          <t>v0.5 月加權</t>
        </is>
      </c>
      <c r="E7" s="3" t="inlineStr">
        <is>
          <t>2026 牌價：top 輸入 6.611（v0.5 6.6）、top 輸出 36.25（35.8）、mid 13.17（13.25）、low 輸出 3.768（3.83）；2026 組合單價 2.794（v0.5 2.794）</t>
        </is>
      </c>
    </row>
    <row r="8">
      <c r="A8" s="3" t="n">
        <v>5</v>
      </c>
      <c r="B8" s="3" t="inlineStr">
        <is>
          <t>2027 起 API 單價路徑</t>
        </is>
      </c>
      <c r="C8" s="3" t="inlineStr">
        <is>
          <t>沿用 v0.5：2026 值 ×（1＋牌價年變動率，Inputs INP_021–023）；不以 Tokenomics 前緣價改寫（工作單預設）</t>
        </is>
      </c>
      <c r="D8" s="3" t="inlineStr">
        <is>
          <t>以 TK IF_FrontRef_* 年降幅外推</t>
        </is>
      </c>
      <c r="E8" s="3" t="inlineStr">
        <is>
          <t>列入建議後續</t>
        </is>
      </c>
    </row>
    <row r="9">
      <c r="A9" s="3" t="n">
        <v>6</v>
      </c>
      <c r="B9" s="3" t="inlineStr">
        <is>
          <t>Pro 的「付費總數」口徑</t>
        </is>
      </c>
      <c r="C9" s="3" t="inlineStr">
        <is>
          <t>無遷移基準（go＋plus＋seats 取 Inputs 值；沿用 P1 已審 Derived_V9 V03–V13，與 r6 參考值 0.81／1.05／1.24／1.41M 一致）</t>
        </is>
      </c>
      <c r="D9" s="3" t="inlineStr">
        <is>
          <t>T4 遷移後的 Go、Plus</t>
        </is>
      </c>
      <c r="E9" s="3" t="inlineStr">
        <is>
          <t>改用遷移後：pro 2026 0.565→0.722M，訂閱營收 +0.28B（2026）、+1.56B（2030）；2025 由 API 倒推吸收，總額不變</t>
        </is>
      </c>
    </row>
    <row r="10">
      <c r="A10" s="3" t="n">
        <v>7</v>
      </c>
      <c r="B10" s="3" t="inlineStr">
        <is>
          <t>API token 需求口徑（供 P3）</t>
        </is>
      </c>
      <c r="C10" s="3" t="inlineStr">
        <is>
          <t>計費 token（v0.5：2025 由營收倒推，之後任務數 × 每任務 token）</t>
        </is>
      </c>
      <c r="D10" s="3" t="inlineStr">
        <is>
          <t>處理 token（＝計費 ÷ 2025 計費比例 0.80）</t>
        </is>
      </c>
      <c r="E10" s="3" t="inlineStr">
        <is>
          <t>改用處理 token：2025 API +522T（+25%），P3 推論 GW 同比例上升；2025 計費比例 0.80（v0.5 0.70，差異來自 V12 pro 下修使 API 倒推值上升）</t>
        </is>
      </c>
    </row>
    <row r="11">
      <c r="A11" s="3" t="n">
        <v>8</v>
      </c>
      <c r="B11" s="3" t="inlineStr">
        <is>
          <t>訂閱 token 的層級拆分</t>
        </is>
      </c>
      <c r="C11" s="3" t="inlineStr">
        <is>
          <t>方案模型組合 INP_155–179（v0.5 inferenceCost.usage：luna／sol／astra 占比）</t>
        </is>
      </c>
      <c r="D11" s="3" t="inlineStr">
        <is>
          <t>apiEquivalentTier 單一對應（free、go→low；plus、seats→mid；pro→top）</t>
        </is>
      </c>
      <c r="E11" s="3" t="inlineStr">
        <is>
          <t>改用單一對應：2025 付費 mid +228T、low −222T，免費 mid 74→0T；2030 付費 mid +3.2%、low −3.8%、top +0.7%</t>
        </is>
      </c>
    </row>
    <row r="12">
      <c r="A12" s="3" t="n">
        <v>9</v>
      </c>
      <c r="B12" s="3" t="inlineStr">
        <is>
          <t>API 層級占比 2027–2030</t>
        </is>
      </c>
      <c r="C12" s="3" t="inlineStr">
        <is>
          <t>沿用 2026 值（v0.5 以最後一值延伸）</t>
        </is>
      </c>
      <c r="D12" s="3" t="inlineStr">
        <is>
          <t>逐年 Inputs</t>
        </is>
      </c>
      <c r="E12" s="3" t="inlineStr">
        <is>
          <t>無（與 v0.5 相同）</t>
        </is>
      </c>
    </row>
    <row r="13">
      <c r="A13" s="3" t="n">
        <v>10</v>
      </c>
      <c r="B13" s="3" t="inlineStr">
        <is>
          <t>D11 情境選擇器</t>
        </is>
      </c>
      <c r="C13" s="3" t="inlineStr">
        <is>
          <t>未建；基準引用各參數 Inputs 值欄；情境 low／base／high 列只作對照（C36 檢查 base 列＝基準值）</t>
        </is>
      </c>
      <c r="D13" s="3" t="inlineStr">
        <is>
          <t>建選擇器（v0.5 輸入!C5）</t>
        </is>
      </c>
      <c r="E13" s="3" t="inlineStr">
        <is>
          <t>無（基準相同）；情境由 parity 情境與 S5 敏感度處理</t>
        </is>
      </c>
    </row>
    <row r="14">
      <c r="A14" s="3" t="n">
        <v>11</v>
      </c>
      <c r="B14" s="3" t="inlineStr">
        <is>
          <t>ARPU plus、pro 的「2026 起」</t>
        </is>
      </c>
      <c r="C14" s="3" t="inlineStr">
        <is>
          <t>2026–2030 同值（v0.5 以最後一值延伸）；INP_098、INP_100 索引「待 P2 確認」→確認為 2026 起全期</t>
        </is>
      </c>
      <c r="D14" s="3" t="inlineStr">
        <is>
          <t>逐年 ARPU</t>
        </is>
      </c>
      <c r="E14" s="3" t="inlineStr">
        <is>
          <t>無（與 v0.5 相同）</t>
        </is>
      </c>
    </row>
    <row r="15">
      <c r="A15" s="3" t="n">
        <v>12</v>
      </c>
      <c r="B15" s="3" t="inlineStr">
        <is>
          <t>FY2026 獨立推估（v0.5 Derived 32.9）</t>
        </is>
      </c>
      <c r="C15" s="3" t="inlineStr">
        <is>
          <t>Q1＋Q2＋2026-08 ARR × 6 ÷ 12＝32.4（最簡口徑）</t>
        </is>
      </c>
      <c r="D15" s="3" t="inlineStr">
        <is>
          <t>沿用 v0.5 32.9（外推細節未記錄）</t>
        </is>
      </c>
      <c r="E15" s="3" t="inlineStr">
        <is>
          <t>−0.5B（只對照，不驅動計算）</t>
        </is>
      </c>
    </row>
    <row r="16">
      <c r="A16" s="3" t="n">
        <v>13</v>
      </c>
      <c r="B16" s="3" t="inlineStr">
        <is>
          <t>2026 需求成長率 134%（v0.4 校準至 32.9）</t>
        </is>
      </c>
      <c r="C16" s="3" t="inlineStr">
        <is>
          <t>不重新校準（工作單：只列差距）</t>
        </is>
      </c>
      <c r="D16" s="3" t="inlineStr">
        <is>
          <t>重新校準使 2026 總額＝獨立推估</t>
        </is>
      </c>
      <c r="E16" s="3" t="inlineStr">
        <is>
          <t>2026 總額 34.20 vs 獨立推估 32.40（+1.80B，+5.6%）；主因 V12 pro 下修使 2025 API 倒推值 3.63→4.15</t>
        </is>
      </c>
    </row>
    <row r="17">
      <c r="A17" s="3" t="n">
        <v>14</v>
      </c>
      <c r="B17" s="3" t="inlineStr">
        <is>
          <t>每年天數</t>
        </is>
      </c>
      <c r="C17" s="3" t="inlineStr">
        <is>
          <t>定義常數 365（Inputs INP_251；2028 閏年不調）</t>
        </is>
      </c>
      <c r="D17" s="3" t="inlineStr">
        <is>
          <t>逐年實際天數</t>
        </is>
      </c>
      <c r="E17" s="3" t="inlineStr">
        <is>
          <t>2028 token −0.27%</t>
        </is>
      </c>
    </row>
    <row r="18">
      <c r="A18" s="3" t="n">
        <v>15</v>
      </c>
      <c r="B18" s="3" t="inlineStr">
        <is>
          <t>營收容量上限（V1a）</t>
        </is>
      </c>
      <c r="C18" s="3" t="inlineStr">
        <is>
          <t>P2 不截頂；P3 加容量上限係數</t>
        </is>
      </c>
      <c r="D18" s="3" t="inlineStr">
        <is>
          <t>—</t>
        </is>
      </c>
      <c r="E18" s="3" t="inlineStr">
        <is>
          <t>無（P3 處理）</t>
        </is>
      </c>
    </row>
    <row r="19">
      <c r="A19" s="3" t="n">
        <v>16</v>
      </c>
      <c r="B19" s="3" t="inlineStr">
        <is>
          <t>Microsoft 分成 2025</t>
        </is>
      </c>
      <c r="C19" s="3" t="inlineStr">
        <is>
          <t>20% × 總額，起算年（INP_011＝2026）前不計入上限（v0.5 N2a）</t>
        </is>
      </c>
      <c r="D19" s="3" t="inlineStr">
        <is>
          <t>—</t>
        </is>
      </c>
      <c r="E19" s="3" t="inlineStr">
        <is>
          <t>2025 分成 2.61B；累計 2029 觸頂 38B，2030 分成 0</t>
        </is>
      </c>
    </row>
    <row r="20">
      <c r="A20" s="3" t="n">
        <v>17</v>
      </c>
      <c r="B20" s="3" t="inlineStr">
        <is>
          <t>2026 牌價區間的傳遞範圍</t>
        </is>
      </c>
      <c r="C20" s="3" t="inlineStr">
        <is>
          <t>區間傳至 2026 牌價列（Revenue 第七節 低／高）並以 Checks 驗證；營收以情境呈現</t>
        </is>
      </c>
      <c r="D20" s="3" t="inlineStr">
        <is>
          <t>區間傳至營收列</t>
        </is>
      </c>
      <c r="E20" s="3" t="inlineStr">
        <is>
          <t>事件時點 ±1 季：2026 總額 33.94–34.47B</t>
        </is>
      </c>
    </row>
    <row r="21">
      <c r="A21" s="3" t="n">
        <v>18</v>
      </c>
      <c r="B21" s="3" t="inlineStr">
        <is>
          <t>E6 恆等式</t>
        </is>
      </c>
      <c r="C21" s="3" t="inlineStr">
        <is>
          <t>公式內只容許 1−比例、1＋成長率；期間開關以邏輯值相乘；定義常數（天數、月數、單位換算、FY2026 起日、下半年月數）新增為 Inputs（Decision，低＝高）</t>
        </is>
      </c>
      <c r="D21" s="3" t="inlineStr">
        <is>
          <t>—</t>
        </is>
      </c>
      <c r="E21" s="3" t="inlineStr">
        <is>
          <t>工程類；test_e6 擴及 Demand、Revenue</t>
        </is>
      </c>
    </row>
    <row r="22">
      <c r="A22" s="3" t="n">
        <v>19</v>
      </c>
      <c r="B22" s="3" t="inlineStr">
        <is>
          <t>同日檔名</t>
        </is>
      </c>
      <c r="C22" s="3" t="inlineStr">
        <is>
          <t>S1 版（同為 20261007_OpenAI_v0.6.xlsx）以 git mv 改名為 model/archive/20261007_OpenAI_v0.6-P1.1.xlsx</t>
        </is>
      </c>
      <c r="D22" s="3" t="inlineStr">
        <is>
          <t>—</t>
        </is>
      </c>
      <c r="E22" s="3" t="inlineStr">
        <is>
          <t>工程類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2026-10-07T14:26:29Z</dcterms:created>
  <dcterms:modified xmlns:dcterms="http://purl.org/dc/terms/" xmlns:xsi="http://www.w3.org/2001/XMLSchema-instance" xsi:type="dcterms:W3CDTF">2026-10-07T14:26:33Z</dcterms:modified>
</cp:coreProperties>
</file>